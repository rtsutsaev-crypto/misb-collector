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90a730dac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367cff5460684dea"/>
    <x:sheet xmlns:r="http://schemas.openxmlformats.org/officeDocument/2006/relationships" name="КУ — 200" sheetId="2" r:id="Rcbdac40814d24326"/>
    <x:sheet xmlns:r="http://schemas.openxmlformats.org/officeDocument/2006/relationships" name="Каналы" sheetId="3" r:id="R79c9cad1cf1d4190"/>
    <x:sheet xmlns:r="http://schemas.openxmlformats.org/officeDocument/2006/relationships" name="Пробелы" sheetId="4" r:id="R3b1d73330448490b"/>
    <x:sheet xmlns:r="http://schemas.openxmlformats.org/officeDocument/2006/relationships" name="Подключение" sheetId="5" r:id="R2e0f88f96a6a4b45"/>
    <x:sheet xmlns:r="http://schemas.openxmlformats.org/officeDocument/2006/relationships" name="Сценарии заказов" sheetId="6" r:id="R784f530fa8924aee"/>
    <x:sheet xmlns:r="http://schemas.openxmlformats.org/officeDocument/2006/relationships" name="Запросы Claude" sheetId="7" r:id="Rc2bab0abb02b427f"/>
    <x:sheet xmlns:r="http://schemas.openxmlformats.org/officeDocument/2006/relationships" name="Расширение" sheetId="8" r:id="Rbce078ba529f4f4e"/>
    <x:sheet xmlns:r="http://schemas.openxmlformats.org/officeDocument/2006/relationships" name="Паспорта" sheetId="9" r:id="R490d9274bd8a40e2"/>
    <x:sheet xmlns:r="http://schemas.openxmlformats.org/officeDocument/2006/relationships" name="Резерв" sheetId="10" r:id="R98ae200b57bb4050"/>
    <x:sheet xmlns:r="http://schemas.openxmlformats.org/officeDocument/2006/relationships" name="Связи" sheetId="11" r:id="Rd6649145fcad4be0"/>
    <x:sheet xmlns:r="http://schemas.openxmlformats.org/officeDocument/2006/relationships" name="Словарь" sheetId="12" r:id="R68b81dd18f5e4764"/>
    <x:sheet xmlns:r="http://schemas.openxmlformats.org/officeDocument/2006/relationships" name="Правила и бюджет" sheetId="13" r:id="R4d5726dd3e80488e"/>
    <x:sheet xmlns:r="http://schemas.openxmlformats.org/officeDocument/2006/relationships" name="Приёмка" sheetId="14" r:id="Rf561e80f7f394012"/>
    <x:sheet xmlns:r="http://schemas.openxmlformats.org/officeDocument/2006/relationships" name="Claude — старт" sheetId="15" r:id="R6d4244f1df79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7">
    <x:font>
      <x:sz val="11"/>
      <x:name val="Carlito"/>
    </x:font>
    <x:font>
      <x:sz val="10"/>
      <x:color rgb="FF203140"/>
      <x:name val="Arial"/>
    </x:font>
    <x:font>
      <x:b/>
      <x:sz val="16"/>
      <x:color rgb="FF19364D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3"/>
      <x:color rgb="FF19364D"/>
      <x:name val="Arial"/>
    </x:font>
    <x:font>
      <x:b/>
      <x:sz val="10"/>
      <x:color rgb="FF1936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64D"/>
      </x:patternFill>
    </x:fill>
    <x:fill>
      <x:patternFill patternType="solid">
        <x:fgColor rgb="FFFFF2CC"/>
      </x:patternFill>
    </x:fill>
    <x:fill>
      <x:patternFill patternType="solid">
        <x:fgColor rgb="FFEAF0F5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/>
    </x:xf>
    <x:xf numFmtId="201" fontId="1" fillId="3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201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353606c2e4df6" /><Relationship Type="http://schemas.openxmlformats.org/officeDocument/2006/relationships/theme" Target="/xl/theme/theme1.xml" Id="R1752546354054512" /><Relationship Type="http://schemas.openxmlformats.org/officeDocument/2006/relationships/sharedStrings" Target="/xl/sharedStrings.xml" Id="R3eed00445b174035" /><Relationship Type="http://schemas.openxmlformats.org/officeDocument/2006/relationships/worksheet" Target="/xl/worksheets/sheet1.xml" Id="R367cff5460684dea" /><Relationship Type="http://schemas.openxmlformats.org/officeDocument/2006/relationships/worksheet" Target="/xl/worksheets/sheet2.xml" Id="Rcbdac40814d24326" /><Relationship Type="http://schemas.openxmlformats.org/officeDocument/2006/relationships/worksheet" Target="/xl/worksheets/sheet3.xml" Id="R79c9cad1cf1d4190" /><Relationship Type="http://schemas.openxmlformats.org/officeDocument/2006/relationships/worksheet" Target="/xl/worksheets/sheet4.xml" Id="R3b1d73330448490b" /><Relationship Type="http://schemas.openxmlformats.org/officeDocument/2006/relationships/worksheet" Target="/xl/worksheets/sheet5.xml" Id="R2e0f88f96a6a4b45" /><Relationship Type="http://schemas.openxmlformats.org/officeDocument/2006/relationships/worksheet" Target="/xl/worksheets/sheet6.xml" Id="R784f530fa8924aee" /><Relationship Type="http://schemas.openxmlformats.org/officeDocument/2006/relationships/worksheet" Target="/xl/worksheets/sheet7.xml" Id="Rc2bab0abb02b427f" /><Relationship Type="http://schemas.openxmlformats.org/officeDocument/2006/relationships/worksheet" Target="/xl/worksheets/sheet8.xml" Id="Rbce078ba529f4f4e" /><Relationship Type="http://schemas.openxmlformats.org/officeDocument/2006/relationships/worksheet" Target="/xl/worksheets/sheet9.xml" Id="R490d9274bd8a40e2" /><Relationship Type="http://schemas.openxmlformats.org/officeDocument/2006/relationships/worksheet" Target="/xl/worksheets/sheet10.xml" Id="R98ae200b57bb4050" /><Relationship Type="http://schemas.openxmlformats.org/officeDocument/2006/relationships/worksheet" Target="/xl/worksheets/sheet11.xml" Id="Rd6649145fcad4be0" /><Relationship Type="http://schemas.openxmlformats.org/officeDocument/2006/relationships/worksheet" Target="/xl/worksheets/sheet12.xml" Id="R68b81dd18f5e4764" /><Relationship Type="http://schemas.openxmlformats.org/officeDocument/2006/relationships/worksheet" Target="/xl/worksheets/sheet13.xml" Id="R4d5726dd3e80488e" /><Relationship Type="http://schemas.openxmlformats.org/officeDocument/2006/relationships/worksheet" Target="/xl/worksheets/sheet14.xml" Id="Rf561e80f7f394012" /><Relationship Type="http://schemas.openxmlformats.org/officeDocument/2006/relationships/worksheet" Target="/xl/worksheets/sheet15.xml" Id="R6d4244f1df794e07" /></Relationships>
</file>

<file path=xl/tables/table1.xml><?xml version="1.0" encoding="utf-8"?>
<x:table xmlns:x="http://schemas.openxmlformats.org/spreadsheetml/2006/main" id="1" name="MainCU" displayName="MainCU" ref="A5:L205" headerRowCount="1" totalsRowCount="0" totalsRowShown="0">
  <x:autoFilter ref="A5:L205"/>
  <x:tableColumns count="12">
    <x:tableColumn id="1" name="ID"/>
    <x:tableColumn id="2" name="Структура"/>
    <x:tableColumn id="3" name="Страна"/>
    <x:tableColumn id="4" name="Тип"/>
    <x:tableColumn id="5" name="Компания / группа"/>
    <x:tableColumn id="6" name="Отрасль"/>
    <x:tableColumn id="7" name="Приоритет"/>
    <x:tableColumn id="8" name="Аудитория"/>
    <x:tableColumn id="9" name="Связь с МИСБ — гипотеза"/>
    <x:tableColumn id="10" name="Основной адрес"/>
    <x:tableColumn id="11" name="Проверка основания"/>
    <x:tableColumn id="12" name="Следующий шаг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nnelRegistry" displayName="ChannelRegistry" ref="A5:L479" headerRowCount="1" totalsRowCount="0" totalsRowShown="0">
  <x:autoFilter ref="A5:L479"/>
  <x:tableColumns count="12">
    <x:tableColumn id="1" name="Source ID"/>
    <x:tableColumn id="2" name="КУ ID"/>
    <x:tableColumn id="3" name="Структура"/>
    <x:tableColumn id="4" name="Выборка"/>
    <x:tableColumn id="5" name="Тип канала"/>
    <x:tableColumn id="6" name="URL"/>
    <x:tableColumn id="7" name="Что отслеживать"/>
    <x:tableColumn id="8" name="Проверка"/>
    <x:tableColumn id="9" name="URL основания"/>
    <x:tableColumn id="10" name="Предлагаемый сбор"/>
    <x:tableColumn id="11" name="Ограничения"/>
    <x:tableColumn id="12" name="Связь с прежним MISB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nnelGaps" displayName="ChannelGaps" ref="A5:M205" headerRowCount="1" totalsRowCount="0" totalsRowShown="0">
  <x:autoFilter ref="A5:M205"/>
  <x:tableColumns count="13">
    <x:tableColumn id="1" name="КУ ID"/>
    <x:tableColumn id="2" name="Структура"/>
    <x:tableColumn id="3" name="Сайт / описание структуры"/>
    <x:tableColumn id="4" name="Новости"/>
    <x:tableColumn id="5" name="Программы"/>
    <x:tableColumn id="6" name="Закупки"/>
    <x:tableColumn id="7" name="Приглашение экспертам"/>
    <x:tableColumn id="8" name="Партнерство"/>
    <x:tableColumn id="9" name="Контакты"/>
    <x:tableColumn id="10" name="Соцсеть"/>
    <x:tableColumn id="11" name="Вакансии"/>
    <x:tableColumn id="12" name="Всего"/>
    <x:tableColumn id="13" name="Следующий поис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nectorLedger" displayName="ConnectorLedger" ref="A5:N479" headerRowCount="1" totalsRowCount="0" totalsRowShown="0">
  <x:autoFilter ref="A5:N479"/>
  <x:tableColumns count="14">
    <x:tableColumn id="1" name="Source ID"/>
    <x:tableColumn id="2" name="КУ ID"/>
    <x:tableColumn id="3" name="URL"/>
    <x:tableColumn id="4" name="Очередь"/>
    <x:tableColumn id="5" name="Первое действие"/>
    <x:tableColumn id="6" name="Метод — предложение"/>
    <x:tableColumn id="7" name="Ответственный"/>
    <x:tableColumn id="8" name="Фактический статус"/>
    <x:tableColumn id="9" name="Проверено"/>
    <x:tableColumn id="10" name="Следующий срок"/>
    <x:tableColumn id="11" name="Пример / доказательство"/>
    <x:tableColumn id="12" name="Фактический охват"/>
    <x:tableColumn id="13" name="Причина / ограничение"/>
    <x:tableColumn id="14" name="Полнота запис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mercialRoutes" displayName="CommercialRoutes" ref="A5:H25" headerRowCount="1" totalsRowCount="0" totalsRowShown="0">
  <x:autoFilter ref="A5:H25"/>
  <x:tableColumns count="8">
    <x:tableColumn id="1" name="Код"/>
    <x:tableColumn id="2" name="Маршрут"/>
    <x:tableColumn id="3" name="Искомое событие"/>
    <x:tableColumn id="4" name="Путь к покупателю"/>
    <x:tableColumn id="5" name="Роль владельца"/>
    <x:tableColumn id="6" name="Условный пример"/>
    <x:tableColumn id="7" name="Что уточнить"/>
    <x:tableColumn id="8" name="Соответстви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UQueries" displayName="CUQueries" ref="A5:H805" headerRowCount="1" totalsRowCount="0" totalsRowShown="0">
  <x:autoFilter ref="A5:H805"/>
  <x:tableColumns count="8">
    <x:tableColumn id="1" name="Query ID"/>
    <x:tableColumn id="2" name="КУ ID"/>
    <x:tableColumn id="3" name="Структура"/>
    <x:tableColumn id="4" name="Страна"/>
    <x:tableColumn id="5" name="Задача"/>
    <x:tableColumn id="6" name="Запрос"/>
    <x:tableColumn id="7" name="Трактовка"/>
    <x:tableColumn id="8" name="Стату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scoveryRoutes" displayName="DiscoveryRoutes" ref="A5:F33" headerRowCount="1" totalsRowCount="0" totalsRowShown="0">
  <x:autoFilter ref="A5:F33"/>
  <x:tableColumns count="6">
    <x:tableColumn id="1" name="ID"/>
    <x:tableColumn id="2" name="Маршрут"/>
    <x:tableColumn id="3" name="Начальная точка"/>
    <x:tableColumn id="4" name="Шаблон"/>
    <x:tableColumn id="5" name="Что добавить"/>
    <x:tableColumn id="6" name="Ограничение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stitutionPassports" displayName="InstitutionPassports" ref="A5:X252" headerRowCount="1" totalsRowCount="0" totalsRowShown="0">
  <x:autoFilter ref="A5:X252"/>
  <x:tableColumns count="24">
    <x:tableColumn id="1" name="КУ ID"/>
    <x:tableColumn id="2" name="Выборка"/>
    <x:tableColumn id="3" name="Название"/>
    <x:tableColumn id="4" name="Страна — код"/>
    <x:tableColumn id="5" name="Тип — код"/>
    <x:tableColumn id="6" name="Компания"/>
    <x:tableColumn id="7" name="Группа"/>
    <x:tableColumn id="8" name="Город"/>
    <x:tableColumn id="9" name="Отрасль"/>
    <x:tableColumn id="10" name="Аудитория"/>
    <x:tableColumn id="11" name="Пригодность МИСБ — гипотеза"/>
    <x:tableColumn id="12" name="Искомые сигналы"/>
    <x:tableColumn id="13" name="Коммерческий путь — гипотеза"/>
    <x:tableColumn id="14" name="Роль покупателя"/>
    <x:tableColumn id="15" name="Основной URL"/>
    <x:tableColumn id="16" name="URL доказательства"/>
    <x:tableColumn id="17" name="Что подтверждено"/>
    <x:tableColumn id="18" name="Проверка"/>
    <x:tableColumn id="19" name="Исследовано"/>
    <x:tableColumn id="20" name="Риски"/>
    <x:tableColumn id="21" name="Следующий шаг"/>
    <x:tableColumn id="22" name="Поисковые маркеры"/>
    <x:tableColumn id="23" name="Основание выборки"/>
    <x:tableColumn id="24" name="Происхождение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erveRegistry" displayName="ReserveRegistry" ref="A5:I52" headerRowCount="1" totalsRowCount="0" totalsRowShown="0">
  <x:autoFilter ref="A5:I52"/>
  <x:tableColumns count="9">
    <x:tableColumn id="1" name="КУ ID"/>
    <x:tableColumn id="2" name="Структура"/>
    <x:tableColumn id="3" name="Страна"/>
    <x:tableColumn id="4" name="Тип"/>
    <x:tableColumn id="5" name="Причина резерва"/>
    <x:tableColumn id="6" name="Основной URL"/>
    <x:tableColumn id="7" name="Основание"/>
    <x:tableColumn id="8" name="Проверка"/>
    <x:tableColumn id="9" name="Следующий шаг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Relations" displayName="SourceRelations" ref="A5:F61" headerRowCount="1" totalsRowCount="0" totalsRowShown="0">
  <x:autoFilter ref="A5:F61"/>
  <x:tableColumns count="6">
    <x:tableColumn id="1" name="Связь ID"/>
    <x:tableColumn id="2" name="От ID"/>
    <x:tableColumn id="3" name="К ID"/>
    <x:tableColumn id="4" name="Тип"/>
    <x:tableColumn id="5" name="Основание"/>
    <x:tableColumn id="6" name="Действие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erviceVocabulary" displayName="ServiceVocabulary" ref="A5:F56" headerRowCount="1" totalsRowCount="0" totalsRowShown="0">
  <x:autoFilter ref="A5:F56"/>
  <x:tableColumns count="6">
    <x:tableColumn id="1" name="Код"/>
    <x:tableColumn id="2" name="Тема"/>
    <x:tableColumn id="3" name="Слова и варианты"/>
    <x:tableColumn id="4" name="Роль покупателя"/>
    <x:tableColumn id="5" name="Основание / роль"/>
    <x:tableColumn id="6" name="Правило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tentionPolicy" displayName="RetentionPolicy" ref="A5:C30" headerRowCount="1" totalsRowCount="0" totalsRowShown="0">
  <x:autoFilter ref="A5:C30"/>
  <x:tableColumns count="3">
    <x:tableColumn id="1" name="Код"/>
    <x:tableColumn id="2" name="Принцип"/>
    <x:tableColumn id="3" name="Правило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udgetCaps" displayName="BudgetCaps" ref="A34:C39" headerRowCount="1" totalsRowCount="0" totalsRowShown="0">
  <x:autoFilter ref="A34:C39"/>
  <x:tableColumns count="3">
    <x:tableColumn id="1" name="Лимит, ₽"/>
    <x:tableColumn id="2" name="Статья"/>
    <x:tableColumn id="3" name="Примечание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cceptanceTests" displayName="AcceptanceTests" ref="A5:D29" headerRowCount="1" totalsRowCount="0" totalsRowShown="0">
  <x:autoFilter ref="A5:D29"/>
  <x:tableColumns count="4">
    <x:tableColumn id="1" name="ID"/>
    <x:tableColumn id="2" name="Проверка"/>
    <x:tableColumn id="3" name="Условие"/>
    <x:tableColumn id="4" name="Критерий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laudeGuide" displayName="ClaudeGuide" ref="A5:C15" headerRowCount="1" totalsRowCount="0" totalsRowShown="0">
  <x:autoFilter ref="A5:C15"/>
  <x:tableColumns count="3">
    <x:tableColumn id="1" name="Шаг"/>
    <x:tableColumn id="2" name="Действие"/>
    <x:tableColumn id="3" name="Инструкц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e812f595164e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ead4d462ae46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3e21830a3848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742e554cad43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6767df83df42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c64cf5a60746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5d774b67cf4f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3bcebdf52a4ac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09dc0fdac404d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00d5110a8cd41e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c180f989a584f2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7bdb576d63c48ae" /><Relationship Type="http://schemas.openxmlformats.org/officeDocument/2006/relationships/table" Target="/xl/tables/table13.xml" Id="R5fa00b4c355f41e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f90482ad5cb45b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957b2760b5a14f01" /></Relationships>
</file>

<file path=xl/worksheets/sheet1.xml><?xml version="1.0" encoding="utf-8"?>
<x:worksheet xmlns:x="http://schemas.openxmlformats.org/spreadsheetml/2006/main">
  <x:sheetPr>
    <x:tabColor rgb="FF19364D"/>
  </x:sheetPr>
  <x:sheetViews>
    <x:sheetView showGridLines="0" workbookViewId="0"/>
  </x:sheetViews>
  <x:sheetFormatPr defaultRowHeight="15"/>
  <x:cols>
    <x:col min="1" max="1" width="33.33000183105469" hidden="0" customWidth="1"/>
    <x:col min="2" max="2" width="13.890000343322754" hidden="0" customWidth="1"/>
    <x:col min="3" max="3" width="3.890000104904175" hidden="0" customWidth="1"/>
    <x:col min="4" max="4" width="36.66999816894531" hidden="0" customWidth="1"/>
    <x:col min="5" max="5" width="13.890000343322754" hidden="0" customWidth="1"/>
    <x:col min="6" max="6" width="3.890000104904175" hidden="0" customWidth="1"/>
    <x:col min="7" max="7" width="37.779998779296875" hidden="0" customWidth="1"/>
    <x:col min="8" max="8" width="13.89000034332275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МИСБ · корпоративные учебные структуры</x:v>
      </x:c>
      <x:c r="B2" s="2"/>
      <x:c r="C2" s="2"/>
      <x:c r="D2" s="2"/>
      <x:c r="E2" s="2"/>
      <x:c r="F2" s="2"/>
      <x:c r="G2" s="2"/>
      <x:c r="H2" s="2"/>
    </x:row>
    <x:row r="3" ht="19.5" customHeight="1">
      <x:c r="A3" s="4" t="str">
        <x:v>Россия · Беларусь · Казахстан | Исследование на 01.10.2026 | 200 в основной выборке + резерв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24" customHeight="1">
      <x:c r="A5" s="2" t="str">
        <x:v>Основная выборка</x:v>
      </x:c>
      <x:c r="B5" s="20" t="n">
        <x:f>COUNTA('КУ — 200'!A6:A205)</x:f>
        <x:v>200</x:v>
      </x:c>
      <x:c r="C5" s="2"/>
      <x:c r="D5" s="22" t="str">
        <x:v>Страна — основные 200</x:v>
      </x:c>
      <x:c r="E5" s="22" t="str">
        <x:v>Структур</x:v>
      </x:c>
      <x:c r="F5" s="2"/>
      <x:c r="G5" s="22" t="str">
        <x:v>Тип — основные 200</x:v>
      </x:c>
      <x:c r="H5" s="22" t="str">
        <x:v>Структур</x:v>
      </x:c>
    </x:row>
    <x:row r="6" ht="25.5" customHeight="1">
      <x:c r="A6" s="2" t="str">
        <x:v>В резерве</x:v>
      </x:c>
      <x:c r="B6" s="20" t="n">
        <x:f>COUNTA('Резерв'!A6:A52)</x:f>
        <x:v>47</x:v>
      </x:c>
      <x:c r="C6" s="2"/>
      <x:c r="D6" s="5" t="str">
        <x:v>Россия</x:v>
      </x:c>
      <x:c r="E6" s="5" t="n">
        <x:f>COUNTIFS('Паспорта'!$B$6:$B$252,"main_200",'Паспорта'!$D$6:$D$252,"RU")</x:f>
        <x:v>147</x:v>
      </x:c>
      <x:c r="F6" s="5"/>
      <x:c r="G6" s="5" t="str">
        <x:v>Корпоративный университет</x:v>
      </x:c>
      <x:c r="H6" s="5" t="n">
        <x:f>COUNTIFS('Паспорта'!$B$6:$B$252,"main_200",'Паспорта'!$E$6:$E$252,"corporate_university")</x:f>
        <x:v>79</x:v>
      </x:c>
    </x:row>
    <x:row r="7" ht="25.5" customHeight="1">
      <x:c r="A7" s="2" t="str">
        <x:v>Каналы основных 200</x:v>
      </x:c>
      <x:c r="B7" s="20" t="n">
        <x:f>COUNTIFS('Каналы'!D6:D479,"main_200")</x:f>
        <x:v>407</x:v>
      </x:c>
      <x:c r="C7" s="2"/>
      <x:c r="D7" s="5" t="str">
        <x:v>Беларусь</x:v>
      </x:c>
      <x:c r="E7" s="5" t="n">
        <x:f>COUNTIFS('Паспорта'!$B$6:$B$252,"main_200",'Паспорта'!$D$6:$D$252,"BY")</x:f>
        <x:v>20</x:v>
      </x:c>
      <x:c r="F7" s="5"/>
      <x:c r="G7" s="5" t="str">
        <x:v>Корпоративная академия</x:v>
      </x:c>
      <x:c r="H7" s="5" t="n">
        <x:f>COUNTIFS('Паспорта'!$B$6:$B$252,"main_200",'Паспорта'!$E$6:$E$252,"corporate_academy")</x:f>
        <x:v>29</x:v>
      </x:c>
    </x:row>
    <x:row r="8" ht="25.5" customHeight="1">
      <x:c r="A8" s="2" t="str">
        <x:v>Все каналы с резервом</x:v>
      </x:c>
      <x:c r="B8" s="20" t="n">
        <x:f>COUNTA('Каналы'!A6:A479)</x:f>
        <x:v>474</x:v>
      </x:c>
      <x:c r="C8" s="2"/>
      <x:c r="D8" s="5" t="str">
        <x:v>Казахстан</x:v>
      </x:c>
      <x:c r="E8" s="5" t="n">
        <x:f>COUNTIFS('Паспорта'!$B$6:$B$252,"main_200",'Паспорта'!$D$6:$D$252,"KZ")</x:f>
        <x:v>33</x:v>
      </x:c>
      <x:c r="F8" s="5"/>
      <x:c r="G8" s="5" t="str">
        <x:v>Учебный центр компании</x:v>
      </x:c>
      <x:c r="H8" s="5" t="n">
        <x:f>COUNTIFS('Паспорта'!$B$6:$B$252,"main_200",'Паспорта'!$E$6:$E$252,"company_training_center")</x:f>
        <x:v>86</x:v>
      </x:c>
    </x:row>
    <x:row r="9" ht="25.5" customHeight="1">
      <x:c r="A9" s="2" t="str">
        <x:v>Поисковые запросы</x:v>
      </x:c>
      <x:c r="B9" s="20" t="n">
        <x:f>COUNTA('Запросы Claude'!A6:A805)</x:f>
        <x:v>800</x:v>
      </x:c>
      <x:c r="C9" s="2"/>
      <x:c r="D9" s="5"/>
      <x:c r="E9" s="5"/>
      <x:c r="F9" s="5"/>
      <x:c r="G9" s="5" t="str">
        <x:v>Отраслевой учебный центр</x:v>
      </x:c>
      <x:c r="H9" s="5" t="n">
        <x:f>COUNTIFS('Паспорта'!$B$6:$B$252,"main_200",'Паспорта'!$E$6:$E$252,"industry_training_center")</x:f>
        <x:v>6</x:v>
      </x:c>
    </x:row>
    <x:row r="10" ht="25.5" customHeight="1">
      <x:c r="A10" s="2" t="str">
        <x:v>Маршруты расширения</x:v>
      </x:c>
      <x:c r="B10" s="20" t="n">
        <x:v>28</x:v>
      </x:c>
      <x:c r="C10" s="2"/>
      <x:c r="D10" s="5"/>
      <x:c r="E10" s="5"/>
      <x:c r="F10" s="5"/>
      <x:c r="G10" s="5"/>
      <x:c r="H10" s="5"/>
    </x:row>
    <x:row r="11" ht="25.5" customHeight="1">
      <x:c r="A11" s="2" t="str">
        <x:v>Общий бюджет / месяц, ₽</x:v>
      </x:c>
      <x:c r="B11" s="20" t="n">
        <x:f>'Правила и бюджет'!A41</x:f>
        <x:v>10000</x:v>
      </x:c>
      <x:c r="C11" s="2"/>
      <x:c r="D11" s="7" t="str">
        <x:v>Основания — основные 200</x:v>
      </x:c>
      <x:c r="E11" s="7" t="str">
        <x:v>Структур</x:v>
      </x:c>
      <x:c r="F11" s="5"/>
      <x:c r="G11" s="7" t="str">
        <x:v>Фактический сбор здесь</x:v>
      </x:c>
      <x:c r="H11" s="7" t="str">
        <x:v>Каналов</x:v>
      </x:c>
    </x:row>
    <x:row r="12" ht="25.5" customHeight="1">
      <x:c r="A12" s="2"/>
      <x:c r="B12" s="2"/>
      <x:c r="C12" s="2"/>
      <x:c r="D12" s="5" t="str">
        <x:v>content_read</x:v>
      </x:c>
      <x:c r="E12" s="5" t="n">
        <x:f>COUNTIFS('Паспорта'!$B$6:$B$252,"main_200",'Паспорта'!$R$6:$R$252,"content_read")</x:f>
        <x:v>74</x:v>
      </x:c>
      <x:c r="F12" s="5"/>
      <x:c r="G12" s="5" t="str">
        <x:v>Не проверено</x:v>
      </x:c>
      <x:c r="H12" s="5" t="n">
        <x:f>COUNTIFS('Подключение'!H6:H479,"not_checked_here")</x:f>
        <x:v>474</x:v>
      </x:c>
    </x:row>
    <x:row r="13" ht="25.5" customHeight="1">
      <x:c r="A13" s="2"/>
      <x:c r="B13" s="2"/>
      <x:c r="C13" s="2"/>
      <x:c r="D13" s="5" t="str">
        <x:v>search_index</x:v>
      </x:c>
      <x:c r="E13" s="5" t="n">
        <x:f>COUNTIFS('Паспорта'!$B$6:$B$252,"main_200",'Паспорта'!$R$6:$R$252,"search_index")</x:f>
        <x:v>126</x:v>
      </x:c>
      <x:c r="F13" s="5"/>
      <x:c r="G13" s="5" t="str">
        <x:v>operational с доказательством</x:v>
      </x:c>
      <x:c r="H13" s="5" t="n">
        <x:f>COUNTIFS('Подключение'!H6:H479,"operational",'Подключение'!N6:N479,"Доказательства внесены")</x:f>
        <x:v>0</x:v>
      </x:c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 ht="27" customHeight="1">
      <x:c r="A16" s="24" t="str">
        <x:v>Это карта источников: университеты, академии и учебные центры. Она не подтверждает наличие 200 заказов.</x:v>
      </x:c>
      <x:c r="B16" s="24"/>
      <x:c r="C16" s="24"/>
      <x:c r="D16" s="24"/>
      <x:c r="E16" s="24"/>
      <x:c r="F16" s="24"/>
      <x:c r="G16" s="24"/>
      <x:c r="H16" s="24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 ht="30" customHeight="1">
      <x:c r="A18" s="25" t="str">
        <x:v>Как начать</x:v>
      </x:c>
      <x:c r="B18" s="5" t="str">
        <x:v>КУ — 200 → Каналы → Пробелы → Подключение. Для Claude передать также архив.</x:v>
      </x:c>
      <x:c r="C18" s="5"/>
      <x:c r="D18" s="5"/>
      <x:c r="E18" s="5"/>
      <x:c r="F18" s="5"/>
      <x:c r="G18" s="5"/>
      <x:c r="H18" s="5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 ht="30" customHeight="1">
      <x:c r="A20" s="25" t="str">
        <x:v>Что сохраняется</x:v>
      </x:c>
      <x:c r="B20" s="5" t="str">
        <x:v>Все исходные записи, кандидаты, дополнительные структуры и совпадающие URL. Приоритет меняет очередь, а не наличие источника.</x:v>
      </x:c>
      <x:c r="C20" s="5"/>
      <x:c r="D20" s="5"/>
      <x:c r="E20" s="5"/>
      <x:c r="F20" s="5"/>
      <x:c r="G20" s="5"/>
      <x:c r="H20" s="5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 ht="30" customHeight="1">
      <x:c r="A22" s="25" t="str">
        <x:v>Что означает проверка</x:v>
      </x:c>
      <x:c r="B22" s="5" t="str">
        <x:v>content_read — прочитано основание; search_index — найдено подтверждение в индексе / ссылке. Состояние сборщика проверяется отдельно.</x:v>
      </x:c>
      <x:c r="C22" s="5"/>
      <x:c r="D22" s="5"/>
      <x:c r="E22" s="5"/>
      <x:c r="F22" s="5"/>
      <x:c r="G22" s="5"/>
      <x:c r="H22" s="5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 ht="30" customHeight="1">
      <x:c r="A24" s="25" t="str">
        <x:v>Как получить заказ</x:v>
      </x:c>
      <x:c r="B24" s="5" t="str">
        <x:v>Искать конкретную учебную потребность и ее владельца. КУ может покупать обучение, продавать его или приглашать партнеров.</x:v>
      </x:c>
      <x:c r="C24" s="5"/>
      <x:c r="D24" s="5"/>
      <x:c r="E24" s="5"/>
      <x:c r="F24" s="5"/>
      <x:c r="G24" s="5"/>
      <x:c r="H24" s="5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 ht="30" customHeight="1">
      <x:c r="A26" s="25" t="str">
        <x:v>Границы специализации</x:v>
      </x:c>
      <x:c r="B26" s="5" t="str">
        <x:v>Ядро МИСБ — руководители и специалисты. Технические центры сохраняются; искать у них управленческие и предметные программы.</x:v>
      </x:c>
      <x:c r="C26" s="5"/>
      <x:c r="D26" s="5"/>
      <x:c r="E26" s="5"/>
      <x:c r="F26" s="5"/>
      <x:c r="G26" s="5"/>
      <x:c r="H26" s="5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 ht="30" customHeight="1">
      <x:c r="A28" s="25" t="str">
        <x:v>Честный подсчет</x:v>
      </x:c>
      <x:c r="B28" s="5" t="str">
        <x:v>Один КУ учитывается один раз. Дочерний центр — отдельно при доказательстве самостоятельной структуры. Ребрендинг и кампус не увеличивают итог.</x:v>
      </x:c>
      <x:c r="C28" s="5"/>
      <x:c r="D28" s="5"/>
      <x:c r="E28" s="5"/>
      <x:c r="F28" s="5"/>
      <x:c r="G28" s="5"/>
      <x:c r="H28" s="5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 ht="30" customHeight="1">
      <x:c r="A30" s="25" t="str">
        <x:v>Бюджет</x:v>
      </x:c>
      <x:c r="B30" s="5" t="str">
        <x:v>Общие 10 000 ₽/месяц вместе с предыдущим классификатором. Дополнительный лимит для этого модуля не создается.</x:v>
      </x:c>
      <x:c r="C30" s="5"/>
      <x:c r="D30" s="5"/>
      <x:c r="E30" s="5"/>
      <x:c r="F30" s="5"/>
      <x:c r="G30" s="5"/>
      <x:c r="H30" s="5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</x:sheetData>
  <x:mergeCells>
    <x:mergeCell ref="A16:H16"/>
    <x:mergeCell ref="B18:H18"/>
    <x:mergeCell ref="B20:H20"/>
    <x:mergeCell ref="B22:H22"/>
    <x:mergeCell ref="B24:H24"/>
    <x:mergeCell ref="B26:H26"/>
    <x:mergeCell ref="B28:H28"/>
    <x:mergeCell ref="B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936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.5600004196167" hidden="0" customWidth="1"/>
    <x:col min="2" max="2" width="36.66999816894531" hidden="0" customWidth="1"/>
    <x:col min="3" max="3" width="11.670000076293945" hidden="0" customWidth="1"/>
    <x:col min="4" max="4" width="22.780000686645508" hidden="0" customWidth="1"/>
    <x:col min="5" max="5" width="26.110000610351562" hidden="0" customWidth="1"/>
    <x:col min="6" max="6" width="21.670000076293945" hidden="0" customWidth="1"/>
    <x:col min="7" max="7" width="9.4399995803833" hidden="0" customWidth="1"/>
    <x:col min="8" max="8" width="37.779998779296875" hidden="0" customWidth="1"/>
    <x:col min="9" max="9" width="43.33000183105469" hidden="0" customWidth="1"/>
    <x:col min="10" max="10" width="37.779998779296875" hidden="0" customWidth="1"/>
    <x:col min="11" max="11" width="17.219999313354492" hidden="0" customWidth="1"/>
    <x:col min="12" max="12" width="46.6699981689453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1" customHeight="1">
      <x:c r="A2" s="3" t="str">
        <x:v>200 корпоративных учебных структур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19.5" customHeight="1">
      <x:c r="A3" s="4" t="str">
        <x:v>КУ, академии и учебные центры имеют разные типы. Существование подтверждено страницей или поисковым следом; текущий заказ не установлен.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1.5" customHeight="1">
      <x:c r="A5" s="9" t="str">
        <x:v>ID</x:v>
      </x:c>
      <x:c r="B5" s="9" t="str">
        <x:v>Структура</x:v>
      </x:c>
      <x:c r="C5" s="9" t="str">
        <x:v>Страна</x:v>
      </x:c>
      <x:c r="D5" s="9" t="str">
        <x:v>Тип</x:v>
      </x:c>
      <x:c r="E5" s="9" t="str">
        <x:v>Компания / группа</x:v>
      </x:c>
      <x:c r="F5" s="9" t="str">
        <x:v>Отрасль</x:v>
      </x:c>
      <x:c r="G5" s="9" t="str">
        <x:v>Приоритет</x:v>
      </x:c>
      <x:c r="H5" s="9" t="str">
        <x:v>Аудитория</x:v>
      </x:c>
      <x:c r="I5" s="9" t="str">
        <x:v>Связь с МИСБ — гипотеза</x:v>
      </x:c>
      <x:c r="J5" s="9" t="str">
        <x:v>Основной адрес</x:v>
      </x:c>
      <x:c r="K5" s="9" t="str">
        <x:v>Проверка основания</x:v>
      </x:c>
      <x:c r="L5" s="9" t="str">
        <x:v>Следующий шаг</x:v>
      </x:c>
    </x:row>
    <x:row r="6" ht="42.75" customHeight="1">
      <x:c r="A6" s="5" t="str">
        <x:v>CU-0157</x:v>
      </x:c>
      <x:c r="B6" s="5" t="str">
        <x:v>Международная Бизнес-Академия «Белоруснефть»</x:v>
      </x:c>
      <x:c r="C6" s="5" t="str">
        <x:v>Беларусь</x:v>
      </x:c>
      <x:c r="D6" s="5" t="str">
        <x:v>Корпоративная академия</x:v>
      </x:c>
      <x:c r="E6" s="5" t="str">
        <x:v>РУП «Производственное объединение «Белоруснефть»</x:v>
      </x:c>
      <x:c r="F6" s="5" t="str">
        <x:v>Нефтегаз</x:v>
      </x:c>
      <x:c r="G6" s="5" t="n">
        <x:v>1</x:v>
      </x:c>
      <x:c r="H6" s="5" t="str">
        <x:v>Руководители, кадровый резерв, специалисты нефтегазовой отрасли, внешние корпоративные слушатели.</x:v>
      </x:c>
      <x:c r="I6" s="5" t="str">
        <x:v>Высокое: управленческие программы, HR, корпоративное обучение и электронные курсы; возможны совместные программы и приглашение экспертов.</x:v>
      </x:c>
      <x:c r="J6" s="5" t="str">
        <x:v>https://mba.belorusneft.by/</x:v>
      </x:c>
      <x:c r="K6" s="5" t="str">
        <x:v>search_index</x:v>
      </x:c>
      <x:c r="L6" s="5" t="str">
        <x:v>Изучить текущий календарь курсов, выделить темы МИСБ и выяснить порядок включения внешних экспертов.</x:v>
      </x:c>
    </x:row>
    <x:row r="7" ht="42.75" customHeight="1">
      <x:c r="A7" s="5" t="str">
        <x:v>CU-0165</x:v>
      </x:c>
      <x:c r="B7" s="5" t="str">
        <x:v>ГИПК «ГАЗ-ИНСТИТУТ»</x:v>
      </x:c>
      <x:c r="C7" s="5" t="str">
        <x:v>Беларусь</x:v>
      </x:c>
      <x:c r="D7" s="5" t="str">
        <x:v>Отраслевой учебный центр</x:v>
      </x:c>
      <x:c r="E7" s="5" t="str">
        <x:v>ГПО «Белтопгаз» — вышестоящая организация</x:v>
      </x:c>
      <x:c r="F7" s="5" t="str">
        <x:v>Газоснабжение и топливная промышленность</x:v>
      </x:c>
      <x:c r="G7" s="5" t="n">
        <x:v>1</x:v>
      </x:c>
      <x:c r="H7" s="5" t="str">
        <x:v>Руководители, специалисты и рабочие газовой отрасли; корпоративные слушатели.</x:v>
      </x:c>
      <x:c r="I7" s="5" t="str">
        <x:v>Высокое: программы руководителей, стратегические решения, коммуникации, командная работа, личная эффективность; возможен преподавательский субподряд.</x:v>
      </x:c>
      <x:c r="J7" s="5" t="str">
        <x:v>https://gazinstitut.by/</x:v>
      </x:c>
      <x:c r="K7" s="5" t="str">
        <x:v>content_read</x:v>
      </x:c>
      <x:c r="L7" s="5" t="str">
        <x:v>Сопоставить управленческую линейку с экспертами МИСБ; проверить порядок привлечения внешних преподавателей.</x:v>
      </x:c>
    </x:row>
    <x:row r="8" ht="42.75" customHeight="1">
      <x:c r="A8" s="5" t="str">
        <x:v>CU-0167</x:v>
      </x:c>
      <x:c r="B8" s="5" t="str">
        <x:v>Институт ИТ и бизнес-администрирования IBA</x:v>
      </x:c>
      <x:c r="C8" s="5" t="str">
        <x:v>Беларусь</x:v>
      </x:c>
      <x:c r="D8" s="5" t="str">
        <x:v>Учебный центр компании</x:v>
      </x:c>
      <x:c r="E8" s="5" t="str">
        <x:v>IBA Group</x:v>
      </x:c>
      <x:c r="F8" s="5" t="str">
        <x:v>IT и бизнес-образование</x:v>
      </x:c>
      <x:c r="G8" s="5" t="n">
        <x:v>1</x:v>
      </x:c>
      <x:c r="H8" s="5" t="str">
        <x:v>IT-специалисты, руководители проектов, корпоративные клиенты, сотрудники группы.</x:v>
      </x:c>
      <x:c r="I8" s="5" t="str">
        <x:v>Высокое: бизнес-анализ, управление проектами и командами, цифровые навыки; возможна кооперация по внешним корпоративным заказам.</x:v>
      </x:c>
      <x:c r="J8" s="5" t="str">
        <x:v>https://www.instituteiba.by/</x:v>
      </x:c>
      <x:c r="K8" s="5" t="str">
        <x:v>search_index</x:v>
      </x:c>
      <x:c r="L8" s="5" t="str">
        <x:v>Проверить текущую связь с группой и список преподавательских потребностей, предложить конкретную тему.</x:v>
      </x:c>
    </x:row>
    <x:row r="9" ht="31.5" customHeight="1">
      <x:c r="A9" s="5" t="str">
        <x:v>CU-0171</x:v>
      </x:c>
      <x:c r="B9" s="5" t="str">
        <x:v>Академия недвижимости А-100</x:v>
      </x:c>
      <x:c r="C9" s="5" t="str">
        <x:v>Беларусь</x:v>
      </x:c>
      <x:c r="D9" s="5" t="str">
        <x:v>Корпоративная академия</x:v>
      </x:c>
      <x:c r="E9" s="5" t="str">
        <x:v>Группа компаний А-100</x:v>
      </x:c>
      <x:c r="F9" s="5" t="str">
        <x:v>Девелопмент и недвижимость</x:v>
      </x:c>
      <x:c r="G9" s="5" t="n">
        <x:v>1</x:v>
      </x:c>
      <x:c r="H9" s="5" t="str">
        <x:v>Специалисты по продажам недвижимости, руководители и партнеры девелопера.</x:v>
      </x:c>
      <x:c r="I9" s="5" t="str">
        <x:v>Высокое: продажи, переговоры, клиентский сервис, управление командами продаж и электронные программы.</x:v>
      </x:c>
      <x:c r="J9" s="5" t="str">
        <x:v>https://www.a-100.by/group-of-companies/</x:v>
      </x:c>
      <x:c r="K9" s="5" t="str">
        <x:v>search_index</x:v>
      </x:c>
      <x:c r="L9" s="5" t="str">
        <x:v>Найти самостоятельную страницу академии и текущую программу, уточнить формат привлечения тренеров.</x:v>
      </x:c>
    </x:row>
    <x:row r="10" ht="42.75" customHeight="1">
      <x:c r="A10" s="5" t="str">
        <x:v>CU-0175</x:v>
      </x:c>
      <x:c r="B10" s="5" t="str">
        <x:v>Учебный центр Национального банка Республики Беларусь</x:v>
      </x:c>
      <x:c r="C10" s="5" t="str">
        <x:v>Беларусь</x:v>
      </x:c>
      <x:c r="D10" s="5" t="str">
        <x:v>Отраслевой учебный центр</x:v>
      </x:c>
      <x:c r="E10" s="5" t="str">
        <x:v>Национальный банк Республики Беларусь</x:v>
      </x:c>
      <x:c r="F10" s="5" t="str">
        <x:v>Банковский регулятор</x:v>
      </x:c>
      <x:c r="G10" s="5" t="n">
        <x:v>1</x:v>
      </x:c>
      <x:c r="H10" s="5" t="str">
        <x:v>Руководители и специалисты Национального банка и финансового сектора.</x:v>
      </x:c>
      <x:c r="I10" s="5" t="str">
        <x:v>Высокое: управленческие решения, публичные выступления, HR, цифровые и функциональные навыки банковских специалистов.</x:v>
      </x:c>
      <x:c r="J10" s="5" t="str">
        <x:v>https://www.nbrb.by/branches/educenter</x:v>
      </x:c>
      <x:c r="K10" s="5" t="str">
        <x:v>search_index</x:v>
      </x:c>
      <x:c r="L10" s="5" t="str">
        <x:v>Первым подключить мониторинг раздела приглашений; извлекать дедлайн, тему, адрес подачи и требования, не считать архивный документ действующим.</x:v>
      </x:c>
    </x:row>
    <x:row r="11" ht="42.75" customHeight="1">
      <x:c r="A11" s="5" t="str">
        <x:v>CU-0158</x:v>
      </x:c>
      <x:c r="B11" s="5" t="str">
        <x:v>Центр подготовки, повышения квалификации и переподготовки кадров трубопроводного транспорта</x:v>
      </x:c>
      <x:c r="C11" s="5" t="str">
        <x:v>Беларусь</x:v>
      </x:c>
      <x:c r="D11" s="5" t="str">
        <x:v>Учебный центр компании</x:v>
      </x:c>
      <x:c r="E11" s="5" t="str">
        <x:v>ОАО «Газпром трансгаз Беларусь»</x:v>
      </x:c>
      <x:c r="F11" s="5" t="str">
        <x:v>Газотранспорт</x:v>
      </x:c>
      <x:c r="G11" s="5" t="n">
        <x:v>2</x:v>
      </x:c>
      <x:c r="H11" s="5" t="str">
        <x:v>Руководители, специалисты, рабочие трубопроводного транспорта.</x:v>
      </x:c>
      <x:c r="I11" s="5" t="str">
        <x:v>Условное: менеджмент, работа с персоналом, методология обучения и цифровые учебные материалы для руководителей и специалистов.</x:v>
      </x:c>
      <x:c r="J11" s="5" t="str">
        <x:v>https://ecbtg.by/</x:v>
      </x:c>
      <x:c r="K11" s="5" t="str">
        <x:v>search_index</x:v>
      </x:c>
      <x:c r="L11" s="5" t="str">
        <x:v>Получить актуальный план обучения руководителей и специалистов; отделить бизнес-компетенции от обязательной технической подготовки.</x:v>
      </x:c>
    </x:row>
    <x:row r="12" ht="31.5" customHeight="1">
      <x:c r="A12" s="5" t="str">
        <x:v>CU-0159</x:v>
      </x:c>
      <x:c r="B12" s="5" t="str">
        <x:v>Учебный центр подготовки персонала «Энергетик»</x:v>
      </x:c>
      <x:c r="C12" s="5" t="str">
        <x:v>Беларусь</x:v>
      </x:c>
      <x:c r="D12" s="5" t="str">
        <x:v>Учебный центр компании</x:v>
      </x:c>
      <x:c r="E12" s="5" t="str">
        <x:v>РУП «Брестэнерго»</x:v>
      </x:c>
      <x:c r="F12" s="5" t="str">
        <x:v>Электроэнергетика</x:v>
      </x:c>
      <x:c r="G12" s="5" t="n">
        <x:v>2</x:v>
      </x:c>
      <x:c r="H12" s="5" t="str">
        <x:v>Руководители, специалисты и рабочие энергетики.</x:v>
      </x:c>
      <x:c r="I12" s="5" t="str">
        <x:v>Условное: управление производственными командами, HR, обучение внутренних тренеров, электронные курсы.</x:v>
      </x:c>
      <x:c r="J12" s="5" t="str">
        <x:v>https://xn--90aefa3bijdgk5j.xn--90ais/filials/ucebnyi-centr-podgotovki-personala-energetik</x:v>
      </x:c>
      <x:c r="K12" s="5" t="str">
        <x:v>search_index</x:v>
      </x:c>
      <x:c r="L12" s="5" t="str">
        <x:v>Разобрать перечень управленческих программ и найти действующий контакт учебно-методической службы.</x:v>
      </x:c>
    </x:row>
    <x:row r="13" ht="31.5" customHeight="1">
      <x:c r="A13" s="5" t="str">
        <x:v>CU-0160</x:v>
      </x:c>
      <x:c r="B13" s="5" t="str">
        <x:v>Филиал «Учебный центр» РУП «Гродноэнерго»</x:v>
      </x:c>
      <x:c r="C13" s="5" t="str">
        <x:v>Беларусь</x:v>
      </x:c>
      <x:c r="D13" s="5" t="str">
        <x:v>Учебный центр компании</x:v>
      </x:c>
      <x:c r="E13" s="5" t="str">
        <x:v>РУП «Гродноэнерго»</x:v>
      </x:c>
      <x:c r="F13" s="5" t="str">
        <x:v>Электроэнергетика</x:v>
      </x:c>
      <x:c r="G13" s="5" t="n">
        <x:v>2</x:v>
      </x:c>
      <x:c r="H13" s="5" t="str">
        <x:v>Персонал энергокомпании, руководители и технические специалисты.</x:v>
      </x:c>
      <x:c r="I13" s="5" t="str">
        <x:v>Условное: развитие руководителей, управление персоналом, методология внутренних программ и электронное обучение.</x:v>
      </x:c>
      <x:c r="J13" s="5" t="str">
        <x:v>https://energo.grodno.by/</x:v>
      </x:c>
      <x:c r="K13" s="5" t="str">
        <x:v>search_index</x:v>
      </x:c>
      <x:c r="L13" s="5" t="str">
        <x:v>Найти глубокую страницу учебного центра и актуальный план обучения; затем настроить мониторинг публикаций.</x:v>
      </x:c>
    </x:row>
    <x:row r="14" ht="31.5" customHeight="1">
      <x:c r="A14" s="5" t="str">
        <x:v>CU-0161</x:v>
      </x:c>
      <x:c r="B14" s="5" t="str">
        <x:v>Филиал «Учебный центр» РУП «Гомельэнерго»</x:v>
      </x:c>
      <x:c r="C14" s="5" t="str">
        <x:v>Беларусь</x:v>
      </x:c>
      <x:c r="D14" s="5" t="str">
        <x:v>Учебный центр компании</x:v>
      </x:c>
      <x:c r="E14" s="5" t="str">
        <x:v>РУП «Гомельэнерго»</x:v>
      </x:c>
      <x:c r="F14" s="5" t="str">
        <x:v>Электроэнергетика</x:v>
      </x:c>
      <x:c r="G14" s="5" t="n">
        <x:v>2</x:v>
      </x:c>
      <x:c r="H14" s="5" t="str">
        <x:v>Работники энергосистемы; руководители и специалисты.</x:v>
      </x:c>
      <x:c r="I14" s="5" t="str">
        <x:v>Условное: управленческие семинары, обучение наставников, развитие кадрового резерва, цифровые учебные материалы.</x:v>
      </x:c>
      <x:c r="J14" s="5" t="str">
        <x:v>https://gomelenergo.by/</x:v>
      </x:c>
      <x:c r="K14" s="5" t="str">
        <x:v>search_index</x:v>
      </x:c>
      <x:c r="L14" s="5" t="str">
        <x:v>Проверить актуальную страницу филиала и план подготовки руководителей.</x:v>
      </x:c>
    </x:row>
    <x:row r="15" ht="31.5" customHeight="1">
      <x:c r="A15" s="5" t="str">
        <x:v>CU-0162</x:v>
      </x:c>
      <x:c r="B15" s="5" t="str">
        <x:v>Филиал «Учебный центр» РУП «Витебскэнерго»</x:v>
      </x:c>
      <x:c r="C15" s="5" t="str">
        <x:v>Беларусь</x:v>
      </x:c>
      <x:c r="D15" s="5" t="str">
        <x:v>Учебный центр компании</x:v>
      </x:c>
      <x:c r="E15" s="5" t="str">
        <x:v>РУП «Витебскэнерго»</x:v>
      </x:c>
      <x:c r="F15" s="5" t="str">
        <x:v>Электроэнергетика</x:v>
      </x:c>
      <x:c r="G15" s="5" t="n">
        <x:v>2</x:v>
      </x:c>
      <x:c r="H15" s="5" t="str">
        <x:v>Специалисты, рабочие и руководители энергосистемы; сотрудники учебного подразделения.</x:v>
      </x:c>
      <x:c r="I15" s="5" t="str">
        <x:v>Условное: управление проектами и персоналом, цифровизация обучения, методическая подготовка корпоративных преподавателей.</x:v>
      </x:c>
      <x:c r="J15" s="5" t="str">
        <x:v>https://www.vitebsk.energo.by/o-predpriyatii/filials/uchebnyi-tsentr/</x:v>
      </x:c>
      <x:c r="K15" s="5" t="str">
        <x:v>content_read</x:v>
      </x:c>
      <x:c r="L15" s="5" t="str">
        <x:v>Подключить официальные процедуры закупок; отдельно классифицировать образовательные и инженерные услуги центра.</x:v>
      </x:c>
    </x:row>
    <x:row r="16" ht="31.5" customHeight="1">
      <x:c r="A16" s="5" t="str">
        <x:v>CU-0164</x:v>
      </x:c>
      <x:c r="B16" s="5" t="str">
        <x:v>Учебный центр РУП «Минскэнерго»</x:v>
      </x:c>
      <x:c r="C16" s="5" t="str">
        <x:v>Беларусь</x:v>
      </x:c>
      <x:c r="D16" s="5" t="str">
        <x:v>Учебный центр компании</x:v>
      </x:c>
      <x:c r="E16" s="5" t="str">
        <x:v>РУП «Минскэнерго»</x:v>
      </x:c>
      <x:c r="F16" s="5" t="str">
        <x:v>Электроэнергетика</x:v>
      </x:c>
      <x:c r="G16" s="5" t="n">
        <x:v>2</x:v>
      </x:c>
      <x:c r="H16" s="5" t="str">
        <x:v>Руководители, специалисты и рабочие энергетики.</x:v>
      </x:c>
      <x:c r="I16" s="5" t="str">
        <x:v>Условное: управление, HR, цифровизация корпоративного обучения, обучение внутренних преподавателей.</x:v>
      </x:c>
      <x:c r="J16" s="5" t="str">
        <x:v>https://web.minskenergo.by/filialy/uchebnyj-tsentr/obrazovatelnye-uslugi/</x:v>
      </x:c>
      <x:c r="K16" s="5" t="str">
        <x:v>content_read</x:v>
      </x:c>
      <x:c r="L16" s="5" t="str">
        <x:v>Сопоставить календарь учебного центра с разделом закупок, найти темы для внешнего преподавателя.</x:v>
      </x:c>
    </x:row>
    <x:row r="17" ht="42.75" customHeight="1">
      <x:c r="A17" s="5" t="str">
        <x:v>CU-0166</x:v>
      </x:c>
      <x:c r="B17" s="5" t="str">
        <x:v>Дорожный центр по подготовке, переподготовке и повышению квалификации кадров</x:v>
      </x:c>
      <x:c r="C17" s="5" t="str">
        <x:v>Беларусь</x:v>
      </x:c>
      <x:c r="D17" s="5" t="str">
        <x:v>Учебный центр компании</x:v>
      </x:c>
      <x:c r="E17" s="5" t="str">
        <x:v>ГО «Белорусская железная дорога»</x:v>
      </x:c>
      <x:c r="F17" s="5" t="str">
        <x:v>Железнодорожный транспорт</x:v>
      </x:c>
      <x:c r="G17" s="5" t="n">
        <x:v>2</x:v>
      </x:c>
      <x:c r="H17" s="5" t="str">
        <x:v>Персонал БЖД, руководители, специалисты и работники массовых профессий.</x:v>
      </x:c>
      <x:c r="I17" s="5" t="str">
        <x:v>Условное: управление персоналом, подготовка наставников, методология обучения, электронные курсы для управленческого персонала.</x:v>
      </x:c>
      <x:c r="J17" s="5" t="str">
        <x:v>https://www.rw.by/corporate/structure/dorozhnij_centr_po_podgotovke_perepodgot/</x:v>
      </x:c>
      <x:c r="K17" s="5" t="str">
        <x:v>search_index</x:v>
      </x:c>
      <x:c r="L17" s="5" t="str">
        <x:v>Собрать страницы подразделений и общий план управленческой подготовки, объединяя записи по одному центру.</x:v>
      </x:c>
    </x:row>
    <x:row r="18" ht="31.5" customHeight="1">
      <x:c r="A18" s="5" t="str">
        <x:v>CU-0169</x:v>
      </x:c>
      <x:c r="B18" s="5" t="str">
        <x:v>Корпоративный Тренинг-центр ISsoft</x:v>
      </x:c>
      <x:c r="C18" s="5" t="str">
        <x:v>Беларусь</x:v>
      </x:c>
      <x:c r="D18" s="5" t="str">
        <x:v>Учебный центр компании</x:v>
      </x:c>
      <x:c r="E18" s="5" t="str">
        <x:v>ISsoft</x:v>
      </x:c>
      <x:c r="F18" s="5" t="str">
        <x:v>IT</x:v>
      </x:c>
      <x:c r="G18" s="5" t="n">
        <x:v>2</x:v>
      </x:c>
      <x:c r="H18" s="5" t="str">
        <x:v>IT-специалисты, бизнес-аналитики, наставники и руководители команд.</x:v>
      </x:c>
      <x:c r="I18" s="5" t="str">
        <x:v>Среднее: бизнес-анализ, управление командами и проектами, коммуникации, методология корпоративного обучения.</x:v>
      </x:c>
      <x:c r="J18" s="5" t="str">
        <x:v>https://issoft.by/training-center/</x:v>
      </x:c>
      <x:c r="K18" s="5" t="str">
        <x:v>search_index</x:v>
      </x:c>
      <x:c r="L18" s="5" t="str">
        <x:v>Разделить открытые школы для новичков и внутреннюю подготовку руководителей, проверить внешний преподавательский контур.</x:v>
      </x:c>
    </x:row>
    <x:row r="19" ht="31.5" customHeight="1">
      <x:c r="A19" s="5" t="str">
        <x:v>CU-0170</x:v>
      </x:c>
      <x:c r="B19" s="5" t="str">
        <x:v>Корпоративный университет «АЛЮТЕХ»</x:v>
      </x:c>
      <x:c r="C19" s="5" t="str">
        <x:v>Беларусь</x:v>
      </x:c>
      <x:c r="D19" s="5" t="str">
        <x:v>Корпоративный университет</x:v>
      </x:c>
      <x:c r="E19" s="5" t="str">
        <x:v>Группа компаний «АЛЮТЕХ»</x:v>
      </x:c>
      <x:c r="F19" s="5" t="str">
        <x:v>Производство строительных систем</x:v>
      </x:c>
      <x:c r="G19" s="5" t="n">
        <x:v>2</x:v>
      </x:c>
      <x:c r="H19" s="5" t="str">
        <x:v>Дилеры, партнеры, инженеры, руководители и специалисты сбытовой сети.</x:v>
      </x:c>
      <x:c r="I19" s="5" t="str">
        <x:v>Высокое: продажи B2B, переговоры, управление дилерской сетью, развитие руководителей, электронное обучение.</x:v>
      </x:c>
      <x:c r="J19" s="5" t="str">
        <x:v>https://alutech-group.com/cis-ru/diler-rva/publikacii/novosti/obnovlen-uchebnyy-portal/</x:v>
      </x:c>
      <x:c r="K19" s="5" t="str">
        <x:v>search_index</x:v>
      </x:c>
      <x:c r="L19" s="5" t="str">
        <x:v>Найти действующий адрес портала и владельца обучения; проверить, продолжает ли использоваться бренд КУ.</x:v>
      </x:c>
    </x:row>
    <x:row r="20" ht="42.75" customHeight="1">
      <x:c r="A20" s="5" t="str">
        <x:v>CU-0174</x:v>
      </x:c>
      <x:c r="B20" s="5" t="str">
        <x:v>Учебный центр по подготовке и повышению квалификации кадров БМЗ</x:v>
      </x:c>
      <x:c r="C20" s="5" t="str">
        <x:v>Беларусь</x:v>
      </x:c>
      <x:c r="D20" s="5" t="str">
        <x:v>Учебный центр компании</x:v>
      </x:c>
      <x:c r="E20" s="5" t="str">
        <x:v>ОАО «БМЗ» — управляющая компания холдинга «БМК»</x:v>
      </x:c>
      <x:c r="F20" s="5" t="str">
        <x:v>Металлургия</x:v>
      </x:c>
      <x:c r="G20" s="5" t="n">
        <x:v>2</x:v>
      </x:c>
      <x:c r="H20" s="5" t="str">
        <x:v>Руководители, специалисты и рабочие металлургического предприятия.</x:v>
      </x:c>
      <x:c r="I20" s="5" t="str">
        <x:v>Условное: HR, управление производственными командами, личная эффективность, защита персональных данных и методология обучения.</x:v>
      </x:c>
      <x:c r="J20" s="5" t="str">
        <x:v>https://metallurg.belsteel.com/?p=17054</x:v>
      </x:c>
      <x:c r="K20" s="5" t="str">
        <x:v>search_index</x:v>
      </x:c>
      <x:c r="L20" s="5" t="str">
        <x:v>Проверить текущие программы для руководителей и специалистов, не смешивать их с рабочими профессиями.</x:v>
      </x:c>
    </x:row>
    <x:row r="21" ht="42.75" customHeight="1">
      <x:c r="A21" s="5" t="str">
        <x:v>CU-0177</x:v>
      </x:c>
      <x:c r="B21" s="5" t="str">
        <x:v>Учреждение образования «УЦ БелТЮФ»</x:v>
      </x:c>
      <x:c r="C21" s="5" t="str">
        <x:v>Беларусь</x:v>
      </x:c>
      <x:c r="D21" s="5" t="str">
        <x:v>Учебный центр компании</x:v>
      </x:c>
      <x:c r="E21" s="5" t="str">
        <x:v>СП «БЕЛТЮФ»</x:v>
      </x:c>
      <x:c r="F21" s="5" t="str">
        <x:v>Технический надзор и промышленная безопасность</x:v>
      </x:c>
      <x:c r="G21" s="5" t="n">
        <x:v>2</x:v>
      </x:c>
      <x:c r="H21" s="5" t="str">
        <x:v>Руководители и специалисты промышленных и транспортных предприятий; преподаватели центра.</x:v>
      </x:c>
      <x:c r="I21" s="5" t="str">
        <x:v>Условное: трудовые отношения, управление, корпоративные методические материалы и цифровые курсы; возможен образовательный субподряд.</x:v>
      </x:c>
      <x:c r="J21" s="5" t="str">
        <x:v>https://beltuv.by/uc/</x:v>
      </x:c>
      <x:c r="K21" s="5" t="str">
        <x:v>search_index</x:v>
      </x:c>
      <x:c r="L21" s="5" t="str">
        <x:v>Просмотреть вакансии и программы руководителей, отделив подтвержденный внешний спрос от продвижения собственных курсов.</x:v>
      </x:c>
    </x:row>
    <x:row r="22" ht="42.75" customHeight="1">
      <x:c r="A22" s="5" t="str">
        <x:v>CU-0178</x:v>
      </x:c>
      <x:c r="B22" s="5" t="str">
        <x:v>Учебный центр авиационной безопасности ИКАО Национального аэропорта Минск</x:v>
      </x:c>
      <x:c r="C22" s="5" t="str">
        <x:v>Беларусь</x:v>
      </x:c>
      <x:c r="D22" s="5" t="str">
        <x:v>Учебный центр компании</x:v>
      </x:c>
      <x:c r="E22" s="5" t="str">
        <x:v>РУП «Национальный аэропорт Минск»</x:v>
      </x:c>
      <x:c r="F22" s="5" t="str">
        <x:v>Аэропорты и авиация</x:v>
      </x:c>
      <x:c r="G22" s="5" t="n">
        <x:v>2</x:v>
      </x:c>
      <x:c r="H22" s="5" t="str">
        <x:v>Специалисты и руководители авиационной безопасности и аэропортовых организаций.</x:v>
      </x:c>
      <x:c r="I22" s="5" t="str">
        <x:v>Условное: обучение тренеров, управленческие навыки, коммуникации и методология электронного обучения. Отраслевая сертификационная подготовка требует отдельной компетенции.</x:v>
      </x:c>
      <x:c r="J22" s="5" t="str">
        <x:v>https://icao.airport.by/</x:v>
      </x:c>
      <x:c r="K22" s="5" t="str">
        <x:v>search_index</x:v>
      </x:c>
      <x:c r="L22" s="5" t="str">
        <x:v>Сопоставить расписание с темами МИСБ и уточнить возможности приглашенного преподавателя.</x:v>
      </x:c>
    </x:row>
    <x:row r="23" ht="42.75" customHeight="1">
      <x:c r="A23" s="5" t="str">
        <x:v>CU-0179</x:v>
      </x:c>
      <x:c r="B23" s="5" t="str">
        <x:v>Учебно-тренировочный центр Белорусской АЭС</x:v>
      </x:c>
      <x:c r="C23" s="5" t="str">
        <x:v>Беларусь</x:v>
      </x:c>
      <x:c r="D23" s="5" t="str">
        <x:v>Учебный центр компании</x:v>
      </x:c>
      <x:c r="E23" s="5" t="str">
        <x:v>РУП «Белорусская атомная электростанция»</x:v>
      </x:c>
      <x:c r="F23" s="5" t="str">
        <x:v>Атомная энергетика</x:v>
      </x:c>
      <x:c r="G23" s="5" t="n">
        <x:v>2</x:v>
      </x:c>
      <x:c r="H23" s="5" t="str">
        <x:v>Персонал станции, руководители, специалисты и внутренние инструкторы.</x:v>
      </x:c>
      <x:c r="I23" s="5" t="str">
        <x:v>Условное: развитие руководителей, коммуникации, обучение наставников и методическая поддержка. Техническая атомная подготовка не входит в гипотезу предложения.</x:v>
      </x:c>
      <x:c r="J23" s="5" t="str">
        <x:v>https://belaes.by/ru/obrazovatelnaya-deyatelnost.html</x:v>
      </x:c>
      <x:c r="K23" s="5" t="str">
        <x:v>search_index</x:v>
      </x:c>
      <x:c r="L23" s="5" t="str">
        <x:v>Прочитать план руководителей и специалистов и выяснить актуальные нетехнические потребности.</x:v>
      </x:c>
    </x:row>
    <x:row r="24" ht="31.5" customHeight="1">
      <x:c r="A24" s="5" t="str">
        <x:v>CU-0173</x:v>
      </x:c>
      <x:c r="B24" s="5" t="str">
        <x:v>Учебный центр ОАО «БЕЛАЗ»</x:v>
      </x:c>
      <x:c r="C24" s="5" t="str">
        <x:v>Беларусь</x:v>
      </x:c>
      <x:c r="D24" s="5" t="str">
        <x:v>Учебный центр компании</x:v>
      </x:c>
      <x:c r="E24" s="5" t="str">
        <x:v>ОАО «БЕЛАЗ» — управляющая компания холдинга «БЕЛАЗ-ХОЛДИНГ»</x:v>
      </x:c>
      <x:c r="F24" s="5" t="str">
        <x:v>Машиностроение</x:v>
      </x:c>
      <x:c r="G24" s="5" t="n">
        <x:v>3</x:v>
      </x:c>
      <x:c r="H24" s="5" t="str">
        <x:v>Сервисные инженеры, специалисты партнеров, персонал эксплуатирующих предприятий.</x:v>
      </x:c>
      <x:c r="I24" s="5" t="str">
        <x:v>Ограниченное: управление сервисными командами, клиентский сервис B2B, обучение наставников, электронные учебные материалы.</x:v>
      </x:c>
      <x:c r="J24" s="5" t="str">
        <x:v>https://m.belaz.by/services/training/</x:v>
      </x:c>
      <x:c r="K24" s="5" t="str">
        <x:v>search_index</x:v>
      </x:c>
      <x:c r="L24" s="5" t="str">
        <x:v>Уточнить заказчика обучения сервисной сети и наличие управленческих/методических потребностей.</x:v>
      </x:c>
    </x:row>
    <x:row r="25" ht="31.5" customHeight="1">
      <x:c r="A25" s="5" t="str">
        <x:v>CU-0176</x:v>
      </x:c>
      <x:c r="B25" s="5" t="str">
        <x:v>Учебный центр по техническому и сервисному обслуживанию МТЗ</x:v>
      </x:c>
      <x:c r="C25" s="5" t="str">
        <x:v>Беларусь</x:v>
      </x:c>
      <x:c r="D25" s="5" t="str">
        <x:v>Учебный центр компании</x:v>
      </x:c>
      <x:c r="E25" s="5" t="str">
        <x:v>ОАО «Минский тракторный завод»</x:v>
      </x:c>
      <x:c r="F25" s="5" t="str">
        <x:v>Машиностроение</x:v>
      </x:c>
      <x:c r="G25" s="5" t="n">
        <x:v>3</x:v>
      </x:c>
      <x:c r="H25" s="5" t="str">
        <x:v>Сервисные специалисты, механики, партнерская сеть МТЗ.</x:v>
      </x:c>
      <x:c r="I25" s="5" t="str">
        <x:v>Ограниченное: методология электронного обучения, управление сервисом, клиентская коммуникация и обучение наставников.</x:v>
      </x:c>
      <x:c r="J25" s="5" t="str">
        <x:v>https://www.mtz-td.ru/educatcenter</x:v>
      </x:c>
      <x:c r="K25" s="5" t="str">
        <x:v>search_index</x:v>
      </x:c>
      <x:c r="L25" s="5" t="str">
        <x:v>Найти актуальную страницу центра на сайте завода и текущий план, проверить возможность нетехнического модуля.</x:v>
      </x:c>
    </x:row>
    <x:row r="26" ht="54" customHeight="1">
      <x:c r="A26" s="5" t="str">
        <x:v>CU-0185</x:v>
      </x:c>
      <x:c r="B26" s="5" t="str">
        <x:v>Samruk Business Academy (бывший КУ «Самрук-Казына»)</x:v>
      </x:c>
      <x:c r="C26" s="5" t="str">
        <x:v>Казахстан</x:v>
      </x:c>
      <x:c r="D26" s="5" t="str">
        <x:v>Корпоративная академия</x:v>
      </x:c>
      <x:c r="E26" s="5" t="str">
        <x:v>ЧУ Samruk Business Academy</x:v>
      </x:c>
      <x:c r="F26" s="5" t="str">
        <x:v>Межотраслевой холдинг</x:v>
      </x:c>
      <x:c r="G26" s="5" t="n">
        <x:v>1</x:v>
      </x:c>
      <x:c r="H26" s="5" t="str">
        <x:v>Руководители, HR, специалисты группы</x:v>
      </x:c>
      <x:c r="I26" s="5" t="str">
        <x:v>Высокая: управление, HR, стратегия, финансы, электронные курсы.</x:v>
      </x:c>
      <x:c r="J26" s="5" t="str">
        <x:v>https://sba.kz/</x:v>
      </x:c>
      <x:c r="K26" s="5" t="str">
        <x:v>search_index</x:v>
      </x:c>
      <x:c r="L2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27" ht="54" customHeight="1">
      <x:c r="A27" s="5" t="str">
        <x:v>CU-0186</x:v>
      </x:c>
      <x:c r="B27" s="5" t="str">
        <x:v>Корпоративный университет ERG</x:v>
      </x:c>
      <x:c r="C27" s="5" t="str">
        <x:v>Казахстан</x:v>
      </x:c>
      <x:c r="D27" s="5" t="str">
        <x:v>Корпоративный университет</x:v>
      </x:c>
      <x:c r="E27" s="5" t="str">
        <x:v>ERG — образовательное подразделение группы; юридического оператора уточнить</x:v>
      </x:c>
      <x:c r="F27" s="5" t="str">
        <x:v>Горно-металлургический комплекс</x:v>
      </x:c>
      <x:c r="G27" s="5" t="n">
        <x:v>1</x:v>
      </x:c>
      <x:c r="H27" s="5" t="str">
        <x:v>Руководители, специалисты и рабочие ERG</x:v>
      </x:c>
      <x:c r="I27" s="5" t="str">
        <x:v>Высокая: лидерство, закупки, финансы, HR, проектное управление, методология.</x:v>
      </x:c>
      <x:c r="J27" s="5" t="str">
        <x:v>https://www.erg.kz/ru/career</x:v>
      </x:c>
      <x:c r="K27" s="5" t="str">
        <x:v>content_read</x:v>
      </x:c>
      <x:c r="L2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28" ht="54" customHeight="1">
      <x:c r="A28" s="5" t="str">
        <x:v>CU-0187</x:v>
      </x:c>
      <x:c r="B28" s="5" t="str">
        <x:v>BI University</x:v>
      </x:c>
      <x:c r="C28" s="5" t="str">
        <x:v>Казахстан</x:v>
      </x:c>
      <x:c r="D28" s="5" t="str">
        <x:v>Корпоративный университет</x:v>
      </x:c>
      <x:c r="E28" s="5" t="str">
        <x:v>BI University</x:v>
      </x:c>
      <x:c r="F28" s="5" t="str">
        <x:v>Строительство и девелопмент</x:v>
      </x:c>
      <x:c r="G28" s="5" t="n">
        <x:v>1</x:v>
      </x:c>
      <x:c r="H28" s="5" t="str">
        <x:v>Руководители, инженеры, бизнес-партнёры</x:v>
      </x:c>
      <x:c r="I28" s="5" t="str">
        <x:v>Высокая: управление, бережливое производство, бизнес-тренеры, цифровой контент.</x:v>
      </x:c>
      <x:c r="J28" s="5" t="str">
        <x:v>https://www.biu.kz/</x:v>
      </x:c>
      <x:c r="K28" s="5" t="str">
        <x:v>content_read</x:v>
      </x:c>
      <x:c r="L2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29" ht="54" customHeight="1">
      <x:c r="A29" s="5" t="str">
        <x:v>CU-0188</x:v>
      </x:c>
      <x:c r="B29" s="5" t="str">
        <x:v>Корпоративный университет Qarmet</x:v>
      </x:c>
      <x:c r="C29" s="5" t="str">
        <x:v>Казахстан</x:v>
      </x:c>
      <x:c r="D29" s="5" t="str">
        <x:v>Корпоративный университет</x:v>
      </x:c>
      <x:c r="E29" s="5" t="str">
        <x:v>АО «Qarmet»</x:v>
      </x:c>
      <x:c r="F29" s="5" t="str">
        <x:v>Металлургия</x:v>
      </x:c>
      <x:c r="G29" s="5" t="n">
        <x:v>1</x:v>
      </x:c>
      <x:c r="H29" s="5" t="str">
        <x:v>Руководители, специалисты, производственный персонал</x:v>
      </x:c>
      <x:c r="I29" s="5" t="str">
        <x:v>Высокая: управленческие модули, стрессоустойчивость, цифровизация обучения.</x:v>
      </x:c>
      <x:c r="J29" s="5" t="str">
        <x:v>https://qarmet.kz/ru/</x:v>
      </x:c>
      <x:c r="K29" s="5" t="str">
        <x:v>content_read</x:v>
      </x:c>
      <x:c r="L2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0" ht="54" customHeight="1">
      <x:c r="A30" s="5" t="str">
        <x:v>CU-0189</x:v>
      </x:c>
      <x:c r="B30" s="5" t="str">
        <x:v>Корпоративный университет QazTehna</x:v>
      </x:c>
      <x:c r="C30" s="5" t="str">
        <x:v>Казахстан</x:v>
      </x:c>
      <x:c r="D30" s="5" t="str">
        <x:v>Корпоративный университет</x:v>
      </x:c>
      <x:c r="E30" s="5" t="str">
        <x:v>ТОО «QazTehna»</x:v>
      </x:c>
      <x:c r="F30" s="5" t="str">
        <x:v>Автомобилестроение</x:v>
      </x:c>
      <x:c r="G30" s="5" t="n">
        <x:v>1</x:v>
      </x:c>
      <x:c r="H30" s="5" t="str">
        <x:v>Все уровни руководителей и специалистов</x:v>
      </x:c>
      <x:c r="I30" s="5" t="str">
        <x:v>Высокая: управление производством, наставничество, учебный контент.</x:v>
      </x:c>
      <x:c r="J30" s="5" t="str">
        <x:v>https://university.qaztehna.kz/</x:v>
      </x:c>
      <x:c r="K30" s="5" t="str">
        <x:v>search_index</x:v>
      </x:c>
      <x:c r="L3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1" ht="54" customHeight="1">
      <x:c r="A31" s="5" t="str">
        <x:v>CU-0191</x:v>
      </x:c>
      <x:c r="B31" s="5" t="str">
        <x:v>Корпоративный университет АҚҚУ</x:v>
      </x:c>
      <x:c r="C31" s="5" t="str">
        <x:v>Казахстан</x:v>
      </x:c>
      <x:c r="D31" s="5" t="str">
        <x:v>Корпоративный университет</x:v>
      </x:c>
      <x:c r="E31" s="5" t="str">
        <x:v>Alina Group</x:v>
      </x:c>
      <x:c r="F31" s="5" t="str">
        <x:v>Строительные материалы</x:v>
      </x:c>
      <x:c r="G31" s="5" t="n">
        <x:v>1</x:v>
      </x:c>
      <x:c r="H31" s="5" t="str">
        <x:v>Работники, руководители, партнёры</x:v>
      </x:c>
      <x:c r="I31" s="5" t="str">
        <x:v>Высокая: продажи, управление, корпоративная культура и контент.</x:v>
      </x:c>
      <x:c r="J31" s="5" t="str">
        <x:v>https://alina.kz/akku/</x:v>
      </x:c>
      <x:c r="K31" s="5" t="str">
        <x:v>search_index</x:v>
      </x:c>
      <x:c r="L3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2" ht="54" customHeight="1">
      <x:c r="A32" s="5" t="str">
        <x:v>CU-0192</x:v>
      </x:c>
      <x:c r="B32" s="5" t="str">
        <x:v>Казахстанский ядерный университет</x:v>
      </x:c>
      <x:c r="C32" s="5" t="str">
        <x:v>Казахстан</x:v>
      </x:c>
      <x:c r="D32" s="5" t="str">
        <x:v>Корпоративный университет</x:v>
      </x:c>
      <x:c r="E32" s="5" t="str">
        <x:v>Филиал ТОО «Институт высоких технологий»</x:v>
      </x:c>
      <x:c r="F32" s="5" t="str">
        <x:v>Атомная промышленность</x:v>
      </x:c>
      <x:c r="G32" s="5" t="n">
        <x:v>1</x:v>
      </x:c>
      <x:c r="H32" s="5" t="str">
        <x:v>Руководители, специалисты, персонал группы</x:v>
      </x:c>
      <x:c r="I32" s="5" t="str">
        <x:v>Высокая: функциональные компетенции, менеджмент, обучение тренеров и электронные программы.</x:v>
      </x:c>
      <x:c r="J32" s="5" t="str">
        <x:v>https://knu.kazatomprom.kz/ru</x:v>
      </x:c>
      <x:c r="K32" s="5" t="str">
        <x:v>content_read</x:v>
      </x:c>
      <x:c r="L3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3" ht="54" customHeight="1">
      <x:c r="A33" s="5" t="str">
        <x:v>CU-0193</x:v>
      </x:c>
      <x:c r="B33" s="5" t="str">
        <x:v>Корпоративный университет Управления трудовых ресурсов Казцинк</x:v>
      </x:c>
      <x:c r="C33" s="5" t="str">
        <x:v>Казахстан</x:v>
      </x:c>
      <x:c r="D33" s="5" t="str">
        <x:v>Корпоративный университет</x:v>
      </x:c>
      <x:c r="E33" s="5" t="str">
        <x:v>ТОО «Казцинк»</x:v>
      </x:c>
      <x:c r="F33" s="5" t="str">
        <x:v>Горно-металлургический комплекс</x:v>
      </x:c>
      <x:c r="G33" s="5" t="n">
        <x:v>1</x:v>
      </x:c>
      <x:c r="H33" s="5" t="str">
        <x:v>Руководители, специалисты, рабочие</x:v>
      </x:c>
      <x:c r="I33" s="5" t="str">
        <x:v>Высокая: школы менеджмента, функциональное обучение, разработка курсов.</x:v>
      </x:c>
      <x:c r="J33" s="5" t="str">
        <x:v>https://www.kazzinc.com/eng/stazhirovka-i-karera</x:v>
      </x:c>
      <x:c r="K33" s="5" t="str">
        <x:v>content_read</x:v>
      </x:c>
      <x:c r="L3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4" ht="54" customHeight="1">
      <x:c r="A34" s="5" t="str">
        <x:v>CU-0196</x:v>
      </x:c>
      <x:c r="B34" s="5" t="str">
        <x:v>Центр оценки и развития персонала железнодорожного транспорта ҚТЖ</x:v>
      </x:c>
      <x:c r="C34" s="5" t="str">
        <x:v>Казахстан</x:v>
      </x:c>
      <x:c r="D34" s="5" t="str">
        <x:v>Учебный центр компании</x:v>
      </x:c>
      <x:c r="E34" s="5" t="str">
        <x:v>Филиал АО «НК «ҚТЖ»</x:v>
      </x:c>
      <x:c r="F34" s="5" t="str">
        <x:v>Железнодорожный транспорт</x:v>
      </x:c>
      <x:c r="G34" s="5" t="n">
        <x:v>1</x:v>
      </x:c>
      <x:c r="H34" s="5" t="str">
        <x:v>Работники железнодорожного транспорта</x:v>
      </x:c>
      <x:c r="I34" s="5" t="str">
        <x:v>Высокая/условная: методология, обучение специалистов и руководителей, цифровые курсы; не рабочие профессии.</x:v>
      </x:c>
      <x:c r="J34" s="5" t="str">
        <x:v>https://edutransport.railways.kz/</x:v>
      </x:c>
      <x:c r="K34" s="5" t="str">
        <x:v>content_read</x:v>
      </x:c>
      <x:c r="L3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5" ht="54" customHeight="1">
      <x:c r="A35" s="5" t="str">
        <x:v>CU-0197</x:v>
      </x:c>
      <x:c r="B35" s="5" t="str">
        <x:v>Корпоративный университет Казахтелеком / Дирекция «Академия инфокоммуникационных технологий»</x:v>
      </x:c>
      <x:c r="C35" s="5" t="str">
        <x:v>Казахстан</x:v>
      </x:c>
      <x:c r="D35" s="5" t="str">
        <x:v>Корпоративный университет</x:v>
      </x:c>
      <x:c r="E35" s="5" t="str">
        <x:v>АО «Казахтелеком»</x:v>
      </x:c>
      <x:c r="F35" s="5" t="str">
        <x:v>Телекоммуникации</x:v>
      </x:c>
      <x:c r="G35" s="5" t="n">
        <x:v>1</x:v>
      </x:c>
      <x:c r="H35" s="5" t="str">
        <x:v>Сотрудники компании, специалисты и руководители; студенты партнёрских программ</x:v>
      </x:c>
      <x:c r="I35" s="5" t="str">
        <x:v>Высокая: управление, HR, сервис, продажи, цифровое обучение.</x:v>
      </x:c>
      <x:c r="J35" s="5" t="str">
        <x:v>https://telecom.kz/ru/pages/11865/172287</x:v>
      </x:c>
      <x:c r="K35" s="5" t="str">
        <x:v>search_index</x:v>
      </x:c>
      <x:c r="L3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6" ht="54" customHeight="1">
      <x:c r="A36" s="5" t="str">
        <x:v>CU-0198</x:v>
      </x:c>
      <x:c r="B36" s="5" t="str">
        <x:v>Учебный центр и направление развития компетенций НТЦ QazaqGaz</x:v>
      </x:c>
      <x:c r="C36" s="5" t="str">
        <x:v>Казахстан</x:v>
      </x:c>
      <x:c r="D36" s="5" t="str">
        <x:v>Учебный центр компании</x:v>
      </x:c>
      <x:c r="E36" s="5" t="str">
        <x:v>ТОО «QazaqGaz Научно-технический центр»</x:v>
      </x:c>
      <x:c r="F36" s="5" t="str">
        <x:v>Газовая отрасль</x:v>
      </x:c>
      <x:c r="G36" s="5" t="n">
        <x:v>1</x:v>
      </x:c>
      <x:c r="H36" s="5" t="str">
        <x:v>Персонал дочерних компаний QazaqGaz</x:v>
      </x:c>
      <x:c r="I36" s="5" t="str">
        <x:v>Высокая: цифровой учебный контент, кадровый резерв, методология.</x:v>
      </x:c>
      <x:c r="J36" s="5" t="str">
        <x:v>https://qgrnd.kz/direction/or/</x:v>
      </x:c>
      <x:c r="K36" s="5" t="str">
        <x:v>content_read</x:v>
      </x:c>
      <x:c r="L3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7" ht="54" customHeight="1">
      <x:c r="A37" s="5" t="str">
        <x:v>CU-0212</x:v>
      </x:c>
      <x:c r="B37" s="5" t="str">
        <x:v>Freedom Academy</x:v>
      </x:c>
      <x:c r="C37" s="5" t="str">
        <x:v>Казахстан</x:v>
      </x:c>
      <x:c r="D37" s="5" t="str">
        <x:v>Корпоративная академия</x:v>
      </x:c>
      <x:c r="E37" s="5" t="str">
        <x:v>Freedom Broker</x:v>
      </x:c>
      <x:c r="F37" s="5" t="str">
        <x:v>Финансы и инвестиции</x:v>
      </x:c>
      <x:c r="G37" s="5" t="n">
        <x:v>1</x:v>
      </x:c>
      <x:c r="H37" s="5" t="str">
        <x:v>Клиенты, инвесторы и корпоративные группы</x:v>
      </x:c>
      <x:c r="I37" s="5" t="str">
        <x:v>Условная/высокая: B2B-модули, финансовая грамотность, партнёрские программы.</x:v>
      </x:c>
      <x:c r="J37" s="5" t="str">
        <x:v>https://freedomacademy.kz/</x:v>
      </x:c>
      <x:c r="K37" s="5" t="str">
        <x:v>search_index</x:v>
      </x:c>
      <x:c r="L3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8" ht="54" customHeight="1">
      <x:c r="A38" s="5" t="str">
        <x:v>CU-0215</x:v>
      </x:c>
      <x:c r="B38" s="5" t="str">
        <x:v>Корпоративный учебный центр Казпочты</x:v>
      </x:c>
      <x:c r="C38" s="5" t="str">
        <x:v>Казахстан</x:v>
      </x:c>
      <x:c r="D38" s="5" t="str">
        <x:v>Учебный центр компании</x:v>
      </x:c>
      <x:c r="E38" s="5" t="str">
        <x:v>АО «Казпочта»</x:v>
      </x:c>
      <x:c r="F38" s="5" t="str">
        <x:v>Почтовая связь и логистика</x:v>
      </x:c>
      <x:c r="G38" s="5" t="n">
        <x:v>1</x:v>
      </x:c>
      <x:c r="H38" s="5" t="str">
        <x:v>Сотрудники и руководители почтово-финансовой сети</x:v>
      </x:c>
      <x:c r="I38" s="5" t="str">
        <x:v>Высокая: сервис, продажи, HR, правовые темы и цифровой контент.</x:v>
      </x:c>
      <x:c r="J38" s="5" t="str">
        <x:v>https://qazpost.kz/ru</x:v>
      </x:c>
      <x:c r="K38" s="5" t="str">
        <x:v>search_index</x:v>
      </x:c>
      <x:c r="L3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9" ht="54" customHeight="1">
      <x:c r="A39" s="5" t="str">
        <x:v>CU-0219</x:v>
      </x:c>
      <x:c r="B39" s="5" t="str">
        <x:v>PwC Академия Казахстан</x:v>
      </x:c>
      <x:c r="C39" s="5" t="str">
        <x:v>Казахстан</x:v>
      </x:c>
      <x:c r="D39" s="5" t="str">
        <x:v>Корпоративная академия</x:v>
      </x:c>
      <x:c r="E39" s="5" t="str">
        <x:v>PwC Kazakhstan</x:v>
      </x:c>
      <x:c r="F39" s="5" t="str">
        <x:v>Профессиональные услуги</x:v>
      </x:c>
      <x:c r="G39" s="5" t="n">
        <x:v>1</x:v>
      </x:c>
      <x:c r="H39" s="5" t="str">
        <x:v>Специалисты и руководители компаний-клиентов</x:v>
      </x:c>
      <x:c r="I39" s="5" t="str">
        <x:v>Высокая тематическая, партнёрская: финансы, управление, коучинг и внешние эксперты.</x:v>
      </x:c>
      <x:c r="J39" s="5" t="str">
        <x:v>https://www.pwc.com/kz/ru/pwcacademy.html</x:v>
      </x:c>
      <x:c r="K39" s="5" t="str">
        <x:v>search_index</x:v>
      </x:c>
      <x:c r="L3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0" ht="54" customHeight="1">
      <x:c r="A40" s="5" t="str">
        <x:v>CU-0220</x:v>
      </x:c>
      <x:c r="B40" s="5" t="str">
        <x:v>AIFC Academy — Академия МФЦА</x:v>
      </x:c>
      <x:c r="C40" s="5" t="str">
        <x:v>Казахстан</x:v>
      </x:c>
      <x:c r="D40" s="5" t="str">
        <x:v>Отраслевой учебный центр</x:v>
      </x:c>
      <x:c r="E40" s="5" t="str">
        <x:v>Международный финансовый центр «Астана»</x:v>
      </x:c>
      <x:c r="F40" s="5" t="str">
        <x:v>Финансовый рынок</x:v>
      </x:c>
      <x:c r="G40" s="5" t="n">
        <x:v>1</x:v>
      </x:c>
      <x:c r="H40" s="5" t="str">
        <x:v>Финансовые и юридические специалисты, руководители</x:v>
      </x:c>
      <x:c r="I40" s="5" t="str">
        <x:v>Высокая: финансы, корпоративное право, проекты, AI, внешние эксперты.</x:v>
      </x:c>
      <x:c r="J40" s="5" t="str">
        <x:v>https://academy.aifc.kz/?lang=ru</x:v>
      </x:c>
      <x:c r="K40" s="5" t="str">
        <x:v>search_index</x:v>
      </x:c>
      <x:c r="L4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1" ht="54" customHeight="1">
      <x:c r="A41" s="5" t="str">
        <x:v>CU-0225</x:v>
      </x:c>
      <x:c r="B41" s="5" t="str">
        <x:v>Forte Academy — Корпоративная академия ForteBank</x:v>
      </x:c>
      <x:c r="C41" s="5" t="str">
        <x:v>Казахстан</x:v>
      </x:c>
      <x:c r="D41" s="5" t="str">
        <x:v>Корпоративная академия</x:v>
      </x:c>
      <x:c r="E41" s="5" t="str">
        <x:v>АО «ForteBank»</x:v>
      </x:c>
      <x:c r="F41" s="5" t="str">
        <x:v>Банки</x:v>
      </x:c>
      <x:c r="G41" s="5" t="n">
        <x:v>1</x:v>
      </x:c>
      <x:c r="H41" s="5" t="str">
        <x:v>Сотрудники и руководители банка</x:v>
      </x:c>
      <x:c r="I41" s="5" t="str">
        <x:v>Высокая: Excel/аналитика, управление, функциональные компетенции и электронные курсы.</x:v>
      </x:c>
      <x:c r="J41" s="5" t="str">
        <x:v>https://career.forte.kz/ru/humanity</x:v>
      </x:c>
      <x:c r="K41" s="5" t="str">
        <x:v>search_index</x:v>
      </x:c>
      <x:c r="L4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2" ht="54" customHeight="1">
      <x:c r="A42" s="5" t="str">
        <x:v>CU-0190</x:v>
      </x:c>
      <x:c r="B42" s="5" t="str">
        <x:v>Корпоративный университет АО «КазНИИСА»</x:v>
      </x:c>
      <x:c r="C42" s="5" t="str">
        <x:v>Казахстан</x:v>
      </x:c>
      <x:c r="D42" s="5" t="str">
        <x:v>Корпоративный университет</x:v>
      </x:c>
      <x:c r="E42" s="5" t="str">
        <x:v>АО «КазНИИСА»</x:v>
      </x:c>
      <x:c r="F42" s="5" t="str">
        <x:v>Строительство и инженерия</x:v>
      </x:c>
      <x:c r="G42" s="5" t="n">
        <x:v>2</x:v>
      </x:c>
      <x:c r="H42" s="5" t="str">
        <x:v>ИТР проектных, строительных и экспертных организаций</x:v>
      </x:c>
      <x:c r="I42" s="5" t="str">
        <x:v>Условная: партнёрские управленческие, договорные и проектные модули для ИТР.</x:v>
      </x:c>
      <x:c r="J42" s="5" t="str">
        <x:v>https://kazniisa.kz/centres/corporate-university</x:v>
      </x:c>
      <x:c r="K42" s="5" t="str">
        <x:v>search_index</x:v>
      </x:c>
      <x:c r="L4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3" ht="54" customHeight="1">
      <x:c r="A43" s="5" t="str">
        <x:v>CU-0195</x:v>
      </x:c>
      <x:c r="B43" s="5" t="str">
        <x:v>Учебный центр АО «АК Алтыналмас»</x:v>
      </x:c>
      <x:c r="C43" s="5" t="str">
        <x:v>Казахстан</x:v>
      </x:c>
      <x:c r="D43" s="5" t="str">
        <x:v>Учебный центр компании</x:v>
      </x:c>
      <x:c r="E43" s="5" t="str">
        <x:v>АО «АК Алтыналмас»</x:v>
      </x:c>
      <x:c r="F43" s="5" t="str">
        <x:v>Золотодобыча</x:v>
      </x:c>
      <x:c r="G43" s="5" t="n">
        <x:v>2</x:v>
      </x:c>
      <x:c r="H43" s="5" t="str">
        <x:v>Производственный персонал и специалисты</x:v>
      </x:c>
      <x:c r="I43" s="5" t="str">
        <x:v>Условная: руководители, наставники, методология и цифровой учебный контент.</x:v>
      </x:c>
      <x:c r="J43" s="5" t="str">
        <x:v>https://www.altynalmas.kz/blog/news/73</x:v>
      </x:c>
      <x:c r="K43" s="5" t="str">
        <x:v>search_index</x:v>
      </x:c>
      <x:c r="L4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4" ht="54" customHeight="1">
      <x:c r="A44" s="5" t="str">
        <x:v>CU-0199</x:v>
      </x:c>
      <x:c r="B44" s="5" t="str">
        <x:v>Учебно-курсовой комбинат Интергаз Центральная Азия</x:v>
      </x:c>
      <x:c r="C44" s="5" t="str">
        <x:v>Казахстан</x:v>
      </x:c>
      <x:c r="D44" s="5" t="str">
        <x:v>Учебный центр компании</x:v>
      </x:c>
      <x:c r="E44" s="5" t="str">
        <x:v>АО «Интергаз Центральная Азия»</x:v>
      </x:c>
      <x:c r="F44" s="5" t="str">
        <x:v>Газотранспорт</x:v>
      </x:c>
      <x:c r="G44" s="5" t="n">
        <x:v>2</x:v>
      </x:c>
      <x:c r="H44" s="5" t="str">
        <x:v>Газотранспортный персонал, ИТР</x:v>
      </x:c>
      <x:c r="I44" s="5" t="str">
        <x:v>Условная: обучение руководителей и ИТР, наставничество, разработка контента.</x:v>
      </x:c>
      <x:c r="J44" s="5" t="str">
        <x:v>https://intergas.kz/ru/ukk/</x:v>
      </x:c>
      <x:c r="K44" s="5" t="str">
        <x:v>search_index</x:v>
      </x:c>
      <x:c r="L4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5" ht="54" customHeight="1">
      <x:c r="A45" s="5" t="str">
        <x:v>CU-0200</x:v>
      </x:c>
      <x:c r="B45" s="5" t="str">
        <x:v>Air Astana Training Centre / Flight Training Centre</x:v>
      </x:c>
      <x:c r="C45" s="5" t="str">
        <x:v>Казахстан</x:v>
      </x:c>
      <x:c r="D45" s="5" t="str">
        <x:v>Учебный центр компании</x:v>
      </x:c>
      <x:c r="E45" s="5" t="str">
        <x:v>АО «Эйр Астана»</x:v>
      </x:c>
      <x:c r="F45" s="5" t="str">
        <x:v>Авиация</x:v>
      </x:c>
      <x:c r="G45" s="5" t="n">
        <x:v>2</x:v>
      </x:c>
      <x:c r="H45" s="5" t="str">
        <x:v>Лётный персонал и инструкторы</x:v>
      </x:c>
      <x:c r="I45" s="5" t="str">
        <x:v>Условная: подготовка инструкторов, коммуникации, менеджмент и цифровая методология.</x:v>
      </x:c>
      <x:c r="J45" s="5" t="str">
        <x:v>https://ir.airastana.com/en/about-us/company-news/air-astana-commissions-new-flight-training-centre/</x:v>
      </x:c>
      <x:c r="K45" s="5" t="str">
        <x:v>search_index</x:v>
      </x:c>
      <x:c r="L4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6" ht="54" customHeight="1">
      <x:c r="A46" s="5" t="str">
        <x:v>CU-0201</x:v>
      </x:c>
      <x:c r="B46" s="5" t="str">
        <x:v>Авиационный учебный центр SCAT</x:v>
      </x:c>
      <x:c r="C46" s="5" t="str">
        <x:v>Казахстан</x:v>
      </x:c>
      <x:c r="D46" s="5" t="str">
        <x:v>Учебный центр компании</x:v>
      </x:c>
      <x:c r="E46" s="5" t="str">
        <x:v>АО «Авиакомпания SCAT»</x:v>
      </x:c>
      <x:c r="F46" s="5" t="str">
        <x:v>Авиация</x:v>
      </x:c>
      <x:c r="G46" s="5" t="n">
        <x:v>2</x:v>
      </x:c>
      <x:c r="H46" s="5" t="str">
        <x:v>Авиационные специалисты и инструкторы</x:v>
      </x:c>
      <x:c r="I46" s="5" t="str">
        <x:v>Условная: обучение инструкторов, командные коммуникации, сервис, электронные модули.</x:v>
      </x:c>
      <x:c r="J46" s="5" t="str">
        <x:v>https://www.scat.kz/ru/scat-aviation-training-center/</x:v>
      </x:c>
      <x:c r="K46" s="5" t="str">
        <x:v>search_index</x:v>
      </x:c>
      <x:c r="L4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7" ht="54" customHeight="1">
      <x:c r="A47" s="5" t="str">
        <x:v>CU-0202</x:v>
      </x:c>
      <x:c r="B47" s="5" t="str">
        <x:v>Центр профессиональной подготовки Казаэронавигации</x:v>
      </x:c>
      <x:c r="C47" s="5" t="str">
        <x:v>Казахстан</x:v>
      </x:c>
      <x:c r="D47" s="5" t="str">
        <x:v>Учебный центр компании</x:v>
      </x:c>
      <x:c r="E47" s="5" t="str">
        <x:v>РГП «Казаэронавигация»</x:v>
      </x:c>
      <x:c r="F47" s="5" t="str">
        <x:v>Аэронавигация</x:v>
      </x:c>
      <x:c r="G47" s="5" t="n">
        <x:v>2</x:v>
      </x:c>
      <x:c r="H47" s="5" t="str">
        <x:v>Авиационные специалисты, инструкторы и методисты</x:v>
      </x:c>
      <x:c r="I47" s="5" t="str">
        <x:v>Условная/высокая: методология, тренеры, проектное управление и коммуникации.</x:v>
      </x:c>
      <x:c r="J47" s="5" t="str">
        <x:v>https://training.ans.kz/</x:v>
      </x:c>
      <x:c r="K47" s="5" t="str">
        <x:v>search_index</x:v>
      </x:c>
      <x:c r="L4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8" ht="54" customHeight="1">
      <x:c r="A48" s="5" t="str">
        <x:v>CU-0203</x:v>
      </x:c>
      <x:c r="B48" s="5" t="str">
        <x:v>Airbus Helicopters Training Academy Kazakhstan</x:v>
      </x:c>
      <x:c r="C48" s="5" t="str">
        <x:v>Казахстан</x:v>
      </x:c>
      <x:c r="D48" s="5" t="str">
        <x:v>Корпоративная академия</x:v>
      </x:c>
      <x:c r="E48" s="5" t="str">
        <x:v>ТОО «Airbus Helicopters Kazakhstan Engineering»</x:v>
      </x:c>
      <x:c r="F48" s="5" t="str">
        <x:v>Авиационное машиностроение</x:v>
      </x:c>
      <x:c r="G48" s="5" t="n">
        <x:v>2</x:v>
      </x:c>
      <x:c r="H48" s="5" t="str">
        <x:v>Пилоты, техники, инструкторы</x:v>
      </x:c>
      <x:c r="I48" s="5" t="str">
        <x:v>Условная: методология и управленческие модули; специальная подготовка за пределами профиля.</x:v>
      </x:c>
      <x:c r="J48" s="5" t="str">
        <x:v>https://www.airbus.com/en/products-services/helicopters/hcare-services/training-flight-operations/airbus-helicopters-training-academy-kazakhstan</x:v>
      </x:c>
      <x:c r="K48" s="5" t="str">
        <x:v>search_index</x:v>
      </x:c>
      <x:c r="L4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9" ht="54" customHeight="1">
      <x:c r="A49" s="5" t="str">
        <x:v>CU-0204</x:v>
      </x:c>
      <x:c r="B49" s="5" t="str">
        <x:v>Учебный центр КазТрансОйл в Актау</x:v>
      </x:c>
      <x:c r="C49" s="5" t="str">
        <x:v>Казахстан</x:v>
      </x:c>
      <x:c r="D49" s="5" t="str">
        <x:v>Учебный центр компании</x:v>
      </x:c>
      <x:c r="E49" s="5" t="str">
        <x:v>АО «КазТрансОйл»</x:v>
      </x:c>
      <x:c r="F49" s="5" t="str">
        <x:v>Нефтетранспорт</x:v>
      </x:c>
      <x:c r="G49" s="5" t="n">
        <x:v>2</x:v>
      </x:c>
      <x:c r="H49" s="5" t="str">
        <x:v>Инженерно-технические специалисты и производственный персонал</x:v>
      </x:c>
      <x:c r="I49" s="5" t="str">
        <x:v>Условная: руководители, специалисты, наставники и цифровые курсы.</x:v>
      </x:c>
      <x:c r="J49" s="5" t="str">
        <x:v>https://kaztransoil.kz/ru/</x:v>
      </x:c>
      <x:c r="K49" s="5" t="str">
        <x:v>search_index</x:v>
      </x:c>
      <x:c r="L4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50" ht="54" customHeight="1">
      <x:c r="A50" s="5" t="str">
        <x:v>CU-0205</x:v>
      </x:c>
      <x:c r="B50" s="5" t="str">
        <x:v>Учебный центр KMG Automation</x:v>
      </x:c>
      <x:c r="C50" s="5" t="str">
        <x:v>Казахстан</x:v>
      </x:c>
      <x:c r="D50" s="5" t="str">
        <x:v>Учебный центр компании</x:v>
      </x:c>
      <x:c r="E50" s="5" t="str">
        <x:v>ТОО «KMG Automation»</x:v>
      </x:c>
      <x:c r="F50" s="5" t="str">
        <x:v>Промышленная автоматизация</x:v>
      </x:c>
      <x:c r="G50" s="5" t="n">
        <x:v>2</x:v>
      </x:c>
      <x:c r="H50" s="5" t="str">
        <x:v>Инженеры и технические специалисты</x:v>
      </x:c>
      <x:c r="I50" s="5" t="str">
        <x:v>Условная: совместные проекты по цифровому производству и разработке учебных материалов.</x:v>
      </x:c>
      <x:c r="J50" s="5" t="str">
        <x:v>https://www.kmga.kz/</x:v>
      </x:c>
      <x:c r="K50" s="5" t="str">
        <x:v>content_read</x:v>
      </x:c>
      <x:c r="L5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51" ht="54" customHeight="1">
      <x:c r="A51" s="5" t="str">
        <x:v>CU-0206</x:v>
      </x:c>
      <x:c r="B51" s="5" t="str">
        <x:v>Учебный центр ПНХЗ</x:v>
      </x:c>
      <x:c r="C51" s="5" t="str">
        <x:v>Казахстан</x:v>
      </x:c>
      <x:c r="D51" s="5" t="str">
        <x:v>Учебный центр компании</x:v>
      </x:c>
      <x:c r="E51" s="5" t="str">
        <x:v>ТОО «Павлодарский нефтехимический завод»</x:v>
      </x:c>
      <x:c r="F51" s="5" t="str">
        <x:v>Нефтепереработка</x:v>
      </x:c>
      <x:c r="G51" s="5" t="n">
        <x:v>2</x:v>
      </x:c>
      <x:c r="H51" s="5" t="str">
        <x:v>Работники предприятия, специалисты и наставники</x:v>
      </x:c>
      <x:c r="I51" s="5" t="str">
        <x:v>Условная: управление, специалисты, методология и электронные материалы.</x:v>
      </x:c>
      <x:c r="J51" s="5" t="str">
        <x:v>https://www.pnhz.kz/refinery/human_resources_policy/</x:v>
      </x:c>
      <x:c r="K51" s="5" t="str">
        <x:v>search_index</x:v>
      </x:c>
      <x:c r="L5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52" ht="54" customHeight="1">
      <x:c r="A52" s="5" t="str">
        <x:v>CU-0207</x:v>
      </x:c>
      <x:c r="B52" s="5" t="str">
        <x:v>Учебный центр Атырауского НПЗ</x:v>
      </x:c>
      <x:c r="C52" s="5" t="str">
        <x:v>Казахстан</x:v>
      </x:c>
      <x:c r="D52" s="5" t="str">
        <x:v>Учебный центр компании</x:v>
      </x:c>
      <x:c r="E52" s="5" t="str">
        <x:v>ТОО «Атырауский нефтеперерабатывающий завод»</x:v>
      </x:c>
      <x:c r="F52" s="5" t="str">
        <x:v>Нефтепереработка</x:v>
      </x:c>
      <x:c r="G52" s="5" t="n">
        <x:v>2</x:v>
      </x:c>
      <x:c r="H52" s="5" t="str">
        <x:v>Инженеры, специалисты и производственный персонал</x:v>
      </x:c>
      <x:c r="I52" s="5" t="str">
        <x:v>Условная: обучение специалистов и руководителей, цифровой учебный контент.</x:v>
      </x:c>
      <x:c r="J52" s="5" t="str">
        <x:v>https://www.anpz.kz/social_sphere/training/</x:v>
      </x:c>
      <x:c r="K52" s="5" t="str">
        <x:v>search_index</x:v>
      </x:c>
      <x:c r="L5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53" ht="54" customHeight="1">
      <x:c r="A53" s="5" t="str">
        <x:v>CU-0208</x:v>
      </x:c>
      <x:c r="B53" s="5" t="str">
        <x:v>Учебный центр Тенгизшевройл</x:v>
      </x:c>
      <x:c r="C53" s="5" t="str">
        <x:v>Казахстан</x:v>
      </x:c>
      <x:c r="D53" s="5" t="str">
        <x:v>Учебный центр компании</x:v>
      </x:c>
      <x:c r="E53" s="5" t="str">
        <x:v>ТОО «Тенгизшевройл»</x:v>
      </x:c>
      <x:c r="F53" s="5" t="str">
        <x:v>Нефтегаз</x:v>
      </x:c>
      <x:c r="G53" s="5" t="n">
        <x:v>2</x:v>
      </x:c>
      <x:c r="H53" s="5" t="str">
        <x:v>Работники ТШО и подрядных организаций</x:v>
      </x:c>
      <x:c r="I53" s="5" t="str">
        <x:v>Условная: управление подрядчиками, лидерство, культура безопасности и контент.</x:v>
      </x:c>
      <x:c r="J53" s="5" t="str">
        <x:v>https://www.tengizchevroil.com/</x:v>
      </x:c>
      <x:c r="K53" s="5" t="str">
        <x:v>search_index</x:v>
      </x:c>
      <x:c r="L5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54" ht="54" customHeight="1">
      <x:c r="A54" s="5" t="str">
        <x:v>CU-0209</x:v>
      </x:c>
      <x:c r="B54" s="5" t="str">
        <x:v>Учебный центр KPO (Аксай / Aliya Training Centre)</x:v>
      </x:c>
      <x:c r="C54" s="5" t="str">
        <x:v>Казахстан</x:v>
      </x:c>
      <x:c r="D54" s="5" t="str">
        <x:v>Учебный центр компании</x:v>
      </x:c>
      <x:c r="E54" s="5" t="str">
        <x:v>Karachaganak Petroleum Operating B.V.</x:v>
      </x:c>
      <x:c r="F54" s="5" t="str">
        <x:v>Нефтегаз</x:v>
      </x:c>
      <x:c r="G54" s="5" t="n">
        <x:v>2</x:v>
      </x:c>
      <x:c r="H54" s="5" t="str">
        <x:v>Работники и подрядчики KPO</x:v>
      </x:c>
      <x:c r="I54" s="5" t="str">
        <x:v>Условная: менеджмент, компетенции руководителей, обучение тренеров и мультимедиа.</x:v>
      </x:c>
      <x:c r="J54" s="5" t="str">
        <x:v>https://www.kpo.kz/</x:v>
      </x:c>
      <x:c r="K54" s="5" t="str">
        <x:v>search_index</x:v>
      </x:c>
      <x:c r="L5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55" ht="54" customHeight="1">
      <x:c r="A55" s="5" t="str">
        <x:v>CU-0210</x:v>
      </x:c>
      <x:c r="B55" s="5" t="str">
        <x:v>Atyrau Training Centre NCOC</x:v>
      </x:c>
      <x:c r="C55" s="5" t="str">
        <x:v>Казахстан</x:v>
      </x:c>
      <x:c r="D55" s="5" t="str">
        <x:v>Учебный центр компании</x:v>
      </x:c>
      <x:c r="E55" s="5" t="str">
        <x:v>North Caspian Operating Company N.V.</x:v>
      </x:c>
      <x:c r="F55" s="5" t="str">
        <x:v>Нефтегаз</x:v>
      </x:c>
      <x:c r="G55" s="5" t="n">
        <x:v>2</x:v>
      </x:c>
      <x:c r="H55" s="5" t="str">
        <x:v>Технический и вспомогательный персонал</x:v>
      </x:c>
      <x:c r="I55" s="5" t="str">
        <x:v>Условная: управленческие/функциональные модули, методология обучения.</x:v>
      </x:c>
      <x:c r="J55" s="5" t="str">
        <x:v>https://www.ncoc.kz/public/publications/ncoc/LocalContentBrochureRus.pdf</x:v>
      </x:c>
      <x:c r="K55" s="5" t="str">
        <x:v>search_index</x:v>
      </x:c>
      <x:c r="L5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56" ht="54" customHeight="1">
      <x:c r="A56" s="5" t="str">
        <x:v>CU-0222</x:v>
      </x:c>
      <x:c r="B56" s="5" t="str">
        <x:v>Учебно-методический центр Казфосфат</x:v>
      </x:c>
      <x:c r="C56" s="5" t="str">
        <x:v>Казахстан</x:v>
      </x:c>
      <x:c r="D56" s="5" t="str">
        <x:v>Учебный центр компании</x:v>
      </x:c>
      <x:c r="E56" s="5" t="str">
        <x:v>ТОО «Казфосфат»</x:v>
      </x:c>
      <x:c r="F56" s="5" t="str">
        <x:v>Химическая промышленность</x:v>
      </x:c>
      <x:c r="G56" s="5" t="n">
        <x:v>2</x:v>
      </x:c>
      <x:c r="H56" s="5" t="str">
        <x:v>Рабочие, специалисты и руководители</x:v>
      </x:c>
      <x:c r="I56" s="5" t="str">
        <x:v>Условная: руководители/специалисты, методология и цифровые материалы.</x:v>
      </x:c>
      <x:c r="J56" s="5" t="str">
        <x:v>https://www.kpp.kz/ru/about/training-and-teaching-activity?id=9</x:v>
      </x:c>
      <x:c r="K56" s="5" t="str">
        <x:v>content_read</x:v>
      </x:c>
      <x:c r="L5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57" ht="54" customHeight="1">
      <x:c r="A57" s="5" t="str">
        <x:v>CU-0223</x:v>
      </x:c>
      <x:c r="B57" s="5" t="str">
        <x:v>Центр подготовки и переподготовки кадров Технологического колледжа корпорации Казахмыс</x:v>
      </x:c>
      <x:c r="C57" s="5" t="str">
        <x:v>Казахстан</x:v>
      </x:c>
      <x:c r="D57" s="5" t="str">
        <x:v>Учебный центр компании</x:v>
      </x:c>
      <x:c r="E57" s="5" t="str">
        <x:v>ЧУ «Технологический колледж корпорации «Казахмыс»</x:v>
      </x:c>
      <x:c r="F57" s="5" t="str">
        <x:v>Горно-металлургический комплекс</x:v>
      </x:c>
      <x:c r="G57" s="5" t="n">
        <x:v>3</x:v>
      </x:c>
      <x:c r="H57" s="5" t="str">
        <x:v>Работники производственных предприятий</x:v>
      </x:c>
      <x:c r="I57" s="5" t="str">
        <x:v>Условная: обучение преподавателей/наставников и цифровой контент; рабочие профессии вне основного профиля.</x:v>
      </x:c>
      <x:c r="J57" s="5" t="str">
        <x:v>https://tkksatpaev.edu.kz/tsentr-podgotovki-i-perepodgotovki-kadrov/</x:v>
      </x:c>
      <x:c r="K57" s="5" t="str">
        <x:v>search_index</x:v>
      </x:c>
      <x:c r="L5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58" ht="54" customHeight="1">
      <x:c r="A58" s="5" t="str">
        <x:v>CU-0224</x:v>
      </x:c>
      <x:c r="B58" s="5" t="str">
        <x:v>Центр подготовки и переподготовки кадров Политехнического колледжа корпорации Казахмыс</x:v>
      </x:c>
      <x:c r="C58" s="5" t="str">
        <x:v>Казахстан</x:v>
      </x:c>
      <x:c r="D58" s="5" t="str">
        <x:v>Учебный центр компании</x:v>
      </x:c>
      <x:c r="E58" s="5" t="str">
        <x:v>ЧУ «Политехнический колледж корпорации «Казахмыс»</x:v>
      </x:c>
      <x:c r="F58" s="5" t="str">
        <x:v>Горно-металлургический комплекс</x:v>
      </x:c>
      <x:c r="G58" s="5" t="n">
        <x:v>3</x:v>
      </x:c>
      <x:c r="H58" s="5" t="str">
        <x:v>Работники компании и студенты дуального обучения</x:v>
      </x:c>
      <x:c r="I58" s="5" t="str">
        <x:v>Условная: методология, наставники, электронное обучение.</x:v>
      </x:c>
      <x:c r="J58" s="5" t="str">
        <x:v>https://ptk-kazakhmys.edu.kz/divisions/</x:v>
      </x:c>
      <x:c r="K58" s="5" t="str">
        <x:v>search_index</x:v>
      </x:c>
      <x:c r="L5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59" ht="54" customHeight="1">
      <x:c r="A59" s="5" t="str">
        <x:v>CU-0001</x:v>
      </x:c>
      <x:c r="B59" s="5" t="str">
        <x:v>Газпром университет (бывший Газпром корпоративный институт)</x:v>
      </x:c>
      <x:c r="C59" s="5" t="str">
        <x:v>Россия</x:v>
      </x:c>
      <x:c r="D59" s="5" t="str">
        <x:v>Корпоративный университет</x:v>
      </x:c>
      <x:c r="E59" s="5" t="str">
        <x:v>ПАО «Газпром»</x:v>
      </x:c>
      <x:c r="F59" s="5" t="str">
        <x:v>Нефтегаз</x:v>
      </x:c>
      <x:c r="G59" s="5" t="n">
        <x:v>1</x:v>
      </x:c>
      <x:c r="H59" s="5" t="str">
        <x:v>Руководители, специалисты, кадровый резерв и внутренние преподаватели.</x:v>
      </x:c>
      <x:c r="I59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J59" s="5" t="str">
        <x:v>https://institute.gazprom.ru/</x:v>
      </x:c>
      <x:c r="K59" s="5" t="str">
        <x:v>search_index</x:v>
      </x:c>
      <x:c r="L5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60" ht="54" customHeight="1">
      <x:c r="A60" s="5" t="str">
        <x:v>CU-0003</x:v>
      </x:c>
      <x:c r="B60" s="5" t="str">
        <x:v>Газпром ОНУТЦ — Отраслевой научно-исследовательский учебно-тренажёрный центр</x:v>
      </x:c>
      <x:c r="C60" s="5" t="str">
        <x:v>Россия</x:v>
      </x:c>
      <x:c r="D60" s="5" t="str">
        <x:v>Отраслевой учебный центр</x:v>
      </x:c>
      <x:c r="E60" s="5" t="str">
        <x:v>ПАО «Газпром»</x:v>
      </x:c>
      <x:c r="F60" s="5" t="str">
        <x:v>Нефтегаз</x:v>
      </x:c>
      <x:c r="G60" s="5" t="n">
        <x:v>1</x:v>
      </x:c>
      <x:c r="H60" s="5" t="str">
        <x:v>Руководители, специалисты, кадровый резерв и внутренние преподаватели.</x:v>
      </x:c>
      <x:c r="I60" s="5" t="str">
        <x:v>Высокое для электронного контента и методического субподряда; технические тренажёры требуют отдельной компетенции.</x:v>
      </x:c>
      <x:c r="J60" s="5" t="str">
        <x:v>https://onutc.gazprom.ru/development/</x:v>
      </x:c>
      <x:c r="K60" s="5" t="str">
        <x:v>search_index</x:v>
      </x:c>
      <x:c r="L6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61" ht="54" customHeight="1">
      <x:c r="A61" s="5" t="str">
        <x:v>CU-0004</x:v>
      </x:c>
      <x:c r="B61" s="5" t="str">
        <x:v>Корпоративный институт ООО «Газпром трансгаз Томск»</x:v>
      </x:c>
      <x:c r="C61" s="5" t="str">
        <x:v>Россия</x:v>
      </x:c>
      <x:c r="D61" s="5" t="str">
        <x:v>Учебный центр компании</x:v>
      </x:c>
      <x:c r="E61" s="5" t="str">
        <x:v>ООО «Газпром трансгаз Томск»</x:v>
      </x:c>
      <x:c r="F61" s="5" t="str">
        <x:v>Нефтегаз</x:v>
      </x:c>
      <x:c r="G61" s="5" t="n">
        <x:v>1</x:v>
      </x:c>
      <x:c r="H61" s="5" t="str">
        <x:v>Руководители, специалисты и производственный персонал; долю управленческих программ уточнить.</x:v>
      </x:c>
      <x:c r="I61" s="5" t="str">
        <x:v>Высокое для руководителей, специалистов, развития резерва и дистанционных программ; институт не является обычным вузом.</x:v>
      </x:c>
      <x:c r="J61" s="5" t="str">
        <x:v>https://tomsk-tr.gazprom.ru/career/policy/</x:v>
      </x:c>
      <x:c r="K61" s="5" t="str">
        <x:v>search_index</x:v>
      </x:c>
      <x:c r="L6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62" ht="54" customHeight="1">
      <x:c r="A62" s="5" t="str">
        <x:v>CU-0013</x:v>
      </x:c>
      <x:c r="B62" s="5" t="str">
        <x:v>Корпоративный университет ПАО «Татнефть»</x:v>
      </x:c>
      <x:c r="C62" s="5" t="str">
        <x:v>Россия</x:v>
      </x:c>
      <x:c r="D62" s="5" t="str">
        <x:v>Корпоративный университет</x:v>
      </x:c>
      <x:c r="E62" s="5" t="str">
        <x:v>ПАО «Татнефть»</x:v>
      </x:c>
      <x:c r="F62" s="5" t="str">
        <x:v>Нефтегаз</x:v>
      </x:c>
      <x:c r="G62" s="5" t="n">
        <x:v>1</x:v>
      </x:c>
      <x:c r="H62" s="5" t="str">
        <x:v>Руководители, специалисты, кадровый резерв и внутренние преподаватели.</x:v>
      </x:c>
      <x:c r="I62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J62" s="5" t="str">
        <x:v>https://cu.tatneft.ru/ob-universitete/obshchaya-informatsiya?lang=ru</x:v>
      </x:c>
      <x:c r="K62" s="5" t="str">
        <x:v>content_read</x:v>
      </x:c>
      <x:c r="L6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63" ht="54" customHeight="1">
      <x:c r="A63" s="5" t="str">
        <x:v>CU-0015</x:v>
      </x:c>
      <x:c r="B63" s="5" t="str">
        <x:v>Корпоративный университет «Газпром нефти»</x:v>
      </x:c>
      <x:c r="C63" s="5" t="str">
        <x:v>Россия</x:v>
      </x:c>
      <x:c r="D63" s="5" t="str">
        <x:v>Корпоративный университет</x:v>
      </x:c>
      <x:c r="E63" s="5" t="str">
        <x:v>ПАО «Газпром нефть»</x:v>
      </x:c>
      <x:c r="F63" s="5" t="str">
        <x:v>Нефтегаз</x:v>
      </x:c>
      <x:c r="G63" s="5" t="n">
        <x:v>1</x:v>
      </x:c>
      <x:c r="H63" s="5" t="str">
        <x:v>Руководители, специалисты, кадровый резерв и внутренние преподаватели.</x:v>
      </x:c>
      <x:c r="I63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J63" s="5" t="str">
        <x:v>https://www.sgu.ru/struktura/gazpromneft</x:v>
      </x:c>
      <x:c r="K63" s="5" t="str">
        <x:v>content_read</x:v>
      </x:c>
      <x:c r="L6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64" ht="54" customHeight="1">
      <x:c r="A64" s="5" t="str">
        <x:v>CU-0019</x:v>
      </x:c>
      <x:c r="B64" s="5" t="str">
        <x:v>Корпоративная Академия Росатома</x:v>
      </x:c>
      <x:c r="C64" s="5" t="str">
        <x:v>Россия</x:v>
      </x:c>
      <x:c r="D64" s="5" t="str">
        <x:v>Корпоративная академия</x:v>
      </x:c>
      <x:c r="E64" s="5" t="str">
        <x:v>ГК «Росатом»</x:v>
      </x:c>
      <x:c r="F64" s="5" t="str">
        <x:v>Атомная промышленность</x:v>
      </x:c>
      <x:c r="G64" s="5" t="n">
        <x:v>1</x:v>
      </x:c>
      <x:c r="H64" s="5" t="str">
        <x:v>Руководители, специалисты, кадровый резерв и внутренние преподаватели.</x:v>
      </x:c>
      <x:c r="I64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J64" s="5" t="str">
        <x:v>https://rosatom-academy.ru/ob-akademii/</x:v>
      </x:c>
      <x:c r="K64" s="5" t="str">
        <x:v>content_read</x:v>
      </x:c>
      <x:c r="L6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65" ht="54" customHeight="1">
      <x:c r="A65" s="5" t="str">
        <x:v>CU-0020</x:v>
      </x:c>
      <x:c r="B65" s="5" t="str">
        <x:v>Техническая академия Росатома</x:v>
      </x:c>
      <x:c r="C65" s="5" t="str">
        <x:v>Россия</x:v>
      </x:c>
      <x:c r="D65" s="5" t="str">
        <x:v>Корпоративная академия</x:v>
      </x:c>
      <x:c r="E65" s="5" t="str">
        <x:v>ГК «Росатом»</x:v>
      </x:c>
      <x:c r="F65" s="5" t="str">
        <x:v>Атомная промышленность</x:v>
      </x:c>
      <x:c r="G65" s="5" t="n">
        <x:v>1</x:v>
      </x:c>
      <x:c r="H65" s="5" t="str">
        <x:v>Руководители, специалисты, кадровый резерв и внутренние преподаватели.</x:v>
      </x:c>
      <x:c r="I65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J65" s="5" t="str">
        <x:v>https://rosatomtech.ru/about-us/</x:v>
      </x:c>
      <x:c r="K65" s="5" t="str">
        <x:v>content_read</x:v>
      </x:c>
      <x:c r="L6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66" ht="54" customHeight="1">
      <x:c r="A66" s="5" t="str">
        <x:v>CU-0021</x:v>
      </x:c>
      <x:c r="B66" s="5" t="str">
        <x:v>Интер РАО — Корпоративный университет</x:v>
      </x:c>
      <x:c r="C66" s="5" t="str">
        <x:v>Россия</x:v>
      </x:c>
      <x:c r="D66" s="5" t="str">
        <x:v>Корпоративный университет</x:v>
      </x:c>
      <x:c r="E66" s="5" t="str">
        <x:v>ПАО «Интер РАО»</x:v>
      </x:c>
      <x:c r="F66" s="5" t="str">
        <x:v>Электроэнергетика</x:v>
      </x:c>
      <x:c r="G66" s="5" t="n">
        <x:v>1</x:v>
      </x:c>
      <x:c r="H66" s="5" t="str">
        <x:v>Руководители, специалисты, кадровый резерв и внутренние преподаватели.</x:v>
      </x:c>
      <x:c r="I66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J66" s="5" t="str">
        <x:v>https://interrao-university.ru/</x:v>
      </x:c>
      <x:c r="K66" s="5" t="str">
        <x:v>search_index</x:v>
      </x:c>
      <x:c r="L6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67" ht="54" customHeight="1">
      <x:c r="A67" s="5" t="str">
        <x:v>CU-0022</x:v>
      </x:c>
      <x:c r="B67" s="5" t="str">
        <x:v>Корпоративный университет гидроэнергетики РусГидро (КорУнГ)</x:v>
      </x:c>
      <x:c r="C67" s="5" t="str">
        <x:v>Россия</x:v>
      </x:c>
      <x:c r="D67" s="5" t="str">
        <x:v>Корпоративный университет</x:v>
      </x:c>
      <x:c r="E67" s="5" t="str">
        <x:v>ПАО «РусГидро»</x:v>
      </x:c>
      <x:c r="F67" s="5" t="str">
        <x:v>Электроэнергетика</x:v>
      </x:c>
      <x:c r="G67" s="5" t="n">
        <x:v>1</x:v>
      </x:c>
      <x:c r="H67" s="5" t="str">
        <x:v>Руководители, специалисты, кадровый резерв и внутренние преподаватели.</x:v>
      </x:c>
      <x:c r="I67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J67" s="5" t="str">
        <x:v>https://korung.rushydro.ru/</x:v>
      </x:c>
      <x:c r="K67" s="5" t="str">
        <x:v>content_read</x:v>
      </x:c>
      <x:c r="L6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68" ht="54" customHeight="1">
      <x:c r="A68" s="5" t="str">
        <x:v>CU-0023</x:v>
      </x:c>
      <x:c r="B68" s="5" t="str">
        <x:v>Корпоративный университет Сибирской генерирующей компании</x:v>
      </x:c>
      <x:c r="C68" s="5" t="str">
        <x:v>Россия</x:v>
      </x:c>
      <x:c r="D68" s="5" t="str">
        <x:v>Корпоративный университет</x:v>
      </x:c>
      <x:c r="E68" s="5" t="str">
        <x:v>ООО «Сибирская генерирующая компания»</x:v>
      </x:c>
      <x:c r="F68" s="5" t="str">
        <x:v>Электроэнергетика</x:v>
      </x:c>
      <x:c r="G68" s="5" t="n">
        <x:v>1</x:v>
      </x:c>
      <x:c r="H68" s="5" t="str">
        <x:v>Руководители, специалисты, кадровый резерв и внутренние преподаватели.</x:v>
      </x:c>
      <x:c r="I68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J68" s="5" t="str">
        <x:v>https://sibgenco.online/news/element/tekhnicheskie-resheniya-i-kreativnyy-podkhod-v-krasnoyarske-proshel-trening-ot-korporativnogo-univer/</x:v>
      </x:c>
      <x:c r="K68" s="5" t="str">
        <x:v>search_index</x:v>
      </x:c>
      <x:c r="L6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69" ht="54" customHeight="1">
      <x:c r="A69" s="5" t="str">
        <x:v>CU-0035</x:v>
      </x:c>
      <x:c r="B69" s="5" t="str">
        <x:v>Учебный центр ПАО «Россети Московский регион»</x:v>
      </x:c>
      <x:c r="C69" s="5" t="str">
        <x:v>Россия</x:v>
      </x:c>
      <x:c r="D69" s="5" t="str">
        <x:v>Учебный центр компании</x:v>
      </x:c>
      <x:c r="E69" s="5" t="str">
        <x:v>ПАО «Россети Московский регион»</x:v>
      </x:c>
      <x:c r="F69" s="5" t="str">
        <x:v>Электроэнергетика</x:v>
      </x:c>
      <x:c r="G69" s="5" t="n">
        <x:v>1</x:v>
      </x:c>
      <x:c r="H69" s="5" t="str">
        <x:v>Руководители, специалисты и производственный персонал; долю управленческих программ уточнить.</x:v>
      </x:c>
      <x:c r="I69" s="5" t="str">
        <x:v>Высокое: внешнее обучение, управленческие компетенции, развитие персонала, подготовка электронных материалов.</x:v>
      </x:c>
      <x:c r="J69" s="5" t="str">
        <x:v>https://rossetimr.ru/client/services/training-center/</x:v>
      </x:c>
      <x:c r="K69" s="5" t="str">
        <x:v>search_index</x:v>
      </x:c>
      <x:c r="L6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70" ht="54" customHeight="1">
      <x:c r="A70" s="5" t="str">
        <x:v>CU-0041</x:v>
      </x:c>
      <x:c r="B70" s="5" t="str">
        <x:v>Корпоративный университет «Норникель»</x:v>
      </x:c>
      <x:c r="C70" s="5" t="str">
        <x:v>Россия</x:v>
      </x:c>
      <x:c r="D70" s="5" t="str">
        <x:v>Корпоративный университет</x:v>
      </x:c>
      <x:c r="E70" s="5" t="str">
        <x:v>ПАО «ГМК «Норильский никель»</x:v>
      </x:c>
      <x:c r="F70" s="5" t="str">
        <x:v>Металлургия и добыча</x:v>
      </x:c>
      <x:c r="G70" s="5" t="n">
        <x:v>1</x:v>
      </x:c>
      <x:c r="H70" s="5" t="str">
        <x:v>Руководители, специалисты и сотрудники группы; конкретные аудитории уточнить по программам</x:v>
      </x:c>
      <x:c r="I70" s="5" t="str">
        <x:v>управление; кадровый резерв; HR; наставничество; цифровые навыки; электронные курсы</x:v>
      </x:c>
      <x:c r="J70" s="5" t="str">
        <x:v>https://university.nornik.ru/</x:v>
      </x:c>
      <x:c r="K70" s="5" t="str">
        <x:v>search_index</x:v>
      </x:c>
      <x:c r="L7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71" ht="54" customHeight="1">
      <x:c r="A71" s="5" t="str">
        <x:v>CU-0042</x:v>
      </x:c>
      <x:c r="B71" s="5" t="str">
        <x:v>Корпоративный университет РУСАЛа</x:v>
      </x:c>
      <x:c r="C71" s="5" t="str">
        <x:v>Россия</x:v>
      </x:c>
      <x:c r="D71" s="5" t="str">
        <x:v>Корпоративный университет</x:v>
      </x:c>
      <x:c r="E71" s="5" t="str">
        <x:v>ОК РУСАЛ</x:v>
      </x:c>
      <x:c r="F71" s="5" t="str">
        <x:v>Алюминиевая промышленность</x:v>
      </x:c>
      <x:c r="G71" s="5" t="n">
        <x:v>1</x:v>
      </x:c>
      <x:c r="H71" s="5" t="str">
        <x:v>Руководители, специалисты и сотрудники группы; конкретные аудитории уточнить по программам</x:v>
      </x:c>
      <x:c r="I71" s="5" t="str">
        <x:v>управленческие навыки; кадровый резерв; наставничество; межфункциональное обучение; цифровой контент</x:v>
      </x:c>
      <x:c r="J71" s="5" t="str">
        <x:v>https://rusal.ru/career/working/</x:v>
      </x:c>
      <x:c r="K71" s="5" t="str">
        <x:v>content_read</x:v>
      </x:c>
      <x:c r="L7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72" ht="54" customHeight="1">
      <x:c r="A72" s="5" t="str">
        <x:v>CU-0043</x:v>
      </x:c>
      <x:c r="B72" s="5" t="str">
        <x:v>Университет НЛМК</x:v>
      </x:c>
      <x:c r="C72" s="5" t="str">
        <x:v>Россия</x:v>
      </x:c>
      <x:c r="D72" s="5" t="str">
        <x:v>Корпоративный университет</x:v>
      </x:c>
      <x:c r="E72" s="5" t="str">
        <x:v>ПАО «НЛМК»</x:v>
      </x:c>
      <x:c r="F72" s="5" t="str">
        <x:v>Металлургия</x:v>
      </x:c>
      <x:c r="G72" s="5" t="n">
        <x:v>1</x:v>
      </x:c>
      <x:c r="H72" s="5" t="str">
        <x:v>Руководители, специалисты и сотрудники группы; конкретные аудитории уточнить по программам</x:v>
      </x:c>
      <x:c r="I72" s="5" t="str">
        <x:v>лидерство; системное мышление; анализ данных; управление изменениями; подготовка внутренних тренеров</x:v>
      </x:c>
      <x:c r="J72" s="5" t="str">
        <x:v>https://university.nlmk.com/university/</x:v>
      </x:c>
      <x:c r="K72" s="5" t="str">
        <x:v>content_read</x:v>
      </x:c>
      <x:c r="L7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73" ht="54" customHeight="1">
      <x:c r="A73" s="5" t="str">
        <x:v>CU-0044</x:v>
      </x:c>
      <x:c r="B73" s="5" t="str">
        <x:v>Корпоративный университет ОМК</x:v>
      </x:c>
      <x:c r="C73" s="5" t="str">
        <x:v>Россия</x:v>
      </x:c>
      <x:c r="D73" s="5" t="str">
        <x:v>Корпоративный университет</x:v>
      </x:c>
      <x:c r="E73" s="5" t="str">
        <x:v>АО «Объединённая металлургическая компания»</x:v>
      </x:c>
      <x:c r="F73" s="5" t="str">
        <x:v>Металлургия</x:v>
      </x:c>
      <x:c r="G73" s="5" t="n">
        <x:v>1</x:v>
      </x:c>
      <x:c r="H73" s="5" t="str">
        <x:v>Руководители, специалисты и сотрудники группы; конкретные аудитории уточнить по программам</x:v>
      </x:c>
      <x:c r="I73" s="5" t="str">
        <x:v>управление; кадровый резерв; корпоративные компетенции; наставничество; электронные курсы</x:v>
      </x:c>
      <x:c r="J73" s="5" t="str">
        <x:v>https://omk.ru/press/news/92090/</x:v>
      </x:c>
      <x:c r="K73" s="5" t="str">
        <x:v>search_index</x:v>
      </x:c>
      <x:c r="L7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74" ht="54" customHeight="1">
      <x:c r="A74" s="5" t="str">
        <x:v>CU-0045</x:v>
      </x:c>
      <x:c r="B74" s="5" t="str">
        <x:v>Корпоративный университет Металлоинвеста</x:v>
      </x:c>
      <x:c r="C74" s="5" t="str">
        <x:v>Россия</x:v>
      </x:c>
      <x:c r="D74" s="5" t="str">
        <x:v>Корпоративный университет</x:v>
      </x:c>
      <x:c r="E74" s="5" t="str">
        <x:v>ООО УК «Металлоинвест»</x:v>
      </x:c>
      <x:c r="F74" s="5" t="str">
        <x:v>Металлургия и добыча</x:v>
      </x:c>
      <x:c r="G74" s="5" t="n">
        <x:v>1</x:v>
      </x:c>
      <x:c r="H74" s="5" t="str">
        <x:v>Руководители, специалисты и сотрудники группы; конкретные аудитории уточнить по программам</x:v>
      </x:c>
      <x:c r="I74" s="5" t="str">
        <x:v>управленческие программы; внутренние тренеры; методология; кадровый резерв; коммуникации; электронное обучение</x:v>
      </x:c>
      <x:c r="J74" s="5" t="str">
        <x:v>https://vmeste.metalloinvest.com/novosti/yuliya-mazanova-vystupila-na-ezhegodnoi-konferenfii-foruma-donorov/</x:v>
      </x:c>
      <x:c r="K74" s="5" t="str">
        <x:v>search_index</x:v>
      </x:c>
      <x:c r="L7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75" ht="54" customHeight="1">
      <x:c r="A75" s="5" t="str">
        <x:v>CU-0046</x:v>
      </x:c>
      <x:c r="B75" s="5" t="str">
        <x:v>Технический университет УГМК</x:v>
      </x:c>
      <x:c r="C75" s="5" t="str">
        <x:v>Россия</x:v>
      </x:c>
      <x:c r="D75" s="5" t="str">
        <x:v>Корпоративный университет</x:v>
      </x:c>
      <x:c r="E75" s="5" t="str">
        <x:v>НЧОУ ВО «ТУ УГМК»</x:v>
      </x:c>
      <x:c r="F75" s="5" t="str">
        <x:v>Металлургия и добыча</x:v>
      </x:c>
      <x:c r="G75" s="5" t="n">
        <x:v>1</x:v>
      </x:c>
      <x:c r="H75" s="5" t="str">
        <x:v>Руководители, специалисты и сотрудники группы; конкретные аудитории уточнить по программам</x:v>
      </x:c>
      <x:c r="I75" s="5" t="str">
        <x:v>финансы; HR; бухгалтерский учёт; менеджмент; цифровые навыки; подготовка тренеров</x:v>
      </x:c>
      <x:c r="J75" s="5" t="str">
        <x:v>https://tu-ugmk.com/about/</x:v>
      </x:c>
      <x:c r="K75" s="5" t="str">
        <x:v>content_read</x:v>
      </x:c>
      <x:c r="L75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76" ht="54" customHeight="1">
      <x:c r="A76" s="5" t="str">
        <x:v>CU-0047</x:v>
      </x:c>
      <x:c r="B76" s="5" t="str">
        <x:v>Корпоративный университет ТМК2U</x:v>
      </x:c>
      <x:c r="C76" s="5" t="str">
        <x:v>Россия</x:v>
      </x:c>
      <x:c r="D76" s="5" t="str">
        <x:v>Корпоративный университет</x:v>
      </x:c>
      <x:c r="E76" s="5" t="str">
        <x:v>ПАО «ТМК»</x:v>
      </x:c>
      <x:c r="F76" s="5" t="str">
        <x:v>Трубная металлургия</x:v>
      </x:c>
      <x:c r="G76" s="5" t="n">
        <x:v>1</x:v>
      </x:c>
      <x:c r="H76" s="5" t="str">
        <x:v>Руководители, специалисты и сотрудники группы; конкретные аудитории уточнить по программам</x:v>
      </x:c>
      <x:c r="I76" s="5" t="str">
        <x:v>HR; системы оплаты труда; лидерство; кадровый резерв; деловые форумы; внутренние тренеры</x:v>
      </x:c>
      <x:c r="J76" s="5" t="str">
        <x:v>https://tmk2u.com/Event-calendar/</x:v>
      </x:c>
      <x:c r="K76" s="5" t="str">
        <x:v>content_read</x:v>
      </x:c>
      <x:c r="L76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77" ht="54" customHeight="1">
      <x:c r="A77" s="5" t="str">
        <x:v>CU-0048</x:v>
      </x:c>
      <x:c r="B77" s="5" t="str">
        <x:v>Корпоративный центр подготовки кадров «Персонал»</x:v>
      </x:c>
      <x:c r="C77" s="5" t="str">
        <x:v>Россия</x:v>
      </x:c>
      <x:c r="D77" s="5" t="str">
        <x:v>Учебный центр компании</x:v>
      </x:c>
      <x:c r="E77" s="5" t="str">
        <x:v>АНО ДПО «КЦПК «Персонал»</x:v>
      </x:c>
      <x:c r="F77" s="5" t="str">
        <x:v>Металлургия</x:v>
      </x:c>
      <x:c r="G77" s="5" t="n">
        <x:v>1</x:v>
      </x:c>
      <x:c r="H77" s="5" t="str">
        <x:v>Руководители, специалисты и сотрудники группы; конкретные аудитории уточнить по программам</x:v>
      </x:c>
      <x:c r="I77" s="5" t="str">
        <x:v>менеджмент; HR; наставничество; методология обучения; электронные курсы; развитие руководителей</x:v>
      </x:c>
      <x:c r="J77" s="5" t="str">
        <x:v>https://kcpk.ru/about/</x:v>
      </x:c>
      <x:c r="K77" s="5" t="str">
        <x:v>content_read</x:v>
      </x:c>
      <x:c r="L77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78" ht="54" customHeight="1">
      <x:c r="A78" s="5" t="str">
        <x:v>CU-0049</x:v>
      </x:c>
      <x:c r="B78" s="5" t="str">
        <x:v>Корпоративный университет Полюса</x:v>
      </x:c>
      <x:c r="C78" s="5" t="str">
        <x:v>Россия</x:v>
      </x:c>
      <x:c r="D78" s="5" t="str">
        <x:v>Корпоративный университет</x:v>
      </x:c>
      <x:c r="E78" s="5" t="str">
        <x:v>ПАО «Полюс»</x:v>
      </x:c>
      <x:c r="F78" s="5" t="str">
        <x:v>Золотодобыча</x:v>
      </x:c>
      <x:c r="G78" s="5" t="n">
        <x:v>1</x:v>
      </x:c>
      <x:c r="H78" s="5" t="str">
        <x:v>Руководители, специалисты и сотрудники группы; конкретные аудитории уточнить по программам</x:v>
      </x:c>
      <x:c r="I78" s="5" t="str">
        <x:v>управление; кадровый резерв; индивидуальные программы развития; цифровые навыки; дистанционное обучение</x:v>
      </x:c>
      <x:c r="J78" s="5" t="str">
        <x:v>https://career.polyus.com/about/</x:v>
      </x:c>
      <x:c r="K78" s="5" t="str">
        <x:v>content_read</x:v>
      </x:c>
      <x:c r="L7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79" ht="54" customHeight="1">
      <x:c r="A79" s="5" t="str">
        <x:v>CU-0050</x:v>
      </x:c>
      <x:c r="B79" s="5" t="str">
        <x:v>Корпоративный университет АЛРОСА</x:v>
      </x:c>
      <x:c r="C79" s="5" t="str">
        <x:v>Россия</x:v>
      </x:c>
      <x:c r="D79" s="5" t="str">
        <x:v>Корпоративный университет</x:v>
      </x:c>
      <x:c r="E79" s="5" t="str">
        <x:v>АК «АЛРОСА» (ПАО)</x:v>
      </x:c>
      <x:c r="F79" s="5" t="str">
        <x:v>Алмазодобыча</x:v>
      </x:c>
      <x:c r="G79" s="5" t="n">
        <x:v>1</x:v>
      </x:c>
      <x:c r="H79" s="5" t="str">
        <x:v>Руководители, специалисты и сотрудники группы; конкретные аудитории уточнить по программам</x:v>
      </x:c>
      <x:c r="I79" s="5" t="str">
        <x:v>кадровый резерв; лидерство; развитие руководителей; наставничество; дистанционные программы</x:v>
      </x:c>
      <x:c r="J79" s="5" t="str">
        <x:v>https://cpk-alrosa.ru/news?cid=6454ed4068e20b0b4c72ce1f</x:v>
      </x:c>
      <x:c r="K79" s="5" t="str">
        <x:v>search_index</x:v>
      </x:c>
      <x:c r="L7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80" ht="54" customHeight="1">
      <x:c r="A80" s="5" t="str">
        <x:v>CU-0054</x:v>
      </x:c>
      <x:c r="B80" s="5" t="str">
        <x:v>Корпоративный университет СИБУРа</x:v>
      </x:c>
      <x:c r="C80" s="5" t="str">
        <x:v>Россия</x:v>
      </x:c>
      <x:c r="D80" s="5" t="str">
        <x:v>Корпоративный университет</x:v>
      </x:c>
      <x:c r="E80" s="5" t="str">
        <x:v>ПАО «СИБУР Холдинг»</x:v>
      </x:c>
      <x:c r="F80" s="5" t="str">
        <x:v>Нефтехимия</x:v>
      </x:c>
      <x:c r="G80" s="5" t="n">
        <x:v>1</x:v>
      </x:c>
      <x:c r="H80" s="5" t="str">
        <x:v>Руководители, специалисты и сотрудники группы; конкретные аудитории уточнить по программам</x:v>
      </x:c>
      <x:c r="I80" s="5" t="str">
        <x:v>управление изменениями; лидерство; развитие специалистов; цифровые навыки; клиентское обучение; электронные курсы</x:v>
      </x:c>
      <x:c r="J80" s="5" t="str">
        <x:v>https://www.sibur.ru/ru/corporate-university/</x:v>
      </x:c>
      <x:c r="K80" s="5" t="str">
        <x:v>content_read</x:v>
      </x:c>
      <x:c r="L8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81" ht="54" customHeight="1">
      <x:c r="A81" s="5" t="str">
        <x:v>CU-0055</x:v>
      </x:c>
      <x:c r="B81" s="5" t="str">
        <x:v>Корпоративный университет Уралкалия</x:v>
      </x:c>
      <x:c r="C81" s="5" t="str">
        <x:v>Россия</x:v>
      </x:c>
      <x:c r="D81" s="5" t="str">
        <x:v>Корпоративный университет</x:v>
      </x:c>
      <x:c r="E81" s="5" t="str">
        <x:v>ПАО «Уралкалий»</x:v>
      </x:c>
      <x:c r="F81" s="5" t="str">
        <x:v>Минеральные удобрения</x:v>
      </x:c>
      <x:c r="G81" s="5" t="n">
        <x:v>1</x:v>
      </x:c>
      <x:c r="H81" s="5" t="str">
        <x:v>Руководители, специалисты и сотрудники группы; конкретные аудитории уточнить по программам</x:v>
      </x:c>
      <x:c r="I81" s="5" t="str">
        <x:v>управление; кадровый резерв; HR; наставничество; цифровые навыки; дистанционное обучение</x:v>
      </x:c>
      <x:c r="J81" s="5" t="str">
        <x:v>https://www.uralkali.com/ru/career/staff/</x:v>
      </x:c>
      <x:c r="K81" s="5" t="str">
        <x:v>search_index</x:v>
      </x:c>
      <x:c r="L8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82" ht="54" customHeight="1">
      <x:c r="A82" s="5" t="str">
        <x:v>CU-0056</x:v>
      </x:c>
      <x:c r="B82" s="5" t="str">
        <x:v>Корпоративный университет Уралхима</x:v>
      </x:c>
      <x:c r="C82" s="5" t="str">
        <x:v>Россия</x:v>
      </x:c>
      <x:c r="D82" s="5" t="str">
        <x:v>Корпоративный университет</x:v>
      </x:c>
      <x:c r="E82" s="5" t="str">
        <x:v>АО «ОХК «Уралхим»</x:v>
      </x:c>
      <x:c r="F82" s="5" t="str">
        <x:v>Химическая промышленность</x:v>
      </x:c>
      <x:c r="G82" s="5" t="n">
        <x:v>1</x:v>
      </x:c>
      <x:c r="H82" s="5" t="str">
        <x:v>Руководители, специалисты и сотрудники группы; конкретные аудитории уточнить по программам</x:v>
      </x:c>
      <x:c r="I82" s="5" t="str">
        <x:v>развитие ОЦО; финансы; HR; управленческие навыки; дистанционное обучение; цифровые компетенции</x:v>
      </x:c>
      <x:c r="J82" s="5" t="str">
        <x:v>https://csc.uralchem.ru/</x:v>
      </x:c>
      <x:c r="K82" s="5" t="str">
        <x:v>search_index</x:v>
      </x:c>
      <x:c r="L8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83" ht="54" customHeight="1">
      <x:c r="A83" s="5" t="str">
        <x:v>CU-0060</x:v>
      </x:c>
      <x:c r="B83" s="5" t="str">
        <x:v>Корпоративный университет Акрон Холдинг</x:v>
      </x:c>
      <x:c r="C83" s="5" t="str">
        <x:v>Россия</x:v>
      </x:c>
      <x:c r="D83" s="5" t="str">
        <x:v>Корпоративный университет</x:v>
      </x:c>
      <x:c r="E83" s="5" t="str">
        <x:v>ГК «Акрон Холдинг»</x:v>
      </x:c>
      <x:c r="F83" s="5" t="str">
        <x:v>Промышленность и переработка металлов</x:v>
      </x:c>
      <x:c r="G83" s="5" t="n">
        <x:v>1</x:v>
      </x:c>
      <x:c r="H83" s="5" t="str">
        <x:v>Руководители, специалисты и сотрудники группы; конкретные аудитории уточнить по программам</x:v>
      </x:c>
      <x:c r="I83" s="5" t="str">
        <x:v>стратегические сессии; взаимодействие подразделений; менеджмент; обучение специалистов; цифровые курсы</x:v>
      </x:c>
      <x:c r="J83" s="5" t="str">
        <x:v>https://podolskkabel.ru/news/korporativnyy-universitet-provel-v-podolske-strategicheskuyu-sessiyu-po-vzaimode/</x:v>
      </x:c>
      <x:c r="K83" s="5" t="str">
        <x:v>search_index</x:v>
      </x:c>
      <x:c r="L8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84" ht="54" customHeight="1">
      <x:c r="A84" s="5" t="str">
        <x:v>CU-0061</x:v>
      </x:c>
      <x:c r="B84" s="5" t="str">
        <x:v>Академия Ростеха</x:v>
      </x:c>
      <x:c r="C84" s="5" t="str">
        <x:v>Россия</x:v>
      </x:c>
      <x:c r="D84" s="5" t="str">
        <x:v>Корпоративная академия</x:v>
      </x:c>
      <x:c r="E84" s="5" t="str">
        <x:v>АНО «Корпоративная сетевая академия»</x:v>
      </x:c>
      <x:c r="F84" s="5" t="str">
        <x:v>Промышленный холдинг</x:v>
      </x:c>
      <x:c r="G84" s="5" t="n">
        <x:v>1</x:v>
      </x:c>
      <x:c r="H84" s="5" t="str">
        <x:v>Руководители, специалисты и сотрудники группы; конкретные аудитории уточнить по программам</x:v>
      </x:c>
      <x:c r="I84" s="5" t="str">
        <x:v>управление; экономика предприятия; HR; цифровизация; обучение тренеров; закупки; право</x:v>
      </x:c>
      <x:c r="J84" s="5" t="str">
        <x:v>https://rostec.academy/</x:v>
      </x:c>
      <x:c r="K84" s="5" t="str">
        <x:v>content_read</x:v>
      </x:c>
      <x:c r="L8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85" ht="54" customHeight="1">
      <x:c r="A85" s="5" t="str">
        <x:v>CU-0062</x:v>
      </x:c>
      <x:c r="B85" s="5" t="str">
        <x:v>Корпоративный университет КАМАЗа</x:v>
      </x:c>
      <x:c r="C85" s="5" t="str">
        <x:v>Россия</x:v>
      </x:c>
      <x:c r="D85" s="5" t="str">
        <x:v>Корпоративный университет</x:v>
      </x:c>
      <x:c r="E85" s="5" t="str">
        <x:v>ПАО «КАМАЗ»</x:v>
      </x:c>
      <x:c r="F85" s="5" t="str">
        <x:v>Автомобилестроение</x:v>
      </x:c>
      <x:c r="G85" s="5" t="n">
        <x:v>1</x:v>
      </x:c>
      <x:c r="H85" s="5" t="str">
        <x:v>Руководители, специалисты и сотрудники группы; конкретные аудитории уточнить по программам</x:v>
      </x:c>
      <x:c r="I85" s="5" t="str">
        <x:v>Excel; цифровые навыки; наставничество; производственный менеджмент; бухгалтерский учёт; налоговое право</x:v>
      </x:c>
      <x:c r="J85" s="5" t="str">
        <x:v>https://vestikamaza.ru/posts/na_kamaze_razrabotan_proekt_dlya_povysheniya_czifrovoj_gramotnosti_sotrudnikov/</x:v>
      </x:c>
      <x:c r="K85" s="5" t="str">
        <x:v>content_read</x:v>
      </x:c>
      <x:c r="L85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86" ht="54" customHeight="1">
      <x:c r="A86" s="5" t="str">
        <x:v>CU-0063</x:v>
      </x:c>
      <x:c r="B86" s="5" t="str">
        <x:v>Корпоративный университет Горьковского автозавода</x:v>
      </x:c>
      <x:c r="C86" s="5" t="str">
        <x:v>Россия</x:v>
      </x:c>
      <x:c r="D86" s="5" t="str">
        <x:v>Корпоративный университет</x:v>
      </x:c>
      <x:c r="E86" s="5" t="str">
        <x:v>Горьковский автомобильный завод</x:v>
      </x:c>
      <x:c r="F86" s="5" t="str">
        <x:v>Автомобилестроение</x:v>
      </x:c>
      <x:c r="G86" s="5" t="n">
        <x:v>1</x:v>
      </x:c>
      <x:c r="H86" s="5" t="str">
        <x:v>Руководители, специалисты и сотрудники группы; конкретные аудитории уточнить по программам</x:v>
      </x:c>
      <x:c r="I86" s="5" t="str">
        <x:v>производственный менеджмент; цифровые технологии; внутренние тренеры; наставничество; электронные курсы</x:v>
      </x:c>
      <x:c r="J86" s="5" t="str">
        <x:v>https://autozavod.media/rubrics/news/korporativnyy-universitet-gorkovskogo-avtozavoda-pereosnashchaetsya-v-ramkakh-nsv/</x:v>
      </x:c>
      <x:c r="K86" s="5" t="str">
        <x:v>search_index</x:v>
      </x:c>
      <x:c r="L86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87" ht="54" customHeight="1">
      <x:c r="A87" s="5" t="str">
        <x:v>CU-0065</x:v>
      </x:c>
      <x:c r="B87" s="5" t="str">
        <x:v>Корпоративная академия Роскосмоса</x:v>
      </x:c>
      <x:c r="C87" s="5" t="str">
        <x:v>Россия</x:v>
      </x:c>
      <x:c r="D87" s="5" t="str">
        <x:v>Корпоративная академия</x:v>
      </x:c>
      <x:c r="E87" s="5" t="str">
        <x:v>АНО «Корпоративная Академия Роскосмоса»</x:v>
      </x:c>
      <x:c r="F87" s="5" t="str">
        <x:v>Ракетно-космическая промышленность</x:v>
      </x:c>
      <x:c r="G87" s="5" t="n">
        <x:v>1</x:v>
      </x:c>
      <x:c r="H87" s="5" t="str">
        <x:v>Руководители, специалисты и сотрудники группы; конкретные аудитории уточнить по программам</x:v>
      </x:c>
      <x:c r="I87" s="5" t="str">
        <x:v>анализ данных; Excel; наставничество; логистика; управленческие навыки; электронные курсы</x:v>
      </x:c>
      <x:c r="J87" s="5" t="str">
        <x:v>https://rcacademy.ru/</x:v>
      </x:c>
      <x:c r="K87" s="5" t="str">
        <x:v>content_read</x:v>
      </x:c>
      <x:c r="L87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88" ht="54" customHeight="1">
      <x:c r="A88" s="5" t="str">
        <x:v>CU-0066</x:v>
      </x:c>
      <x:c r="B88" s="5" t="str">
        <x:v>Корпоративный университет ОСК</x:v>
      </x:c>
      <x:c r="C88" s="5" t="str">
        <x:v>Россия</x:v>
      </x:c>
      <x:c r="D88" s="5" t="str">
        <x:v>Корпоративный университет</x:v>
      </x:c>
      <x:c r="E88" s="5" t="str">
        <x:v>АО «Объединённая судостроительная корпорация»</x:v>
      </x:c>
      <x:c r="F88" s="5" t="str">
        <x:v>Судостроение</x:v>
      </x:c>
      <x:c r="G88" s="5" t="n">
        <x:v>1</x:v>
      </x:c>
      <x:c r="H88" s="5" t="str">
        <x:v>Руководители, специалисты и сотрудники группы; конкретные аудитории уточнить по программам</x:v>
      </x:c>
      <x:c r="I88" s="5" t="str">
        <x:v>производственный менеджмент; кадровый резерв; управление проектами; лидерство; электронные курсы</x:v>
      </x:c>
      <x:c r="J88" s="5" t="str">
        <x:v>https://www.aoosk.ru/press-center/exhibition/eksperty-rasskazali-o-proektakh-osk-na-mezhdunarodnom-forume/</x:v>
      </x:c>
      <x:c r="K88" s="5" t="str">
        <x:v>search_index</x:v>
      </x:c>
      <x:c r="L8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89" ht="54" customHeight="1">
      <x:c r="A89" s="5" t="str">
        <x:v>CU-0067</x:v>
      </x:c>
      <x:c r="B89" s="5" t="str">
        <x:v>Университет ТМХ</x:v>
      </x:c>
      <x:c r="C89" s="5" t="str">
        <x:v>Россия</x:v>
      </x:c>
      <x:c r="D89" s="5" t="str">
        <x:v>Корпоративный университет</x:v>
      </x:c>
      <x:c r="E89" s="5" t="str">
        <x:v>Трансмашхолдинг</x:v>
      </x:c>
      <x:c r="F89" s="5" t="str">
        <x:v>Транспортное машиностроение</x:v>
      </x:c>
      <x:c r="G89" s="5" t="n">
        <x:v>1</x:v>
      </x:c>
      <x:c r="H89" s="5" t="str">
        <x:v>Руководители, специалисты и сотрудники группы; конкретные аудитории уточнить по программам</x:v>
      </x:c>
      <x:c r="I89" s="5" t="str">
        <x:v>менеджмент; управление проектами; наставничество; развитие специалистов; цифровое обучение</x:v>
      </x:c>
      <x:c r="J89" s="5" t="str">
        <x:v>https://tmh-university.ru/</x:v>
      </x:c>
      <x:c r="K89" s="5" t="str">
        <x:v>search_index</x:v>
      </x:c>
      <x:c r="L8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90" ht="54" customHeight="1">
      <x:c r="A90" s="5" t="str">
        <x:v>CU-0068</x:v>
      </x:c>
      <x:c r="B90" s="5" t="str">
        <x:v>Корпоративный университет ОАК</x:v>
      </x:c>
      <x:c r="C90" s="5" t="str">
        <x:v>Россия</x:v>
      </x:c>
      <x:c r="D90" s="5" t="str">
        <x:v>Корпоративный университет</x:v>
      </x:c>
      <x:c r="E90" s="5" t="str">
        <x:v>ПАО «Объединённая авиастроительная корпорация»</x:v>
      </x:c>
      <x:c r="F90" s="5" t="str">
        <x:v>Авиастроение</x:v>
      </x:c>
      <x:c r="G90" s="5" t="n">
        <x:v>1</x:v>
      </x:c>
      <x:c r="H90" s="5" t="str">
        <x:v>Руководители, специалисты и сотрудники группы; конкретные аудитории уточнить по программам</x:v>
      </x:c>
      <x:c r="I90" s="5" t="str">
        <x:v>менеджмент; управление изменениями; проекты; бережливое производство; цифровые курсы; наставничество</x:v>
      </x:c>
      <x:c r="J90" s="5" t="str">
        <x:v>https://uacrussia.ru/ru/corporation/personnel-policy/sustained-education/</x:v>
      </x:c>
      <x:c r="K90" s="5" t="str">
        <x:v>search_index</x:v>
      </x:c>
      <x:c r="L9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91" ht="54" customHeight="1">
      <x:c r="A91" s="5" t="str">
        <x:v>CU-0071</x:v>
      </x:c>
      <x:c r="B91" s="5" t="str">
        <x:v>Корпоративный университет Группы «Илим»</x:v>
      </x:c>
      <x:c r="C91" s="5" t="str">
        <x:v>Россия</x:v>
      </x:c>
      <x:c r="D91" s="5" t="str">
        <x:v>Корпоративный университет</x:v>
      </x:c>
      <x:c r="E91" s="5" t="str">
        <x:v>АО «Группа «Илим»</x:v>
      </x:c>
      <x:c r="F91" s="5" t="str">
        <x:v>Целлюлозно-бумажная промышленность</x:v>
      </x:c>
      <x:c r="G91" s="5" t="n">
        <x:v>1</x:v>
      </x:c>
      <x:c r="H91" s="5" t="str">
        <x:v>Руководители, специалисты и сотрудники группы; конкретные аудитории уточнить по программам</x:v>
      </x:c>
      <x:c r="I91" s="5" t="str">
        <x:v>управленческие компетенции; кадровый резерв; цифровые проекты; наставничество; электронные курсы</x:v>
      </x:c>
      <x:c r="J91" s="5" t="str">
        <x:v>https://www.ilimgroup.ru/career/corporate-university/</x:v>
      </x:c>
      <x:c r="K91" s="5" t="str">
        <x:v>search_index</x:v>
      </x:c>
      <x:c r="L9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92" ht="54" customHeight="1">
      <x:c r="A92" s="5" t="str">
        <x:v>CU-0072</x:v>
      </x:c>
      <x:c r="B92" s="5" t="str">
        <x:v>Корпоративный университет Асконы</x:v>
      </x:c>
      <x:c r="C92" s="5" t="str">
        <x:v>Россия</x:v>
      </x:c>
      <x:c r="D92" s="5" t="str">
        <x:v>Корпоративный университет</x:v>
      </x:c>
      <x:c r="E92" s="5" t="str">
        <x:v>Askona Life Group</x:v>
      </x:c>
      <x:c r="F92" s="5" t="str">
        <x:v>Производство мебели и товаров для сна</x:v>
      </x:c>
      <x:c r="G92" s="5" t="n">
        <x:v>1</x:v>
      </x:c>
      <x:c r="H92" s="5" t="str">
        <x:v>Руководители, специалисты и сотрудники группы; конкретные аудитории уточнить по программам</x:v>
      </x:c>
      <x:c r="I92" s="5" t="str">
        <x:v>ИИ для бизнеса; управление; клиентский сервис; продажи; кадровый резерв; электронные курсы</x:v>
      </x:c>
      <x:c r="J92" s="5" t="str">
        <x:v>https://almetevsk.askona.ru/news/company/askona-predstavila-svoyu-ekspertizu-na-pmef-2026/</x:v>
      </x:c>
      <x:c r="K92" s="5" t="str">
        <x:v>search_index</x:v>
      </x:c>
      <x:c r="L9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93" ht="54" customHeight="1">
      <x:c r="A93" s="5" t="str">
        <x:v>CU-0075</x:v>
      </x:c>
      <x:c r="B93" s="5" t="str">
        <x:v>НОЦ ВКО «Алмаз-Антей» им. академика В.П. Ефремова</x:v>
      </x:c>
      <x:c r="C93" s="5" t="str">
        <x:v>Россия</x:v>
      </x:c>
      <x:c r="D93" s="5" t="str">
        <x:v>Отраслевой учебный центр</x:v>
      </x:c>
      <x:c r="E93" s="5" t="str">
        <x:v>АНО ДПО «НОЦ ВКО «Алмаз-Антей»</x:v>
      </x:c>
      <x:c r="F93" s="5" t="str">
        <x:v>Промышленный холдинг</x:v>
      </x:c>
      <x:c r="G93" s="5" t="n">
        <x:v>1</x:v>
      </x:c>
      <x:c r="H93" s="5" t="str">
        <x:v>Руководители, специалисты и сотрудники группы; конкретные аудитории уточнить по программам</x:v>
      </x:c>
      <x:c r="I93" s="5" t="str">
        <x:v>управление проектами; экономика; закупки; качество; цифровые компетенции; электронное обучение</x:v>
      </x:c>
      <x:c r="J93" s="5" t="str">
        <x:v>https://nocvko.ru/</x:v>
      </x:c>
      <x:c r="K93" s="5" t="str">
        <x:v>content_read</x:v>
      </x:c>
      <x:c r="L9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94" ht="54" customHeight="1">
      <x:c r="A94" s="5" t="str">
        <x:v>CU-0081</x:v>
      </x:c>
      <x:c r="B94" s="5" t="str">
        <x:v>СберУниверситет</x:v>
      </x:c>
      <x:c r="C94" s="5" t="str">
        <x:v>Россия</x:v>
      </x:c>
      <x:c r="D94" s="5" t="str">
        <x:v>Корпоративный университет</x:v>
      </x:c>
      <x:c r="E94" s="5" t="str">
        <x:v>Сбер</x:v>
      </x:c>
      <x:c r="F94" s="5" t="str">
        <x:v>Банки</x:v>
      </x:c>
      <x:c r="G94" s="5" t="n">
        <x:v>1</x:v>
      </x:c>
      <x:c r="H94" s="5" t="str">
        <x:v>Руководители Сбера, внешних компаний и государственных организаций</x:v>
      </x:c>
      <x:c r="I94" s="5" t="str">
        <x:v>Финансы, менеджмент, стратегия, ИИ, цифровые навыки, проектирование электронных курсов.</x:v>
      </x:c>
      <x:c r="J94" s="5" t="str">
        <x:v>https://sberuniversity.ru/</x:v>
      </x:c>
      <x:c r="K94" s="5" t="str">
        <x:v>content_read</x:v>
      </x:c>
      <x:c r="L94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95" ht="54" customHeight="1">
      <x:c r="A95" s="5" t="str">
        <x:v>CU-0083</x:v>
      </x:c>
      <x:c r="B95" s="5" t="str">
        <x:v>Альфа-Академия</x:v>
      </x:c>
      <x:c r="C95" s="5" t="str">
        <x:v>Россия</x:v>
      </x:c>
      <x:c r="D95" s="5" t="str">
        <x:v>Корпоративный университет</x:v>
      </x:c>
      <x:c r="E95" s="5" t="str">
        <x:v>Альфа-Банк</x:v>
      </x:c>
      <x:c r="F95" s="5" t="str">
        <x:v>Банки</x:v>
      </x:c>
      <x:c r="G95" s="5" t="n">
        <x:v>1</x:v>
      </x:c>
      <x:c r="H95" s="5" t="str">
        <x:v>Руководители, специалисты и кадровый резерв компании</x:v>
      </x:c>
      <x:c r="I95" s="5" t="str">
        <x:v>Управленческие навыки, HR, обучение продажам, финансовые программы, электронный контент.</x:v>
      </x:c>
      <x:c r="J95" s="5" t="str">
        <x:v>https://alfabank.ru/about/sustainability/</x:v>
      </x:c>
      <x:c r="K95" s="5" t="str">
        <x:v>search_index</x:v>
      </x:c>
      <x:c r="L9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96" ht="54" customHeight="1">
      <x:c r="A96" s="5" t="str">
        <x:v>CU-0084</x:v>
      </x:c>
      <x:c r="B96" s="5" t="str">
        <x:v>РСХБ-Университет</x:v>
      </x:c>
      <x:c r="C96" s="5" t="str">
        <x:v>Россия</x:v>
      </x:c>
      <x:c r="D96" s="5" t="str">
        <x:v>Корпоративный университет</x:v>
      </x:c>
      <x:c r="E96" s="5" t="str">
        <x:v>Россельхозбанк</x:v>
      </x:c>
      <x:c r="F96" s="5" t="str">
        <x:v>Банки</x:v>
      </x:c>
      <x:c r="G96" s="5" t="n">
        <x:v>1</x:v>
      </x:c>
      <x:c r="H96" s="5" t="str">
        <x:v>Руководители, специалисты и кадровый резерв компании</x:v>
      </x:c>
      <x:c r="I96" s="5" t="str">
        <x:v>Комплаенс, антикоррупционные программы, закупки, управление, цифровые навыки.</x:v>
      </x:c>
      <x:c r="J96" s="5" t="str">
        <x:v>https://www.rshb.ru/news/19042024-000003</x:v>
      </x:c>
      <x:c r="K96" s="5" t="str">
        <x:v>search_index</x:v>
      </x:c>
      <x:c r="L9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97" ht="54" customHeight="1">
      <x:c r="A97" s="5" t="str">
        <x:v>CU-0087</x:v>
      </x:c>
      <x:c r="B97" s="5" t="str">
        <x:v>Корпоративный университет Совкомбанка</x:v>
      </x:c>
      <x:c r="C97" s="5" t="str">
        <x:v>Россия</x:v>
      </x:c>
      <x:c r="D97" s="5" t="str">
        <x:v>Корпоративный университет</x:v>
      </x:c>
      <x:c r="E97" s="5" t="str">
        <x:v>Совкомбанк</x:v>
      </x:c>
      <x:c r="F97" s="5" t="str">
        <x:v>Банки</x:v>
      </x:c>
      <x:c r="G97" s="5" t="n">
        <x:v>1</x:v>
      </x:c>
      <x:c r="H97" s="5" t="str">
        <x:v>Руководители, специалисты и кадровый резерв компании</x:v>
      </x:c>
      <x:c r="I97" s="5" t="str">
        <x:v>Программы менеджмента, EMBA-модули, комплаенс, корпоративное управление, ИИ.</x:v>
      </x:c>
      <x:c r="J97" s="5" t="str">
        <x:v>https://sovcombank.ru/about/press-center/news/novosti-kompanii/gruppa-sovkombank-stala-laureatom-hr-premii-hrustalnaya-piramida--2024-srazu-v-tryoh-nominatsiyah</x:v>
      </x:c>
      <x:c r="K97" s="5" t="str">
        <x:v>search_index</x:v>
      </x:c>
      <x:c r="L9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98" ht="54" customHeight="1">
      <x:c r="A98" s="5" t="str">
        <x:v>CU-0088</x:v>
      </x:c>
      <x:c r="B98" s="5" t="str">
        <x:v>Корпоративный университет Ингосстраха</x:v>
      </x:c>
      <x:c r="C98" s="5" t="str">
        <x:v>Россия</x:v>
      </x:c>
      <x:c r="D98" s="5" t="str">
        <x:v>Корпоративный университет</x:v>
      </x:c>
      <x:c r="E98" s="5" t="str">
        <x:v>Ингосстрах</x:v>
      </x:c>
      <x:c r="F98" s="5" t="str">
        <x:v>Страхование</x:v>
      </x:c>
      <x:c r="G98" s="5" t="n">
        <x:v>1</x:v>
      </x:c>
      <x:c r="H98" s="5" t="str">
        <x:v>Руководители, специалисты и кадровый резерв компании</x:v>
      </x:c>
      <x:c r="I98" s="5" t="str">
        <x:v>Регулярный менеджмент, клиентский сервис, аналитика, оценка, обучение внутренним тренерам.</x:v>
      </x:c>
      <x:c r="J98" s="5" t="str">
        <x:v>https://cdn.ingos.ru/docs/year-reports/igs-annual-report-2024_rus.pdf</x:v>
      </x:c>
      <x:c r="K98" s="5" t="str">
        <x:v>search_index</x:v>
      </x:c>
      <x:c r="L98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99" ht="54" customHeight="1">
      <x:c r="A99" s="5" t="str">
        <x:v>CU-0090</x:v>
      </x:c>
      <x:c r="B99" s="5" t="str">
        <x:v>Корпоративный университет АльфаСтрахования</x:v>
      </x:c>
      <x:c r="C99" s="5" t="str">
        <x:v>Россия</x:v>
      </x:c>
      <x:c r="D99" s="5" t="str">
        <x:v>Корпоративный университет</x:v>
      </x:c>
      <x:c r="E99" s="5" t="str">
        <x:v>АльфаСтрахование</x:v>
      </x:c>
      <x:c r="F99" s="5" t="str">
        <x:v>Страхование</x:v>
      </x:c>
      <x:c r="G99" s="5" t="n">
        <x:v>1</x:v>
      </x:c>
      <x:c r="H99" s="5" t="str">
        <x:v>Руководители, специалисты и кадровый резерв компании</x:v>
      </x:c>
      <x:c r="I99" s="5" t="str">
        <x:v>Менеджмент, клиентские коммуникации, продажи, финансы, лидерство, обучение тренеров.</x:v>
      </x:c>
      <x:c r="J99" s="5" t="str">
        <x:v>https://www.alfastrah.ru/company/history/</x:v>
      </x:c>
      <x:c r="K99" s="5" t="str">
        <x:v>search_index</x:v>
      </x:c>
      <x:c r="L99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00" ht="54" customHeight="1">
      <x:c r="A100" s="5" t="str">
        <x:v>CU-0092</x:v>
      </x:c>
      <x:c r="B100" s="5" t="str">
        <x:v>Университет Банка России</x:v>
      </x:c>
      <x:c r="C100" s="5" t="str">
        <x:v>Россия</x:v>
      </x:c>
      <x:c r="D100" s="5" t="str">
        <x:v>Корпоративный университет</x:v>
      </x:c>
      <x:c r="E100" s="5" t="str">
        <x:v>Банк России</x:v>
      </x:c>
      <x:c r="F100" s="5" t="str">
        <x:v>Финансовый регулятор</x:v>
      </x:c>
      <x:c r="G100" s="5" t="n">
        <x:v>1</x:v>
      </x:c>
      <x:c r="H100" s="5" t="str">
        <x:v>Руководители, специалисты и кадровый резерв компании</x:v>
      </x:c>
      <x:c r="I100" s="5" t="str">
        <x:v>Финансовые риски, регуляторика, аналитика, управление, цифровые курсы.</x:v>
      </x:c>
      <x:c r="J100" s="5" t="str">
        <x:v>https://www.cbr.ru/about_br/bankstructute/ubr/</x:v>
      </x:c>
      <x:c r="K100" s="5" t="str">
        <x:v>search_index</x:v>
      </x:c>
      <x:c r="L100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01" ht="54" customHeight="1">
      <x:c r="A101" s="5" t="str">
        <x:v>CU-0093</x:v>
      </x:c>
      <x:c r="B101" s="5" t="str">
        <x:v>Корпоративный университет МТС</x:v>
      </x:c>
      <x:c r="C101" s="5" t="str">
        <x:v>Россия</x:v>
      </x:c>
      <x:c r="D101" s="5" t="str">
        <x:v>Корпоративный университет</x:v>
      </x:c>
      <x:c r="E101" s="5" t="str">
        <x:v>МТС</x:v>
      </x:c>
      <x:c r="F101" s="5" t="str">
        <x:v>Телекоммуникации</x:v>
      </x:c>
      <x:c r="G101" s="5" t="n">
        <x:v>1</x:v>
      </x:c>
      <x:c r="H101" s="5" t="str">
        <x:v>Руководители, специалисты и кадровый резерв компании</x:v>
      </x:c>
      <x:c r="I101" s="5" t="str">
        <x:v>Комплаенс, IT и бизнес-анализ, лидерство, электронное обучение и курсы для партнёров.</x:v>
      </x:c>
      <x:c r="J101" s="5" t="str">
        <x:v>https://support.mts.ru/korporativnyyuniversitet</x:v>
      </x:c>
      <x:c r="K101" s="5" t="str">
        <x:v>content_read</x:v>
      </x:c>
      <x:c r="L101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02" ht="54" customHeight="1">
      <x:c r="A102" s="5" t="str">
        <x:v>CU-0094</x:v>
      </x:c>
      <x:c r="B102" s="5" t="str">
        <x:v>билайн университет</x:v>
      </x:c>
      <x:c r="C102" s="5" t="str">
        <x:v>Россия</x:v>
      </x:c>
      <x:c r="D102" s="5" t="str">
        <x:v>Корпоративный университет</x:v>
      </x:c>
      <x:c r="E102" s="5" t="str">
        <x:v>ВымпелКом / билайн</x:v>
      </x:c>
      <x:c r="F102" s="5" t="str">
        <x:v>Телекоммуникации</x:v>
      </x:c>
      <x:c r="G102" s="5" t="n">
        <x:v>1</x:v>
      </x:c>
      <x:c r="H102" s="5" t="str">
        <x:v>Руководители, специалисты и кадровый резерв компании</x:v>
      </x:c>
      <x:c r="I102" s="5" t="str">
        <x:v>Развитие лидеров, управление изменениями, навыки будущего, электронные и видеокурсы.</x:v>
      </x:c>
      <x:c r="J102" s="5" t="str">
        <x:v>https://beelinenow.ru/articles/klassika-i-sovremennost-25-let-bilayn-universitetu/</x:v>
      </x:c>
      <x:c r="K102" s="5" t="str">
        <x:v>search_index</x:v>
      </x:c>
      <x:c r="L102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03" ht="54" customHeight="1">
      <x:c r="A103" s="5" t="str">
        <x:v>CU-0095</x:v>
      </x:c>
      <x:c r="B103" s="5" t="str">
        <x:v>Корпоративный онлайн-университет Ростелекома</x:v>
      </x:c>
      <x:c r="C103" s="5" t="str">
        <x:v>Россия</x:v>
      </x:c>
      <x:c r="D103" s="5" t="str">
        <x:v>Корпоративный университет</x:v>
      </x:c>
      <x:c r="E103" s="5" t="str">
        <x:v>Ростелеком</x:v>
      </x:c>
      <x:c r="F103" s="5" t="str">
        <x:v>Телекоммуникации</x:v>
      </x:c>
      <x:c r="G103" s="5" t="n">
        <x:v>1</x:v>
      </x:c>
      <x:c r="H103" s="5" t="str">
        <x:v>Руководители, специалисты и кадровый резерв компании</x:v>
      </x:c>
      <x:c r="I103" s="5" t="str">
        <x:v>Цифровая трансформация, управление, ИИ, тренеры, разработка контента.</x:v>
      </x:c>
      <x:c r="J103" s="5" t="str">
        <x:v>https://www.company.rt.ru/social/staff/</x:v>
      </x:c>
      <x:c r="K103" s="5" t="str">
        <x:v>search_index</x:v>
      </x:c>
      <x:c r="L103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04" ht="54" customHeight="1">
      <x:c r="A104" s="5" t="str">
        <x:v>CU-0097</x:v>
      </x:c>
      <x:c r="B104" s="5" t="str">
        <x:v>Полка X5</x:v>
      </x:c>
      <x:c r="C104" s="5" t="str">
        <x:v>Россия</x:v>
      </x:c>
      <x:c r="D104" s="5" t="str">
        <x:v>Корпоративный университет</x:v>
      </x:c>
      <x:c r="E104" s="5" t="str">
        <x:v>X5 Group</x:v>
      </x:c>
      <x:c r="F104" s="5" t="str">
        <x:v>Розничная торговля</x:v>
      </x:c>
      <x:c r="G104" s="5" t="n">
        <x:v>1</x:v>
      </x:c>
      <x:c r="H104" s="5" t="str">
        <x:v>Руководители, специалисты и кадровый резерв компании</x:v>
      </x:c>
      <x:c r="I104" s="5" t="str">
        <x:v>Менеджмент, цифровые навыки, финансы, управление категориями, обучение тренеров.</x:v>
      </x:c>
      <x:c r="J104" s="5" t="str">
        <x:v>https://www.x5.ru/ru/news/x5-zapuskaet-korporativnyj-universitet/</x:v>
      </x:c>
      <x:c r="K104" s="5" t="str">
        <x:v>search_index</x:v>
      </x:c>
      <x:c r="L104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05" ht="54" customHeight="1">
      <x:c r="A105" s="5" t="str">
        <x:v>CU-0099</x:v>
      </x:c>
      <x:c r="B105" s="5" t="str">
        <x:v>Корпоративный университет Монетки</x:v>
      </x:c>
      <x:c r="C105" s="5" t="str">
        <x:v>Россия</x:v>
      </x:c>
      <x:c r="D105" s="5" t="str">
        <x:v>Корпоративный университет</x:v>
      </x:c>
      <x:c r="E105" s="5" t="str">
        <x:v>Торговая сеть Монетка</x:v>
      </x:c>
      <x:c r="F105" s="5" t="str">
        <x:v>Розничная торговля</x:v>
      </x:c>
      <x:c r="G105" s="5" t="n">
        <x:v>1</x:v>
      </x:c>
      <x:c r="H105" s="5" t="str">
        <x:v>Руководители, специалисты и кадровый резерв компании</x:v>
      </x:c>
      <x:c r="I105" s="5" t="str">
        <x:v>Кадровый резерв, управленческие тренинги, сервис, электронное обучение.</x:v>
      </x:c>
      <x:c r="J105" s="5" t="str">
        <x:v>https://www.lentagroup.ru/ru/media/news-and-press-releases/bolee-98-sotrudnikov-monetki-polozhitelno-otsenivayut-obuchenie-v-korporativnom-universitete/</x:v>
      </x:c>
      <x:c r="K105" s="5" t="str">
        <x:v>search_index</x:v>
      </x:c>
      <x:c r="L10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06" ht="54" customHeight="1">
      <x:c r="A106" s="5" t="str">
        <x:v>CU-0102</x:v>
      </x:c>
      <x:c r="B106" s="5" t="str">
        <x:v>Корпоративный университет КРОК</x:v>
      </x:c>
      <x:c r="C106" s="5" t="str">
        <x:v>Россия</x:v>
      </x:c>
      <x:c r="D106" s="5" t="str">
        <x:v>Корпоративный университет</x:v>
      </x:c>
      <x:c r="E106" s="5" t="str">
        <x:v>КРОК</x:v>
      </x:c>
      <x:c r="F106" s="5" t="str">
        <x:v>Информационные технологии</x:v>
      </x:c>
      <x:c r="G106" s="5" t="n">
        <x:v>1</x:v>
      </x:c>
      <x:c r="H106" s="5" t="str">
        <x:v>Руководители, специалисты и кадровый резерв компании</x:v>
      </x:c>
      <x:c r="I106" s="5" t="str">
        <x:v>Обучение внутренним тренерам, бизнес-коммуникации, HR, управление, разработка курсов.</x:v>
      </x:c>
      <x:c r="J106" s="5" t="str">
        <x:v>https://edcrunch.online/conf/2022/180</x:v>
      </x:c>
      <x:c r="K106" s="5" t="str">
        <x:v>search_index</x:v>
      </x:c>
      <x:c r="L10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07" ht="54" customHeight="1">
      <x:c r="A107" s="5" t="str">
        <x:v>CU-0103</x:v>
      </x:c>
      <x:c r="B107" s="5" t="str">
        <x:v>Корпоративный университет / внутренняя Академия Softline</x:v>
      </x:c>
      <x:c r="C107" s="5" t="str">
        <x:v>Россия</x:v>
      </x:c>
      <x:c r="D107" s="5" t="str">
        <x:v>Корпоративный университет</x:v>
      </x:c>
      <x:c r="E107" s="5" t="str">
        <x:v>Softline</x:v>
      </x:c>
      <x:c r="F107" s="5" t="str">
        <x:v>Информационные технологии</x:v>
      </x:c>
      <x:c r="G107" s="5" t="n">
        <x:v>1</x:v>
      </x:c>
      <x:c r="H107" s="5" t="str">
        <x:v>Руководители, специалисты и кадровый резерв компании</x:v>
      </x:c>
      <x:c r="I107" s="5" t="str">
        <x:v>Управление, коммуникации, продажи ИТ-решений, развитие тренеров, электронные курсы.</x:v>
      </x:c>
      <x:c r="J107" s="5" t="str">
        <x:v>https://edu.softline.com/news/kompaniya-softline-otkryta-dlya-vsekh-kto-reshil-smenit-profil-deyatelnosti-i-nashel-sebya-v-it/</x:v>
      </x:c>
      <x:c r="K107" s="5" t="str">
        <x:v>search_index</x:v>
      </x:c>
      <x:c r="L10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08" ht="54" customHeight="1">
      <x:c r="A108" s="5" t="str">
        <x:v>CU-0105</x:v>
      </x:c>
      <x:c r="B108" s="5" t="str">
        <x:v>Ozon Универ</x:v>
      </x:c>
      <x:c r="C108" s="5" t="str">
        <x:v>Россия</x:v>
      </x:c>
      <x:c r="D108" s="5" t="str">
        <x:v>Корпоративный университет</x:v>
      </x:c>
      <x:c r="E108" s="5" t="str">
        <x:v>Ozon</x:v>
      </x:c>
      <x:c r="F108" s="5" t="str">
        <x:v>Электронная коммерция</x:v>
      </x:c>
      <x:c r="G108" s="5" t="n">
        <x:v>1</x:v>
      </x:c>
      <x:c r="H108" s="5" t="str">
        <x:v>Руководители, специалисты и кадровый резерв компании</x:v>
      </x:c>
      <x:c r="I108" s="5" t="str">
        <x:v>Управление, антимонопольный комплаенс, цифровые курсы, логистика для менеджеров, HR.</x:v>
      </x:c>
      <x:c r="J108" s="5" t="str">
        <x:v>https://dreamjob.ru/employers/26029/blog/ucene-trend-kak-vygladit-korporativnyj-universitet-ozon</x:v>
      </x:c>
      <x:c r="K108" s="5" t="str">
        <x:v>content_read</x:v>
      </x:c>
      <x:c r="L108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09" ht="54" customHeight="1">
      <x:c r="A109" s="5" t="str">
        <x:v>CU-0106</x:v>
      </x:c>
      <x:c r="B109" s="5" t="str">
        <x:v>Корпоративный университет Петровича</x:v>
      </x:c>
      <x:c r="C109" s="5" t="str">
        <x:v>Россия</x:v>
      </x:c>
      <x:c r="D109" s="5" t="str">
        <x:v>Корпоративный университет</x:v>
      </x:c>
      <x:c r="E109" s="5" t="str">
        <x:v>СТД Петрович</x:v>
      </x:c>
      <x:c r="F109" s="5" t="str">
        <x:v>Розничная торговля DIY</x:v>
      </x:c>
      <x:c r="G109" s="5" t="n">
        <x:v>1</x:v>
      </x:c>
      <x:c r="H109" s="5" t="str">
        <x:v>Руководители, специалисты и кадровый резерв компании</x:v>
      </x:c>
      <x:c r="I109" s="5" t="str">
        <x:v>Управленческие компетенции, кадровый резерв, наставничество, гибридное управление.</x:v>
      </x:c>
      <x:c r="J109" s="5" t="str">
        <x:v>https://ostanin.ru/cases/std-petrovich/</x:v>
      </x:c>
      <x:c r="K109" s="5" t="str">
        <x:v>search_index</x:v>
      </x:c>
      <x:c r="L109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10" ht="54" customHeight="1">
      <x:c r="A110" s="5" t="str">
        <x:v>CU-0107</x:v>
      </x:c>
      <x:c r="B110" s="5" t="str">
        <x:v>Корпоративный университет СК Согласие</x:v>
      </x:c>
      <x:c r="C110" s="5" t="str">
        <x:v>Россия</x:v>
      </x:c>
      <x:c r="D110" s="5" t="str">
        <x:v>Корпоративный университет</x:v>
      </x:c>
      <x:c r="E110" s="5" t="str">
        <x:v>СК Согласие</x:v>
      </x:c>
      <x:c r="F110" s="5" t="str">
        <x:v>Страхование</x:v>
      </x:c>
      <x:c r="G110" s="5" t="n">
        <x:v>1</x:v>
      </x:c>
      <x:c r="H110" s="5" t="str">
        <x:v>Руководители, специалисты и кадровый резерв компании</x:v>
      </x:c>
      <x:c r="I110" s="5" t="str">
        <x:v>Обучение офисного персонала, продажи, управление, цифровое обучение, страховой комплаенс.</x:v>
      </x:c>
      <x:c r="J110" s="5" t="str">
        <x:v>https://auditorium-cg.ru/cef25</x:v>
      </x:c>
      <x:c r="K110" s="5" t="str">
        <x:v>search_index</x:v>
      </x:c>
      <x:c r="L110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11" ht="54" customHeight="1">
      <x:c r="A111" s="5" t="str">
        <x:v>CU-0112</x:v>
      </x:c>
      <x:c r="B111" s="5" t="str">
        <x:v>Корпоративный университет СКБ Контур</x:v>
      </x:c>
      <x:c r="C111" s="5" t="str">
        <x:v>Россия</x:v>
      </x:c>
      <x:c r="D111" s="5" t="str">
        <x:v>Корпоративный университет</x:v>
      </x:c>
      <x:c r="E111" s="5" t="str">
        <x:v>СКБ Контур</x:v>
      </x:c>
      <x:c r="F111" s="5" t="str">
        <x:v>Информационные технологии</x:v>
      </x:c>
      <x:c r="G111" s="5" t="n">
        <x:v>1</x:v>
      </x:c>
      <x:c r="H111" s="5" t="str">
        <x:v>Руководители, специалисты и кадровый резерв компании</x:v>
      </x:c>
      <x:c r="I111" s="5" t="str">
        <x:v>Лидерство, фасилитация, управление, HR, обучение бизнес-функций ИТ-компании.</x:v>
      </x:c>
      <x:c r="J111" s="5" t="str">
        <x:v>https://kontur.ru/press/news/79945-kontur_reshenie_kadrovogo_deficita_v_it</x:v>
      </x:c>
      <x:c r="K111" s="5" t="str">
        <x:v>search_index</x:v>
      </x:c>
      <x:c r="L111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12" ht="54" customHeight="1">
      <x:c r="A112" s="5" t="str">
        <x:v>CU-0113</x:v>
      </x:c>
      <x:c r="B112" s="5" t="str">
        <x:v>Корпоративный университет Тензора</x:v>
      </x:c>
      <x:c r="C112" s="5" t="str">
        <x:v>Россия</x:v>
      </x:c>
      <x:c r="D112" s="5" t="str">
        <x:v>Корпоративный университет</x:v>
      </x:c>
      <x:c r="E112" s="5" t="str">
        <x:v>Тензор / Saby</x:v>
      </x:c>
      <x:c r="F112" s="5" t="str">
        <x:v>Информационные технологии</x:v>
      </x:c>
      <x:c r="G112" s="5" t="n">
        <x:v>1</x:v>
      </x:c>
      <x:c r="H112" s="5" t="str">
        <x:v>Руководители, специалисты и кадровый резерв компании</x:v>
      </x:c>
      <x:c r="I112" s="5" t="str">
        <x:v>Менеджмент, продажи, обучение бухгалтерским и кадровым сервисам, электронные курсы.</x:v>
      </x:c>
      <x:c r="J112" s="5" t="str">
        <x:v>https://tensor.ru/about/training</x:v>
      </x:c>
      <x:c r="K112" s="5" t="str">
        <x:v>content_read</x:v>
      </x:c>
      <x:c r="L112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13" ht="54" customHeight="1">
      <x:c r="A113" s="5" t="str">
        <x:v>CU-0114</x:v>
      </x:c>
      <x:c r="B113" s="5" t="str">
        <x:v>Nexign Academy / корпоративный университет Nexign</x:v>
      </x:c>
      <x:c r="C113" s="5" t="str">
        <x:v>Россия</x:v>
      </x:c>
      <x:c r="D113" s="5" t="str">
        <x:v>Корпоративный университет</x:v>
      </x:c>
      <x:c r="E113" s="5" t="str">
        <x:v>Nexign</x:v>
      </x:c>
      <x:c r="F113" s="5" t="str">
        <x:v>Информационные технологии</x:v>
      </x:c>
      <x:c r="G113" s="5" t="n">
        <x:v>1</x:v>
      </x:c>
      <x:c r="H113" s="5" t="str">
        <x:v>Руководители, специалисты и кадровый резерв компании</x:v>
      </x:c>
      <x:c r="I113" s="5" t="str">
        <x:v>Управление ИТ-командами, HR, кадровый резерв, обучение внутренних тренеров.</x:v>
      </x:c>
      <x:c r="J113" s="5" t="str">
        <x:v>https://nexign.com/ru/nexign-academy/razvitie-hr-servisov</x:v>
      </x:c>
      <x:c r="K113" s="5" t="str">
        <x:v>content_read</x:v>
      </x:c>
      <x:c r="L113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14" ht="54" customHeight="1">
      <x:c r="A114" s="5" t="str">
        <x:v>CU-0115</x:v>
      </x:c>
      <x:c r="B114" s="5" t="str">
        <x:v>ВСК Университет</x:v>
      </x:c>
      <x:c r="C114" s="5" t="str">
        <x:v>Россия</x:v>
      </x:c>
      <x:c r="D114" s="5" t="str">
        <x:v>Корпоративный университет</x:v>
      </x:c>
      <x:c r="E114" s="5" t="str">
        <x:v>ВСК</x:v>
      </x:c>
      <x:c r="F114" s="5" t="str">
        <x:v>Страхование</x:v>
      </x:c>
      <x:c r="G114" s="5" t="n">
        <x:v>1</x:v>
      </x:c>
      <x:c r="H114" s="5" t="str">
        <x:v>Руководители, специалисты и кадровый резерв компании</x:v>
      </x:c>
      <x:c r="I114" s="5" t="str">
        <x:v>Страховые финансы, переговоры, управление, деловая переписка, цифровые навыки.</x:v>
      </x:c>
      <x:c r="J114" s="5" t="str">
        <x:v>https://university.vsk.ru/</x:v>
      </x:c>
      <x:c r="K114" s="5" t="str">
        <x:v>content_read</x:v>
      </x:c>
      <x:c r="L114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15" ht="54" customHeight="1">
      <x:c r="A115" s="5" t="str">
        <x:v>CU-0116</x:v>
      </x:c>
      <x:c r="B115" s="5" t="str">
        <x:v>Корпоративный университет Ак Барс Банка</x:v>
      </x:c>
      <x:c r="C115" s="5" t="str">
        <x:v>Россия</x:v>
      </x:c>
      <x:c r="D115" s="5" t="str">
        <x:v>Корпоративный университет</x:v>
      </x:c>
      <x:c r="E115" s="5" t="str">
        <x:v>Ак Барс Банк</x:v>
      </x:c>
      <x:c r="F115" s="5" t="str">
        <x:v>Банки</x:v>
      </x:c>
      <x:c r="G115" s="5" t="n">
        <x:v>1</x:v>
      </x:c>
      <x:c r="H115" s="5" t="str">
        <x:v>Руководители, специалисты и кадровый резерв компании</x:v>
      </x:c>
      <x:c r="I115" s="5" t="str">
        <x:v>Банковские риски, менеджмент, HR, аналитика, цифровые навыки.</x:v>
      </x:c>
      <x:c r="J115" s="5" t="str">
        <x:v>https://www.tisbi.ru/novosti/tisbi-prinyal-uchastie-v-shestom-zasedanii-kruglogo-stola-s-departamentom-po-rabote-s-personalom-i-korporativnim-universitetom-ak-bars-banka</x:v>
      </x:c>
      <x:c r="K115" s="5" t="str">
        <x:v>search_index</x:v>
      </x:c>
      <x:c r="L11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16" ht="54" customHeight="1">
      <x:c r="A116" s="5" t="str">
        <x:v>CU-0117</x:v>
      </x:c>
      <x:c r="B116" s="5" t="str">
        <x:v>Корпоративный университет Газпромбанка</x:v>
      </x:c>
      <x:c r="C116" s="5" t="str">
        <x:v>Россия</x:v>
      </x:c>
      <x:c r="D116" s="5" t="str">
        <x:v>Корпоративный университет</x:v>
      </x:c>
      <x:c r="E116" s="5" t="str">
        <x:v>Газпромбанк</x:v>
      </x:c>
      <x:c r="F116" s="5" t="str">
        <x:v>Банки</x:v>
      </x:c>
      <x:c r="G116" s="5" t="n">
        <x:v>1</x:v>
      </x:c>
      <x:c r="H116" s="5" t="str">
        <x:v>Руководители, специалисты и кадровый резерв компании</x:v>
      </x:c>
      <x:c r="I116" s="5" t="str">
        <x:v>Лидерство, финансовый риск, HR, цифровая трансформация, электронные программы.</x:v>
      </x:c>
      <x:c r="J116" s="5" t="str">
        <x:v>https://career.habr.com/companies/gazprombank/scores/2022</x:v>
      </x:c>
      <x:c r="K116" s="5" t="str">
        <x:v>search_index</x:v>
      </x:c>
      <x:c r="L11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17" ht="54" customHeight="1">
      <x:c r="A117" s="5" t="str">
        <x:v>CU-0122</x:v>
      </x:c>
      <x:c r="B117" s="5" t="str">
        <x:v>Корпоративный университет РЖД</x:v>
      </x:c>
      <x:c r="C117" s="5" t="str">
        <x:v>Россия</x:v>
      </x:c>
      <x:c r="D117" s="5" t="str">
        <x:v>Корпоративный университет</x:v>
      </x:c>
      <x:c r="E117" s="5" t="str">
        <x:v>ОАО «РЖД»</x:v>
      </x:c>
      <x:c r="F117" s="5" t="str">
        <x:v>Железнодорожный транспорт</x:v>
      </x:c>
      <x:c r="G117" s="5" t="n">
        <x:v>1</x:v>
      </x:c>
      <x:c r="H117" s="5" t="str">
        <x:v>Руководители, специалисты, кадровый резерв холдинга и партнёров</x:v>
      </x:c>
      <x:c r="I117" s="5" t="str">
        <x:v>Высокое: менеджмент, HR, корпоративные финансы, цифровая трансформация, методология и электронное обучение</x:v>
      </x:c>
      <x:c r="J117" s="5" t="str">
        <x:v>https://www.universitetrzd.ru/</x:v>
      </x:c>
      <x:c r="K117" s="5" t="str">
        <x:v>content_read</x:v>
      </x:c>
      <x:c r="L117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18" ht="54" customHeight="1">
      <x:c r="A118" s="5" t="str">
        <x:v>CU-0123</x:v>
      </x:c>
      <x:c r="B118" s="5" t="str">
        <x:v>Корпоративный университет группы «Волга-Днепр»</x:v>
      </x:c>
      <x:c r="C118" s="5" t="str">
        <x:v>Россия</x:v>
      </x:c>
      <x:c r="D118" s="5" t="str">
        <x:v>Корпоративный университет</x:v>
      </x:c>
      <x:c r="E118" s="5" t="str">
        <x:v>Группа «Волга-Днепр»</x:v>
      </x:c>
      <x:c r="F118" s="5" t="str">
        <x:v>Авиация и логистика</x:v>
      </x:c>
      <x:c r="G118" s="5" t="n">
        <x:v>1</x:v>
      </x:c>
      <x:c r="H118" s="5" t="str">
        <x:v>Руководители и специалисты, авиационный персонал</x:v>
      </x:c>
      <x:c r="I118" s="5" t="str">
        <x:v>Высокое для бизнес-обучения, менеджмента, управления знаниями и онлайн-программ; авиационные допуски требуют отдельной экспертизы</x:v>
      </x:c>
      <x:c r="J118" s="5" t="str">
        <x:v>https://www.volga-dnepr.com/about/practice-and-work-for-young-specialists/</x:v>
      </x:c>
      <x:c r="K118" s="5" t="str">
        <x:v>content_read</x:v>
      </x:c>
      <x:c r="L118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19" ht="54" customHeight="1">
      <x:c r="A119" s="5" t="str">
        <x:v>CU-0128</x:v>
      </x:c>
      <x:c r="B119" s="5" t="str">
        <x:v>Корпоративный университет Почты России</x:v>
      </x:c>
      <x:c r="C119" s="5" t="str">
        <x:v>Россия</x:v>
      </x:c>
      <x:c r="D119" s="5" t="str">
        <x:v>Корпоративный университет</x:v>
      </x:c>
      <x:c r="E119" s="5" t="str">
        <x:v>АО «Почта России»</x:v>
      </x:c>
      <x:c r="F119" s="5" t="str">
        <x:v>Почтовая связь и логистика</x:v>
      </x:c>
      <x:c r="G119" s="5" t="n">
        <x:v>1</x:v>
      </x:c>
      <x:c r="H119" s="5" t="str">
        <x:v>Руководители и сотрудники распределённой почтовой сети</x:v>
      </x:c>
      <x:c r="I119" s="5" t="str">
        <x:v>Высокое: массовое дистанционное обучение, сервис, управленческие навыки, наставничество и обучающее видео</x:v>
      </x:c>
      <x:c r="J119" s="5" t="str">
        <x:v>https://www.pochta.ru/news/item/post-156</x:v>
      </x:c>
      <x:c r="K119" s="5" t="str">
        <x:v>search_index</x:v>
      </x:c>
      <x:c r="L119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20" ht="54" customHeight="1">
      <x:c r="A120" s="5" t="str">
        <x:v>CU-0129</x:v>
      </x:c>
      <x:c r="B120" s="5" t="str">
        <x:v>Корпоративный университет Транспортного комплекса Москвы</x:v>
      </x:c>
      <x:c r="C120" s="5" t="str">
        <x:v>Россия</x:v>
      </x:c>
      <x:c r="D120" s="5" t="str">
        <x:v>Корпоративный университет</x:v>
      </x:c>
      <x:c r="E120" s="5" t="str">
        <x:v>ГУП «Московский метрополитен» / Московский транспорт</x:v>
      </x:c>
      <x:c r="F120" s="5" t="str">
        <x:v>Городской транспорт</x:v>
      </x:c>
      <x:c r="G120" s="5" t="n">
        <x:v>1</x:v>
      </x:c>
      <x:c r="H120" s="5" t="str">
        <x:v>Сотрудники транспортного комплекса, руководители, наставники</x:v>
      </x:c>
      <x:c r="I120" s="5" t="str">
        <x:v>Высокое для управления, наставничества, сервисных компетенций и цифровых учебных материалов; техническую подготовку ранжировать отдельно</x:v>
      </x:c>
      <x:c r="J120" s="5" t="str">
        <x:v>https://sop.mosmetro.ru/</x:v>
      </x:c>
      <x:c r="K120" s="5" t="str">
        <x:v>search_index</x:v>
      </x:c>
      <x:c r="L120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21" ht="54" customHeight="1">
      <x:c r="A121" s="5" t="str">
        <x:v>CU-0133</x:v>
      </x:c>
      <x:c r="B121" s="5" t="str">
        <x:v>CDEK University / CDEK.Univer</x:v>
      </x:c>
      <x:c r="C121" s="5" t="str">
        <x:v>Россия</x:v>
      </x:c>
      <x:c r="D121" s="5" t="str">
        <x:v>Корпоративный университет</x:v>
      </x:c>
      <x:c r="E121" s="5" t="str">
        <x:v>СДЭК</x:v>
      </x:c>
      <x:c r="F121" s="5" t="str">
        <x:v>Логистика</x:v>
      </x:c>
      <x:c r="G121" s="5" t="n">
        <x:v>1</x:v>
      </x:c>
      <x:c r="H121" s="5" t="str">
        <x:v>Сотрудники и руководители сети, продажи, сервис</x:v>
      </x:c>
      <x:c r="I121" s="5" t="str">
        <x:v>Высокое: продажи, сервис, менеджмент, дистанционные курсы и обучение франчайзинговой сети</x:v>
      </x:c>
      <x:c r="J121" s="5" t="str">
        <x:v>https://rabota.cdek.ru/career</x:v>
      </x:c>
      <x:c r="K121" s="5" t="str">
        <x:v>content_read</x:v>
      </x:c>
      <x:c r="L121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22" ht="54" customHeight="1">
      <x:c r="A122" s="5" t="str">
        <x:v>CU-0135</x:v>
      </x:c>
      <x:c r="B122" s="5" t="str">
        <x:v>Корпоративный университет Самолёт Плюс</x:v>
      </x:c>
      <x:c r="C122" s="5" t="str">
        <x:v>Россия</x:v>
      </x:c>
      <x:c r="D122" s="5" t="str">
        <x:v>Корпоративный университет</x:v>
      </x:c>
      <x:c r="E122" s="5" t="str">
        <x:v>Самолёт Плюс</x:v>
      </x:c>
      <x:c r="F122" s="5" t="str">
        <x:v>Недвижимость и франчайзинг</x:v>
      </x:c>
      <x:c r="G122" s="5" t="n">
        <x:v>1</x:v>
      </x:c>
      <x:c r="H122" s="5" t="str">
        <x:v>Руководители офисов, HR, агенты, ипотечные и страховые брокеры</x:v>
      </x:c>
      <x:c r="I122" s="5" t="str">
        <x:v>Высокое: продажи, управление, HR, право, дистанционные курсы, обучение партнёрской сети</x:v>
      </x:c>
      <x:c r="J122" s="5" t="str">
        <x:v>https://education.samoletplus.ru/local/crw/</x:v>
      </x:c>
      <x:c r="K122" s="5" t="str">
        <x:v>content_read</x:v>
      </x:c>
      <x:c r="L122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23" ht="54" customHeight="1">
      <x:c r="A123" s="5" t="str">
        <x:v>CU-0136</x:v>
      </x:c>
      <x:c r="B123" s="5" t="str">
        <x:v>Корпоративный университет ПЕТОН</x:v>
      </x:c>
      <x:c r="C123" s="5" t="str">
        <x:v>Россия</x:v>
      </x:c>
      <x:c r="D123" s="5" t="str">
        <x:v>Корпоративный университет</x:v>
      </x:c>
      <x:c r="E123" s="5" t="str">
        <x:v>ООО «НИПИ НГ «Петон»</x:v>
      </x:c>
      <x:c r="F123" s="5" t="str">
        <x:v>Инжиниринг и строительство</x:v>
      </x:c>
      <x:c r="G123" s="5" t="n">
        <x:v>1</x:v>
      </x:c>
      <x:c r="H123" s="5" t="str">
        <x:v>Руководители, ИТР, специалисты; также рабочие специальности</x:v>
      </x:c>
      <x:c r="I123" s="5" t="str">
        <x:v>Высокое для управления проектами, изменениями, HR и цифровых курсов; рабочие профессии ранжировать отдельно</x:v>
      </x:c>
      <x:c r="J123" s="5" t="str">
        <x:v>https://www.university.peton.ru/</x:v>
      </x:c>
      <x:c r="K123" s="5" t="str">
        <x:v>content_read</x:v>
      </x:c>
      <x:c r="L123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24" ht="54" customHeight="1">
      <x:c r="A124" s="5" t="str">
        <x:v>CU-0137</x:v>
      </x:c>
      <x:c r="B124" s="5" t="str">
        <x:v>Корпоративный университет ТЕХНОНИКОЛЬ</x:v>
      </x:c>
      <x:c r="C124" s="5" t="str">
        <x:v>Россия</x:v>
      </x:c>
      <x:c r="D124" s="5" t="str">
        <x:v>Корпоративный университет</x:v>
      </x:c>
      <x:c r="E124" s="5" t="str">
        <x:v>Производственная компания ТЕХНОНИКОЛЬ</x:v>
      </x:c>
      <x:c r="F124" s="5" t="str">
        <x:v>Строительные материалы</x:v>
      </x:c>
      <x:c r="G124" s="5" t="n">
        <x:v>1</x:v>
      </x:c>
      <x:c r="H124" s="5" t="str">
        <x:v>Руководители и специалисты производственной компании</x:v>
      </x:c>
      <x:c r="I124" s="5" t="str">
        <x:v>Высокое: лидерство, управление командами, обучение внутренних экспертов; отдельно исследовать потребности дилеров и проектировщиков</x:v>
      </x:c>
      <x:c r="J124" s="5" t="str">
        <x:v>https://www.tn.ru/journal/tm/novyy-etap-korporativnogo-obucheniya-v-tekhnonikol/</x:v>
      </x:c>
      <x:c r="K124" s="5" t="str">
        <x:v>search_index</x:v>
      </x:c>
      <x:c r="L124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25" ht="54" customHeight="1">
      <x:c r="A125" s="5" t="str">
        <x:v>CU-0138</x:v>
      </x:c>
      <x:c r="B125" s="5" t="str">
        <x:v>Корпоративный университет ТСТН — Академия директоров</x:v>
      </x:c>
      <x:c r="C125" s="5" t="str">
        <x:v>Россия</x:v>
      </x:c>
      <x:c r="D125" s="5" t="str">
        <x:v>Корпоративная академия</x:v>
      </x:c>
      <x:c r="E125" s="5" t="str">
        <x:v>Торговая Сеть ТЕХНОНИКОЛЬ (ТСТН)</x:v>
      </x:c>
      <x:c r="F125" s="5" t="str">
        <x:v>Дистрибуция строительных материалов</x:v>
      </x:c>
      <x:c r="G125" s="5" t="n">
        <x:v>1</x:v>
      </x:c>
      <x:c r="H125" s="5" t="str">
        <x:v>Директора и управленческий резерв торговой сети</x:v>
      </x:c>
      <x:c r="I125" s="5" t="str">
        <x:v>Высокое: управленческий резерв, продажи, финансы руководителям, развитие внутренних тренеров</x:v>
      </x:c>
      <x:c r="J125" s="5" t="str">
        <x:v>https://www.tstn.ru/protein/probiznes/otkuda_berutsya_kadry_korporativnyy_universitet_tstn/</x:v>
      </x:c>
      <x:c r="K125" s="5" t="str">
        <x:v>search_index</x:v>
      </x:c>
      <x:c r="L125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26" ht="54" customHeight="1">
      <x:c r="A126" s="5" t="str">
        <x:v>CU-0140</x:v>
      </x:c>
      <x:c r="B126" s="5" t="str">
        <x:v>Корпоративный университет «РУСЛАКТО»</x:v>
      </x:c>
      <x:c r="C126" s="5" t="str">
        <x:v>Россия</x:v>
      </x:c>
      <x:c r="D126" s="5" t="str">
        <x:v>Корпоративный университет</x:v>
      </x:c>
      <x:c r="E126" s="5" t="str">
        <x:v>Агрохолдинг «РУСЛАКТО»</x:v>
      </x:c>
      <x:c r="F126" s="5" t="str">
        <x:v>АПК и молочная переработка</x:v>
      </x:c>
      <x:c r="G126" s="5" t="n">
        <x:v>1</x:v>
      </x:c>
      <x:c r="H126" s="5" t="str">
        <x:v>Руководители, специалисты и кадровый резерв агрохолдинга</x:v>
      </x:c>
      <x:c r="I126" s="5" t="str">
        <x:v>Высокое: менеджмент, HR, кадровый резерв, адаптация, цифровые курсы; агротехнические профессии отдельно</x:v>
      </x:c>
      <x:c r="J126" s="5" t="str">
        <x:v>https://ruslacto.ru/university/</x:v>
      </x:c>
      <x:c r="K126" s="5" t="str">
        <x:v>content_read</x:v>
      </x:c>
      <x:c r="L126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27" ht="54" customHeight="1">
      <x:c r="A127" s="5" t="str">
        <x:v>CU-0143</x:v>
      </x:c>
      <x:c r="B127" s="5" t="str">
        <x:v>Научно-образовательный центр «Бирюч» ЭФКО</x:v>
      </x:c>
      <x:c r="C127" s="5" t="str">
        <x:v>Россия</x:v>
      </x:c>
      <x:c r="D127" s="5" t="str">
        <x:v>Учебный центр компании</x:v>
      </x:c>
      <x:c r="E127" s="5" t="str">
        <x:v>Группа ЭФКО</x:v>
      </x:c>
      <x:c r="F127" s="5" t="str">
        <x:v>Пищевая промышленность и биотехнологии</x:v>
      </x:c>
      <x:c r="G127" s="5" t="n">
        <x:v>1</x:v>
      </x:c>
      <x:c r="H127" s="5" t="str">
        <x:v>Руководители, специалисты и управленческий резерв</x:v>
      </x:c>
      <x:c r="I127" s="5" t="str">
        <x:v>Высокое: менеджмент, коммуникации, развитие руководителей и образовательная методология</x:v>
      </x:c>
      <x:c r="J127" s="5" t="str">
        <x:v>https://biruch.efko.ru/o-nas/</x:v>
      </x:c>
      <x:c r="K127" s="5" t="str">
        <x:v>content_read</x:v>
      </x:c>
      <x:c r="L127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28" ht="54" customHeight="1">
      <x:c r="A128" s="5" t="str">
        <x:v>CU-0146</x:v>
      </x:c>
      <x:c r="B128" s="5" t="str">
        <x:v>Корпоративный университет BIOCAD</x:v>
      </x:c>
      <x:c r="C128" s="5" t="str">
        <x:v>Россия</x:v>
      </x:c>
      <x:c r="D128" s="5" t="str">
        <x:v>Корпоративный университет</x:v>
      </x:c>
      <x:c r="E128" s="5" t="str">
        <x:v>BIOCAD</x:v>
      </x:c>
      <x:c r="F128" s="5" t="str">
        <x:v>Биотехнологии и фармацевтика</x:v>
      </x:c>
      <x:c r="G128" s="5" t="n">
        <x:v>1</x:v>
      </x:c>
      <x:c r="H128" s="5" t="str">
        <x:v>Сотрудники и специалисты биотехнологической компании</x:v>
      </x:c>
      <x:c r="I128" s="5" t="str">
        <x:v>Высокое: менеджмент, проектное управление, HR, цифровые компетенции и электронное обучение; фармацевтические технологические программы отдельно</x:v>
      </x:c>
      <x:c r="J128" s="5" t="str">
        <x:v>https://career.biocad.ru/department/IT</x:v>
      </x:c>
      <x:c r="K128" s="5" t="str">
        <x:v>search_index</x:v>
      </x:c>
      <x:c r="L128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29" ht="54" customHeight="1">
      <x:c r="A129" s="5" t="str">
        <x:v>CU-0147</x:v>
      </x:c>
      <x:c r="B129" s="5" t="str">
        <x:v>Академия Р-Фарм</x:v>
      </x:c>
      <x:c r="C129" s="5" t="str">
        <x:v>Россия</x:v>
      </x:c>
      <x:c r="D129" s="5" t="str">
        <x:v>Корпоративная академия</x:v>
      </x:c>
      <x:c r="E129" s="5" t="str">
        <x:v>Группа «Р-Фарм»</x:v>
      </x:c>
      <x:c r="F129" s="5" t="str">
        <x:v>Фармацевтика</x:v>
      </x:c>
      <x:c r="G129" s="5" t="n">
        <x:v>1</x:v>
      </x:c>
      <x:c r="H129" s="5" t="str">
        <x:v>Сотрудники, руководители и кадровый резерв</x:v>
      </x:c>
      <x:c r="I129" s="5" t="str">
        <x:v>Высокое: лидерские компетенции, управление командами, обучение тренеров и цифровой контент</x:v>
      </x:c>
      <x:c r="J129" s="5" t="str">
        <x:v>https://t.me/s/rpharm_group?before=1458</x:v>
      </x:c>
      <x:c r="K129" s="5" t="str">
        <x:v>search_index</x:v>
      </x:c>
      <x:c r="L129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30" ht="54" customHeight="1">
      <x:c r="A130" s="5" t="str">
        <x:v>CU-0148</x:v>
      </x:c>
      <x:c r="B130" s="5" t="str">
        <x:v>Академия гостеприимства COSMOS</x:v>
      </x:c>
      <x:c r="C130" s="5" t="str">
        <x:v>Россия</x:v>
      </x:c>
      <x:c r="D130" s="5" t="str">
        <x:v>Корпоративная академия</x:v>
      </x:c>
      <x:c r="E130" s="5" t="str">
        <x:v>Cosmos Hotel Group</x:v>
      </x:c>
      <x:c r="F130" s="5" t="str">
        <x:v>Гостиничный бизнес</x:v>
      </x:c>
      <x:c r="G130" s="5" t="n">
        <x:v>1</x:v>
      </x:c>
      <x:c r="H130" s="5" t="str">
        <x:v>Управляющие и сотрудники отелей, корпоративные клиенты</x:v>
      </x:c>
      <x:c r="I130" s="5" t="str">
        <x:v>Высокое: менеджмент, сервис, продажи, HR, развитие руководителей и электронные курсы</x:v>
      </x:c>
      <x:c r="J130" s="5" t="str">
        <x:v>https://cosmos-academy.ru/</x:v>
      </x:c>
      <x:c r="K130" s="5" t="str">
        <x:v>search_index</x:v>
      </x:c>
      <x:c r="L130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31" ht="54" customHeight="1">
      <x:c r="A131" s="5" t="str">
        <x:v>CU-0149</x:v>
      </x:c>
      <x:c r="B131" s="5" t="str">
        <x:v>Академия гостеприимства курорта «Мрия»</x:v>
      </x:c>
      <x:c r="C131" s="5" t="str">
        <x:v>Россия</x:v>
      </x:c>
      <x:c r="D131" s="5" t="str">
        <x:v>Корпоративная академия</x:v>
      </x:c>
      <x:c r="E131" s="5" t="str">
        <x:v>Курорт «Мрия»</x:v>
      </x:c>
      <x:c r="F131" s="5" t="str">
        <x:v>Гостиничный бизнес</x:v>
      </x:c>
      <x:c r="G131" s="5" t="n">
        <x:v>1</x:v>
      </x:c>
      <x:c r="H131" s="5" t="str">
        <x:v>Собственники, управляющие, HR, руководители сервисных и коммерческих функций</x:v>
      </x:c>
      <x:c r="I131" s="5" t="str">
        <x:v>Высокое: менеджмент, сервис, командные и стратегические сессии, продажи, электронные программы</x:v>
      </x:c>
      <x:c r="J131" s="5" t="str">
        <x:v>https://academy-hospitality.ru/</x:v>
      </x:c>
      <x:c r="K131" s="5" t="str">
        <x:v>content_read</x:v>
      </x:c>
      <x:c r="L131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32" ht="54" customHeight="1">
      <x:c r="A132" s="5" t="str">
        <x:v>CU-0151</x:v>
      </x:c>
      <x:c r="B132" s="5" t="str">
        <x:v>Корпоративный университет «Автобан»</x:v>
      </x:c>
      <x:c r="C132" s="5" t="str">
        <x:v>Россия</x:v>
      </x:c>
      <x:c r="D132" s="5" t="str">
        <x:v>Корпоративный университет</x:v>
      </x:c>
      <x:c r="E132" s="5" t="str">
        <x:v>Строительно-инвестиционный холдинг «Автобан»</x:v>
      </x:c>
      <x:c r="F132" s="5" t="str">
        <x:v>Дорожное строительство</x:v>
      </x:c>
      <x:c r="G132" s="5" t="n">
        <x:v>1</x:v>
      </x:c>
      <x:c r="H132" s="5" t="str">
        <x:v>Руководители, ИТР, специалисты и кадровый резерв</x:v>
      </x:c>
      <x:c r="I132" s="5" t="str">
        <x:v>Высокое: управление проектами, кадры, наставничество, экономика строительства, электронное обучение; рабочие профессии отдельно</x:v>
      </x:c>
      <x:c r="J132" s="5" t="str">
        <x:v>https://www.avtoban.ru/company/staff/development/</x:v>
      </x:c>
      <x:c r="K132" s="5" t="str">
        <x:v>content_read</x:v>
      </x:c>
      <x:c r="L132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33" ht="54" customHeight="1">
      <x:c r="A133" s="5" t="str">
        <x:v>CU-0152</x:v>
      </x:c>
      <x:c r="B133" s="5" t="str">
        <x:v>Корпоративный университет СКФ</x:v>
      </x:c>
      <x:c r="C133" s="5" t="str">
        <x:v>Россия</x:v>
      </x:c>
      <x:c r="D133" s="5" t="str">
        <x:v>Корпоративный университет</x:v>
      </x:c>
      <x:c r="E133" s="5" t="str">
        <x:v>ПАО «Совкомфлот»</x:v>
      </x:c>
      <x:c r="F133" s="5" t="str">
        <x:v>Морской транспорт</x:v>
      </x:c>
      <x:c r="G133" s="5" t="n">
        <x:v>1</x:v>
      </x:c>
      <x:c r="H133" s="5" t="str">
        <x:v>Моряки, береговые специалисты и руководители группы, внешние судоходные компании</x:v>
      </x:c>
      <x:c r="I133" s="5" t="str">
        <x:v>Условное/высокое: управленческие программы береговым специалистам, лидерство, коммуникации, цифровое обучение; морские допуски вне основного профиля</x:v>
      </x:c>
      <x:c r="J133" s="5" t="str">
        <x:v>https://university.scf-group.ru/</x:v>
      </x:c>
      <x:c r="K133" s="5" t="str">
        <x:v>content_read</x:v>
      </x:c>
      <x:c r="L133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34" ht="54" customHeight="1">
      <x:c r="A134" s="5" t="str">
        <x:v>CU-0155</x:v>
      </x:c>
      <x:c r="B134" s="5" t="str">
        <x:v>Корпоративный университет Медскан Hadassah</x:v>
      </x:c>
      <x:c r="C134" s="5" t="str">
        <x:v>Россия</x:v>
      </x:c>
      <x:c r="D134" s="5" t="str">
        <x:v>Корпоративный университет</x:v>
      </x:c>
      <x:c r="E134" s="5" t="str">
        <x:v>Медскан / Hadassah Medical Moscow</x:v>
      </x:c>
      <x:c r="F134" s="5" t="str">
        <x:v>Частное здравоохранение</x:v>
      </x:c>
      <x:c r="G134" s="5" t="n">
        <x:v>1</x:v>
      </x:c>
      <x:c r="H134" s="5" t="str">
        <x:v>Собственники и руководители медицинских организаций, врачи, медицинский персонал</x:v>
      </x:c>
      <x:c r="I134" s="5" t="str">
        <x:v>Высокое для управленческих программ, стратегии, HR, сервиса и цифровых курсов; клинические темы отдельно</x:v>
      </x:c>
      <x:c r="J134" s="5" t="str">
        <x:v>https://university.hadassah.moscow/</x:v>
      </x:c>
      <x:c r="K134" s="5" t="str">
        <x:v>content_read</x:v>
      </x:c>
      <x:c r="L134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35" ht="54" customHeight="1">
      <x:c r="A135" s="5" t="str">
        <x:v>CU-0231</x:v>
      </x:c>
      <x:c r="B135" s="5" t="str">
        <x:v>Корпоративный университет Группы «Эталон»</x:v>
      </x:c>
      <x:c r="C135" s="5" t="str">
        <x:v>Россия</x:v>
      </x:c>
      <x:c r="D135" s="5" t="str">
        <x:v>Корпоративный университет</x:v>
      </x:c>
      <x:c r="E135" s="5" t="str">
        <x:v>Группа «Эталон»</x:v>
      </x:c>
      <x:c r="F135" s="5" t="str">
        <x:v>Строительство и девелопмент</x:v>
      </x:c>
      <x:c r="G135" s="5" t="n">
        <x:v>1</x:v>
      </x:c>
      <x:c r="H135" s="5" t="str">
        <x:v>Руководители, специалисты, кадровый резерв и внутренние преподаватели.</x:v>
      </x:c>
      <x:c r="I135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J135" s="5" t="str">
        <x:v>https://projects.1prime.ru/vpered/natalia_tanaeva/</x:v>
      </x:c>
      <x:c r="K135" s="5" t="str">
        <x:v>content_read</x:v>
      </x:c>
      <x:c r="L13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36" ht="54" customHeight="1">
      <x:c r="A136" s="5" t="str">
        <x:v>CU-0232</x:v>
      </x:c>
      <x:c r="B136" s="5" t="str">
        <x:v>Корпоративный учебный центр ГК «А101»</x:v>
      </x:c>
      <x:c r="C136" s="5" t="str">
        <x:v>Россия</x:v>
      </x:c>
      <x:c r="D136" s="5" t="str">
        <x:v>Учебный центр компании</x:v>
      </x:c>
      <x:c r="E136" s="5" t="str">
        <x:v>ГК «А101»</x:v>
      </x:c>
      <x:c r="F136" s="5" t="str">
        <x:v>Строительство и девелопмент</x:v>
      </x:c>
      <x:c r="G136" s="5" t="n">
        <x:v>1</x:v>
      </x:c>
      <x:c r="H136" s="5" t="str">
        <x:v>Руководители, специалисты и производственный персонал; долю управленческих программ уточнить.</x:v>
      </x:c>
      <x:c r="I136" s="5" t="str">
        <x:v>Высокое: руководители, коммуникации, личная эффективность, цифровые компетенции, разработка кастомизированных программ.</x:v>
      </x:c>
      <x:c r="J136" s="5" t="str">
        <x:v>https://a101.ru/company/media/news/korporativnoe-obuchenie-v-gk-a101-vyjdet-na-novyj-uroven-so-sberuniversitetom/</x:v>
      </x:c>
      <x:c r="K136" s="5" t="str">
        <x:v>content_read</x:v>
      </x:c>
      <x:c r="L13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37" ht="54" customHeight="1">
      <x:c r="A137" s="5" t="str">
        <x:v>CU-0239</x:v>
      </x:c>
      <x:c r="B137" s="5" t="str">
        <x:v>Учебный центр ПАО «МОЭК»</x:v>
      </x:c>
      <x:c r="C137" s="5" t="str">
        <x:v>Россия</x:v>
      </x:c>
      <x:c r="D137" s="5" t="str">
        <x:v>Учебный центр компании</x:v>
      </x:c>
      <x:c r="E137" s="5" t="str">
        <x:v>ПАО «МОЭК»</x:v>
      </x:c>
      <x:c r="F137" s="5" t="str">
        <x:v>Теплоснабжение и ЖКХ</x:v>
      </x:c>
      <x:c r="G137" s="5" t="n">
        <x:v>1</x:v>
      </x:c>
      <x:c r="H137" s="5" t="str">
        <x:v>Руководители, специалисты и производственный персонал; долю управленческих программ уточнить.</x:v>
      </x:c>
      <x:c r="I137" s="5" t="str">
        <x:v>Высокое для административно-управленческого персонала, методического сопровождения и цифрового обучения; техническое обучение отдельно.</x:v>
      </x:c>
      <x:c r="J137" s="5" t="str">
        <x:v>https://www.moek.ru/career/uchebnyj-tsentr/</x:v>
      </x:c>
      <x:c r="K137" s="5" t="str">
        <x:v>content_read</x:v>
      </x:c>
      <x:c r="L13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38" ht="54" customHeight="1">
      <x:c r="A138" s="5" t="str">
        <x:v>CU-0245</x:v>
      </x:c>
      <x:c r="B138" s="5" t="str">
        <x:v>Эн+ Университет</x:v>
      </x:c>
      <x:c r="C138" s="5" t="str">
        <x:v>Россия</x:v>
      </x:c>
      <x:c r="D138" s="5" t="str">
        <x:v>Корпоративный университет</x:v>
      </x:c>
      <x:c r="E138" s="5" t="str">
        <x:v>МКООО «ЭН+ ХОЛДИНГ»</x:v>
      </x:c>
      <x:c r="F138" s="5" t="str">
        <x:v>Энергетика и промышленность</x:v>
      </x:c>
      <x:c r="G138" s="5" t="n">
        <x:v>1</x:v>
      </x:c>
      <x:c r="H138" s="5" t="str">
        <x:v>Руководители и специалисты группы, сотрудники энергетики и промышленности; внешние корпоративные клиенты по доступным программам</x:v>
      </x:c>
      <x:c r="I138" s="5" t="str">
        <x:v>Управление; кадровый резерв; HR и оценка персонала; цифровые навыки; электронное обучение; корпоративные программы; энергоэффективность</x:v>
      </x:c>
      <x:c r="J138" s="5" t="str">
        <x:v>https://univer.enplus.ru/about/information/basic-information/</x:v>
      </x:c>
      <x:c r="K138" s="5" t="str">
        <x:v>content_read</x:v>
      </x:c>
      <x:c r="L138" s="5" t="str">
        <x:v>Найти свежую программу, ответственного за её реализацию и подтверждённый маршрут для внешних провайдеров; сохранять новые новости, программы, контакты и закупочные страницы отдельными каналами. Квалифицировать…</x:v>
      </x:c>
    </x:row>
    <x:row r="139" ht="54" customHeight="1">
      <x:c r="A139" s="5" t="str">
        <x:v>CU-0246</x:v>
      </x:c>
      <x:c r="B139" s="5" t="str">
        <x:v>МИТТУ — корпоративный учебный центр ПАО «КАМАЗ»</x:v>
      </x:c>
      <x:c r="C139" s="5" t="str">
        <x:v>Россия</x:v>
      </x:c>
      <x:c r="D139" s="5" t="str">
        <x:v>Учебный центр компании</x:v>
      </x:c>
      <x:c r="E139" s="5" t="str">
        <x:v>ПАО «КАМАЗ»</x:v>
      </x:c>
      <x:c r="F139" s="5" t="str">
        <x:v>Автомобилестроение и машиностроение</x:v>
      </x:c>
      <x:c r="G139" s="5" t="n">
        <x:v>1</x:v>
      </x:c>
      <x:c r="H139" s="5" t="str">
        <x:v>Руководители и специалисты предприятий; сотрудники КАМАЗа, дилеров и поставщиков; специалисты производства, качества и сервиса</x:v>
      </x:c>
      <x:c r="I139" s="5" t="str">
        <x:v>Менеджмент; экономика и финансы; управление качеством и производительностью; бизнес-процессы; продажи и клиентский сервис; внедрение ИИ; подготовка внешних учебных модулей</x:v>
      </x:c>
      <x:c r="J139" s="5" t="str">
        <x:v>https://www.mittu.ru/</x:v>
      </x:c>
      <x:c r="K139" s="5" t="str">
        <x:v>content_read</x:v>
      </x:c>
      <x:c r="L139" s="5" t="str">
        <x:v>Найти свежую программу, ответственного за её реализацию и подтверждённый маршрут для внешних провайдеров; сохранять новые новости, программы, контакты и закупочные страницы отдельными каналами. Квалифицировать…</x:v>
      </x:c>
    </x:row>
    <x:row r="140" ht="54" customHeight="1">
      <x:c r="A140" s="5" t="str">
        <x:v>CU-0247</x:v>
      </x:c>
      <x:c r="B140" s="5" t="str">
        <x:v>Университет Группы «АВТОВАЗ»</x:v>
      </x:c>
      <x:c r="C140" s="5" t="str">
        <x:v>Россия</x:v>
      </x:c>
      <x:c r="D140" s="5" t="str">
        <x:v>Корпоративный университет</x:v>
      </x:c>
      <x:c r="E140" s="5" t="str">
        <x:v>АО «АВТОВАЗ»</x:v>
      </x:c>
      <x:c r="F140" s="5" t="str">
        <x:v>Автомобилестроение</x:v>
      </x:c>
      <x:c r="G140" s="5" t="n">
        <x:v>1</x:v>
      </x:c>
      <x:c r="H140" s="5" t="str">
        <x:v>Руководители, специалисты и рабочие АВТОВАЗа, дочерних обществ и других предприятий; конкретный состав потока проверять по программе</x:v>
      </x:c>
      <x:c r="I140" s="5" t="str">
        <x:v>Управление персоналом; управленческий резерв; управление качеством; цифровые и дистанционные программы; наставничество; экономика производства; обучение руководителей</x:v>
      </x:c>
      <x:c r="J140" s="5" t="str">
        <x:v>https://cu-avtovaz.ru/</x:v>
      </x:c>
      <x:c r="K140" s="5" t="str">
        <x:v>content_read</x:v>
      </x:c>
      <x:c r="L140" s="5" t="str">
        <x:v>Найти свежую программу, ответственного за её реализацию и подтверждённый маршрут для внешних провайдеров; сохранять новые новости, программы, контакты и закупочные страницы отдельными каналами. Квалифицировать…</x:v>
      </x:c>
    </x:row>
    <x:row r="141" ht="54" customHeight="1">
      <x:c r="A141" s="5" t="str">
        <x:v>CU-0002</x:v>
      </x:c>
      <x:c r="B141" s="5" t="str">
        <x:v>Учебный центр ПАО «Газпром»</x:v>
      </x:c>
      <x:c r="C141" s="5" t="str">
        <x:v>Россия</x:v>
      </x:c>
      <x:c r="D141" s="5" t="str">
        <x:v>Учебный центр компании</x:v>
      </x:c>
      <x:c r="E141" s="5" t="str">
        <x:v>ПАО «Газпром»</x:v>
      </x:c>
      <x:c r="F141" s="5" t="str">
        <x:v>Нефтегаз</x:v>
      </x:c>
      <x:c r="G141" s="5" t="n">
        <x:v>2</x:v>
      </x:c>
      <x:c r="H141" s="5" t="str">
        <x:v>Руководители, специалисты и производственный персонал; долю управленческих программ уточнить.</x:v>
      </x:c>
      <x:c r="I141" s="5" t="str">
        <x:v>Среднее: воинский учёт, гражданская защита, методика обучения и цифровые курсы для специалистов; прикладную подготовку спасателей не смешивать с профилем МИСБ.</x:v>
      </x:c>
      <x:c r="J141" s="5" t="str">
        <x:v>https://tc.gazprom.ru/about/</x:v>
      </x:c>
      <x:c r="K141" s="5" t="str">
        <x:v>search_index</x:v>
      </x:c>
      <x:c r="L14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42" ht="54" customHeight="1">
      <x:c r="A142" s="5" t="str">
        <x:v>CU-0005</x:v>
      </x:c>
      <x:c r="B142" s="5" t="str">
        <x:v>Учебно-производственный центр ООО «Газпром трансгаз Екатеринбург»</x:v>
      </x:c>
      <x:c r="C142" s="5" t="str">
        <x:v>Россия</x:v>
      </x:c>
      <x:c r="D142" s="5" t="str">
        <x:v>Учебный центр компании</x:v>
      </x:c>
      <x:c r="E142" s="5" t="str">
        <x:v>ООО «Газпром трансгаз Екатеринбург»</x:v>
      </x:c>
      <x:c r="F142" s="5" t="str">
        <x:v>Нефтегаз</x:v>
      </x:c>
      <x:c r="G142" s="5" t="n">
        <x:v>2</x:v>
      </x:c>
      <x:c r="H142" s="5" t="str">
        <x:v>Руководители, специалисты и производственный персонал; долю управленческих программ уточнить.</x:v>
      </x:c>
      <x:c r="I142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42" s="5" t="str">
        <x:v>https://ekaterinburg-tr.gazprom.ru/about/organization/upts/</x:v>
      </x:c>
      <x:c r="K142" s="5" t="str">
        <x:v>search_index</x:v>
      </x:c>
      <x:c r="L14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43" ht="54" customHeight="1">
      <x:c r="A143" s="5" t="str">
        <x:v>CU-0006</x:v>
      </x:c>
      <x:c r="B143" s="5" t="str">
        <x:v>Учебно-производственный центр ООО «Газпром трансгаз Ухта»</x:v>
      </x:c>
      <x:c r="C143" s="5" t="str">
        <x:v>Россия</x:v>
      </x:c>
      <x:c r="D143" s="5" t="str">
        <x:v>Учебный центр компании</x:v>
      </x:c>
      <x:c r="E143" s="5" t="str">
        <x:v>ООО «Газпром трансгаз Ухта»</x:v>
      </x:c>
      <x:c r="F143" s="5" t="str">
        <x:v>Нефтегаз</x:v>
      </x:c>
      <x:c r="G143" s="5" t="n">
        <x:v>2</x:v>
      </x:c>
      <x:c r="H143" s="5" t="str">
        <x:v>Руководители, специалисты и производственный персонал; долю управленческих программ уточнить.</x:v>
      </x:c>
      <x:c r="I143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43" s="5" t="str">
        <x:v>https://ukhta-tr.gazprom.ru/sveden/document/</x:v>
      </x:c>
      <x:c r="K143" s="5" t="str">
        <x:v>search_index</x:v>
      </x:c>
      <x:c r="L14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44" ht="54" customHeight="1">
      <x:c r="A144" s="5" t="str">
        <x:v>CU-0007</x:v>
      </x:c>
      <x:c r="B144" s="5" t="str">
        <x:v>Учебно-производственный центр ООО «Газпром трансгаз Москва»</x:v>
      </x:c>
      <x:c r="C144" s="5" t="str">
        <x:v>Россия</x:v>
      </x:c>
      <x:c r="D144" s="5" t="str">
        <x:v>Учебный центр компании</x:v>
      </x:c>
      <x:c r="E144" s="5" t="str">
        <x:v>ООО «Газпром трансгаз Москва»</x:v>
      </x:c>
      <x:c r="F144" s="5" t="str">
        <x:v>Нефтегаз</x:v>
      </x:c>
      <x:c r="G144" s="5" t="n">
        <x:v>2</x:v>
      </x:c>
      <x:c r="H144" s="5" t="str">
        <x:v>Руководители, специалисты и производственный персонал; долю управленческих программ уточнить.</x:v>
      </x:c>
      <x:c r="I144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44" s="5" t="str">
        <x:v>https://moskva-tr.gazprom.ru/career/</x:v>
      </x:c>
      <x:c r="K144" s="5" t="str">
        <x:v>search_index</x:v>
      </x:c>
      <x:c r="L14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45" ht="54" customHeight="1">
      <x:c r="A145" s="5" t="str">
        <x:v>CU-0008</x:v>
      </x:c>
      <x:c r="B145" s="5" t="str">
        <x:v>Учебно-производственный центр ООО «Газпром трансгаз Югорск»</x:v>
      </x:c>
      <x:c r="C145" s="5" t="str">
        <x:v>Россия</x:v>
      </x:c>
      <x:c r="D145" s="5" t="str">
        <x:v>Учебный центр компании</x:v>
      </x:c>
      <x:c r="E145" s="5" t="str">
        <x:v>ООО «Газпром трансгаз Югорск»</x:v>
      </x:c>
      <x:c r="F145" s="5" t="str">
        <x:v>Нефтегаз</x:v>
      </x:c>
      <x:c r="G145" s="5" t="n">
        <x:v>2</x:v>
      </x:c>
      <x:c r="H145" s="5" t="str">
        <x:v>Руководители, специалисты и производственный персонал; долю управленческих программ уточнить.</x:v>
      </x:c>
      <x:c r="I145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45" s="5" t="str">
        <x:v>https://yugorsk-tr.gazprom.ru/career/uchebno-proizvodstvennyj-tsentr/obrazovanie/</x:v>
      </x:c>
      <x:c r="K145" s="5" t="str">
        <x:v>search_index</x:v>
      </x:c>
      <x:c r="L14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46" ht="54" customHeight="1">
      <x:c r="A146" s="5" t="str">
        <x:v>CU-0009</x:v>
      </x:c>
      <x:c r="B146" s="5" t="str">
        <x:v>Учебно-производственный центр ООО «Газпром трансгаз Сургут»</x:v>
      </x:c>
      <x:c r="C146" s="5" t="str">
        <x:v>Россия</x:v>
      </x:c>
      <x:c r="D146" s="5" t="str">
        <x:v>Учебный центр компании</x:v>
      </x:c>
      <x:c r="E146" s="5" t="str">
        <x:v>ООО «Газпром трансгаз Сургут»</x:v>
      </x:c>
      <x:c r="F146" s="5" t="str">
        <x:v>Нефтегаз</x:v>
      </x:c>
      <x:c r="G146" s="5" t="n">
        <x:v>2</x:v>
      </x:c>
      <x:c r="H146" s="5" t="str">
        <x:v>Руководители, специалисты и производственный персонал; долю управленческих программ уточнить.</x:v>
      </x:c>
      <x:c r="I146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46" s="5" t="str">
        <x:v>https://surgut-tr.gazprom.ru/sveden/common</x:v>
      </x:c>
      <x:c r="K146" s="5" t="str">
        <x:v>search_index</x:v>
      </x:c>
      <x:c r="L14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47" ht="54" customHeight="1">
      <x:c r="A147" s="5" t="str">
        <x:v>CU-0010</x:v>
      </x:c>
      <x:c r="B147" s="5" t="str">
        <x:v>Учебно-производственный центр ООО «Газпром трансгаз Ставрополь»</x:v>
      </x:c>
      <x:c r="C147" s="5" t="str">
        <x:v>Россия</x:v>
      </x:c>
      <x:c r="D147" s="5" t="str">
        <x:v>Учебный центр компании</x:v>
      </x:c>
      <x:c r="E147" s="5" t="str">
        <x:v>ООО «Газпром трансгаз Ставрополь»</x:v>
      </x:c>
      <x:c r="F147" s="5" t="str">
        <x:v>Нефтегаз</x:v>
      </x:c>
      <x:c r="G147" s="5" t="n">
        <x:v>2</x:v>
      </x:c>
      <x:c r="H147" s="5" t="str">
        <x:v>Руководители, специалисты и производственный персонал; долю управленческих программ уточнить.</x:v>
      </x:c>
      <x:c r="I147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47" s="5" t="str">
        <x:v>https://stavropol-tr.gazprom.ru/career/uchebno-proizvodstvennyj-tsentr/struktura-i-organy-upravleniya/</x:v>
      </x:c>
      <x:c r="K147" s="5" t="str">
        <x:v>search_index</x:v>
      </x:c>
      <x:c r="L14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48" ht="54" customHeight="1">
      <x:c r="A148" s="5" t="str">
        <x:v>CU-0011</x:v>
      </x:c>
      <x:c r="B148" s="5" t="str">
        <x:v>Учебно-производственный центр ООО «Газпром трансгаз Саратов»</x:v>
      </x:c>
      <x:c r="C148" s="5" t="str">
        <x:v>Россия</x:v>
      </x:c>
      <x:c r="D148" s="5" t="str">
        <x:v>Учебный центр компании</x:v>
      </x:c>
      <x:c r="E148" s="5" t="str">
        <x:v>ООО «Газпром трансгаз Саратов»</x:v>
      </x:c>
      <x:c r="F148" s="5" t="str">
        <x:v>Нефтегаз</x:v>
      </x:c>
      <x:c r="G148" s="5" t="n">
        <x:v>2</x:v>
      </x:c>
      <x:c r="H148" s="5" t="str">
        <x:v>Руководители, специалисты и производственный персонал; долю управленческих программ уточнить.</x:v>
      </x:c>
      <x:c r="I148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48" s="5" t="str">
        <x:v>https://saratov-tr.gazprom.ru/career/uchebnyj-tsentr/osnovnyj-svedeniya/</x:v>
      </x:c>
      <x:c r="K148" s="5" t="str">
        <x:v>search_index</x:v>
      </x:c>
      <x:c r="L14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49" ht="54" customHeight="1">
      <x:c r="A149" s="5" t="str">
        <x:v>CU-0012</x:v>
      </x:c>
      <x:c r="B149" s="5" t="str">
        <x:v>Учебно-производственный центр ООО «Газпром трансгаз Санкт-Петербург»</x:v>
      </x:c>
      <x:c r="C149" s="5" t="str">
        <x:v>Россия</x:v>
      </x:c>
      <x:c r="D149" s="5" t="str">
        <x:v>Учебный центр компании</x:v>
      </x:c>
      <x:c r="E149" s="5" t="str">
        <x:v>ООО «Газпром трансгаз Санкт-Петербург»</x:v>
      </x:c>
      <x:c r="F149" s="5" t="str">
        <x:v>Нефтегаз</x:v>
      </x:c>
      <x:c r="G149" s="5" t="n">
        <x:v>2</x:v>
      </x:c>
      <x:c r="H149" s="5" t="str">
        <x:v>Руководители, специалисты и производственный персонал; долю управленческих программ уточнить.</x:v>
      </x:c>
      <x:c r="I149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49" s="5" t="str">
        <x:v>https://spb-tr.gazprom.ru/career/upc/</x:v>
      </x:c>
      <x:c r="K149" s="5" t="str">
        <x:v>search_index</x:v>
      </x:c>
      <x:c r="L14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50" ht="54" customHeight="1">
      <x:c r="A150" s="5" t="str">
        <x:v>CU-0014</x:v>
      </x:c>
      <x:c r="B150" s="5" t="str">
        <x:v>Корпоративный учебный центр ЛУКОЙЛ</x:v>
      </x:c>
      <x:c r="C150" s="5" t="str">
        <x:v>Россия</x:v>
      </x:c>
      <x:c r="D150" s="5" t="str">
        <x:v>Учебный центр компании</x:v>
      </x:c>
      <x:c r="E150" s="5" t="str">
        <x:v>ООО «ЛУКОЙЛ-Нижневолжскнефть»</x:v>
      </x:c>
      <x:c r="F150" s="5" t="str">
        <x:v>Нефтегаз</x:v>
      </x:c>
      <x:c r="G150" s="5" t="n">
        <x:v>2</x:v>
      </x:c>
      <x:c r="H150" s="5" t="str">
        <x:v>Руководители, специалисты и производственный персонал; долю управленческих программ уточнить.</x:v>
      </x:c>
      <x:c r="I150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50" s="5" t="str">
        <x:v>https://ctc.lukoil.ru/ru/About/GeneralInformation?wid=widpxFOse5-vkj2WOeBjmHY9Q</x:v>
      </x:c>
      <x:c r="K150" s="5" t="str">
        <x:v>search_index</x:v>
      </x:c>
      <x:c r="L15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51" ht="54" customHeight="1">
      <x:c r="A151" s="5" t="str">
        <x:v>CU-0016</x:v>
      </x:c>
      <x:c r="B151" s="5" t="str">
        <x:v>Центр политехнического обучения ПАО «Сургутнефтегаз»</x:v>
      </x:c>
      <x:c r="C151" s="5" t="str">
        <x:v>Россия</x:v>
      </x:c>
      <x:c r="D151" s="5" t="str">
        <x:v>Учебный центр компании</x:v>
      </x:c>
      <x:c r="E151" s="5" t="str">
        <x:v>ПАО «Сургутнефтегаз»</x:v>
      </x:c>
      <x:c r="F151" s="5" t="str">
        <x:v>Нефтегаз</x:v>
      </x:c>
      <x:c r="G151" s="5" t="n">
        <x:v>2</x:v>
      </x:c>
      <x:c r="H151" s="5" t="str">
        <x:v>Руководители, специалисты и производственный персонал; долю управленческих программ уточнить.</x:v>
      </x:c>
      <x:c r="I151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51" s="5" t="str">
        <x:v>https://www.surgutneftegas.ru/responsibility/personnel_policy/uchebnaya-baza/</x:v>
      </x:c>
      <x:c r="K151" s="5" t="str">
        <x:v>search_index</x:v>
      </x:c>
      <x:c r="L15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52" ht="54" customHeight="1">
      <x:c r="A152" s="5" t="str">
        <x:v>CU-0017</x:v>
      </x:c>
      <x:c r="B152" s="5" t="str">
        <x:v>Учебный центр ООО «РН-Юганскнефтегаз»</x:v>
      </x:c>
      <x:c r="C152" s="5" t="str">
        <x:v>Россия</x:v>
      </x:c>
      <x:c r="D152" s="5" t="str">
        <x:v>Учебный центр компании</x:v>
      </x:c>
      <x:c r="E152" s="5" t="str">
        <x:v>ООО «РН-Юганскнефтегаз»</x:v>
      </x:c>
      <x:c r="F152" s="5" t="str">
        <x:v>Нефтегаз</x:v>
      </x:c>
      <x:c r="G152" s="5" t="n">
        <x:v>2</x:v>
      </x:c>
      <x:c r="H152" s="5" t="str">
        <x:v>Руководители, специалисты и производственный персонал; долю управленческих программ уточнить.</x:v>
      </x:c>
      <x:c r="I152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52" s="5" t="str">
        <x:v>https://rosneft.ru/press/subsidiaries/item/223656/</x:v>
      </x:c>
      <x:c r="K152" s="5" t="str">
        <x:v>search_index</x:v>
      </x:c>
      <x:c r="L15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53" ht="54" customHeight="1">
      <x:c r="A153" s="5" t="str">
        <x:v>CU-0024</x:v>
      </x:c>
      <x:c r="B153" s="5" t="str">
        <x:v>Тверской учебно-производственный центр</x:v>
      </x:c>
      <x:c r="C153" s="5" t="str">
        <x:v>Россия</x:v>
      </x:c>
      <x:c r="D153" s="5" t="str">
        <x:v>Учебный центр компании</x:v>
      </x:c>
      <x:c r="E153" s="5" t="str">
        <x:v>Россети Центр</x:v>
      </x:c>
      <x:c r="F153" s="5" t="str">
        <x:v>Электроэнергетика</x:v>
      </x:c>
      <x:c r="G153" s="5" t="n">
        <x:v>2</x:v>
      </x:c>
      <x:c r="H153" s="5" t="str">
        <x:v>Руководители, специалисты и производственный персонал; долю управленческих программ уточнить.</x:v>
      </x:c>
      <x:c r="I153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53" s="5" t="str">
        <x:v>http://tvupc.ru</x:v>
      </x:c>
      <x:c r="K153" s="5" t="str">
        <x:v>content_read</x:v>
      </x:c>
      <x:c r="L15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54" ht="54" customHeight="1">
      <x:c r="A154" s="5" t="str">
        <x:v>CU-0025</x:v>
      </x:c>
      <x:c r="B154" s="5" t="str">
        <x:v>Орловский учебный комбинат</x:v>
      </x:c>
      <x:c r="C154" s="5" t="str">
        <x:v>Россия</x:v>
      </x:c>
      <x:c r="D154" s="5" t="str">
        <x:v>Учебный центр компании</x:v>
      </x:c>
      <x:c r="E154" s="5" t="str">
        <x:v>Россети Центр</x:v>
      </x:c>
      <x:c r="F154" s="5" t="str">
        <x:v>Электроэнергетика</x:v>
      </x:c>
      <x:c r="G154" s="5" t="n">
        <x:v>2</x:v>
      </x:c>
      <x:c r="H154" s="5" t="str">
        <x:v>Руководители, специалисты и производственный персонал; долю управленческих программ уточнить.</x:v>
      </x:c>
      <x:c r="I154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54" s="5" t="str">
        <x:v>https://uk57.ru</x:v>
      </x:c>
      <x:c r="K154" s="5" t="str">
        <x:v>content_read</x:v>
      </x:c>
      <x:c r="L15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55" ht="54" customHeight="1">
      <x:c r="A155" s="5" t="str">
        <x:v>CU-0026</x:v>
      </x:c>
      <x:c r="B155" s="5" t="str">
        <x:v>Воронежский учебный центр «Энергетик»</x:v>
      </x:c>
      <x:c r="C155" s="5" t="str">
        <x:v>Россия</x:v>
      </x:c>
      <x:c r="D155" s="5" t="str">
        <x:v>Учебный центр компании</x:v>
      </x:c>
      <x:c r="E155" s="5" t="str">
        <x:v>Россети Центр</x:v>
      </x:c>
      <x:c r="F155" s="5" t="str">
        <x:v>Электроэнергетика</x:v>
      </x:c>
      <x:c r="G155" s="5" t="n">
        <x:v>2</x:v>
      </x:c>
      <x:c r="H155" s="5" t="str">
        <x:v>Руководители, специалисты и производственный персонал; долю управленческих программ уточнить.</x:v>
      </x:c>
      <x:c r="I155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55" s="5" t="str">
        <x:v>https://vuc-energetik.ru</x:v>
      </x:c>
      <x:c r="K155" s="5" t="str">
        <x:v>content_read</x:v>
      </x:c>
      <x:c r="L15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56" ht="54" customHeight="1">
      <x:c r="A156" s="5" t="str">
        <x:v>CU-0027</x:v>
      </x:c>
      <x:c r="B156" s="5" t="str">
        <x:v>Владимирский учебный центр «Энергетик»</x:v>
      </x:c>
      <x:c r="C156" s="5" t="str">
        <x:v>Россия</x:v>
      </x:c>
      <x:c r="D156" s="5" t="str">
        <x:v>Учебный центр компании</x:v>
      </x:c>
      <x:c r="E156" s="5" t="str">
        <x:v>Россети Центр и Приволжье</x:v>
      </x:c>
      <x:c r="F156" s="5" t="str">
        <x:v>Электроэнергетика</x:v>
      </x:c>
      <x:c r="G156" s="5" t="n">
        <x:v>2</x:v>
      </x:c>
      <x:c r="H156" s="5" t="str">
        <x:v>Руководители, специалисты и производственный персонал; долю управленческих программ уточнить.</x:v>
      </x:c>
      <x:c r="I156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56" s="5" t="str">
        <x:v>http://energetik33.ru</x:v>
      </x:c>
      <x:c r="K156" s="5" t="str">
        <x:v>content_read</x:v>
      </x:c>
      <x:c r="L15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57" ht="54" customHeight="1">
      <x:c r="A157" s="5" t="str">
        <x:v>CU-0028</x:v>
      </x:c>
      <x:c r="B157" s="5" t="str">
        <x:v>Ивановский учебный центр «Энергетик»</x:v>
      </x:c>
      <x:c r="C157" s="5" t="str">
        <x:v>Россия</x:v>
      </x:c>
      <x:c r="D157" s="5" t="str">
        <x:v>Учебный центр компании</x:v>
      </x:c>
      <x:c r="E157" s="5" t="str">
        <x:v>Россети Центр и Приволжье</x:v>
      </x:c>
      <x:c r="F157" s="5" t="str">
        <x:v>Электроэнергетика</x:v>
      </x:c>
      <x:c r="G157" s="5" t="n">
        <x:v>2</x:v>
      </x:c>
      <x:c r="H157" s="5" t="str">
        <x:v>Руководители, специалисты и производственный персонал; долю управленческих программ уточнить.</x:v>
      </x:c>
      <x:c r="I157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57" s="5" t="str">
        <x:v>https://ivenergetik37.ru</x:v>
      </x:c>
      <x:c r="K157" s="5" t="str">
        <x:v>content_read</x:v>
      </x:c>
      <x:c r="L15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58" ht="54" customHeight="1">
      <x:c r="A158" s="5" t="str">
        <x:v>CU-0029</x:v>
      </x:c>
      <x:c r="B158" s="5" t="str">
        <x:v>Ижевский учебный центр «Энергетик»</x:v>
      </x:c>
      <x:c r="C158" s="5" t="str">
        <x:v>Россия</x:v>
      </x:c>
      <x:c r="D158" s="5" t="str">
        <x:v>Учебный центр компании</x:v>
      </x:c>
      <x:c r="E158" s="5" t="str">
        <x:v>Россети Центр и Приволжье</x:v>
      </x:c>
      <x:c r="F158" s="5" t="str">
        <x:v>Электроэнергетика</x:v>
      </x:c>
      <x:c r="G158" s="5" t="n">
        <x:v>2</x:v>
      </x:c>
      <x:c r="H158" s="5" t="str">
        <x:v>Руководители, специалисты и производственный персонал; долю управленческих программ уточнить.</x:v>
      </x:c>
      <x:c r="I158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58" s="5" t="str">
        <x:v>https://www.ukenergetic.ru/</x:v>
      </x:c>
      <x:c r="K158" s="5" t="str">
        <x:v>content_read</x:v>
      </x:c>
      <x:c r="L15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59" ht="54" customHeight="1">
      <x:c r="A159" s="5" t="str">
        <x:v>CU-0030</x:v>
      </x:c>
      <x:c r="B159" s="5" t="str">
        <x:v>Калужский учебный центр «Энергетик»</x:v>
      </x:c>
      <x:c r="C159" s="5" t="str">
        <x:v>Россия</x:v>
      </x:c>
      <x:c r="D159" s="5" t="str">
        <x:v>Учебный центр компании</x:v>
      </x:c>
      <x:c r="E159" s="5" t="str">
        <x:v>Россети Центр и Приволжье</x:v>
      </x:c>
      <x:c r="F159" s="5" t="str">
        <x:v>Электроэнергетика</x:v>
      </x:c>
      <x:c r="G159" s="5" t="n">
        <x:v>2</x:v>
      </x:c>
      <x:c r="H159" s="5" t="str">
        <x:v>Руководители, специалисты и производственный персонал; долю управленческих программ уточнить.</x:v>
      </x:c>
      <x:c r="I159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59" s="5" t="str">
        <x:v>https://energetik40.ru</x:v>
      </x:c>
      <x:c r="K159" s="5" t="str">
        <x:v>content_read</x:v>
      </x:c>
      <x:c r="L15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60" ht="54" customHeight="1">
      <x:c r="A160" s="5" t="str">
        <x:v>CU-0031</x:v>
      </x:c>
      <x:c r="B160" s="5" t="str">
        <x:v>Кировский учебный центр «Энергетик»</x:v>
      </x:c>
      <x:c r="C160" s="5" t="str">
        <x:v>Россия</x:v>
      </x:c>
      <x:c r="D160" s="5" t="str">
        <x:v>Учебный центр компании</x:v>
      </x:c>
      <x:c r="E160" s="5" t="str">
        <x:v>Россети Центр и Приволжье</x:v>
      </x:c>
      <x:c r="F160" s="5" t="str">
        <x:v>Электроэнергетика</x:v>
      </x:c>
      <x:c r="G160" s="5" t="n">
        <x:v>2</x:v>
      </x:c>
      <x:c r="H160" s="5" t="str">
        <x:v>Руководители, специалисты и производственный персонал; долю управленческих программ уточнить.</x:v>
      </x:c>
      <x:c r="I160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60" s="5" t="str">
        <x:v>http://www.ucenergetik.ru</x:v>
      </x:c>
      <x:c r="K160" s="5" t="str">
        <x:v>content_read</x:v>
      </x:c>
      <x:c r="L16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61" ht="54" customHeight="1">
      <x:c r="A161" s="5" t="str">
        <x:v>CU-0032</x:v>
      </x:c>
      <x:c r="B161" s="5" t="str">
        <x:v>Тульский учебный центр «Энергетик»</x:v>
      </x:c>
      <x:c r="C161" s="5" t="str">
        <x:v>Россия</x:v>
      </x:c>
      <x:c r="D161" s="5" t="str">
        <x:v>Учебный центр компании</x:v>
      </x:c>
      <x:c r="E161" s="5" t="str">
        <x:v>Россети Центр и Приволжье</x:v>
      </x:c>
      <x:c r="F161" s="5" t="str">
        <x:v>Электроэнергетика</x:v>
      </x:c>
      <x:c r="G161" s="5" t="n">
        <x:v>2</x:v>
      </x:c>
      <x:c r="H161" s="5" t="str">
        <x:v>Руководители, специалисты и производственный персонал; долю управленческих программ уточнить.</x:v>
      </x:c>
      <x:c r="I161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61" s="5" t="str">
        <x:v>http://www.ukktulenergo.ru</x:v>
      </x:c>
      <x:c r="K161" s="5" t="str">
        <x:v>content_read</x:v>
      </x:c>
      <x:c r="L16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62" ht="54" customHeight="1">
      <x:c r="A162" s="5" t="str">
        <x:v>CU-0033</x:v>
      </x:c>
      <x:c r="B162" s="5" t="str">
        <x:v>Нижегородский учебный центр «Энергетик»</x:v>
      </x:c>
      <x:c r="C162" s="5" t="str">
        <x:v>Россия</x:v>
      </x:c>
      <x:c r="D162" s="5" t="str">
        <x:v>Учебный центр компании</x:v>
      </x:c>
      <x:c r="E162" s="5" t="str">
        <x:v>Россети Центр и Приволжье</x:v>
      </x:c>
      <x:c r="F162" s="5" t="str">
        <x:v>Электроэнергетика</x:v>
      </x:c>
      <x:c r="G162" s="5" t="n">
        <x:v>2</x:v>
      </x:c>
      <x:c r="H162" s="5" t="str">
        <x:v>Руководители, специалисты и производственный персонал; долю управленческих программ уточнить.</x:v>
      </x:c>
      <x:c r="I162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62" s="5" t="str">
        <x:v>https://energetik-nn.ru/</x:v>
      </x:c>
      <x:c r="K162" s="5" t="str">
        <x:v>content_read</x:v>
      </x:c>
      <x:c r="L16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63" ht="54" customHeight="1">
      <x:c r="A163" s="5" t="str">
        <x:v>CU-0034</x:v>
      </x:c>
      <x:c r="B163" s="5" t="str">
        <x:v>Учебный центр «Россети Урал»</x:v>
      </x:c>
      <x:c r="C163" s="5" t="str">
        <x:v>Россия</x:v>
      </x:c>
      <x:c r="D163" s="5" t="str">
        <x:v>Учебный центр компании</x:v>
      </x:c>
      <x:c r="E163" s="5" t="str">
        <x:v>ПАО «Россети Урал»</x:v>
      </x:c>
      <x:c r="F163" s="5" t="str">
        <x:v>Электроэнергетика</x:v>
      </x:c>
      <x:c r="G163" s="5" t="n">
        <x:v>2</x:v>
      </x:c>
      <x:c r="H163" s="5" t="str">
        <x:v>Руководители, специалисты и производственный персонал; долю управленческих программ уточнить.</x:v>
      </x:c>
      <x:c r="I163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63" s="5" t="str">
        <x:v>https://uc-rosseti-ural.ru/about/</x:v>
      </x:c>
      <x:c r="K163" s="5" t="str">
        <x:v>search_index</x:v>
      </x:c>
      <x:c r="L16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64" ht="54" customHeight="1">
      <x:c r="A164" s="5" t="str">
        <x:v>CU-0036</x:v>
      </x:c>
      <x:c r="B164" s="5" t="str">
        <x:v>Учебный комплекс «Россети Ленэнерго»</x:v>
      </x:c>
      <x:c r="C164" s="5" t="str">
        <x:v>Россия</x:v>
      </x:c>
      <x:c r="D164" s="5" t="str">
        <x:v>Учебный центр компании</x:v>
      </x:c>
      <x:c r="E164" s="5" t="str">
        <x:v>ПАО «Россети Ленэнерго»</x:v>
      </x:c>
      <x:c r="F164" s="5" t="str">
        <x:v>Электроэнергетика</x:v>
      </x:c>
      <x:c r="G164" s="5" t="n">
        <x:v>2</x:v>
      </x:c>
      <x:c r="H164" s="5" t="str">
        <x:v>Руководители, специалисты и производственный персонал; долю управленческих программ уточнить.</x:v>
      </x:c>
      <x:c r="I164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64" s="5" t="str">
        <x:v>https://rosseti-lenenergo.ru/educational/svedenia/mattehpoddrzka/</x:v>
      </x:c>
      <x:c r="K164" s="5" t="str">
        <x:v>search_index</x:v>
      </x:c>
      <x:c r="L16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65" ht="54" customHeight="1">
      <x:c r="A165" s="5" t="str">
        <x:v>CU-0037</x:v>
      </x:c>
      <x:c r="B165" s="5" t="str">
        <x:v>Новокуйбышевский учебный центр</x:v>
      </x:c>
      <x:c r="C165" s="5" t="str">
        <x:v>Россия</x:v>
      </x:c>
      <x:c r="D165" s="5" t="str">
        <x:v>Учебный центр компании</x:v>
      </x:c>
      <x:c r="E165" s="5" t="str">
        <x:v>АО «Транснефть — Приволга»</x:v>
      </x:c>
      <x:c r="F165" s="5" t="str">
        <x:v>Трубопроводный транспорт</x:v>
      </x:c>
      <x:c r="G165" s="5" t="n">
        <x:v>2</x:v>
      </x:c>
      <x:c r="H165" s="5" t="str">
        <x:v>Руководители, специалисты и производственный персонал; долю управленческих программ уточнить.</x:v>
      </x:c>
      <x:c r="I165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65" s="5" t="str">
        <x:v>https://chpounuc.ru/</x:v>
      </x:c>
      <x:c r="K165" s="5" t="str">
        <x:v>search_index</x:v>
      </x:c>
      <x:c r="L16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66" ht="54" customHeight="1">
      <x:c r="A166" s="5" t="str">
        <x:v>CU-0038</x:v>
      </x:c>
      <x:c r="B166" s="5" t="str">
        <x:v>Региональный учебный центр АО «Транснефть — Север»</x:v>
      </x:c>
      <x:c r="C166" s="5" t="str">
        <x:v>Россия</x:v>
      </x:c>
      <x:c r="D166" s="5" t="str">
        <x:v>Учебный центр компании</x:v>
      </x:c>
      <x:c r="E166" s="5" t="str">
        <x:v>АО «Транснефть — Север»</x:v>
      </x:c>
      <x:c r="F166" s="5" t="str">
        <x:v>Трубопроводный транспорт</x:v>
      </x:c>
      <x:c r="G166" s="5" t="n">
        <x:v>2</x:v>
      </x:c>
      <x:c r="H166" s="5" t="str">
        <x:v>Руководители, специалисты и производственный персонал; долю управленческих программ уточнить.</x:v>
      </x:c>
      <x:c r="I166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66" s="5" t="str">
        <x:v>https://north.transneft.ru/personnel-management/training-system/regionalnyy-uchebnyy-tsentr/</x:v>
      </x:c>
      <x:c r="K166" s="5" t="str">
        <x:v>content_read</x:v>
      </x:c>
      <x:c r="L16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67" ht="54" customHeight="1">
      <x:c r="A167" s="5" t="str">
        <x:v>CU-0040</x:v>
      </x:c>
      <x:c r="B167" s="5" t="str">
        <x:v>Учебный центр ПАО «Мосэнерго»</x:v>
      </x:c>
      <x:c r="C167" s="5" t="str">
        <x:v>Россия</x:v>
      </x:c>
      <x:c r="D167" s="5" t="str">
        <x:v>Учебный центр компании</x:v>
      </x:c>
      <x:c r="E167" s="5" t="str">
        <x:v>ПАО «Мосэнерго»</x:v>
      </x:c>
      <x:c r="F167" s="5" t="str">
        <x:v>Электроэнергетика</x:v>
      </x:c>
      <x:c r="G167" s="5" t="n">
        <x:v>2</x:v>
      </x:c>
      <x:c r="H167" s="5" t="str">
        <x:v>Руководители, специалисты и производственный персонал; долю управленческих программ уточнить.</x:v>
      </x:c>
      <x:c r="I167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167" s="5" t="str">
        <x:v>https://www.mosenergo.ru/career/training-center/info/</x:v>
      </x:c>
      <x:c r="K167" s="5" t="str">
        <x:v>search_index</x:v>
      </x:c>
      <x:c r="L16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168" ht="54" customHeight="1">
      <x:c r="A168" s="5" t="str">
        <x:v>CU-0053</x:v>
      </x:c>
      <x:c r="B168" s="5" t="str">
        <x:v>Учебный центр Корпорации ВСМПО-АВИСМА</x:v>
      </x:c>
      <x:c r="C168" s="5" t="str">
        <x:v>Россия</x:v>
      </x:c>
      <x:c r="D168" s="5" t="str">
        <x:v>Учебный центр компании</x:v>
      </x:c>
      <x:c r="E168" s="5" t="str">
        <x:v>ПАО «Корпорация ВСМПО-АВИСМА»</x:v>
      </x:c>
      <x:c r="F168" s="5" t="str">
        <x:v>Титановая промышленность</x:v>
      </x:c>
      <x:c r="G168" s="5" t="n">
        <x:v>2</x:v>
      </x:c>
      <x:c r="H168" s="5" t="str">
        <x:v>Руководители, специалисты и сотрудники группы; конкретные аудитории уточнить по программам</x:v>
      </x:c>
      <x:c r="I168" s="5" t="str">
        <x:v>управление производственными командами; наставничество; электронное обучение; HR; качество</x:v>
      </x:c>
      <x:c r="J168" s="5" t="str">
        <x:v>https://vsmpo.ru/career/professionalnoe-i-karernoe-razvitie/uchebnyy-tsentr/</x:v>
      </x:c>
      <x:c r="K168" s="5" t="str">
        <x:v>search_index</x:v>
      </x:c>
      <x:c r="L16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169" ht="54" customHeight="1">
      <x:c r="A169" s="5" t="str">
        <x:v>CU-0057</x:v>
      </x:c>
      <x:c r="B169" s="5" t="str">
        <x:v>Учебный центр ФосАгро</x:v>
      </x:c>
      <x:c r="C169" s="5" t="str">
        <x:v>Россия</x:v>
      </x:c>
      <x:c r="D169" s="5" t="str">
        <x:v>Учебный центр компании</x:v>
      </x:c>
      <x:c r="E169" s="5" t="str">
        <x:v>ЧОУ ДПО «Учебный центр ФосАгро»</x:v>
      </x:c>
      <x:c r="F169" s="5" t="str">
        <x:v>Минеральные удобрения</x:v>
      </x:c>
      <x:c r="G169" s="5" t="n">
        <x:v>2</x:v>
      </x:c>
      <x:c r="H169" s="5" t="str">
        <x:v>Руководители, специалисты и сотрудники группы; конкретные аудитории уточнить по программам</x:v>
      </x:c>
      <x:c r="I169" s="5" t="str">
        <x:v>электронные курсы; обучение руководителей и специалистов; наставничество; методология; цифровизация</x:v>
      </x:c>
      <x:c r="J169" s="5" t="str">
        <x:v>https://www.phosagro.ru/sustainability/quality-education/</x:v>
      </x:c>
      <x:c r="K169" s="5" t="str">
        <x:v>search_index</x:v>
      </x:c>
      <x:c r="L16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170" ht="54" customHeight="1">
      <x:c r="A170" s="5" t="str">
        <x:v>CU-0058</x:v>
      </x:c>
      <x:c r="B170" s="5" t="str">
        <x:v>Учебный центр ПАО «Акрон»</x:v>
      </x:c>
      <x:c r="C170" s="5" t="str">
        <x:v>Россия</x:v>
      </x:c>
      <x:c r="D170" s="5" t="str">
        <x:v>Учебный центр компании</x:v>
      </x:c>
      <x:c r="E170" s="5" t="str">
        <x:v>ПАО «Акрон»</x:v>
      </x:c>
      <x:c r="F170" s="5" t="str">
        <x:v>Минеральные удобрения</x:v>
      </x:c>
      <x:c r="G170" s="5" t="n">
        <x:v>2</x:v>
      </x:c>
      <x:c r="H170" s="5" t="str">
        <x:v>Руководители, специалисты и сотрудники группы; конкретные аудитории уточнить по программам</x:v>
      </x:c>
      <x:c r="I170" s="5" t="str">
        <x:v>обучение специалистов; наставничество; методология; управленческие навыки; электронные курсы</x:v>
      </x:c>
      <x:c r="J170" s="5" t="str">
        <x:v>https://www.acron.ru/sustainability/learning_centers/</x:v>
      </x:c>
      <x:c r="K170" s="5" t="str">
        <x:v>content_read</x:v>
      </x:c>
      <x:c r="L17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171" ht="54" customHeight="1">
      <x:c r="A171" s="5" t="str">
        <x:v>CU-0069</x:v>
      </x:c>
      <x:c r="B171" s="5" t="str">
        <x:v>Учебный центр «Силовых машин»</x:v>
      </x:c>
      <x:c r="C171" s="5" t="str">
        <x:v>Россия</x:v>
      </x:c>
      <x:c r="D171" s="5" t="str">
        <x:v>Учебный центр компании</x:v>
      </x:c>
      <x:c r="E171" s="5" t="str">
        <x:v>АО «Силовые машины»</x:v>
      </x:c>
      <x:c r="F171" s="5" t="str">
        <x:v>Энергетическое машиностроение</x:v>
      </x:c>
      <x:c r="G171" s="5" t="n">
        <x:v>2</x:v>
      </x:c>
      <x:c r="H171" s="5" t="str">
        <x:v>Руководители, специалисты и сотрудники группы; конкретные аудитории уточнить по программам</x:v>
      </x:c>
      <x:c r="I171" s="5" t="str">
        <x:v>методология; внутренние преподаватели; цифровые курсы; развитие руководителей и специалистов</x:v>
      </x:c>
      <x:c r="J171" s="5" t="str">
        <x:v>https://power-m.ru/company/training-center/</x:v>
      </x:c>
      <x:c r="K171" s="5" t="str">
        <x:v>content_read</x:v>
      </x:c>
      <x:c r="L17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172" ht="54" customHeight="1">
      <x:c r="A172" s="5" t="str">
        <x:v>CU-0073</x:v>
      </x:c>
      <x:c r="B172" s="5" t="str">
        <x:v>Технологический университет ЕвроХима</x:v>
      </x:c>
      <x:c r="C172" s="5" t="str">
        <x:v>Россия</x:v>
      </x:c>
      <x:c r="D172" s="5" t="str">
        <x:v>Корпоративный университет</x:v>
      </x:c>
      <x:c r="E172" s="5" t="str">
        <x:v>АО «МХК «ЕвроХим»</x:v>
      </x:c>
      <x:c r="F172" s="5" t="str">
        <x:v>Минеральные удобрения</x:v>
      </x:c>
      <x:c r="G172" s="5" t="n">
        <x:v>2</x:v>
      </x:c>
      <x:c r="H172" s="5" t="str">
        <x:v>Руководители, специалисты и сотрудники группы; конкретные аудитории уточнить по программам</x:v>
      </x:c>
      <x:c r="I172" s="5" t="str">
        <x:v>развитие специалистов; управление; непрерывное обучение; электронные курсы; методология</x:v>
      </x:c>
      <x:c r="J172" s="5" t="str">
        <x:v>https://t.me/s/eurochemofficial/1469</x:v>
      </x:c>
      <x:c r="K172" s="5" t="str">
        <x:v>content_read</x:v>
      </x:c>
      <x:c r="L17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173" ht="54" customHeight="1">
      <x:c r="A173" s="5" t="str">
        <x:v>CU-0076</x:v>
      </x:c>
      <x:c r="B173" s="5" t="str">
        <x:v>Научно-образовательный центр Обуховского завода</x:v>
      </x:c>
      <x:c r="C173" s="5" t="str">
        <x:v>Россия</x:v>
      </x:c>
      <x:c r="D173" s="5" t="str">
        <x:v>Учебный центр компании</x:v>
      </x:c>
      <x:c r="E173" s="5" t="str">
        <x:v>АО «НПО «Обуховский завод»</x:v>
      </x:c>
      <x:c r="F173" s="5" t="str">
        <x:v>Промышленное машиностроение</x:v>
      </x:c>
      <x:c r="G173" s="5" t="n">
        <x:v>2</x:v>
      </x:c>
      <x:c r="H173" s="5" t="str">
        <x:v>Руководители, специалисты и сотрудники группы; конкретные аудитории уточнить по программам</x:v>
      </x:c>
      <x:c r="I173" s="5" t="str">
        <x:v>обучение специалистов; управление качеством; наставники; электронный контент; развитие руководителей</x:v>
      </x:c>
      <x:c r="J173" s="5" t="str">
        <x:v>https://noc.goz.ru/</x:v>
      </x:c>
      <x:c r="K173" s="5" t="str">
        <x:v>search_index</x:v>
      </x:c>
      <x:c r="L17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174" ht="54" customHeight="1">
      <x:c r="A174" s="5" t="str">
        <x:v>CU-0077</x:v>
      </x:c>
      <x:c r="B174" s="5" t="str">
        <x:v>Региональный центр подготовки персонала «Евраз-Сибирь»</x:v>
      </x:c>
      <x:c r="C174" s="5" t="str">
        <x:v>Россия</x:v>
      </x:c>
      <x:c r="D174" s="5" t="str">
        <x:v>Учебный центр компании</x:v>
      </x:c>
      <x:c r="E174" s="5" t="str">
        <x:v>ЧОУ ДПО «РЦПП «Евраз-Сибирь»</x:v>
      </x:c>
      <x:c r="F174" s="5" t="str">
        <x:v>Металлургия</x:v>
      </x:c>
      <x:c r="G174" s="5" t="n">
        <x:v>2</x:v>
      </x:c>
      <x:c r="H174" s="5" t="str">
        <x:v>Руководители, специалисты и сотрудники группы; конкретные аудитории уточнить по программам</x:v>
      </x:c>
      <x:c r="I174" s="5" t="str">
        <x:v>развитие руководителей и специалистов; наставничество; методология взрослых; электронные курсы</x:v>
      </x:c>
      <x:c r="J174" s="5" t="str">
        <x:v>https://www.rcpp.ru/sveden/istoriya-tsentra</x:v>
      </x:c>
      <x:c r="K174" s="5" t="str">
        <x:v>content_read</x:v>
      </x:c>
      <x:c r="L17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175" ht="54" customHeight="1">
      <x:c r="A175" s="5" t="str">
        <x:v>CU-0078</x:v>
      </x:c>
      <x:c r="B175" s="5" t="str">
        <x:v>Центр подготовки персонала «Евраз-Урал»</x:v>
      </x:c>
      <x:c r="C175" s="5" t="str">
        <x:v>Россия</x:v>
      </x:c>
      <x:c r="D175" s="5" t="str">
        <x:v>Учебный центр компании</x:v>
      </x:c>
      <x:c r="E175" s="5" t="str">
        <x:v>ЧОУ ДПО «ЦПП Евраз-Урал»</x:v>
      </x:c>
      <x:c r="F175" s="5" t="str">
        <x:v>Металлургия</x:v>
      </x:c>
      <x:c r="G175" s="5" t="n">
        <x:v>2</x:v>
      </x:c>
      <x:c r="H175" s="5" t="str">
        <x:v>Руководители, специалисты и сотрудники группы; конкретные аудитории уточнить по программам</x:v>
      </x:c>
      <x:c r="I175" s="5" t="str">
        <x:v>обучение руководителей; наставничество; методология; электронные курсы; менеджмент</x:v>
      </x:c>
      <x:c r="J175" s="5" t="str">
        <x:v>https://cpp-evraz-ural.ru/sveden/common/</x:v>
      </x:c>
      <x:c r="K175" s="5" t="str">
        <x:v>search_index</x:v>
      </x:c>
      <x:c r="L175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176" ht="54" customHeight="1">
      <x:c r="A176" s="5" t="str">
        <x:v>CU-0079</x:v>
      </x:c>
      <x:c r="B176" s="5" t="str">
        <x:v>Учебный центр ЧерМК / отдел по обучению и развитию Северстали</x:v>
      </x:c>
      <x:c r="C176" s="5" t="str">
        <x:v>Россия</x:v>
      </x:c>
      <x:c r="D176" s="5" t="str">
        <x:v>Учебный центр компании</x:v>
      </x:c>
      <x:c r="E176" s="5" t="str">
        <x:v>ПАО «Северсталь»</x:v>
      </x:c>
      <x:c r="F176" s="5" t="str">
        <x:v>Металлургия</x:v>
      </x:c>
      <x:c r="G176" s="5" t="n">
        <x:v>2</x:v>
      </x:c>
      <x:c r="H176" s="5" t="str">
        <x:v>Руководители, специалисты и сотрудники группы; конкретные аудитории уточнить по программам</x:v>
      </x:c>
      <x:c r="I176" s="5" t="str">
        <x:v>развитие специалистов; методология; наставничество; управленческие навыки; электронные курсы</x:v>
      </x:c>
      <x:c r="J176" s="5" t="str">
        <x:v>https://severstal.com/rus/about/structure/businesses/cherepovetskiy-metallurgicheskiy-kombinat/uchebnyy-tsentr-chermk/</x:v>
      </x:c>
      <x:c r="K176" s="5" t="str">
        <x:v>search_index</x:v>
      </x:c>
      <x:c r="L176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действующий…</x:v>
      </x:c>
    </x:row>
    <x:row r="177" ht="54" customHeight="1">
      <x:c r="A177" s="5" t="str">
        <x:v>CU-0085</x:v>
      </x:c>
      <x:c r="B177" s="5" t="str">
        <x:v>Академия ПСБ</x:v>
      </x:c>
      <x:c r="C177" s="5" t="str">
        <x:v>Россия</x:v>
      </x:c>
      <x:c r="D177" s="5" t="str">
        <x:v>Корпоративная академия</x:v>
      </x:c>
      <x:c r="E177" s="5" t="str">
        <x:v>ПСБ</x:v>
      </x:c>
      <x:c r="F177" s="5" t="str">
        <x:v>Банки</x:v>
      </x:c>
      <x:c r="G177" s="5" t="n">
        <x:v>2</x:v>
      </x:c>
      <x:c r="H177" s="5" t="str">
        <x:v>Предприниматели, руководители и специалисты корпоративных клиентов; финансовые службы предприятий</x:v>
      </x:c>
      <x:c r="I177" s="5" t="str">
        <x:v>ГОЗ, финансы, закупки, управленческие навыки, ИИ, электронные программы.</x:v>
      </x:c>
      <x:c r="J177" s="5" t="str">
        <x:v>https://www.psbank.ru/bank/academy</x:v>
      </x:c>
      <x:c r="K177" s="5" t="str">
        <x:v>search_index</x:v>
      </x:c>
      <x:c r="L17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78" ht="54" customHeight="1">
      <x:c r="A178" s="5" t="str">
        <x:v>CU-0091</x:v>
      </x:c>
      <x:c r="B178" s="5" t="str">
        <x:v>Школа страхования РЕСО</x:v>
      </x:c>
      <x:c r="C178" s="5" t="str">
        <x:v>Россия</x:v>
      </x:c>
      <x:c r="D178" s="5" t="str">
        <x:v>Учебный центр компании</x:v>
      </x:c>
      <x:c r="E178" s="5" t="str">
        <x:v>РЕСО-Гарантия</x:v>
      </x:c>
      <x:c r="F178" s="5" t="str">
        <x:v>Страхование</x:v>
      </x:c>
      <x:c r="G178" s="5" t="n">
        <x:v>2</x:v>
      </x:c>
      <x:c r="H178" s="5" t="str">
        <x:v>Страховые агенты, кандидаты в агенты, руководители агентской сети</x:v>
      </x:c>
      <x:c r="I178" s="5" t="str">
        <x:v>Переговоры, продажи, наставничество, управленческие программы для руководителей агентской сети.</x:v>
      </x:c>
      <x:c r="J178" s="5" t="str">
        <x:v>https://reso.ru/agent-job/</x:v>
      </x:c>
      <x:c r="K178" s="5" t="str">
        <x:v>search_index</x:v>
      </x:c>
      <x:c r="L178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79" ht="54" customHeight="1">
      <x:c r="A179" s="5" t="str">
        <x:v>CU-0096</x:v>
      </x:c>
      <x:c r="B179" s="5" t="str">
        <x:v>МегаАкадемия</x:v>
      </x:c>
      <x:c r="C179" s="5" t="str">
        <x:v>Россия</x:v>
      </x:c>
      <x:c r="D179" s="5" t="str">
        <x:v>Корпоративная академия</x:v>
      </x:c>
      <x:c r="E179" s="5" t="str">
        <x:v>МегаФон</x:v>
      </x:c>
      <x:c r="F179" s="5" t="str">
        <x:v>Телекоммуникации</x:v>
      </x:c>
      <x:c r="G179" s="5" t="n">
        <x:v>2</x:v>
      </x:c>
      <x:c r="H179" s="5" t="str">
        <x:v>Руководители, специалисты и кадровый резерв компании</x:v>
      </x:c>
      <x:c r="I179" s="5" t="str">
        <x:v>Управление, сервис, продажи, цифровые компетенции, электронные курсы.</x:v>
      </x:c>
      <x:c r="J179" s="5" t="str">
        <x:v>https://corp.megafon.ru/download/~federal/corp/investoram/report/year_reports/megafon_ar2019_rus.pdf</x:v>
      </x:c>
      <x:c r="K179" s="5" t="str">
        <x:v>search_index</x:v>
      </x:c>
      <x:c r="L179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80" ht="54" customHeight="1">
      <x:c r="A180" s="5" t="str">
        <x:v>CU-0098</x:v>
      </x:c>
      <x:c r="B180" s="5" t="str">
        <x:v>Корпоративная академия Магнита</x:v>
      </x:c>
      <x:c r="C180" s="5" t="str">
        <x:v>Россия</x:v>
      </x:c>
      <x:c r="D180" s="5" t="str">
        <x:v>Корпоративная академия</x:v>
      </x:c>
      <x:c r="E180" s="5" t="str">
        <x:v>Магнит / АО Тандер</x:v>
      </x:c>
      <x:c r="F180" s="5" t="str">
        <x:v>Розничная торговля</x:v>
      </x:c>
      <x:c r="G180" s="5" t="n">
        <x:v>2</x:v>
      </x:c>
      <x:c r="H180" s="5" t="str">
        <x:v>Руководители, специалисты и кадровый резерв компании</x:v>
      </x:c>
      <x:c r="I180" s="5" t="str">
        <x:v>Управление, кадровый резерв, HR, финансы, закупки, электронные программы.</x:v>
      </x:c>
      <x:c r="J180" s="5" t="str">
        <x:v>https://sr2022.magnit.com/ru/our-employees/recruitment-training/training-development</x:v>
      </x:c>
      <x:c r="K180" s="5" t="str">
        <x:v>search_index</x:v>
      </x:c>
      <x:c r="L180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81" ht="54" customHeight="1">
      <x:c r="A181" s="5" t="str">
        <x:v>CU-0100</x:v>
      </x:c>
      <x:c r="B181" s="5" t="str">
        <x:v>Цифровая академия / Академия ритейла М.Видео-Эльдорадо</x:v>
      </x:c>
      <x:c r="C181" s="5" t="str">
        <x:v>Россия</x:v>
      </x:c>
      <x:c r="D181" s="5" t="str">
        <x:v>Корпоративная академия</x:v>
      </x:c>
      <x:c r="E181" s="5" t="str">
        <x:v>М.Видео-Эльдорадо</x:v>
      </x:c>
      <x:c r="F181" s="5" t="str">
        <x:v>Розничная торговля</x:v>
      </x:c>
      <x:c r="G181" s="5" t="n">
        <x:v>2</x:v>
      </x:c>
      <x:c r="H181" s="5" t="str">
        <x:v>Руководители, специалисты и кадровый резерв компании</x:v>
      </x:c>
      <x:c r="I181" s="5" t="str">
        <x:v>Продуктовый менеджмент, agile, аналитика данных, цифровая трансформация, менеджмент.</x:v>
      </x:c>
      <x:c r="J181" s="5" t="str">
        <x:v>https://mvideoeldorado.ru/en/press-center/press-releases/detail/2420</x:v>
      </x:c>
      <x:c r="K181" s="5" t="str">
        <x:v>search_index</x:v>
      </x:c>
      <x:c r="L181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82" ht="54" customHeight="1">
      <x:c r="A182" s="5" t="str">
        <x:v>CU-0104</x:v>
      </x:c>
      <x:c r="B182" s="5" t="str">
        <x:v>Сетевая Академия ЛАНИТ</x:v>
      </x:c>
      <x:c r="C182" s="5" t="str">
        <x:v>Россия</x:v>
      </x:c>
      <x:c r="D182" s="5" t="str">
        <x:v>Учебный центр компании</x:v>
      </x:c>
      <x:c r="E182" s="5" t="str">
        <x:v>ЛАНИТ</x:v>
      </x:c>
      <x:c r="F182" s="5" t="str">
        <x:v>Информационные технологии</x:v>
      </x:c>
      <x:c r="G182" s="5" t="n">
        <x:v>2</x:v>
      </x:c>
      <x:c r="H182" s="5" t="str">
        <x:v>Руководители и специалисты внешних корпоративных клиентов; сотрудники группы — требует уточнения</x:v>
      </x:c>
      <x:c r="I182" s="5" t="str">
        <x:v>Управление ИТ-проектами, бизнес-анализ, развитие тренеров и методология, цифровые курсы.</x:v>
      </x:c>
      <x:c r="J182" s="5" t="str">
        <x:v>https://lanit.ru/press/archive/setevaya-akademiya-lanit-podvela-itogi-2021-goda-</x:v>
      </x:c>
      <x:c r="K182" s="5" t="str">
        <x:v>search_index</x:v>
      </x:c>
      <x:c r="L182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83" ht="54" customHeight="1">
      <x:c r="A183" s="5" t="str">
        <x:v>CU-0108</x:v>
      </x:c>
      <x:c r="B183" s="5" t="str">
        <x:v>Академия бизнеса Б1</x:v>
      </x:c>
      <x:c r="C183" s="5" t="str">
        <x:v>Россия</x:v>
      </x:c>
      <x:c r="D183" s="5" t="str">
        <x:v>Корпоративная академия</x:v>
      </x:c>
      <x:c r="E183" s="5" t="str">
        <x:v>Б1</x:v>
      </x:c>
      <x:c r="F183" s="5" t="str">
        <x:v>Аудит и консалтинг</x:v>
      </x:c>
      <x:c r="G183" s="5" t="n">
        <x:v>2</x:v>
      </x:c>
      <x:c r="H183" s="5" t="str">
        <x:v>Руководители и специалисты внешних корпоративных клиентов; сотрудники группы — требует уточнения</x:v>
      </x:c>
      <x:c r="I183" s="5" t="str">
        <x:v>Финансы, МСФО, риски, управление, HR, электронное обучение и приглашённые эксперты.</x:v>
      </x:c>
      <x:c r="J183" s="5" t="str">
        <x:v>https://b1.ru/academyb1/</x:v>
      </x:c>
      <x:c r="K183" s="5" t="str">
        <x:v>search_index</x:v>
      </x:c>
      <x:c r="L183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84" ht="54" customHeight="1">
      <x:c r="A184" s="5" t="str">
        <x:v>CU-0109</x:v>
      </x:c>
      <x:c r="B184" s="5" t="str">
        <x:v>Академия Kept</x:v>
      </x:c>
      <x:c r="C184" s="5" t="str">
        <x:v>Россия</x:v>
      </x:c>
      <x:c r="D184" s="5" t="str">
        <x:v>Корпоративная академия</x:v>
      </x:c>
      <x:c r="E184" s="5" t="str">
        <x:v>Kept</x:v>
      </x:c>
      <x:c r="F184" s="5" t="str">
        <x:v>Аудит и консалтинг</x:v>
      </x:c>
      <x:c r="G184" s="5" t="n">
        <x:v>2</x:v>
      </x:c>
      <x:c r="H184" s="5" t="str">
        <x:v>Руководители и специалисты внешних корпоративных клиентов; сотрудники группы — требует уточнения</x:v>
      </x:c>
      <x:c r="I184" s="5" t="str">
        <x:v>Финансы, HR, лидерство, риск-менеджмент, цифровые технологии, электронный контент.</x:v>
      </x:c>
      <x:c r="J184" s="5" t="str">
        <x:v>https://academy.kept.ru/corp</x:v>
      </x:c>
      <x:c r="K184" s="5" t="str">
        <x:v>search_index</x:v>
      </x:c>
      <x:c r="L184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85" ht="54" customHeight="1">
      <x:c r="A185" s="5" t="str">
        <x:v>CU-0110</x:v>
      </x:c>
      <x:c r="B185" s="5" t="str">
        <x:v>Академия Технологий Доверия</x:v>
      </x:c>
      <x:c r="C185" s="5" t="str">
        <x:v>Россия</x:v>
      </x:c>
      <x:c r="D185" s="5" t="str">
        <x:v>Корпоративная академия</x:v>
      </x:c>
      <x:c r="E185" s="5" t="str">
        <x:v>Технологии Доверия</x:v>
      </x:c>
      <x:c r="F185" s="5" t="str">
        <x:v>Аудит и консалтинг</x:v>
      </x:c>
      <x:c r="G185" s="5" t="n">
        <x:v>2</x:v>
      </x:c>
      <x:c r="H185" s="5" t="str">
        <x:v>Руководители и специалисты внешних корпоративных клиентов; сотрудники группы — требует уточнения</x:v>
      </x:c>
      <x:c r="I185" s="5" t="str">
        <x:v>МСФО, РСБУ, налоги, финансы, HR, коучинг, деловые коммуникации.</x:v>
      </x:c>
      <x:c r="J185" s="5" t="str">
        <x:v>https://training.tedo.ru/about-academy/</x:v>
      </x:c>
      <x:c r="K185" s="5" t="str">
        <x:v>search_index</x:v>
      </x:c>
      <x:c r="L18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86" ht="54" customHeight="1">
      <x:c r="A186" s="5" t="str">
        <x:v>CU-0111</x:v>
      </x:c>
      <x:c r="B186" s="5" t="str">
        <x:v>Экономико-правовая школа ФБК</x:v>
      </x:c>
      <x:c r="C186" s="5" t="str">
        <x:v>Россия</x:v>
      </x:c>
      <x:c r="D186" s="5" t="str">
        <x:v>Учебный центр компании</x:v>
      </x:c>
      <x:c r="E186" s="5" t="str">
        <x:v>ФБК</x:v>
      </x:c>
      <x:c r="F186" s="5" t="str">
        <x:v>Аудит и консалтинг</x:v>
      </x:c>
      <x:c r="G186" s="5" t="n">
        <x:v>2</x:v>
      </x:c>
      <x:c r="H186" s="5" t="str">
        <x:v>Руководители и специалисты внешних корпоративных клиентов; сотрудники группы — требует уточнения</x:v>
      </x:c>
      <x:c r="I186" s="5" t="str">
        <x:v>Финансы, право, налоги, аудит, электронные курсы, преподаватели узких тем.</x:v>
      </x:c>
      <x:c r="J186" s="5" t="str">
        <x:v>https://www.fbk.ru/press-center/news/ekonomiko-pravovaya-shkola-fbk-zapustila-novyy-sayt/</x:v>
      </x:c>
      <x:c r="K186" s="5" t="str">
        <x:v>search_index</x:v>
      </x:c>
      <x:c r="L18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87" ht="54" customHeight="1">
      <x:c r="A187" s="5" t="str">
        <x:v>CU-0118</x:v>
      </x:c>
      <x:c r="B187" s="5" t="str">
        <x:v>Академия лидерства T2Way</x:v>
      </x:c>
      <x:c r="C187" s="5" t="str">
        <x:v>Россия</x:v>
      </x:c>
      <x:c r="D187" s="5" t="str">
        <x:v>Корпоративная академия</x:v>
      </x:c>
      <x:c r="E187" s="5" t="str">
        <x:v>t2</x:v>
      </x:c>
      <x:c r="F187" s="5" t="str">
        <x:v>Телекоммуникации</x:v>
      </x:c>
      <x:c r="G187" s="5" t="n">
        <x:v>2</x:v>
      </x:c>
      <x:c r="H187" s="5" t="str">
        <x:v>Руководители, специалисты и кадровый резерв компании</x:v>
      </x:c>
      <x:c r="I187" s="5" t="str">
        <x:v>Лидерство, изменение бизнес-процессов, кадровый резерв, цифровые навыки.</x:v>
      </x:c>
      <x:c r="J187" s="5" t="str">
        <x:v>https://careers.t2.ru/?erid=2Vtzqwb7nMJ</x:v>
      </x:c>
      <x:c r="K187" s="5" t="str">
        <x:v>search_index</x:v>
      </x:c>
      <x:c r="L18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88" ht="54" customHeight="1">
      <x:c r="A188" s="5" t="str">
        <x:v>CU-0119</x:v>
      </x:c>
      <x:c r="B188" s="5" t="str">
        <x:v>Т1 Цифровая академия</x:v>
      </x:c>
      <x:c r="C188" s="5" t="str">
        <x:v>Россия</x:v>
      </x:c>
      <x:c r="D188" s="5" t="str">
        <x:v>Корпоративная академия</x:v>
      </x:c>
      <x:c r="E188" s="5" t="str">
        <x:v>Т1</x:v>
      </x:c>
      <x:c r="F188" s="5" t="str">
        <x:v>Информационные технологии</x:v>
      </x:c>
      <x:c r="G188" s="5" t="n">
        <x:v>2</x:v>
      </x:c>
      <x:c r="H188" s="5" t="str">
        <x:v>Сотрудники холдинга и внешние корпоративные клиенты</x:v>
      </x:c>
      <x:c r="I188" s="5" t="str">
        <x:v>Управление цифровой трансформацией, ИТ-команды, бизнес-анализ, электронные курсы.</x:v>
      </x:c>
      <x:c r="J188" s="5" t="str">
        <x:v>https://t1.ru/about/units/t1-academy</x:v>
      </x:c>
      <x:c r="K188" s="5" t="str">
        <x:v>content_read</x:v>
      </x:c>
      <x:c r="L188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89" ht="54" customHeight="1">
      <x:c r="A189" s="5" t="str">
        <x:v>CU-0120</x:v>
      </x:c>
      <x:c r="B189" s="5" t="str">
        <x:v>1С:Учебный центр №1</x:v>
      </x:c>
      <x:c r="C189" s="5" t="str">
        <x:v>Россия</x:v>
      </x:c>
      <x:c r="D189" s="5" t="str">
        <x:v>Учебный центр компании</x:v>
      </x:c>
      <x:c r="E189" s="5" t="str">
        <x:v>Фирма 1С</x:v>
      </x:c>
      <x:c r="F189" s="5" t="str">
        <x:v>Информационные технологии</x:v>
      </x:c>
      <x:c r="G189" s="5" t="n">
        <x:v>2</x:v>
      </x:c>
      <x:c r="H189" s="5" t="str">
        <x:v>Бухгалтеры, экономисты, кадровики, программисты и сотрудники партнёрской сети; внешний корпоративный контур.</x:v>
      </x:c>
      <x:c r="I189" s="5" t="str">
        <x:v>Бухгалтерский и налоговый учёт, кадровое делопроизводство, управленческий учёт, электронные курсы и методология обучения.</x:v>
      </x:c>
      <x:c r="J189" s="5" t="str">
        <x:v>https://uc1.1c.ru/</x:v>
      </x:c>
      <x:c r="K189" s="5" t="str">
        <x:v>search_index</x:v>
      </x:c>
      <x:c r="L189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  <x:row r="190" ht="54" customHeight="1">
      <x:c r="A190" s="5" t="str">
        <x:v>CU-0124</x:v>
      </x:c>
      <x:c r="B190" s="5" t="str">
        <x:v>АР-Университет</x:v>
      </x:c>
      <x:c r="C190" s="5" t="str">
        <x:v>Россия</x:v>
      </x:c>
      <x:c r="D190" s="5" t="str">
        <x:v>Корпоративная академия</x:v>
      </x:c>
      <x:c r="E190" s="5" t="str">
        <x:v>Холдинг «Аэропорты Регионов»</x:v>
      </x:c>
      <x:c r="F190" s="5" t="str">
        <x:v>Аэропорты</x:v>
      </x:c>
      <x:c r="G190" s="5" t="n">
        <x:v>2</x:v>
      </x:c>
      <x:c r="H190" s="5" t="str">
        <x:v>Специалисты и руководители аэропортовой отрасли</x:v>
      </x:c>
      <x:c r="I190" s="5" t="str">
        <x:v>Условное: сервис, коммуникации, управление, методология цифрового обучения; технические авиационные программы вне основного профиля МИСБ</x:v>
      </x:c>
      <x:c r="J190" s="5" t="str">
        <x:v>https://ar-university.ru/ru/about</x:v>
      </x:c>
      <x:c r="K190" s="5" t="str">
        <x:v>search_index</x:v>
      </x:c>
      <x:c r="L190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91" ht="54" customHeight="1">
      <x:c r="A191" s="5" t="str">
        <x:v>CU-0125</x:v>
      </x:c>
      <x:c r="B191" s="5" t="str">
        <x:v>Корпоративный университет — авиационный учебный центр Пулково</x:v>
      </x:c>
      <x:c r="C191" s="5" t="str">
        <x:v>Россия</x:v>
      </x:c>
      <x:c r="D191" s="5" t="str">
        <x:v>Корпоративный университет</x:v>
      </x:c>
      <x:c r="E191" s="5" t="str">
        <x:v>ООО «Воздушные Ворота Северной Столицы»</x:v>
      </x:c>
      <x:c r="F191" s="5" t="str">
        <x:v>Аэропорты</x:v>
      </x:c>
      <x:c r="G191" s="5" t="n">
        <x:v>2</x:v>
      </x:c>
      <x:c r="H191" s="5" t="str">
        <x:v>Авиационные специалисты и сотрудники аэропорта</x:v>
      </x:c>
      <x:c r="I191" s="5" t="str">
        <x:v>Условное: клиентский сервис, коммуникации, развитие внутренних инструкторов и электронные курсы; проверять управленческую часть каждой задачи</x:v>
      </x:c>
      <x:c r="J191" s="5" t="str">
        <x:v>https://pulkovoairport.ru/atc/about-educational/</x:v>
      </x:c>
      <x:c r="K191" s="5" t="str">
        <x:v>content_read</x:v>
      </x:c>
      <x:c r="L191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92" ht="54" customHeight="1">
      <x:c r="A192" s="5" t="str">
        <x:v>CU-0127</x:v>
      </x:c>
      <x:c r="B192" s="5" t="str">
        <x:v>Авиашкола Аэрофлота (Академия Аэрофлота)</x:v>
      </x:c>
      <x:c r="C192" s="5" t="str">
        <x:v>Россия</x:v>
      </x:c>
      <x:c r="D192" s="5" t="str">
        <x:v>Корпоративная академия</x:v>
      </x:c>
      <x:c r="E192" s="5" t="str">
        <x:v>Группа «Аэрофлот»</x:v>
      </x:c>
      <x:c r="F192" s="5" t="str">
        <x:v>Авиация</x:v>
      </x:c>
      <x:c r="G192" s="5" t="n">
        <x:v>2</x:v>
      </x:c>
      <x:c r="H192" s="5" t="str">
        <x:v>Специалисты авиакомпаний, бортпроводники, инструкторы</x:v>
      </x:c>
      <x:c r="I192" s="5" t="str">
        <x:v>Условное: сервис, внутренние тренеры, электронное обучение; узкие программы авиационной подготовки требуют профильного исполнителя</x:v>
      </x:c>
      <x:c r="J192" s="5" t="str">
        <x:v>https://www.avb.ru/</x:v>
      </x:c>
      <x:c r="K192" s="5" t="str">
        <x:v>content_read</x:v>
      </x:c>
      <x:c r="L192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93" ht="54" customHeight="1">
      <x:c r="A193" s="5" t="str">
        <x:v>CU-0131</x:v>
      </x:c>
      <x:c r="B193" s="5" t="str">
        <x:v>DOMODEDOVO TRAINING</x:v>
      </x:c>
      <x:c r="C193" s="5" t="str">
        <x:v>Россия</x:v>
      </x:c>
      <x:c r="D193" s="5" t="str">
        <x:v>Учебный центр компании</x:v>
      </x:c>
      <x:c r="E193" s="5" t="str">
        <x:v>Группа DME / ООО «ДОМОДЕДОВО ТРЕЙНИНГ»</x:v>
      </x:c>
      <x:c r="F193" s="5" t="str">
        <x:v>Аэропорты</x:v>
      </x:c>
      <x:c r="G193" s="5" t="n">
        <x:v>2</x:v>
      </x:c>
      <x:c r="H193" s="5" t="str">
        <x:v>Сотрудники аэропорта и партнёрских компаний</x:v>
      </x:c>
      <x:c r="I193" s="5" t="str">
        <x:v>Высокое/условное: сервис, управление, обучение персонала и цифровые курсы; авиационную техническую подготовку отделять</x:v>
      </x:c>
      <x:c r="J193" s="5" t="str">
        <x:v>https://business.dme.ru/company/group/dt/</x:v>
      </x:c>
      <x:c r="K193" s="5" t="str">
        <x:v>content_read</x:v>
      </x:c>
      <x:c r="L193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94" ht="54" customHeight="1">
      <x:c r="A194" s="5" t="str">
        <x:v>CU-0134</x:v>
      </x:c>
      <x:c r="B194" s="5" t="str">
        <x:v>Академия FESCO</x:v>
      </x:c>
      <x:c r="C194" s="5" t="str">
        <x:v>Россия</x:v>
      </x:c>
      <x:c r="D194" s="5" t="str">
        <x:v>Корпоративная академия</x:v>
      </x:c>
      <x:c r="E194" s="5" t="str">
        <x:v>Транспортная группа FESCO</x:v>
      </x:c>
      <x:c r="F194" s="5" t="str">
        <x:v>Морская логистика и порты</x:v>
      </x:c>
      <x:c r="G194" s="5" t="n">
        <x:v>2</x:v>
      </x:c>
      <x:c r="H194" s="5" t="str">
        <x:v>Сотрудники логистики, портов и транспортных подразделений</x:v>
      </x:c>
      <x:c r="I194" s="5" t="str">
        <x:v>Условное/высокое: управление, логистика для специалистов, переговоры, цифровое обучение; проверять аудиторию каждого курса</x:v>
      </x:c>
      <x:c r="J194" s="5" t="str">
        <x:v>https://www.fesco.ru/ru/about/fesco-academy/docs/</x:v>
      </x:c>
      <x:c r="K194" s="5" t="str">
        <x:v>search_index</x:v>
      </x:c>
      <x:c r="L194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95" ht="54" customHeight="1">
      <x:c r="A195" s="5" t="str">
        <x:v>CU-0141</x:v>
      </x:c>
      <x:c r="B195" s="5" t="str">
        <x:v>Академия «ЭкоНива» / корпоративный университет</x:v>
      </x:c>
      <x:c r="C195" s="5" t="str">
        <x:v>Россия</x:v>
      </x:c>
      <x:c r="D195" s="5" t="str">
        <x:v>Корпоративная академия</x:v>
      </x:c>
      <x:c r="E195" s="5" t="str">
        <x:v>ГК «ЭкоНива»</x:v>
      </x:c>
      <x:c r="F195" s="5" t="str">
        <x:v>АПК и молочное производство</x:v>
      </x:c>
      <x:c r="G195" s="5" t="n">
        <x:v>2</x:v>
      </x:c>
      <x:c r="H195" s="5" t="str">
        <x:v>Сотрудники, руководители, кадровый резерв, студенты-практиканты</x:v>
      </x:c>
      <x:c r="I195" s="5" t="str">
        <x:v>Высокое/условное: Академия управления, экономика, кадровый резерв, наставничество; студенческие агрономические программы не являются прямой потребностью МИСБ</x:v>
      </x:c>
      <x:c r="J195" s="5" t="str">
        <x:v>https://ekoniva-apk.ru/projects</x:v>
      </x:c>
      <x:c r="K195" s="5" t="str">
        <x:v>search_index</x:v>
      </x:c>
      <x:c r="L195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96" ht="54" customHeight="1">
      <x:c r="A196" s="5" t="str">
        <x:v>CU-0144</x:v>
      </x:c>
      <x:c r="B196" s="5" t="str">
        <x:v>Медицинская академия МЕДСИ</x:v>
      </x:c>
      <x:c r="C196" s="5" t="str">
        <x:v>Россия</x:v>
      </x:c>
      <x:c r="D196" s="5" t="str">
        <x:v>Корпоративная академия</x:v>
      </x:c>
      <x:c r="E196" s="5" t="str">
        <x:v>АО «Группа компаний «Медси»</x:v>
      </x:c>
      <x:c r="F196" s="5" t="str">
        <x:v>Частное здравоохранение</x:v>
      </x:c>
      <x:c r="G196" s="5" t="n">
        <x:v>2</x:v>
      </x:c>
      <x:c r="H196" s="5" t="str">
        <x:v>Врачи, медицинские специалисты и руководители подразделений</x:v>
      </x:c>
      <x:c r="I196" s="5" t="str">
        <x:v>Условное: управление медицинской организацией, HR, сервис, коммуникации и электронные курсы; клиническое образование требует медицинской экспертизы</x:v>
      </x:c>
      <x:c r="J196" s="5" t="str">
        <x:v>https://medsi.ru/academy/</x:v>
      </x:c>
      <x:c r="K196" s="5" t="str">
        <x:v>search_index</x:v>
      </x:c>
      <x:c r="L196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97" ht="54" customHeight="1">
      <x:c r="A197" s="5" t="str">
        <x:v>CU-0145</x:v>
      </x:c>
      <x:c r="B197" s="5" t="str">
        <x:v>Высшая медицинская школа — учебный центр ИНВИТРО</x:v>
      </x:c>
      <x:c r="C197" s="5" t="str">
        <x:v>Россия</x:v>
      </x:c>
      <x:c r="D197" s="5" t="str">
        <x:v>Учебный центр компании</x:v>
      </x:c>
      <x:c r="E197" s="5" t="str">
        <x:v>ИНВИТРО (исторически подтверждённая связь)</x:v>
      </x:c>
      <x:c r="F197" s="5" t="str">
        <x:v>Частное здравоохранение</x:v>
      </x:c>
      <x:c r="G197" s="5" t="n">
        <x:v>2</x:v>
      </x:c>
      <x:c r="H197" s="5" t="str">
        <x:v>Медицинские работники, управленческие и сервисные сотрудники</x:v>
      </x:c>
      <x:c r="I197" s="5" t="str">
        <x:v>Условное/высокое для менеджмента, сервиса, переговоров, HR и электронного контента; клиническая часть вне основного профиля</x:v>
      </x:c>
      <x:c r="J197" s="5" t="str">
        <x:v>https://www.vmsh.ru/</x:v>
      </x:c>
      <x:c r="K197" s="5" t="str">
        <x:v>search_index</x:v>
      </x:c>
      <x:c r="L197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98" ht="54" customHeight="1">
      <x:c r="A198" s="5" t="str">
        <x:v>CU-0150</x:v>
      </x:c>
      <x:c r="B198" s="5" t="str">
        <x:v>Учебный центр Главгосэкспертизы России</x:v>
      </x:c>
      <x:c r="C198" s="5" t="str">
        <x:v>Россия</x:v>
      </x:c>
      <x:c r="D198" s="5" t="str">
        <x:v>Отраслевой учебный центр</x:v>
      </x:c>
      <x:c r="E198" s="5" t="str">
        <x:v>ФАУ «Главгосэкспертиза России»</x:v>
      </x:c>
      <x:c r="F198" s="5" t="str">
        <x:v>Строительная экспертиза</x:v>
      </x:c>
      <x:c r="G198" s="5" t="n">
        <x:v>2</x:v>
      </x:c>
      <x:c r="H198" s="5" t="str">
        <x:v>Специалисты строительной экспертизы, проектировщики, команды регионов и заказчиков</x:v>
      </x:c>
      <x:c r="I198" s="5" t="str">
        <x:v>Высокое/условное: управление проектами, закупки, правовые/финансовые темы и цифровизация; узкую строительную экспертизу проверять отдельно</x:v>
      </x:c>
      <x:c r="J198" s="5" t="str">
        <x:v>https://edu.gge.ru/</x:v>
      </x:c>
      <x:c r="K198" s="5" t="str">
        <x:v>content_read</x:v>
      </x:c>
      <x:c r="L198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199" ht="54" customHeight="1">
      <x:c r="A199" s="5" t="str">
        <x:v>CU-0154</x:v>
      </x:c>
      <x:c r="B199" s="5" t="str">
        <x:v>Корпоративный университет локомотивных технологий («ЛокоТех»)</x:v>
      </x:c>
      <x:c r="C199" s="5" t="str">
        <x:v>Россия</x:v>
      </x:c>
      <x:c r="D199" s="5" t="str">
        <x:v>Корпоративный университет</x:v>
      </x:c>
      <x:c r="E199" s="5" t="str">
        <x:v>Группа «ЛокоТех»</x:v>
      </x:c>
      <x:c r="F199" s="5" t="str">
        <x:v>Ремонт и обслуживание железнодорожной техники</x:v>
      </x:c>
      <x:c r="G199" s="5" t="n">
        <x:v>2</x:v>
      </x:c>
      <x:c r="H199" s="5" t="str">
        <x:v>Специалисты, ИТР, руководители и рабочие предприятий группы</x:v>
      </x:c>
      <x:c r="I199" s="5" t="str">
        <x:v>Условное: soft-компетенции руководителей/специалистов, методология и цифровые материалы; большая часть текущих программ посвящена рабочим профессиям</x:v>
      </x:c>
      <x:c r="J199" s="5" t="str">
        <x:v>https://sdo.locotech.ru/</x:v>
      </x:c>
      <x:c r="K199" s="5" t="str">
        <x:v>content_read</x:v>
      </x:c>
      <x:c r="L199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200" ht="54" customHeight="1">
      <x:c r="A200" s="5" t="str">
        <x:v>CU-0156</x:v>
      </x:c>
      <x:c r="B200" s="5" t="str">
        <x:v>Медицинская школа ЕМС — EMC Medical School</x:v>
      </x:c>
      <x:c r="C200" s="5" t="str">
        <x:v>Россия</x:v>
      </x:c>
      <x:c r="D200" s="5" t="str">
        <x:v>Учебный центр компании</x:v>
      </x:c>
      <x:c r="E200" s="5" t="str">
        <x:v>Европейский медицинский центр (ЕМС)</x:v>
      </x:c>
      <x:c r="F200" s="5" t="str">
        <x:v>Частное здравоохранение</x:v>
      </x:c>
      <x:c r="G200" s="5" t="n">
        <x:v>2</x:v>
      </x:c>
      <x:c r="H200" s="5" t="str">
        <x:v>Врачи, медицинские специалисты и партнёры клиник</x:v>
      </x:c>
      <x:c r="I200" s="5" t="str">
        <x:v>Условное: образовательная методология, цифровые курсы, сервис и управленческие модули; основной клинический профиль требует специализированных преподавателей</x:v>
      </x:c>
      <x:c r="J200" s="5" t="str">
        <x:v>https://www.emc-school.ru/</x:v>
      </x:c>
      <x:c r="K200" s="5" t="str">
        <x:v>search_index</x:v>
      </x:c>
      <x:c r="L200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201" ht="54" customHeight="1">
      <x:c r="A201" s="5" t="str">
        <x:v>CU-0233</x:v>
      </x:c>
      <x:c r="B201" s="5" t="str">
        <x:v>Учебный центр АО «Мосводоканал»</x:v>
      </x:c>
      <x:c r="C201" s="5" t="str">
        <x:v>Россия</x:v>
      </x:c>
      <x:c r="D201" s="5" t="str">
        <x:v>Учебный центр компании</x:v>
      </x:c>
      <x:c r="E201" s="5" t="str">
        <x:v>АО «Мосводоканал»</x:v>
      </x:c>
      <x:c r="F201" s="5" t="str">
        <x:v>Водоснабжение и ЖКХ</x:v>
      </x:c>
      <x:c r="G201" s="5" t="n">
        <x:v>2</x:v>
      </x:c>
      <x:c r="H201" s="5" t="str">
        <x:v>Руководители, специалисты и производственный персонал; долю управленческих программ уточнить.</x:v>
      </x:c>
      <x:c r="I201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201" s="5" t="str">
        <x:v>https://mosvodokanal.ru/press/news/8824</x:v>
      </x:c>
      <x:c r="K201" s="5" t="str">
        <x:v>search_index</x:v>
      </x:c>
      <x:c r="L20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202" ht="54" customHeight="1">
      <x:c r="A202" s="5" t="str">
        <x:v>CU-0235</x:v>
      </x:c>
      <x:c r="B202" s="5" t="str">
        <x:v>Корпоративный учебный центр «СМ-Клиника»</x:v>
      </x:c>
      <x:c r="C202" s="5" t="str">
        <x:v>Россия</x:v>
      </x:c>
      <x:c r="D202" s="5" t="str">
        <x:v>Учебный центр компании</x:v>
      </x:c>
      <x:c r="E202" s="5" t="str">
        <x:v>Медицинский холдинг «СМ-Клиника»</x:v>
      </x:c>
      <x:c r="F202" s="5" t="str">
        <x:v>Медицина</x:v>
      </x:c>
      <x:c r="G202" s="5" t="n">
        <x:v>2</x:v>
      </x:c>
      <x:c r="H202" s="5" t="str">
        <x:v>Руководители, специалисты и производственный персонал; долю управленческих программ уточнить.</x:v>
      </x:c>
      <x:c r="I202" s="5" t="str">
        <x:v>Среднее: сервис, коммуникации с пациентами, управление клиникой, HR и электронный контент; клиническое ДПО отдельно.</x:v>
      </x:c>
      <x:c r="J202" s="5" t="str">
        <x:v>https://sm.org.ru/preimushchestva/obuchenie</x:v>
      </x:c>
      <x:c r="K202" s="5" t="str">
        <x:v>content_read</x:v>
      </x:c>
      <x:c r="L20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203" ht="54" customHeight="1">
      <x:c r="A203" s="5" t="str">
        <x:v>CU-0240</x:v>
      </x:c>
      <x:c r="B203" s="5" t="str">
        <x:v>Учебный центр МОСГАЗ</x:v>
      </x:c>
      <x:c r="C203" s="5" t="str">
        <x:v>Россия</x:v>
      </x:c>
      <x:c r="D203" s="5" t="str">
        <x:v>Учебный центр компании</x:v>
      </x:c>
      <x:c r="E203" s="5" t="str">
        <x:v>АО «МОСГАЗ»</x:v>
      </x:c>
      <x:c r="F203" s="5" t="str">
        <x:v>Газоснабжение и ЖКХ</x:v>
      </x:c>
      <x:c r="G203" s="5" t="n">
        <x:v>2</x:v>
      </x:c>
      <x:c r="H203" s="5" t="str">
        <x:v>Руководители, специалисты и производственный персонал; долю управленческих программ уточнить.</x:v>
      </x:c>
      <x:c r="I203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J203" s="5" t="str">
        <x:v>https://edu.mos-gaz.ru/about/common</x:v>
      </x:c>
      <x:c r="K203" s="5" t="str">
        <x:v>content_read</x:v>
      </x:c>
      <x:c r="L20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204" ht="54" customHeight="1">
      <x:c r="A204" s="5" t="str">
        <x:v>CU-0242</x:v>
      </x:c>
      <x:c r="B204" s="5" t="str">
        <x:v>Учебный центр лабораторной службы «Хеликс»</x:v>
      </x:c>
      <x:c r="C204" s="5" t="str">
        <x:v>Россия</x:v>
      </x:c>
      <x:c r="D204" s="5" t="str">
        <x:v>Учебный центр компании</x:v>
      </x:c>
      <x:c r="E204" s="5" t="str">
        <x:v>Лабораторная служба «Хеликс»</x:v>
      </x:c>
      <x:c r="F204" s="5" t="str">
        <x:v>Медицина</x:v>
      </x:c>
      <x:c r="G204" s="5" t="n">
        <x:v>2</x:v>
      </x:c>
      <x:c r="H204" s="5" t="str">
        <x:v>Руководители, специалисты и производственный персонал; долю управленческих программ уточнить.</x:v>
      </x:c>
      <x:c r="I204" s="5" t="str">
        <x:v>Высокое для обучения франчайзи, управления центром, клиентских коммуникаций, адаптации и цифрового контента.</x:v>
      </x:c>
      <x:c r="J204" s="5" t="str">
        <x:v>https://expertnw.com/obshchestvo/pravila-igry-v-epokhu-hr/</x:v>
      </x:c>
      <x:c r="K204" s="5" t="str">
        <x:v>search_index</x:v>
      </x:c>
      <x:c r="L20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205" ht="54" customHeight="1">
      <x:c r="A205" s="5" t="str">
        <x:v>CU-0086</x:v>
      </x:c>
      <x:c r="B205" s="5" t="str">
        <x:v>Корпоративный университет УРАЛСИБ</x:v>
      </x:c>
      <x:c r="C205" s="5" t="str">
        <x:v>Россия</x:v>
      </x:c>
      <x:c r="D205" s="5" t="str">
        <x:v>Корпоративный университет</x:v>
      </x:c>
      <x:c r="E205" s="5" t="str">
        <x:v>Банк УРАЛСИБ</x:v>
      </x:c>
      <x:c r="F205" s="5" t="str">
        <x:v>Банки</x:v>
      </x:c>
      <x:c r="G205" s="5" t="n">
        <x:v>3</x:v>
      </x:c>
      <x:c r="H205" s="5" t="str">
        <x:v>Руководители, специалисты и кадровый резерв компании</x:v>
      </x:c>
      <x:c r="I205" s="5" t="str">
        <x:v>Менеджмент, финансовая грамотность, HR, комплаенс, электронное обучение.</x:v>
      </x:c>
      <x:c r="J205" s="5" t="str">
        <x:v>https://uralsib.ru/api/directory-engine/files/regulatory-objectives/riski_2015-05-29_lxnyyapa.pdf</x:v>
      </x:c>
      <x:c r="K205" s="5" t="str">
        <x:v>search_index</x:v>
      </x:c>
      <x:c r="L20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следующей…</x:v>
      </x:c>
    </x:row>
  </x:sheetData>
  <x:pageMargins left="0.7" right="0.7" top="0.75" bottom="0.75" header="0.3" footer="0.3"/>
  <x:tableParts count="1">
    <x:tablePart xmlns:r="http://schemas.openxmlformats.org/officeDocument/2006/relationships" r:id="R99e812f595164eb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.329999923706055" hidden="0" customWidth="1"/>
    <x:col min="2" max="2" width="10.5600004196167" hidden="0" customWidth="1"/>
    <x:col min="3" max="3" width="35.560001373291016" hidden="0" customWidth="1"/>
    <x:col min="4" max="4" width="13.329999923706055" hidden="0" customWidth="1"/>
    <x:col min="5" max="5" width="17.219999313354492" hidden="0" customWidth="1"/>
    <x:col min="6" max="6" width="43.33000183105469" hidden="0" customWidth="1"/>
    <x:col min="7" max="7" width="53.33000183105469" hidden="0" customWidth="1"/>
    <x:col min="8" max="8" width="15" hidden="0" customWidth="1"/>
    <x:col min="9" max="9" width="43.33000183105469" hidden="0" customWidth="1"/>
    <x:col min="10" max="10" width="53.33000183105469" hidden="0" customWidth="1"/>
    <x:col min="11" max="11" width="53.33000183105469" hidden="0" customWidth="1"/>
    <x:col min="12" max="12" width="16.1100006103515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1" customHeight="1">
      <x:c r="A2" s="3" t="str">
        <x:v>474 адресных каналов: основные структуры и резерв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19.5" customHeight="1">
      <x:c r="A3" s="4" t="str">
        <x:v>Каждый source_id связан с institution_id. URL и каналы не увеличивают число КУ. Автоматический сбор здесь не проверялся.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1.5" customHeight="1">
      <x:c r="A5" s="9" t="str">
        <x:v>Source ID</x:v>
      </x:c>
      <x:c r="B5" s="9" t="str">
        <x:v>КУ ID</x:v>
      </x:c>
      <x:c r="C5" s="9" t="str">
        <x:v>Структура</x:v>
      </x:c>
      <x:c r="D5" s="9" t="str">
        <x:v>Выборка</x:v>
      </x:c>
      <x:c r="E5" s="9" t="str">
        <x:v>Тип канала</x:v>
      </x:c>
      <x:c r="F5" s="9" t="str">
        <x:v>URL</x:v>
      </x:c>
      <x:c r="G5" s="9" t="str">
        <x:v>Что отслеживать</x:v>
      </x:c>
      <x:c r="H5" s="9" t="str">
        <x:v>Проверка</x:v>
      </x:c>
      <x:c r="I5" s="9" t="str">
        <x:v>URL основания</x:v>
      </x:c>
      <x:c r="J5" s="9" t="str">
        <x:v>Предлагаемый сбор</x:v>
      </x:c>
      <x:c r="K5" s="9" t="str">
        <x:v>Ограничения</x:v>
      </x:c>
      <x:c r="L5" s="9" t="str">
        <x:v>Связь с прежним MISB</x:v>
      </x:c>
    </x:row>
    <x:row r="6" ht="31.5" customHeight="1">
      <x:c r="A6" s="5" t="str">
        <x:v>CU-SRC-0001</x:v>
      </x:c>
      <x:c r="B6" s="5" t="str">
        <x:v>CU-0001</x:v>
      </x:c>
      <x:c r="C6" s="5" t="str">
        <x:v>Газпром университет (бывший Газпром корпоративный институт)</x:v>
      </x:c>
      <x:c r="D6" s="5" t="str">
        <x:v>main_200</x:v>
      </x:c>
      <x:c r="E6" s="5" t="str">
        <x:v>university_site</x:v>
      </x:c>
      <x:c r="F6" s="5" t="str">
        <x:v>https://institute.gazprom.ru/</x:v>
      </x:c>
      <x:c r="G6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6" s="5" t="str">
        <x:v>search_index</x:v>
      </x:c>
      <x:c r="I6" s="5" t="str">
        <x:v>https://institute.gazprom.ru/</x:v>
      </x:c>
      <x:c r="J6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6" s="5" t="str">
        <x:v>Публичный информационный маршрут; работоспособность автоматического сборщика не проверялась.</x:v>
      </x:c>
      <x:c r="L6" s="5" t="str">
        <x:v>MISB-254</x:v>
      </x:c>
    </x:row>
    <x:row r="7" ht="31.5" customHeight="1">
      <x:c r="A7" s="5" t="str">
        <x:v>CU-SRC-0002</x:v>
      </x:c>
      <x:c r="B7" s="5" t="str">
        <x:v>CU-0001</x:v>
      </x:c>
      <x:c r="C7" s="5" t="str">
        <x:v>Газпром университет (бывший Газпром корпоративный институт)</x:v>
      </x:c>
      <x:c r="D7" s="5" t="str">
        <x:v>main_200</x:v>
      </x:c>
      <x:c r="E7" s="5" t="str">
        <x:v>programs</x:v>
      </x:c>
      <x:c r="F7" s="5" t="str">
        <x:v>https://institute.gazprom.ru/education/</x:v>
      </x:c>
      <x:c r="G7" s="5" t="str">
        <x:v>Изменения по менеджменту, HR, экономике, закупкам, праву, электронным программам.</x:v>
      </x:c>
      <x:c r="H7" s="5" t="str">
        <x:v>search_index</x:v>
      </x:c>
      <x:c r="I7" s="5" t="str">
        <x:v>https://institute.gazprom.ru/education/</x:v>
      </x:c>
      <x:c r="J7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7" s="5" t="str">
        <x:v>Публичный маршрут; автоматический сбор не испытан.</x:v>
      </x:c>
      <x:c r="L7" s="5" t="str"/>
    </x:row>
    <x:row r="8" ht="31.5" customHeight="1">
      <x:c r="A8" s="5" t="str">
        <x:v>CU-SRC-0003</x:v>
      </x:c>
      <x:c r="B8" s="5" t="str">
        <x:v>CU-0001</x:v>
      </x:c>
      <x:c r="C8" s="5" t="str">
        <x:v>Газпром университет (бывший Газпром корпоративный институт)</x:v>
      </x:c>
      <x:c r="D8" s="5" t="str">
        <x:v>main_200</x:v>
      </x:c>
      <x:c r="E8" s="5" t="str">
        <x:v>news</x:v>
      </x:c>
      <x:c r="F8" s="5" t="str">
        <x:v>https://institute.gazprom.ru/about/news/159340/</x:v>
      </x:c>
      <x:c r="G8" s="5" t="str">
        <x:v>Переименование и ссылки на обновлённую организацию; не создавать второй КУ из старого названия.</x:v>
      </x:c>
      <x:c r="H8" s="5" t="str">
        <x:v>search_index</x:v>
      </x:c>
      <x:c r="I8" s="5" t="str">
        <x:v>https://institute.gazprom.ru/about/news/159340/</x:v>
      </x:c>
      <x:c r="J8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8" s="5" t="str">
        <x:v>Публичный маршрут; автоматический сбор не испытан.</x:v>
      </x:c>
      <x:c r="L8" s="5" t="str"/>
    </x:row>
    <x:row r="9" ht="42.75" customHeight="1">
      <x:c r="A9" s="5" t="str">
        <x:v>CU-SRC-0004</x:v>
      </x:c>
      <x:c r="B9" s="5" t="str">
        <x:v>CU-0001</x:v>
      </x:c>
      <x:c r="C9" s="5" t="str">
        <x:v>Газпром университет (бывший Газпром корпоративный институт)</x:v>
      </x:c>
      <x:c r="D9" s="5" t="str">
        <x:v>main_200</x:v>
      </x:c>
      <x:c r="E9" s="5" t="str">
        <x:v>procurement</x:v>
      </x:c>
      <x:c r="F9" s="5" t="str">
        <x:v>https://tenders.gazprom.ru/</x:v>
      </x:c>
      <x:c r="G9" s="5" t="str">
        <x:v>Обучение и образовательный контент по названию конкретного общества, старым названиям и всем тематическим синонимам; общегрупповой маршрут, наличие закупок именно этого УЦ не установлено.</x:v>
      </x:c>
      <x:c r="H9" s="5" t="str">
        <x:v>search_index</x:v>
      </x:c>
      <x:c r="I9" s="5" t="str">
        <x:v>https://tenders.gazprom.ru/</x:v>
      </x:c>
      <x:c r="J9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K9" s="5" t="str">
        <x:v>Официальный сайт предупреждает об ограниченном раскрытии закупочной информации. Регистрация может требоваться; нулевой результат не означает отсутствия потребности.</x:v>
      </x:c>
      <x:c r="L9" s="5" t="str">
        <x:v>MISB-045</x:v>
      </x:c>
    </x:row>
    <x:row r="10" ht="31.5" customHeight="1">
      <x:c r="A10" s="5" t="str">
        <x:v>CU-SRC-0005</x:v>
      </x:c>
      <x:c r="B10" s="5" t="str">
        <x:v>CU-0002</x:v>
      </x:c>
      <x:c r="C10" s="5" t="str">
        <x:v>Учебный центр ПАО «Газпром»</x:v>
      </x:c>
      <x:c r="D10" s="5" t="str">
        <x:v>main_200</x:v>
      </x:c>
      <x:c r="E10" s="5" t="str">
        <x:v>university_site</x:v>
      </x:c>
      <x:c r="F10" s="5" t="str">
        <x:v>https://tc.gazprom.ru/about/</x:v>
      </x:c>
      <x:c r="G10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10" s="5" t="str">
        <x:v>search_index</x:v>
      </x:c>
      <x:c r="I10" s="5" t="str">
        <x:v>https://tc.gazprom.ru/about/</x:v>
      </x:c>
      <x:c r="J1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10" s="5" t="str">
        <x:v>Публичный информационный маршрут; работоспособность автоматического сборщика не проверялась.</x:v>
      </x:c>
      <x:c r="L10" s="5" t="str"/>
    </x:row>
    <x:row r="11" ht="31.5" customHeight="1">
      <x:c r="A11" s="5" t="str">
        <x:v>CU-SRC-0006</x:v>
      </x:c>
      <x:c r="B11" s="5" t="str">
        <x:v>CU-0002</x:v>
      </x:c>
      <x:c r="C11" s="5" t="str">
        <x:v>Учебный центр ПАО «Газпром»</x:v>
      </x:c>
      <x:c r="D11" s="5" t="str">
        <x:v>main_200</x:v>
      </x:c>
      <x:c r="E11" s="5" t="str">
        <x:v>news</x:v>
      </x:c>
      <x:c r="F11" s="5" t="str">
        <x:v>https://tc.gazprom.ru/</x:v>
      </x:c>
      <x:c r="G11" s="5" t="str">
        <x:v>Новые программы и события учебного центра.</x:v>
      </x:c>
      <x:c r="H11" s="5" t="str">
        <x:v>search_index</x:v>
      </x:c>
      <x:c r="I11" s="5" t="str">
        <x:v>https://tc.gazprom.ru/</x:v>
      </x:c>
      <x:c r="J1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11" s="5" t="str">
        <x:v>Публичный маршрут; автоматический сбор не испытан.</x:v>
      </x:c>
      <x:c r="L11" s="5" t="str"/>
    </x:row>
    <x:row r="12" ht="42.75" customHeight="1">
      <x:c r="A12" s="5" t="str">
        <x:v>CU-SRC-0007</x:v>
      </x:c>
      <x:c r="B12" s="5" t="str">
        <x:v>CU-0002</x:v>
      </x:c>
      <x:c r="C12" s="5" t="str">
        <x:v>Учебный центр ПАО «Газпром»</x:v>
      </x:c>
      <x:c r="D12" s="5" t="str">
        <x:v>main_200</x:v>
      </x:c>
      <x:c r="E12" s="5" t="str">
        <x:v>procurement</x:v>
      </x:c>
      <x:c r="F12" s="5" t="str">
        <x:v>https://tenders.gazprom.ru/</x:v>
      </x:c>
      <x:c r="G12" s="5" t="str">
        <x:v>Обучение и образовательный контент по названию конкретного общества, старым названиям и всем тематическим синонимам; общегрупповой маршрут, наличие закупок именно этого УЦ не установлено.</x:v>
      </x:c>
      <x:c r="H12" s="5" t="str">
        <x:v>search_index</x:v>
      </x:c>
      <x:c r="I12" s="5" t="str">
        <x:v>https://tenders.gazprom.ru/</x:v>
      </x:c>
      <x:c r="J12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K12" s="5" t="str">
        <x:v>Официальный сайт предупреждает об ограниченном раскрытии закупочной информации. Регистрация может требоваться; нулевой результат не означает отсутствия потребности.</x:v>
      </x:c>
      <x:c r="L12" s="5" t="str">
        <x:v>MISB-045</x:v>
      </x:c>
    </x:row>
    <x:row r="13" ht="31.5" customHeight="1">
      <x:c r="A13" s="5" t="str">
        <x:v>CU-SRC-0008</x:v>
      </x:c>
      <x:c r="B13" s="5" t="str">
        <x:v>CU-0003</x:v>
      </x:c>
      <x:c r="C13" s="5" t="str">
        <x:v>Газпром ОНУТЦ — Отраслевой научно-исследовательский учебно-тренажёрный центр</x:v>
      </x:c>
      <x:c r="D13" s="5" t="str">
        <x:v>main_200</x:v>
      </x:c>
      <x:c r="E13" s="5" t="str">
        <x:v>university_site</x:v>
      </x:c>
      <x:c r="F13" s="5" t="str">
        <x:v>https://onutc.gazprom.ru/development/</x:v>
      </x:c>
      <x:c r="G13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13" s="5" t="str">
        <x:v>search_index</x:v>
      </x:c>
      <x:c r="I13" s="5" t="str">
        <x:v>https://onutc.gazprom.ru/development/</x:v>
      </x:c>
      <x:c r="J13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13" s="5" t="str">
        <x:v>Публичный информационный маршрут; работоспособность автоматического сборщика не проверялась.</x:v>
      </x:c>
      <x:c r="L13" s="5" t="str"/>
    </x:row>
    <x:row r="14" ht="31.5" customHeight="1">
      <x:c r="A14" s="5" t="str">
        <x:v>CU-SRC-0009</x:v>
      </x:c>
      <x:c r="B14" s="5" t="str">
        <x:v>CU-0003</x:v>
      </x:c>
      <x:c r="C14" s="5" t="str">
        <x:v>Газпром ОНУТЦ — Отраслевой научно-исследовательский учебно-тренажёрный центр</x:v>
      </x:c>
      <x:c r="D14" s="5" t="str">
        <x:v>main_200</x:v>
      </x:c>
      <x:c r="E14" s="5" t="str">
        <x:v>careers</x:v>
      </x:c>
      <x:c r="F14" s="5" t="str">
        <x:v>https://onutc.gazprom.ru/career/vacancies/</x:v>
      </x:c>
      <x:c r="G14" s="5" t="str">
        <x:v>Потребность в авторах, методистах, разработчиках обучающих систем; вакансии являются косвенным сигналом.</x:v>
      </x:c>
      <x:c r="H14" s="5" t="str">
        <x:v>search_index</x:v>
      </x:c>
      <x:c r="I14" s="5" t="str">
        <x:v>https://onutc.gazprom.ru/career/vacancies/</x:v>
      </x:c>
      <x:c r="J14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14" s="5" t="str">
        <x:v>Публичный маршрут; автоматический сбор не испытан.</x:v>
      </x:c>
      <x:c r="L14" s="5" t="str"/>
    </x:row>
    <x:row r="15" ht="31.5" customHeight="1">
      <x:c r="A15" s="5" t="str">
        <x:v>CU-SRC-0010</x:v>
      </x:c>
      <x:c r="B15" s="5" t="str">
        <x:v>CU-0003</x:v>
      </x:c>
      <x:c r="C15" s="5" t="str">
        <x:v>Газпром ОНУТЦ — Отраслевой научно-исследовательский учебно-тренажёрный центр</x:v>
      </x:c>
      <x:c r="D15" s="5" t="str">
        <x:v>main_200</x:v>
      </x:c>
      <x:c r="E15" s="5" t="str">
        <x:v>programs</x:v>
      </x:c>
      <x:c r="F15" s="5" t="str">
        <x:v>https://sdo.snfpo.gazprom.ru/stores/onutc?lang=en</x:v>
      </x:c>
      <x:c r="G15" s="5" t="str">
        <x:v>Каталог электронных курсов, контакты и реквизиты; разделы обучения могут требовать учётную запись.</x:v>
      </x:c>
      <x:c r="H15" s="5" t="str">
        <x:v>search_index</x:v>
      </x:c>
      <x:c r="I15" s="5" t="str">
        <x:v>https://sdo.snfpo.gazprom.ru/stores/onutc?lang=en</x:v>
      </x:c>
      <x:c r="J15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15" s="5" t="str">
        <x:v>Публичный маршрут; автоматический сбор не испытан.</x:v>
      </x:c>
      <x:c r="L15" s="5" t="str"/>
    </x:row>
    <x:row r="16" ht="42.75" customHeight="1">
      <x:c r="A16" s="5" t="str">
        <x:v>CU-SRC-0011</x:v>
      </x:c>
      <x:c r="B16" s="5" t="str">
        <x:v>CU-0003</x:v>
      </x:c>
      <x:c r="C16" s="5" t="str">
        <x:v>Газпром ОНУТЦ — Отраслевой научно-исследовательский учебно-тренажёрный центр</x:v>
      </x:c>
      <x:c r="D16" s="5" t="str">
        <x:v>main_200</x:v>
      </x:c>
      <x:c r="E16" s="5" t="str">
        <x:v>procurement</x:v>
      </x:c>
      <x:c r="F16" s="5" t="str">
        <x:v>https://tenders.gazprom.ru/</x:v>
      </x:c>
      <x:c r="G16" s="5" t="str">
        <x:v>Обучение и образовательный контент по названию конкретного общества, старым названиям и всем тематическим синонимам; общегрупповой маршрут, наличие закупок именно этого УЦ не установлено.</x:v>
      </x:c>
      <x:c r="H16" s="5" t="str">
        <x:v>search_index</x:v>
      </x:c>
      <x:c r="I16" s="5" t="str">
        <x:v>https://tenders.gazprom.ru/</x:v>
      </x:c>
      <x:c r="J16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K16" s="5" t="str">
        <x:v>Официальный сайт предупреждает об ограниченном раскрытии закупочной информации. Регистрация может требоваться; нулевой результат не означает отсутствия потребности.</x:v>
      </x:c>
      <x:c r="L16" s="5" t="str">
        <x:v>MISB-045</x:v>
      </x:c>
    </x:row>
    <x:row r="17" ht="31.5" customHeight="1">
      <x:c r="A17" s="5" t="str">
        <x:v>CU-SRC-0012</x:v>
      </x:c>
      <x:c r="B17" s="5" t="str">
        <x:v>CU-0004</x:v>
      </x:c>
      <x:c r="C17" s="5" t="str">
        <x:v>Корпоративный институт ООО «Газпром трансгаз Томск»</x:v>
      </x:c>
      <x:c r="D17" s="5" t="str">
        <x:v>main_200</x:v>
      </x:c>
      <x:c r="E17" s="5" t="str">
        <x:v>university_site</x:v>
      </x:c>
      <x:c r="F17" s="5" t="str">
        <x:v>https://tomsk-tr.gazprom.ru/career/policy/</x:v>
      </x:c>
      <x:c r="G17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17" s="5" t="str">
        <x:v>search_index</x:v>
      </x:c>
      <x:c r="I17" s="5" t="str">
        <x:v>https://tomsk-tr.gazprom.ru/career/policy/</x:v>
      </x:c>
      <x:c r="J17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17" s="5" t="str">
        <x:v>Публичный информационный маршрут; работоспособность автоматического сборщика не проверялась.</x:v>
      </x:c>
      <x:c r="L17" s="5" t="str"/>
    </x:row>
    <x:row r="18" ht="42.75" customHeight="1">
      <x:c r="A18" s="5" t="str">
        <x:v>CU-SRC-0013</x:v>
      </x:c>
      <x:c r="B18" s="5" t="str">
        <x:v>CU-0004</x:v>
      </x:c>
      <x:c r="C18" s="5" t="str">
        <x:v>Корпоративный институт ООО «Газпром трансгаз Томск»</x:v>
      </x:c>
      <x:c r="D18" s="5" t="str">
        <x:v>main_200</x:v>
      </x:c>
      <x:c r="E18" s="5" t="str">
        <x:v>procurement</x:v>
      </x:c>
      <x:c r="F18" s="5" t="str">
        <x:v>https://tenders.gazprom.ru/</x:v>
      </x:c>
      <x:c r="G18" s="5" t="str">
        <x:v>Обучение и образовательный контент по названию конкретного общества, старым названиям и всем тематическим синонимам; общегрупповой маршрут, наличие закупок именно этого УЦ не установлено.</x:v>
      </x:c>
      <x:c r="H18" s="5" t="str">
        <x:v>search_index</x:v>
      </x:c>
      <x:c r="I18" s="5" t="str">
        <x:v>https://tenders.gazprom.ru/</x:v>
      </x:c>
      <x:c r="J18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K18" s="5" t="str">
        <x:v>Официальный сайт предупреждает об ограниченном раскрытии закупочной информации. Регистрация может требоваться; нулевой результат не означает отсутствия потребности.</x:v>
      </x:c>
      <x:c r="L18" s="5" t="str">
        <x:v>MISB-045</x:v>
      </x:c>
    </x:row>
    <x:row r="19" ht="31.5" customHeight="1">
      <x:c r="A19" s="5" t="str">
        <x:v>CU-SRC-0014</x:v>
      </x:c>
      <x:c r="B19" s="5" t="str">
        <x:v>CU-0005</x:v>
      </x:c>
      <x:c r="C19" s="5" t="str">
        <x:v>Учебно-производственный центр ООО «Газпром трансгаз Екатеринбург»</x:v>
      </x:c>
      <x:c r="D19" s="5" t="str">
        <x:v>main_200</x:v>
      </x:c>
      <x:c r="E19" s="5" t="str">
        <x:v>university_site</x:v>
      </x:c>
      <x:c r="F19" s="5" t="str">
        <x:v>https://ekaterinburg-tr.gazprom.ru/about/organization/upts/</x:v>
      </x:c>
      <x:c r="G19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19" s="5" t="str">
        <x:v>search_index</x:v>
      </x:c>
      <x:c r="I19" s="5" t="str">
        <x:v>https://ekaterinburg-tr.gazprom.ru/about/organization/upts/</x:v>
      </x:c>
      <x:c r="J19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19" s="5" t="str">
        <x:v>Публичный информационный маршрут; работоспособность автоматического сборщика не проверялась.</x:v>
      </x:c>
      <x:c r="L19" s="5" t="str"/>
    </x:row>
    <x:row r="20" ht="42.75" customHeight="1">
      <x:c r="A20" s="5" t="str">
        <x:v>CU-SRC-0015</x:v>
      </x:c>
      <x:c r="B20" s="5" t="str">
        <x:v>CU-0005</x:v>
      </x:c>
      <x:c r="C20" s="5" t="str">
        <x:v>Учебно-производственный центр ООО «Газпром трансгаз Екатеринбург»</x:v>
      </x:c>
      <x:c r="D20" s="5" t="str">
        <x:v>main_200</x:v>
      </x:c>
      <x:c r="E20" s="5" t="str">
        <x:v>procurement</x:v>
      </x:c>
      <x:c r="F20" s="5" t="str">
        <x:v>https://tenders.gazprom.ru/</x:v>
      </x:c>
      <x:c r="G20" s="5" t="str">
        <x:v>Обучение и образовательный контент по названию конкретного общества, старым названиям и всем тематическим синонимам; общегрупповой маршрут, наличие закупок именно этого УЦ не установлено.</x:v>
      </x:c>
      <x:c r="H20" s="5" t="str">
        <x:v>search_index</x:v>
      </x:c>
      <x:c r="I20" s="5" t="str">
        <x:v>https://tenders.gazprom.ru/</x:v>
      </x:c>
      <x:c r="J20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K20" s="5" t="str">
        <x:v>Официальный сайт предупреждает об ограниченном раскрытии закупочной информации. Регистрация может требоваться; нулевой результат не означает отсутствия потребности.</x:v>
      </x:c>
      <x:c r="L20" s="5" t="str">
        <x:v>MISB-045</x:v>
      </x:c>
    </x:row>
    <x:row r="21" ht="31.5" customHeight="1">
      <x:c r="A21" s="5" t="str">
        <x:v>CU-SRC-0016</x:v>
      </x:c>
      <x:c r="B21" s="5" t="str">
        <x:v>CU-0006</x:v>
      </x:c>
      <x:c r="C21" s="5" t="str">
        <x:v>Учебно-производственный центр ООО «Газпром трансгаз Ухта»</x:v>
      </x:c>
      <x:c r="D21" s="5" t="str">
        <x:v>main_200</x:v>
      </x:c>
      <x:c r="E21" s="5" t="str">
        <x:v>university_site</x:v>
      </x:c>
      <x:c r="F21" s="5" t="str">
        <x:v>https://ukhta-tr.gazprom.ru/sveden/document/</x:v>
      </x:c>
      <x:c r="G21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21" s="5" t="str">
        <x:v>search_index</x:v>
      </x:c>
      <x:c r="I21" s="5" t="str">
        <x:v>https://ukhta-tr.gazprom.ru/sveden/document/</x:v>
      </x:c>
      <x:c r="J21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21" s="5" t="str">
        <x:v>Публичный информационный маршрут; работоспособность автоматического сборщика не проверялась.</x:v>
      </x:c>
      <x:c r="L21" s="5" t="str"/>
    </x:row>
    <x:row r="22" ht="31.5" customHeight="1">
      <x:c r="A22" s="5" t="str">
        <x:v>CU-SRC-0017</x:v>
      </x:c>
      <x:c r="B22" s="5" t="str">
        <x:v>CU-0006</x:v>
      </x:c>
      <x:c r="C22" s="5" t="str">
        <x:v>Учебно-производственный центр ООО «Газпром трансгаз Ухта»</x:v>
      </x:c>
      <x:c r="D22" s="5" t="str">
        <x:v>main_200</x:v>
      </x:c>
      <x:c r="E22" s="5" t="str">
        <x:v>programs</x:v>
      </x:c>
      <x:c r="F22" s="5" t="str">
        <x:v>https://ukhta-tr.gazprom.ru/sveden/employees/</x:v>
      </x:c>
      <x:c r="G22" s="5" t="str">
        <x:v>Преподавательские направления, новые дисциплины и учебная документация.</x:v>
      </x:c>
      <x:c r="H22" s="5" t="str">
        <x:v>search_index</x:v>
      </x:c>
      <x:c r="I22" s="5" t="str">
        <x:v>https://ukhta-tr.gazprom.ru/sveden/employees/</x:v>
      </x:c>
      <x:c r="J22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22" s="5" t="str">
        <x:v>Публичный маршрут; автоматический сбор не испытан.</x:v>
      </x:c>
      <x:c r="L22" s="5" t="str"/>
    </x:row>
    <x:row r="23" ht="42.75" customHeight="1">
      <x:c r="A23" s="5" t="str">
        <x:v>CU-SRC-0018</x:v>
      </x:c>
      <x:c r="B23" s="5" t="str">
        <x:v>CU-0006</x:v>
      </x:c>
      <x:c r="C23" s="5" t="str">
        <x:v>Учебно-производственный центр ООО «Газпром трансгаз Ухта»</x:v>
      </x:c>
      <x:c r="D23" s="5" t="str">
        <x:v>main_200</x:v>
      </x:c>
      <x:c r="E23" s="5" t="str">
        <x:v>procurement</x:v>
      </x:c>
      <x:c r="F23" s="5" t="str">
        <x:v>https://tenders.gazprom.ru/</x:v>
      </x:c>
      <x:c r="G23" s="5" t="str">
        <x:v>Обучение и образовательный контент по названию конкретного общества, старым названиям и всем тематическим синонимам; общегрупповой маршрут, наличие закупок именно этого УЦ не установлено.</x:v>
      </x:c>
      <x:c r="H23" s="5" t="str">
        <x:v>search_index</x:v>
      </x:c>
      <x:c r="I23" s="5" t="str">
        <x:v>https://tenders.gazprom.ru/</x:v>
      </x:c>
      <x:c r="J23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K23" s="5" t="str">
        <x:v>Официальный сайт предупреждает об ограниченном раскрытии закупочной информации. Регистрация может требоваться; нулевой результат не означает отсутствия потребности.</x:v>
      </x:c>
      <x:c r="L23" s="5" t="str">
        <x:v>MISB-045</x:v>
      </x:c>
    </x:row>
    <x:row r="24" ht="31.5" customHeight="1">
      <x:c r="A24" s="5" t="str">
        <x:v>CU-SRC-0019</x:v>
      </x:c>
      <x:c r="B24" s="5" t="str">
        <x:v>CU-0007</x:v>
      </x:c>
      <x:c r="C24" s="5" t="str">
        <x:v>Учебно-производственный центр ООО «Газпром трансгаз Москва»</x:v>
      </x:c>
      <x:c r="D24" s="5" t="str">
        <x:v>main_200</x:v>
      </x:c>
      <x:c r="E24" s="5" t="str">
        <x:v>university_site</x:v>
      </x:c>
      <x:c r="F24" s="5" t="str">
        <x:v>https://moskva-tr.gazprom.ru/career/</x:v>
      </x:c>
      <x:c r="G24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24" s="5" t="str">
        <x:v>search_index</x:v>
      </x:c>
      <x:c r="I24" s="5" t="str">
        <x:v>https://moskva-tr.gazprom.ru/career/</x:v>
      </x:c>
      <x:c r="J24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24" s="5" t="str">
        <x:v>Публичный информационный маршрут; работоспособность автоматического сборщика не проверялась.</x:v>
      </x:c>
      <x:c r="L24" s="5" t="str"/>
    </x:row>
    <x:row r="25" ht="42.75" customHeight="1">
      <x:c r="A25" s="5" t="str">
        <x:v>CU-SRC-0020</x:v>
      </x:c>
      <x:c r="B25" s="5" t="str">
        <x:v>CU-0007</x:v>
      </x:c>
      <x:c r="C25" s="5" t="str">
        <x:v>Учебно-производственный центр ООО «Газпром трансгаз Москва»</x:v>
      </x:c>
      <x:c r="D25" s="5" t="str">
        <x:v>main_200</x:v>
      </x:c>
      <x:c r="E25" s="5" t="str">
        <x:v>procurement</x:v>
      </x:c>
      <x:c r="F25" s="5" t="str">
        <x:v>https://tenders.gazprom.ru/</x:v>
      </x:c>
      <x:c r="G25" s="5" t="str">
        <x:v>Обучение и образовательный контент по названию конкретного общества, старым названиям и всем тематическим синонимам; общегрупповой маршрут, наличие закупок именно этого УЦ не установлено.</x:v>
      </x:c>
      <x:c r="H25" s="5" t="str">
        <x:v>search_index</x:v>
      </x:c>
      <x:c r="I25" s="5" t="str">
        <x:v>https://tenders.gazprom.ru/</x:v>
      </x:c>
      <x:c r="J25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K25" s="5" t="str">
        <x:v>Официальный сайт предупреждает об ограниченном раскрытии закупочной информации. Регистрация может требоваться; нулевой результат не означает отсутствия потребности.</x:v>
      </x:c>
      <x:c r="L25" s="5" t="str">
        <x:v>MISB-045</x:v>
      </x:c>
    </x:row>
    <x:row r="26" ht="31.5" customHeight="1">
      <x:c r="A26" s="5" t="str">
        <x:v>CU-SRC-0021</x:v>
      </x:c>
      <x:c r="B26" s="5" t="str">
        <x:v>CU-0008</x:v>
      </x:c>
      <x:c r="C26" s="5" t="str">
        <x:v>Учебно-производственный центр ООО «Газпром трансгаз Югорск»</x:v>
      </x:c>
      <x:c r="D26" s="5" t="str">
        <x:v>main_200</x:v>
      </x:c>
      <x:c r="E26" s="5" t="str">
        <x:v>university_site</x:v>
      </x:c>
      <x:c r="F26" s="5" t="str">
        <x:v>https://yugorsk-tr.gazprom.ru/career/uchebno-proizvodstvennyj-tsentr/obrazovanie/</x:v>
      </x:c>
      <x:c r="G26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26" s="5" t="str">
        <x:v>search_index</x:v>
      </x:c>
      <x:c r="I26" s="5" t="str">
        <x:v>https://yugorsk-tr.gazprom.ru/career/uchebno-proizvodstvennyj-tsentr/obrazovanie/</x:v>
      </x:c>
      <x:c r="J26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26" s="5" t="str">
        <x:v>Публичный информационный маршрут; работоспособность автоматического сборщика не проверялась.</x:v>
      </x:c>
      <x:c r="L26" s="5" t="str"/>
    </x:row>
    <x:row r="27" ht="42.75" customHeight="1">
      <x:c r="A27" s="5" t="str">
        <x:v>CU-SRC-0022</x:v>
      </x:c>
      <x:c r="B27" s="5" t="str">
        <x:v>CU-0008</x:v>
      </x:c>
      <x:c r="C27" s="5" t="str">
        <x:v>Учебно-производственный центр ООО «Газпром трансгаз Югорск»</x:v>
      </x:c>
      <x:c r="D27" s="5" t="str">
        <x:v>main_200</x:v>
      </x:c>
      <x:c r="E27" s="5" t="str">
        <x:v>procurement</x:v>
      </x:c>
      <x:c r="F27" s="5" t="str">
        <x:v>https://tenders.gazprom.ru/</x:v>
      </x:c>
      <x:c r="G27" s="5" t="str">
        <x:v>Обучение и образовательный контент по названию конкретного общества, старым названиям и всем тематическим синонимам; общегрупповой маршрут, наличие закупок именно этого УЦ не установлено.</x:v>
      </x:c>
      <x:c r="H27" s="5" t="str">
        <x:v>search_index</x:v>
      </x:c>
      <x:c r="I27" s="5" t="str">
        <x:v>https://tenders.gazprom.ru/</x:v>
      </x:c>
      <x:c r="J27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K27" s="5" t="str">
        <x:v>Официальный сайт предупреждает об ограниченном раскрытии закупочной информации. Регистрация может требоваться; нулевой результат не означает отсутствия потребности.</x:v>
      </x:c>
      <x:c r="L27" s="5" t="str">
        <x:v>MISB-045</x:v>
      </x:c>
    </x:row>
    <x:row r="28" ht="31.5" customHeight="1">
      <x:c r="A28" s="5" t="str">
        <x:v>CU-SRC-0023</x:v>
      </x:c>
      <x:c r="B28" s="5" t="str">
        <x:v>CU-0009</x:v>
      </x:c>
      <x:c r="C28" s="5" t="str">
        <x:v>Учебно-производственный центр ООО «Газпром трансгаз Сургут»</x:v>
      </x:c>
      <x:c r="D28" s="5" t="str">
        <x:v>main_200</x:v>
      </x:c>
      <x:c r="E28" s="5" t="str">
        <x:v>university_site</x:v>
      </x:c>
      <x:c r="F28" s="5" t="str">
        <x:v>https://surgut-tr.gazprom.ru/sveden/common</x:v>
      </x:c>
      <x:c r="G28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28" s="5" t="str">
        <x:v>search_index</x:v>
      </x:c>
      <x:c r="I28" s="5" t="str">
        <x:v>https://surgut-tr.gazprom.ru/sveden/common</x:v>
      </x:c>
      <x:c r="J28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28" s="5" t="str">
        <x:v>Публичный информационный маршрут; работоспособность автоматического сборщика не проверялась.</x:v>
      </x:c>
      <x:c r="L28" s="5" t="str"/>
    </x:row>
    <x:row r="29" ht="42.75" customHeight="1">
      <x:c r="A29" s="5" t="str">
        <x:v>CU-SRC-0024</x:v>
      </x:c>
      <x:c r="B29" s="5" t="str">
        <x:v>CU-0009</x:v>
      </x:c>
      <x:c r="C29" s="5" t="str">
        <x:v>Учебно-производственный центр ООО «Газпром трансгаз Сургут»</x:v>
      </x:c>
      <x:c r="D29" s="5" t="str">
        <x:v>main_200</x:v>
      </x:c>
      <x:c r="E29" s="5" t="str">
        <x:v>procurement</x:v>
      </x:c>
      <x:c r="F29" s="5" t="str">
        <x:v>https://tenders.gazprom.ru/</x:v>
      </x:c>
      <x:c r="G29" s="5" t="str">
        <x:v>Обучение и образовательный контент по названию конкретного общества, старым названиям и всем тематическим синонимам; общегрупповой маршрут, наличие закупок именно этого УЦ не установлено.</x:v>
      </x:c>
      <x:c r="H29" s="5" t="str">
        <x:v>search_index</x:v>
      </x:c>
      <x:c r="I29" s="5" t="str">
        <x:v>https://tenders.gazprom.ru/</x:v>
      </x:c>
      <x:c r="J29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K29" s="5" t="str">
        <x:v>Официальный сайт предупреждает об ограниченном раскрытии закупочной информации. Регистрация может требоваться; нулевой результат не означает отсутствия потребности.</x:v>
      </x:c>
      <x:c r="L29" s="5" t="str">
        <x:v>MISB-045</x:v>
      </x:c>
    </x:row>
    <x:row r="30" ht="31.5" customHeight="1">
      <x:c r="A30" s="5" t="str">
        <x:v>CU-SRC-0025</x:v>
      </x:c>
      <x:c r="B30" s="5" t="str">
        <x:v>CU-0010</x:v>
      </x:c>
      <x:c r="C30" s="5" t="str">
        <x:v>Учебно-производственный центр ООО «Газпром трансгаз Ставрополь»</x:v>
      </x:c>
      <x:c r="D30" s="5" t="str">
        <x:v>main_200</x:v>
      </x:c>
      <x:c r="E30" s="5" t="str">
        <x:v>university_site</x:v>
      </x:c>
      <x:c r="F30" s="5" t="str">
        <x:v>https://stavropol-tr.gazprom.ru/career/uchebno-proizvodstvennyj-tsentr/struktura-i-organy-upravleniya/</x:v>
      </x:c>
      <x:c r="G30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30" s="5" t="str">
        <x:v>search_index</x:v>
      </x:c>
      <x:c r="I30" s="5" t="str">
        <x:v>https://stavropol-tr.gazprom.ru/career/uchebno-proizvodstvennyj-tsentr/struktura-i-organy-upravleniya/</x:v>
      </x:c>
      <x:c r="J3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30" s="5" t="str">
        <x:v>Публичный информационный маршрут; работоспособность автоматического сборщика не проверялась.</x:v>
      </x:c>
      <x:c r="L30" s="5" t="str"/>
    </x:row>
    <x:row r="31" ht="42.75" customHeight="1">
      <x:c r="A31" s="5" t="str">
        <x:v>CU-SRC-0026</x:v>
      </x:c>
      <x:c r="B31" s="5" t="str">
        <x:v>CU-0010</x:v>
      </x:c>
      <x:c r="C31" s="5" t="str">
        <x:v>Учебно-производственный центр ООО «Газпром трансгаз Ставрополь»</x:v>
      </x:c>
      <x:c r="D31" s="5" t="str">
        <x:v>main_200</x:v>
      </x:c>
      <x:c r="E31" s="5" t="str">
        <x:v>procurement</x:v>
      </x:c>
      <x:c r="F31" s="5" t="str">
        <x:v>https://tenders.gazprom.ru/</x:v>
      </x:c>
      <x:c r="G31" s="5" t="str">
        <x:v>Обучение и образовательный контент по названию конкретного общества, старым названиям и всем тематическим синонимам; общегрупповой маршрут, наличие закупок именно этого УЦ не установлено.</x:v>
      </x:c>
      <x:c r="H31" s="5" t="str">
        <x:v>search_index</x:v>
      </x:c>
      <x:c r="I31" s="5" t="str">
        <x:v>https://tenders.gazprom.ru/</x:v>
      </x:c>
      <x:c r="J31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K31" s="5" t="str">
        <x:v>Официальный сайт предупреждает об ограниченном раскрытии закупочной информации. Регистрация может требоваться; нулевой результат не означает отсутствия потребности.</x:v>
      </x:c>
      <x:c r="L31" s="5" t="str">
        <x:v>MISB-045</x:v>
      </x:c>
    </x:row>
    <x:row r="32" ht="31.5" customHeight="1">
      <x:c r="A32" s="5" t="str">
        <x:v>CU-SRC-0027</x:v>
      </x:c>
      <x:c r="B32" s="5" t="str">
        <x:v>CU-0011</x:v>
      </x:c>
      <x:c r="C32" s="5" t="str">
        <x:v>Учебно-производственный центр ООО «Газпром трансгаз Саратов»</x:v>
      </x:c>
      <x:c r="D32" s="5" t="str">
        <x:v>main_200</x:v>
      </x:c>
      <x:c r="E32" s="5" t="str">
        <x:v>university_site</x:v>
      </x:c>
      <x:c r="F32" s="5" t="str">
        <x:v>https://saratov-tr.gazprom.ru/career/uchebnyj-tsentr/osnovnyj-svedeniya/</x:v>
      </x:c>
      <x:c r="G32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32" s="5" t="str">
        <x:v>search_index</x:v>
      </x:c>
      <x:c r="I32" s="5" t="str">
        <x:v>https://saratov-tr.gazprom.ru/career/uchebnyj-tsentr/osnovnyj-svedeniya/</x:v>
      </x:c>
      <x:c r="J32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32" s="5" t="str">
        <x:v>Публичный информационный маршрут; работоспособность автоматического сборщика не проверялась.</x:v>
      </x:c>
      <x:c r="L32" s="5" t="str"/>
    </x:row>
    <x:row r="33" ht="42.75" customHeight="1">
      <x:c r="A33" s="5" t="str">
        <x:v>CU-SRC-0028</x:v>
      </x:c>
      <x:c r="B33" s="5" t="str">
        <x:v>CU-0011</x:v>
      </x:c>
      <x:c r="C33" s="5" t="str">
        <x:v>Учебно-производственный центр ООО «Газпром трансгаз Саратов»</x:v>
      </x:c>
      <x:c r="D33" s="5" t="str">
        <x:v>main_200</x:v>
      </x:c>
      <x:c r="E33" s="5" t="str">
        <x:v>procurement</x:v>
      </x:c>
      <x:c r="F33" s="5" t="str">
        <x:v>https://tenders.gazprom.ru/</x:v>
      </x:c>
      <x:c r="G33" s="5" t="str">
        <x:v>Обучение и образовательный контент по названию конкретного общества, старым названиям и всем тематическим синонимам; общегрупповой маршрут, наличие закупок именно этого УЦ не установлено.</x:v>
      </x:c>
      <x:c r="H33" s="5" t="str">
        <x:v>search_index</x:v>
      </x:c>
      <x:c r="I33" s="5" t="str">
        <x:v>https://tenders.gazprom.ru/</x:v>
      </x:c>
      <x:c r="J33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K33" s="5" t="str">
        <x:v>Официальный сайт предупреждает об ограниченном раскрытии закупочной информации. Регистрация может требоваться; нулевой результат не означает отсутствия потребности.</x:v>
      </x:c>
      <x:c r="L33" s="5" t="str">
        <x:v>MISB-045</x:v>
      </x:c>
    </x:row>
    <x:row r="34" ht="31.5" customHeight="1">
      <x:c r="A34" s="5" t="str">
        <x:v>CU-SRC-0029</x:v>
      </x:c>
      <x:c r="B34" s="5" t="str">
        <x:v>CU-0012</x:v>
      </x:c>
      <x:c r="C34" s="5" t="str">
        <x:v>Учебно-производственный центр ООО «Газпром трансгаз Санкт-Петербург»</x:v>
      </x:c>
      <x:c r="D34" s="5" t="str">
        <x:v>main_200</x:v>
      </x:c>
      <x:c r="E34" s="5" t="str">
        <x:v>university_site</x:v>
      </x:c>
      <x:c r="F34" s="5" t="str">
        <x:v>https://spb-tr.gazprom.ru/career/upc/</x:v>
      </x:c>
      <x:c r="G34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34" s="5" t="str">
        <x:v>search_index</x:v>
      </x:c>
      <x:c r="I34" s="5" t="str">
        <x:v>https://spb-tr.gazprom.ru/career/upc/</x:v>
      </x:c>
      <x:c r="J34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34" s="5" t="str">
        <x:v>Публичный информационный маршрут; работоспособность автоматического сборщика не проверялась.</x:v>
      </x:c>
      <x:c r="L34" s="5" t="str"/>
    </x:row>
    <x:row r="35" ht="31.5" customHeight="1">
      <x:c r="A35" s="5" t="str">
        <x:v>CU-SRC-0030</x:v>
      </x:c>
      <x:c r="B35" s="5" t="str">
        <x:v>CU-0012</x:v>
      </x:c>
      <x:c r="C35" s="5" t="str">
        <x:v>Учебно-производственный центр ООО «Газпром трансгаз Санкт-Петербург»</x:v>
      </x:c>
      <x:c r="D35" s="5" t="str">
        <x:v>main_200</x:v>
      </x:c>
      <x:c r="E35" s="5" t="str">
        <x:v>programs</x:v>
      </x:c>
      <x:c r="F35" s="5" t="str">
        <x:v>https://spb-tr.gazprom.ru/career/upc/docsupc/</x:v>
      </x:c>
      <x:c r="G35" s="5" t="str">
        <x:v>График обучения, положения о программах профессионального обучения и ДПО.</x:v>
      </x:c>
      <x:c r="H35" s="5" t="str">
        <x:v>search_index</x:v>
      </x:c>
      <x:c r="I35" s="5" t="str">
        <x:v>https://spb-tr.gazprom.ru/career/upc/docsupc/</x:v>
      </x:c>
      <x:c r="J35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35" s="5" t="str">
        <x:v>Публичный маршрут; автоматический сбор не испытан.</x:v>
      </x:c>
      <x:c r="L35" s="5" t="str"/>
    </x:row>
    <x:row r="36" ht="42.75" customHeight="1">
      <x:c r="A36" s="5" t="str">
        <x:v>CU-SRC-0031</x:v>
      </x:c>
      <x:c r="B36" s="5" t="str">
        <x:v>CU-0012</x:v>
      </x:c>
      <x:c r="C36" s="5" t="str">
        <x:v>Учебно-производственный центр ООО «Газпром трансгаз Санкт-Петербург»</x:v>
      </x:c>
      <x:c r="D36" s="5" t="str">
        <x:v>main_200</x:v>
      </x:c>
      <x:c r="E36" s="5" t="str">
        <x:v>procurement</x:v>
      </x:c>
      <x:c r="F36" s="5" t="str">
        <x:v>https://tenders.gazprom.ru/</x:v>
      </x:c>
      <x:c r="G36" s="5" t="str">
        <x:v>Обучение и образовательный контент по названию конкретного общества, старым названиям и всем тематическим синонимам; общегрупповой маршрут, наличие закупок именно этого УЦ не установлено.</x:v>
      </x:c>
      <x:c r="H36" s="5" t="str">
        <x:v>search_index</x:v>
      </x:c>
      <x:c r="I36" s="5" t="str">
        <x:v>https://tenders.gazprom.ru/</x:v>
      </x:c>
      <x:c r="J36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K36" s="5" t="str">
        <x:v>Официальный сайт предупреждает об ограниченном раскрытии закупочной информации. Регистрация может требоваться; нулевой результат не означает отсутствия потребности.</x:v>
      </x:c>
      <x:c r="L36" s="5" t="str">
        <x:v>MISB-045</x:v>
      </x:c>
    </x:row>
    <x:row r="37" ht="31.5" customHeight="1">
      <x:c r="A37" s="5" t="str">
        <x:v>CU-SRC-0032</x:v>
      </x:c>
      <x:c r="B37" s="5" t="str">
        <x:v>CU-0013</x:v>
      </x:c>
      <x:c r="C37" s="5" t="str">
        <x:v>Корпоративный университет ПАО «Татнефть»</x:v>
      </x:c>
      <x:c r="D37" s="5" t="str">
        <x:v>main_200</x:v>
      </x:c>
      <x:c r="E37" s="5" t="str">
        <x:v>university_site</x:v>
      </x:c>
      <x:c r="F37" s="5" t="str">
        <x:v>https://cu.tatneft.ru/ob-universitete/obshchaya-informatsiya?lang=ru</x:v>
      </x:c>
      <x:c r="G37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37" s="5" t="str">
        <x:v>content_read</x:v>
      </x:c>
      <x:c r="I37" s="5" t="str">
        <x:v>https://cu.tatneft.ru/ob-universitete/obshchaya-informatsiya?lang=ru</x:v>
      </x:c>
      <x:c r="J37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37" s="5" t="str">
        <x:v>Публичный информационный маршрут; работоспособность автоматического сборщика не проверялась.</x:v>
      </x:c>
      <x:c r="L37" s="5" t="str"/>
    </x:row>
    <x:row r="38" ht="31.5" customHeight="1">
      <x:c r="A38" s="5" t="str">
        <x:v>CU-SRC-0033</x:v>
      </x:c>
      <x:c r="B38" s="5" t="str">
        <x:v>CU-0013</x:v>
      </x:c>
      <x:c r="C38" s="5" t="str">
        <x:v>Корпоративный университет ПАО «Татнефть»</x:v>
      </x:c>
      <x:c r="D38" s="5" t="str">
        <x:v>main_200</x:v>
      </x:c>
      <x:c r="E38" s="5" t="str">
        <x:v>programs</x:v>
      </x:c>
      <x:c r="F38" s="5" t="str">
        <x:v>https://cu.tatneft.ru/obrazovanie/kursi-organizuemie-korporativnim-universitetom-pao-tatneft/?lang=ru</x:v>
      </x:c>
      <x:c r="G38" s="5" t="str">
        <x:v>Курсы, организуемые КУ: возможные темы для партнёрства и внешнего провайдера.</x:v>
      </x:c>
      <x:c r="H38" s="5" t="str">
        <x:v>content_read</x:v>
      </x:c>
      <x:c r="I38" s="5" t="str">
        <x:v>https://cu.tatneft.ru/obrazovanie/kursi-organizuemie-korporativnim-universitetom-pao-tatneft/?lang=ru</x:v>
      </x:c>
      <x:c r="J38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38" s="5" t="str">
        <x:v>Публичный маршрут; автоматический сбор не испытан.</x:v>
      </x:c>
      <x:c r="L38" s="5" t="str"/>
    </x:row>
    <x:row r="39" ht="31.5" customHeight="1">
      <x:c r="A39" s="5" t="str">
        <x:v>CU-SRC-0034</x:v>
      </x:c>
      <x:c r="B39" s="5" t="str">
        <x:v>CU-0013</x:v>
      </x:c>
      <x:c r="C39" s="5" t="str">
        <x:v>Корпоративный университет ПАО «Татнефть»</x:v>
      </x:c>
      <x:c r="D39" s="5" t="str">
        <x:v>main_200</x:v>
      </x:c>
      <x:c r="E39" s="5" t="str">
        <x:v>contacts</x:v>
      </x:c>
      <x:c r="F39" s="5" t="str">
        <x:v>https://cu.tatneft.ru/kontakti</x:v>
      </x:c>
      <x:c r="G39" s="5" t="str">
        <x:v>Изменения контактных лиц и функций КУ.</x:v>
      </x:c>
      <x:c r="H39" s="5" t="str">
        <x:v>search_index</x:v>
      </x:c>
      <x:c r="I39" s="5" t="str">
        <x:v>https://cu.tatneft.ru/kontakti</x:v>
      </x:c>
      <x:c r="J39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39" s="5" t="str">
        <x:v>Публичный маршрут; автоматический сбор не испытан.</x:v>
      </x:c>
      <x:c r="L39" s="5" t="str"/>
    </x:row>
    <x:row r="40" ht="31.5" customHeight="1">
      <x:c r="A40" s="5" t="str">
        <x:v>CU-SRC-0035</x:v>
      </x:c>
      <x:c r="B40" s="5" t="str">
        <x:v>CU-0014</x:v>
      </x:c>
      <x:c r="C40" s="5" t="str">
        <x:v>Корпоративный учебный центр ЛУКОЙЛ</x:v>
      </x:c>
      <x:c r="D40" s="5" t="str">
        <x:v>main_200</x:v>
      </x:c>
      <x:c r="E40" s="5" t="str">
        <x:v>university_site</x:v>
      </x:c>
      <x:c r="F40" s="5" t="str">
        <x:v>https://ctc.lukoil.ru/ru/About/GeneralInformation?wid=widpxFOse5-vkj2WOeBjmHY9Q</x:v>
      </x:c>
      <x:c r="G40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0" s="5" t="str">
        <x:v>search_index</x:v>
      </x:c>
      <x:c r="I40" s="5" t="str">
        <x:v>https://ctc.lukoil.ru/ru/About/GeneralInformation?wid=widpxFOse5-vkj2WOeBjmHY9Q</x:v>
      </x:c>
      <x:c r="J4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0" s="5" t="str">
        <x:v>Публичный информационный маршрут; работоспособность автоматического сборщика не проверялась.</x:v>
      </x:c>
      <x:c r="L40" s="5" t="str"/>
    </x:row>
    <x:row r="41" ht="31.5" customHeight="1">
      <x:c r="A41" s="5" t="str">
        <x:v>CU-SRC-0036</x:v>
      </x:c>
      <x:c r="B41" s="5" t="str">
        <x:v>CU-0014</x:v>
      </x:c>
      <x:c r="C41" s="5" t="str">
        <x:v>Корпоративный учебный центр ЛУКОЙЛ</x:v>
      </x:c>
      <x:c r="D41" s="5" t="str">
        <x:v>main_200</x:v>
      </x:c>
      <x:c r="E41" s="5" t="str">
        <x:v>contacts</x:v>
      </x:c>
      <x:c r="F41" s="5" t="str">
        <x:v>https://ctc.lukoil.ru/ru/Contacts</x:v>
      </x:c>
      <x:c r="G41" s="5" t="str">
        <x:v>Контакты руководства учебного процесса и договорной работы.</x:v>
      </x:c>
      <x:c r="H41" s="5" t="str">
        <x:v>search_index</x:v>
      </x:c>
      <x:c r="I41" s="5" t="str">
        <x:v>https://ctc.lukoil.ru/ru/Contacts</x:v>
      </x:c>
      <x:c r="J4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1" s="5" t="str">
        <x:v>Публичный маршрут; автоматический сбор не испытан.</x:v>
      </x:c>
      <x:c r="L41" s="5" t="str"/>
    </x:row>
    <x:row r="42" ht="31.5" customHeight="1">
      <x:c r="A42" s="5" t="str">
        <x:v>CU-SRC-0037</x:v>
      </x:c>
      <x:c r="B42" s="5" t="str">
        <x:v>CU-0014</x:v>
      </x:c>
      <x:c r="C42" s="5" t="str">
        <x:v>Корпоративный учебный центр ЛУКОЙЛ</x:v>
      </x:c>
      <x:c r="D42" s="5" t="str">
        <x:v>main_200</x:v>
      </x:c>
      <x:c r="E42" s="5" t="str">
        <x:v>news</x:v>
      </x:c>
      <x:c r="F42" s="5" t="str">
        <x:v>https://lukoil.ru/PressCenter/Pressreleases/Pressrelease/lukoil-rasshiriaet-vozmozhnosti-korporativnogo</x:v>
      </x:c>
      <x:c r="G42" s="5" t="str">
        <x:v>Расширение учебной инфраструктуры и тематик: косвенный сигнал для методического/контентного партнёрства.</x:v>
      </x:c>
      <x:c r="H42" s="5" t="str">
        <x:v>search_index</x:v>
      </x:c>
      <x:c r="I42" s="5" t="str">
        <x:v>https://lukoil.ru/PressCenter/Pressreleases/Pressrelease/lukoil-rasshiriaet-vozmozhnosti-korporativnogo</x:v>
      </x:c>
      <x:c r="J42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2" s="5" t="str">
        <x:v>Публичный маршрут; автоматический сбор не испытан.</x:v>
      </x:c>
      <x:c r="L42" s="5" t="str"/>
    </x:row>
    <x:row r="43" ht="31.5" customHeight="1">
      <x:c r="A43" s="5" t="str">
        <x:v>CU-SRC-0038</x:v>
      </x:c>
      <x:c r="B43" s="5" t="str">
        <x:v>CU-0015</x:v>
      </x:c>
      <x:c r="C43" s="5" t="str">
        <x:v>Корпоративный университет «Газпром нефти»</x:v>
      </x:c>
      <x:c r="D43" s="5" t="str">
        <x:v>main_200</x:v>
      </x:c>
      <x:c r="E43" s="5" t="str">
        <x:v>partners</x:v>
      </x:c>
      <x:c r="F43" s="5" t="str">
        <x:v>https://www.sgu.ru/struktura/gazpromneft</x:v>
      </x:c>
      <x:c r="G43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3" s="5" t="str">
        <x:v>content_read</x:v>
      </x:c>
      <x:c r="I43" s="5" t="str">
        <x:v>https://www.sgu.ru/struktura/gazpromneft</x:v>
      </x:c>
      <x:c r="J43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3" s="5" t="str">
        <x:v>Публичный информационный маршрут; работоспособность автоматического сборщика не проверялась.</x:v>
      </x:c>
      <x:c r="L43" s="5" t="str"/>
    </x:row>
    <x:row r="44" ht="31.5" customHeight="1">
      <x:c r="A44" s="5" t="str">
        <x:v>CU-SRC-0039</x:v>
      </x:c>
      <x:c r="B44" s="5" t="str">
        <x:v>CU-0015</x:v>
      </x:c>
      <x:c r="C44" s="5" t="str">
        <x:v>Корпоративный университет «Газпром нефти»</x:v>
      </x:c>
      <x:c r="D44" s="5" t="str">
        <x:v>main_200</x:v>
      </x:c>
      <x:c r="E44" s="5" t="str">
        <x:v>partners</x:v>
      </x:c>
      <x:c r="F44" s="5" t="str">
        <x:v>https://gpnit.spbstu.ru/</x:v>
      </x:c>
      <x:c r="G44" s="5" t="str">
        <x:v>Партнёрские образовательные программы Газпром нефти, проектные темы и преподавательская экосистема; центр СПбПУ не отдельная запись КУ в этом реестре.</x:v>
      </x:c>
      <x:c r="H44" s="5" t="str">
        <x:v>search_index</x:v>
      </x:c>
      <x:c r="I44" s="5" t="str">
        <x:v>https://gpnit.spbstu.ru/</x:v>
      </x:c>
      <x:c r="J44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4" s="5" t="str">
        <x:v>Публичный маршрут; автоматический сбор не испытан.</x:v>
      </x:c>
      <x:c r="L44" s="5" t="str"/>
    </x:row>
    <x:row r="45" ht="31.5" customHeight="1">
      <x:c r="A45" s="5" t="str">
        <x:v>CU-SRC-0040</x:v>
      </x:c>
      <x:c r="B45" s="5" t="str">
        <x:v>CU-0016</x:v>
      </x:c>
      <x:c r="C45" s="5" t="str">
        <x:v>Центр политехнического обучения ПАО «Сургутнефтегаз»</x:v>
      </x:c>
      <x:c r="D45" s="5" t="str">
        <x:v>main_200</x:v>
      </x:c>
      <x:c r="E45" s="5" t="str">
        <x:v>university_site</x:v>
      </x:c>
      <x:c r="F45" s="5" t="str">
        <x:v>https://www.surgutneftegas.ru/responsibility/personnel_policy/uchebnaya-baza/</x:v>
      </x:c>
      <x:c r="G45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5" s="5" t="str">
        <x:v>search_index</x:v>
      </x:c>
      <x:c r="I45" s="5" t="str">
        <x:v>https://www.surgutneftegas.ru/responsibility/personnel_policy/uchebnaya-baza/</x:v>
      </x:c>
      <x:c r="J45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5" s="5" t="str">
        <x:v>Публичный информационный маршрут; работоспособность автоматического сборщика не проверялась.</x:v>
      </x:c>
      <x:c r="L45" s="5" t="str"/>
    </x:row>
    <x:row r="46" ht="31.5" customHeight="1">
      <x:c r="A46" s="5" t="str">
        <x:v>CU-SRC-0041</x:v>
      </x:c>
      <x:c r="B46" s="5" t="str">
        <x:v>CU-0017</x:v>
      </x:c>
      <x:c r="C46" s="5" t="str">
        <x:v>Учебный центр ООО «РН-Юганскнефтегаз»</x:v>
      </x:c>
      <x:c r="D46" s="5" t="str">
        <x:v>main_200</x:v>
      </x:c>
      <x:c r="E46" s="5" t="str">
        <x:v>news</x:v>
      </x:c>
      <x:c r="F46" s="5" t="str">
        <x:v>https://rosneft.ru/press/subsidiaries/item/223656/</x:v>
      </x:c>
      <x:c r="G46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6" s="5" t="str">
        <x:v>search_index</x:v>
      </x:c>
      <x:c r="I46" s="5" t="str">
        <x:v>https://rosneft.ru/press/subsidiaries/item/223656/</x:v>
      </x:c>
      <x:c r="J46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6" s="5" t="str">
        <x:v>Публичный информационный маршрут; работоспособность автоматического сборщика не проверялась.</x:v>
      </x:c>
      <x:c r="L46" s="5" t="str"/>
    </x:row>
    <x:row r="47" ht="31.5" customHeight="1">
      <x:c r="A47" s="5" t="str">
        <x:v>CU-SRC-0042</x:v>
      </x:c>
      <x:c r="B47" s="5" t="str">
        <x:v>CU-0017</x:v>
      </x:c>
      <x:c r="C47" s="5" t="str">
        <x:v>Учебный центр ООО «РН-Юганскнефтегаз»</x:v>
      </x:c>
      <x:c r="D47" s="5" t="str">
        <x:v>main_200</x:v>
      </x:c>
      <x:c r="E47" s="5" t="str">
        <x:v>news</x:v>
      </x:c>
      <x:c r="F47" s="5" t="str">
        <x:v>https://rosneft.ru/press/subsidiaries/item/223890/</x:v>
      </x:c>
      <x:c r="G47" s="5" t="str">
        <x:v>Новые направления корпоративного Учебного центра; техническую подготовку классифицировать отдельно.</x:v>
      </x:c>
      <x:c r="H47" s="5" t="str">
        <x:v>search_index</x:v>
      </x:c>
      <x:c r="I47" s="5" t="str">
        <x:v>https://rosneft.ru/press/subsidiaries/item/223890/</x:v>
      </x:c>
      <x:c r="J47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7" s="5" t="str">
        <x:v>Публичный маршрут; автоматический сбор не испытан.</x:v>
      </x:c>
      <x:c r="L47" s="5" t="str"/>
    </x:row>
    <x:row r="48" ht="31.5" customHeight="1">
      <x:c r="A48" s="5" t="str">
        <x:v>CU-SRC-0043</x:v>
      </x:c>
      <x:c r="B48" s="5" t="str">
        <x:v>CU-0017</x:v>
      </x:c>
      <x:c r="C48" s="5" t="str">
        <x:v>Учебный центр ООО «РН-Юганскнефтегаз»</x:v>
      </x:c>
      <x:c r="D48" s="5" t="str">
        <x:v>main_200</x:v>
      </x:c>
      <x:c r="E48" s="5" t="str">
        <x:v>procurement</x:v>
      </x:c>
      <x:c r="F48" s="5" t="str">
        <x:v>https://www.rosneft.ru/Development/Zakupki_tovarov_rabot_i_uslug/</x:v>
      </x:c>
      <x:c r="G48" s="5" t="str">
        <x:v>Корпоративный закупочный маршрут и переходы на ТЭК-Торг/Закупки.Роснефть; поиск по обществу и образовательным услугам.</x:v>
      </x:c>
      <x:c r="H48" s="5" t="str">
        <x:v>search_index</x:v>
      </x:c>
      <x:c r="I48" s="5" t="str">
        <x:v>https://www.rosneft.ru/Development/Zakupki_tovarov_rabot_i_uslug/</x:v>
      </x:c>
      <x:c r="J48" s="5" t="str">
        <x:v>Официальные переходы, карточки и вложения; отдельная идентификация заказчика по каждому лоту.</x:v>
      </x:c>
      <x:c r="K48" s="5" t="str">
        <x:v>Общегрупповой канал не подтверждает, что сам центр публикует отдельные закупки. Участие требует проверки регистрации.</x:v>
      </x:c>
      <x:c r="L48" s="5" t="str"/>
    </x:row>
    <x:row r="49" ht="31.5" customHeight="1">
      <x:c r="A49" s="5" t="str">
        <x:v>CU-SRC-0044</x:v>
      </x:c>
      <x:c r="B49" s="5" t="str">
        <x:v>CU-0018</x:v>
      </x:c>
      <x:c r="C49" s="5" t="str">
        <x:v>Учебный центр АО «РН-Няганьнефтегаз»</x:v>
      </x:c>
      <x:c r="D49" s="5" t="str">
        <x:v>reserve</x:v>
      </x:c>
      <x:c r="E49" s="5" t="str">
        <x:v>university_site</x:v>
      </x:c>
      <x:c r="F49" s="5" t="str">
        <x:v>https://uc-nng.ru/</x:v>
      </x:c>
      <x:c r="G49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9" s="5" t="str">
        <x:v>search_index</x:v>
      </x:c>
      <x:c r="I49" s="5" t="str">
        <x:v>https://uc-nng.ru/</x:v>
      </x:c>
      <x:c r="J49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9" s="5" t="str">
        <x:v>Публичный информационный маршрут; работоспособность автоматического сборщика не проверялась.</x:v>
      </x:c>
      <x:c r="L49" s="5" t="str"/>
    </x:row>
    <x:row r="50" ht="31.5" customHeight="1">
      <x:c r="A50" s="5" t="str">
        <x:v>CU-SRC-0045</x:v>
      </x:c>
      <x:c r="B50" s="5" t="str">
        <x:v>CU-0018</x:v>
      </x:c>
      <x:c r="C50" s="5" t="str">
        <x:v>Учебный центр АО «РН-Няганьнефтегаз»</x:v>
      </x:c>
      <x:c r="D50" s="5" t="str">
        <x:v>reserve</x:v>
      </x:c>
      <x:c r="E50" s="5" t="str">
        <x:v>contacts</x:v>
      </x:c>
      <x:c r="F50" s="5" t="str">
        <x:v>https://uc-nng.ru/management.html</x:v>
      </x:c>
      <x:c r="G50" s="5" t="str">
        <x:v>Руководитель и структура центра.</x:v>
      </x:c>
      <x:c r="H50" s="5" t="str">
        <x:v>search_index</x:v>
      </x:c>
      <x:c r="I50" s="5" t="str">
        <x:v>https://uc-nng.ru/management.html</x:v>
      </x:c>
      <x:c r="J50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50" s="5" t="str">
        <x:v>Публичный маршрут; автоматический сбор не испытан.</x:v>
      </x:c>
      <x:c r="L50" s="5" t="str"/>
    </x:row>
    <x:row r="51" ht="31.5" customHeight="1">
      <x:c r="A51" s="5" t="str">
        <x:v>CU-SRC-0046</x:v>
      </x:c>
      <x:c r="B51" s="5" t="str">
        <x:v>CU-0018</x:v>
      </x:c>
      <x:c r="C51" s="5" t="str">
        <x:v>Учебный центр АО «РН-Няганьнефтегаз»</x:v>
      </x:c>
      <x:c r="D51" s="5" t="str">
        <x:v>reserve</x:v>
      </x:c>
      <x:c r="E51" s="5" t="str">
        <x:v>programs</x:v>
      </x:c>
      <x:c r="F51" s="5" t="str">
        <x:v>https://uc-nng.ru/education.html</x:v>
      </x:c>
      <x:c r="G51" s="5" t="str">
        <x:v>Новые программы и изменения формата подготовки.</x:v>
      </x:c>
      <x:c r="H51" s="5" t="str">
        <x:v>search_index</x:v>
      </x:c>
      <x:c r="I51" s="5" t="str">
        <x:v>https://uc-nng.ru/education.html</x:v>
      </x:c>
      <x:c r="J5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51" s="5" t="str">
        <x:v>Публичный маршрут; автоматический сбор не испытан.</x:v>
      </x:c>
      <x:c r="L51" s="5" t="str"/>
    </x:row>
    <x:row r="52" ht="31.5" customHeight="1">
      <x:c r="A52" s="5" t="str">
        <x:v>CU-SRC-0047</x:v>
      </x:c>
      <x:c r="B52" s="5" t="str">
        <x:v>CU-0018</x:v>
      </x:c>
      <x:c r="C52" s="5" t="str">
        <x:v>Учебный центр АО «РН-Няганьнефтегаз»</x:v>
      </x:c>
      <x:c r="D52" s="5" t="str">
        <x:v>reserve</x:v>
      </x:c>
      <x:c r="E52" s="5" t="str">
        <x:v>procurement</x:v>
      </x:c>
      <x:c r="F52" s="5" t="str">
        <x:v>https://www.rosneft.ru/Development/Zakupki_tovarov_rabot_i_uslug/</x:v>
      </x:c>
      <x:c r="G52" s="5" t="str">
        <x:v>Корпоративный закупочный маршрут и переходы на ТЭК-Торг/Закупки.Роснефть; поиск по обществу и образовательным услугам.</x:v>
      </x:c>
      <x:c r="H52" s="5" t="str">
        <x:v>search_index</x:v>
      </x:c>
      <x:c r="I52" s="5" t="str">
        <x:v>https://www.rosneft.ru/Development/Zakupki_tovarov_rabot_i_uslug/</x:v>
      </x:c>
      <x:c r="J52" s="5" t="str">
        <x:v>Официальные переходы, карточки и вложения; отдельная идентификация заказчика по каждому лоту.</x:v>
      </x:c>
      <x:c r="K52" s="5" t="str">
        <x:v>Общегрупповой канал не подтверждает, что сам центр публикует отдельные закупки. Участие требует проверки регистрации.</x:v>
      </x:c>
      <x:c r="L52" s="5" t="str"/>
    </x:row>
    <x:row r="53" ht="31.5" customHeight="1">
      <x:c r="A53" s="5" t="str">
        <x:v>CU-SRC-0048</x:v>
      </x:c>
      <x:c r="B53" s="5" t="str">
        <x:v>CU-0019</x:v>
      </x:c>
      <x:c r="C53" s="5" t="str">
        <x:v>Корпоративная Академия Росатома</x:v>
      </x:c>
      <x:c r="D53" s="5" t="str">
        <x:v>main_200</x:v>
      </x:c>
      <x:c r="E53" s="5" t="str">
        <x:v>university_site</x:v>
      </x:c>
      <x:c r="F53" s="5" t="str">
        <x:v>https://rosatom-academy.ru/ob-akademii/</x:v>
      </x:c>
      <x:c r="G53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53" s="5" t="str">
        <x:v>content_read</x:v>
      </x:c>
      <x:c r="I53" s="5" t="str">
        <x:v>https://rosatom-academy.ru/ob-akademii/</x:v>
      </x:c>
      <x:c r="J53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53" s="5" t="str">
        <x:v>Публичный информационный маршрут; работоспособность автоматического сборщика не проверялась.</x:v>
      </x:c>
      <x:c r="L53" s="5" t="str">
        <x:v>MISB-256</x:v>
      </x:c>
    </x:row>
    <x:row r="54" ht="31.5" customHeight="1">
      <x:c r="A54" s="5" t="str">
        <x:v>CU-SRC-0049</x:v>
      </x:c>
      <x:c r="B54" s="5" t="str">
        <x:v>CU-0019</x:v>
      </x:c>
      <x:c r="C54" s="5" t="str">
        <x:v>Корпоративная Академия Росатома</x:v>
      </x:c>
      <x:c r="D54" s="5" t="str">
        <x:v>main_200</x:v>
      </x:c>
      <x:c r="E54" s="5" t="str">
        <x:v>procurement</x:v>
      </x:c>
      <x:c r="F54" s="5" t="str">
        <x:v>https://rosatom-academy.ru/ob-akademii/godovoi-otchet/</x:v>
      </x:c>
      <x:c r="G54" s="5" t="str">
        <x:v>Годовые программы закупок и закупочная документация Академии.</x:v>
      </x:c>
      <x:c r="H54" s="5" t="str">
        <x:v>content_read</x:v>
      </x:c>
      <x:c r="I54" s="5" t="str">
        <x:v>https://rosatom-academy.ru/ob-akademii/godovoi-otchet/</x:v>
      </x:c>
      <x:c r="J54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54" s="5" t="str">
        <x:v>Публичный маршрут; автоматический сбор не испытан.</x:v>
      </x:c>
      <x:c r="L54" s="5" t="str"/>
    </x:row>
    <x:row r="55" ht="31.5" customHeight="1">
      <x:c r="A55" s="5" t="str">
        <x:v>CU-SRC-0050</x:v>
      </x:c>
      <x:c r="B55" s="5" t="str">
        <x:v>CU-0019</x:v>
      </x:c>
      <x:c r="C55" s="5" t="str">
        <x:v>Корпоративная Академия Росатома</x:v>
      </x:c>
      <x:c r="D55" s="5" t="str">
        <x:v>main_200</x:v>
      </x:c>
      <x:c r="E55" s="5" t="str">
        <x:v>programs</x:v>
      </x:c>
      <x:c r="F55" s="5" t="str">
        <x:v>https://rosatom-academy.ru/obuchenie-i-razvitie/</x:v>
      </x:c>
      <x:c r="G55" s="5" t="str">
        <x:v>Новые программы, треки и образовательные мероприятия.</x:v>
      </x:c>
      <x:c r="H55" s="5" t="str">
        <x:v>search_index</x:v>
      </x:c>
      <x:c r="I55" s="5" t="str">
        <x:v>https://rosatom-academy.ru/obuchenie-i-razvitie/</x:v>
      </x:c>
      <x:c r="J55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55" s="5" t="str">
        <x:v>Публичный маршрут; автоматический сбор не испытан.</x:v>
      </x:c>
      <x:c r="L55" s="5" t="str"/>
    </x:row>
    <x:row r="56" ht="31.5" customHeight="1">
      <x:c r="A56" s="5" t="str">
        <x:v>CU-SRC-0051</x:v>
      </x:c>
      <x:c r="B56" s="5" t="str">
        <x:v>CU-0019</x:v>
      </x:c>
      <x:c r="C56" s="5" t="str">
        <x:v>Корпоративная Академия Росатома</x:v>
      </x:c>
      <x:c r="D56" s="5" t="str">
        <x:v>main_200</x:v>
      </x:c>
      <x:c r="E56" s="5" t="str">
        <x:v>contacts</x:v>
      </x:c>
      <x:c r="F56" s="5" t="str">
        <x:v>https://rosatom-academy.ru/ob-akademii/kontakty/</x:v>
      </x:c>
      <x:c r="G56" s="5" t="str">
        <x:v>Контакты Академии для уточнения процедуры партнёрства.</x:v>
      </x:c>
      <x:c r="H56" s="5" t="str">
        <x:v>search_index</x:v>
      </x:c>
      <x:c r="I56" s="5" t="str">
        <x:v>https://rosatom-academy.ru/ob-akademii/kontakty/</x:v>
      </x:c>
      <x:c r="J56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56" s="5" t="str">
        <x:v>Публичный маршрут; автоматический сбор не испытан.</x:v>
      </x:c>
      <x:c r="L56" s="5" t="str"/>
    </x:row>
    <x:row r="57" ht="31.5" customHeight="1">
      <x:c r="A57" s="5" t="str">
        <x:v>CU-SRC-0052</x:v>
      </x:c>
      <x:c r="B57" s="5" t="str">
        <x:v>CU-0020</x:v>
      </x:c>
      <x:c r="C57" s="5" t="str">
        <x:v>Техническая академия Росатома</x:v>
      </x:c>
      <x:c r="D57" s="5" t="str">
        <x:v>main_200</x:v>
      </x:c>
      <x:c r="E57" s="5" t="str">
        <x:v>university_site</x:v>
      </x:c>
      <x:c r="F57" s="5" t="str">
        <x:v>https://rosatomtech.ru/about-us/</x:v>
      </x:c>
      <x:c r="G57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57" s="5" t="str">
        <x:v>content_read</x:v>
      </x:c>
      <x:c r="I57" s="5" t="str">
        <x:v>https://rosatomtech.ru/about-us/</x:v>
      </x:c>
      <x:c r="J57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57" s="5" t="str">
        <x:v>Публичный информационный маршрут; работоспособность автоматического сборщика не проверялась.</x:v>
      </x:c>
      <x:c r="L57" s="5" t="str"/>
    </x:row>
    <x:row r="58" ht="31.5" customHeight="1">
      <x:c r="A58" s="5" t="str">
        <x:v>CU-SRC-0053</x:v>
      </x:c>
      <x:c r="B58" s="5" t="str">
        <x:v>CU-0020</x:v>
      </x:c>
      <x:c r="C58" s="5" t="str">
        <x:v>Техническая академия Росатома</x:v>
      </x:c>
      <x:c r="D58" s="5" t="str">
        <x:v>main_200</x:v>
      </x:c>
      <x:c r="E58" s="5" t="str">
        <x:v>procurement</x:v>
      </x:c>
      <x:c r="F58" s="5" t="str">
        <x:v>https://rosatomtech.ru/about-us/suppliers/</x:v>
      </x:c>
      <x:c r="G58" s="5" t="str">
        <x:v>Закупочная деятельность Академии.</x:v>
      </x:c>
      <x:c r="H58" s="5" t="str">
        <x:v>content_read</x:v>
      </x:c>
      <x:c r="I58" s="5" t="str">
        <x:v>https://rosatomtech.ru/about-us/suppliers/</x:v>
      </x:c>
      <x:c r="J58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58" s="5" t="str">
        <x:v>Публичный маршрут; автоматический сбор не испытан.</x:v>
      </x:c>
      <x:c r="L58" s="5" t="str"/>
    </x:row>
    <x:row r="59" ht="31.5" customHeight="1">
      <x:c r="A59" s="5" t="str">
        <x:v>CU-SRC-0054</x:v>
      </x:c>
      <x:c r="B59" s="5" t="str">
        <x:v>CU-0020</x:v>
      </x:c>
      <x:c r="C59" s="5" t="str">
        <x:v>Техническая академия Росатома</x:v>
      </x:c>
      <x:c r="D59" s="5" t="str">
        <x:v>main_200</x:v>
      </x:c>
      <x:c r="E59" s="5" t="str">
        <x:v>programs</x:v>
      </x:c>
      <x:c r="F59" s="5" t="str">
        <x:v>https://rosatomtech.ru/info-educational-org/education/</x:v>
      </x:c>
      <x:c r="G59" s="5" t="str">
        <x:v>Образовательный портфель и смежные темы по учёту, управлению и человеческому фактору.</x:v>
      </x:c>
      <x:c r="H59" s="5" t="str">
        <x:v>search_index</x:v>
      </x:c>
      <x:c r="I59" s="5" t="str">
        <x:v>https://rosatomtech.ru/info-educational-org/education/</x:v>
      </x:c>
      <x:c r="J59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59" s="5" t="str">
        <x:v>Публичный маршрут; автоматический сбор не испытан.</x:v>
      </x:c>
      <x:c r="L59" s="5" t="str"/>
    </x:row>
    <x:row r="60" ht="31.5" customHeight="1">
      <x:c r="A60" s="5" t="str">
        <x:v>CU-SRC-0055</x:v>
      </x:c>
      <x:c r="B60" s="5" t="str">
        <x:v>CU-0020</x:v>
      </x:c>
      <x:c r="C60" s="5" t="str">
        <x:v>Техническая академия Росатома</x:v>
      </x:c>
      <x:c r="D60" s="5" t="str">
        <x:v>main_200</x:v>
      </x:c>
      <x:c r="E60" s="5" t="str">
        <x:v>contacts</x:v>
      </x:c>
      <x:c r="F60" s="5" t="str">
        <x:v>https://rosatomtech.ru/about-us/contacts/</x:v>
      </x:c>
      <x:c r="G60" s="5" t="str">
        <x:v>Контакты и официальные соцсети Академии.</x:v>
      </x:c>
      <x:c r="H60" s="5" t="str">
        <x:v>search_index</x:v>
      </x:c>
      <x:c r="I60" s="5" t="str">
        <x:v>https://rosatomtech.ru/about-us/contacts/</x:v>
      </x:c>
      <x:c r="J60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60" s="5" t="str">
        <x:v>Публичный маршрут; автоматический сбор не испытан.</x:v>
      </x:c>
      <x:c r="L60" s="5" t="str"/>
    </x:row>
    <x:row r="61" ht="31.5" customHeight="1">
      <x:c r="A61" s="5" t="str">
        <x:v>CU-SRC-0056</x:v>
      </x:c>
      <x:c r="B61" s="5" t="str">
        <x:v>CU-0021</x:v>
      </x:c>
      <x:c r="C61" s="5" t="str">
        <x:v>Интер РАО — Корпоративный университет</x:v>
      </x:c>
      <x:c r="D61" s="5" t="str">
        <x:v>main_200</x:v>
      </x:c>
      <x:c r="E61" s="5" t="str">
        <x:v>university_site</x:v>
      </x:c>
      <x:c r="F61" s="5" t="str">
        <x:v>https://interrao-university.ru/</x:v>
      </x:c>
      <x:c r="G61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61" s="5" t="str">
        <x:v>search_index</x:v>
      </x:c>
      <x:c r="I61" s="5" t="str">
        <x:v>https://interrao-university.ru/</x:v>
      </x:c>
      <x:c r="J61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61" s="5" t="str">
        <x:v>Публичный информационный маршрут; работоспособность автоматического сборщика не проверялась.</x:v>
      </x:c>
      <x:c r="L61" s="5" t="str"/>
    </x:row>
    <x:row r="62" ht="31.5" customHeight="1">
      <x:c r="A62" s="5" t="str">
        <x:v>CU-SRC-0057</x:v>
      </x:c>
      <x:c r="B62" s="5" t="str">
        <x:v>CU-0021</x:v>
      </x:c>
      <x:c r="C62" s="5" t="str">
        <x:v>Интер РАО — Корпоративный университет</x:v>
      </x:c>
      <x:c r="D62" s="5" t="str">
        <x:v>main_200</x:v>
      </x:c>
      <x:c r="E62" s="5" t="str">
        <x:v>news</x:v>
      </x:c>
      <x:c r="F62" s="5" t="str">
        <x:v>https://www.interrao-university.ru/company/news/</x:v>
      </x:c>
      <x:c r="G62" s="5" t="str">
        <x:v>Запуск новых школ и программ, партнёрские соглашения, искусственный интеллект и обучение технических руководителей.</x:v>
      </x:c>
      <x:c r="H62" s="5" t="str">
        <x:v>search_index</x:v>
      </x:c>
      <x:c r="I62" s="5" t="str">
        <x:v>https://www.interrao-university.ru/company/news/</x:v>
      </x:c>
      <x:c r="J62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62" s="5" t="str">
        <x:v>Публичный маршрут; автоматический сбор не испытан.</x:v>
      </x:c>
      <x:c r="L62" s="5" t="str"/>
    </x:row>
    <x:row r="63" ht="31.5" customHeight="1">
      <x:c r="A63" s="5" t="str">
        <x:v>CU-SRC-0058</x:v>
      </x:c>
      <x:c r="B63" s="5" t="str">
        <x:v>CU-0021</x:v>
      </x:c>
      <x:c r="C63" s="5" t="str">
        <x:v>Интер РАО — Корпоративный университет</x:v>
      </x:c>
      <x:c r="D63" s="5" t="str">
        <x:v>main_200</x:v>
      </x:c>
      <x:c r="E63" s="5" t="str">
        <x:v>contacts</x:v>
      </x:c>
      <x:c r="F63" s="5" t="str">
        <x:v>https://interrao-university.ru/company/intelligence/</x:v>
      </x:c>
      <x:c r="G63" s="5" t="str">
        <x:v>Юридическое наименование АНО ДПО и сведения образовательной организации.</x:v>
      </x:c>
      <x:c r="H63" s="5" t="str">
        <x:v>search_index</x:v>
      </x:c>
      <x:c r="I63" s="5" t="str">
        <x:v>https://interrao-university.ru/company/intelligence/</x:v>
      </x:c>
      <x:c r="J63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63" s="5" t="str">
        <x:v>Публичный маршрут; автоматический сбор не испытан.</x:v>
      </x:c>
      <x:c r="L63" s="5" t="str"/>
    </x:row>
    <x:row r="64" ht="31.5" customHeight="1">
      <x:c r="A64" s="5" t="str">
        <x:v>CU-SRC-0059</x:v>
      </x:c>
      <x:c r="B64" s="5" t="str">
        <x:v>CU-0022</x:v>
      </x:c>
      <x:c r="C64" s="5" t="str">
        <x:v>Корпоративный университет гидроэнергетики РусГидро (КорУнГ)</x:v>
      </x:c>
      <x:c r="D64" s="5" t="str">
        <x:v>main_200</x:v>
      </x:c>
      <x:c r="E64" s="5" t="str">
        <x:v>university_site</x:v>
      </x:c>
      <x:c r="F64" s="5" t="str">
        <x:v>https://korung.rushydro.ru/</x:v>
      </x:c>
      <x:c r="G64" s="5" t="str">
        <x:v>Портал КорУнГ, направления обучения и партнёрские мероприятия; ссылка подтверждена официальным каналом, содержимое портала пока не прочитано.</x:v>
      </x:c>
      <x:c r="H64" s="5" t="str">
        <x:v>content_read</x:v>
      </x:c>
      <x:c r="I64" s="5" t="str">
        <x:v>https://t.me/s/rushydro_official/6778</x:v>
      </x:c>
      <x:c r="J64" s="5" t="str">
        <x:v>Определить доступную публичную структуру/JS-страницы и способы подписки; сохранить задачу повторной проверки. API/RSS не подтверждены.</x:v>
      </x:c>
      <x:c r="K64" s="5" t="str">
        <x:v>Прямой разбор вернул 0 строк; content_read относится к официальному подтверждению ссылки, не к содержимому портала.</x:v>
      </x:c>
      <x:c r="L64" s="5" t="str">
        <x:v>MISB-255</x:v>
      </x:c>
    </x:row>
    <x:row r="65" ht="31.5" customHeight="1">
      <x:c r="A65" s="5" t="str">
        <x:v>CU-SRC-0060</x:v>
      </x:c>
      <x:c r="B65" s="5" t="str">
        <x:v>CU-0022</x:v>
      </x:c>
      <x:c r="C65" s="5" t="str">
        <x:v>Корпоративный университет гидроэнергетики РусГидро (КорУнГ)</x:v>
      </x:c>
      <x:c r="D65" s="5" t="str">
        <x:v>main_200</x:v>
      </x:c>
      <x:c r="E65" s="5" t="str">
        <x:v>news</x:v>
      </x:c>
      <x:c r="F65" s="5" t="str">
        <x:v>https://ar2024.rushydro.ru/development/human-capital-development.html</x:v>
      </x:c>
      <x:c r="G65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65" s="5" t="str">
        <x:v>search_index</x:v>
      </x:c>
      <x:c r="I65" s="5" t="str">
        <x:v>https://ar2024.rushydro.ru/development/human-capital-development.html</x:v>
      </x:c>
      <x:c r="J65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65" s="5" t="str">
        <x:v>Публичный информационный маршрут; работоспособность автоматического сборщика не проверялась.</x:v>
      </x:c>
      <x:c r="L65" s="5" t="str"/>
    </x:row>
    <x:row r="66" ht="31.5" customHeight="1">
      <x:c r="A66" s="5" t="str">
        <x:v>CU-SRC-0061</x:v>
      </x:c>
      <x:c r="B66" s="5" t="str">
        <x:v>CU-0022</x:v>
      </x:c>
      <x:c r="C66" s="5" t="str">
        <x:v>Корпоративный университет гидроэнергетики РусГидро (КорУнГ)</x:v>
      </x:c>
      <x:c r="D66" s="5" t="str">
        <x:v>main_200</x:v>
      </x:c>
      <x:c r="E66" s="5" t="str">
        <x:v>social</x:v>
      </x:c>
      <x:c r="F66" s="5" t="str">
        <x:v>https://t.me/s/korung_rushydro</x:v>
      </x:c>
      <x:c r="G66" s="5" t="str">
        <x:v>Новости и учебные проекты КорУнГ, преподавательская и партнёрская активность.</x:v>
      </x:c>
      <x:c r="H66" s="5" t="str">
        <x:v>search_index</x:v>
      </x:c>
      <x:c r="I66" s="5" t="str">
        <x:v>https://t.me/s/korung_rushydro</x:v>
      </x:c>
      <x:c r="J66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66" s="5" t="str">
        <x:v>Публичное Telegram-превью найдено поиском; перед автоматизацией подтвердить официальный обратный линк и доступный объём истории.</x:v>
      </x:c>
      <x:c r="L66" s="5" t="str"/>
    </x:row>
    <x:row r="67" ht="31.5" customHeight="1">
      <x:c r="A67" s="5" t="str">
        <x:v>CU-SRC-0062</x:v>
      </x:c>
      <x:c r="B67" s="5" t="str">
        <x:v>CU-0022</x:v>
      </x:c>
      <x:c r="C67" s="5" t="str">
        <x:v>Корпоративный университет гидроэнергетики РусГидро (КорУнГ)</x:v>
      </x:c>
      <x:c r="D67" s="5" t="str">
        <x:v>main_200</x:v>
      </x:c>
      <x:c r="E67" s="5" t="str">
        <x:v>social</x:v>
      </x:c>
      <x:c r="F67" s="5" t="str">
        <x:v>https://t.me/s/rushydro_official/6778</x:v>
      </x:c>
      <x:c r="G67" s="5" t="str">
        <x:v>Общегрупповые образовательные проекты и официальные переходы на КорУнГ.</x:v>
      </x:c>
      <x:c r="H67" s="5" t="str">
        <x:v>content_read</x:v>
      </x:c>
      <x:c r="I67" s="5" t="str">
        <x:v>https://t.me/s/rushydro_official/6778</x:v>
      </x:c>
      <x:c r="J67" s="5" t="str">
        <x:v>Публичное Telegram-превью; проверить историю и регулярный сбор.</x:v>
      </x:c>
      <x:c r="K67" s="5" t="str">
        <x:v>Прочитано публичное превью официального канала.</x:v>
      </x:c>
      <x:c r="L67" s="5" t="str"/>
    </x:row>
    <x:row r="68" ht="42.75" customHeight="1">
      <x:c r="A68" s="5" t="str">
        <x:v>CU-SRC-0063</x:v>
      </x:c>
      <x:c r="B68" s="5" t="str">
        <x:v>CU-0023</x:v>
      </x:c>
      <x:c r="C68" s="5" t="str">
        <x:v>Корпоративный университет Сибирской генерирующей компании</x:v>
      </x:c>
      <x:c r="D68" s="5" t="str">
        <x:v>main_200</x:v>
      </x:c>
      <x:c r="E68" s="5" t="str">
        <x:v>news</x:v>
      </x:c>
      <x:c r="F68" s="5" t="str">
        <x:v>https://sibgenco.online/news/element/tekhnicheskie-resheniya-i-kreativnyy-podkhod-v-krasnoyarske-proshel-trening-ot-korporativnogo-univer/</x:v>
      </x:c>
      <x:c r="G68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68" s="5" t="str">
        <x:v>search_index</x:v>
      </x:c>
      <x:c r="I68" s="5" t="str">
        <x:v>https://sibgenco.online/news/element/tekhnicheskie-resheniya-i-kreativnyy-podkhod-v-krasnoyarske-proshel-trening-ot-korporativnogo-univer/</x:v>
      </x:c>
      <x:c r="J68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68" s="5" t="str">
        <x:v>Публичный информационный маршрут; работоспособность автоматического сборщика не проверялась.</x:v>
      </x:c>
      <x:c r="L68" s="5" t="str"/>
    </x:row>
    <x:row r="69" ht="42.75" customHeight="1">
      <x:c r="A69" s="5" t="str">
        <x:v>CU-SRC-0064</x:v>
      </x:c>
      <x:c r="B69" s="5" t="str">
        <x:v>CU-0023</x:v>
      </x:c>
      <x:c r="C69" s="5" t="str">
        <x:v>Корпоративный университет Сибирской генерирующей компании</x:v>
      </x:c>
      <x:c r="D69" s="5" t="str">
        <x:v>main_200</x:v>
      </x:c>
      <x:c r="E69" s="5" t="str">
        <x:v>news</x:v>
      </x:c>
      <x:c r="F69" s="5" t="str">
        <x:v>https://sibgenco.online/news/element/nastavnichestvo-kak-iskusstvo-v-novosibirske-proshla-mezhregionalnaya-konferentsiya-sgk-nastavnik-pr/</x:v>
      </x:c>
      <x:c r="G69" s="5" t="str">
        <x:v>Наставничество, методические мероприятия и новые проекты КУ.</x:v>
      </x:c>
      <x:c r="H69" s="5" t="str">
        <x:v>search_index</x:v>
      </x:c>
      <x:c r="I69" s="5" t="str">
        <x:v>https://sibgenco.online/news/element/nastavnichestvo-kak-iskusstvo-v-novosibirske-proshla-mezhregionalnaya-konferentsiya-sgk-nastavnik-pr/</x:v>
      </x:c>
      <x:c r="J69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69" s="5" t="str">
        <x:v>Публичный маршрут; автоматический сбор не испытан.</x:v>
      </x:c>
      <x:c r="L69" s="5" t="str"/>
    </x:row>
    <x:row r="70" ht="31.5" customHeight="1">
      <x:c r="A70" s="5" t="str">
        <x:v>CU-SRC-0065</x:v>
      </x:c>
      <x:c r="B70" s="5" t="str">
        <x:v>CU-0024</x:v>
      </x:c>
      <x:c r="C70" s="5" t="str">
        <x:v>Тверской учебно-производственный центр</x:v>
      </x:c>
      <x:c r="D70" s="5" t="str">
        <x:v>main_200</x:v>
      </x:c>
      <x:c r="E70" s="5" t="str">
        <x:v>university_site</x:v>
      </x:c>
      <x:c r="F70" s="5" t="str">
        <x:v>http://tvupc.ru</x:v>
      </x:c>
      <x:c r="G70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70" s="5" t="str">
        <x:v>search_index</x:v>
      </x:c>
      <x:c r="I70" s="5" t="str">
        <x:v>https://www.mrsk-1.ru/about/personnel/youth/uchebnye-tsentry/</x:v>
      </x:c>
      <x:c r="J7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70" s="5" t="str">
        <x:v>Официальный каталог содержит ссылку; прямое чтение целевого сайта завершилось ошибкой. Автоматизация не подтверждена.</x:v>
      </x:c>
      <x:c r="L70" s="5" t="str"/>
    </x:row>
    <x:row r="71" ht="31.5" customHeight="1">
      <x:c r="A71" s="5" t="str">
        <x:v>CU-SRC-0066</x:v>
      </x:c>
      <x:c r="B71" s="5" t="str">
        <x:v>CU-0024</x:v>
      </x:c>
      <x:c r="C71" s="5" t="str">
        <x:v>Тверской учебно-производственный центр</x:v>
      </x:c>
      <x:c r="D71" s="5" t="str">
        <x:v>main_200</x:v>
      </x:c>
      <x:c r="E71" s="5" t="str">
        <x:v>partners</x:v>
      </x:c>
      <x:c r="F71" s="5" t="str">
        <x:v>https://www.mrsk-1.ru/about/personnel/youth/uchebnye-tsentry/</x:v>
      </x:c>
      <x:c r="G71" s="5" t="str">
        <x:v>Официальный список сети и изменение адресов/связей учебных центров.</x:v>
      </x:c>
      <x:c r="H71" s="5" t="str">
        <x:v>content_read</x:v>
      </x:c>
      <x:c r="I71" s="5" t="str">
        <x:v>https://www.mrsk-1.ru/about/personnel/youth/uchebnye-tsentry/</x:v>
      </x:c>
      <x:c r="J7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71" s="5" t="str">
        <x:v>Публичный маршрут; автоматический сбор не испытан.</x:v>
      </x:c>
      <x:c r="L71" s="5" t="str"/>
    </x:row>
    <x:row r="72" ht="31.5" customHeight="1">
      <x:c r="A72" s="5" t="str">
        <x:v>CU-SRC-0067</x:v>
      </x:c>
      <x:c r="B72" s="5" t="str">
        <x:v>CU-0025</x:v>
      </x:c>
      <x:c r="C72" s="5" t="str">
        <x:v>Орловский учебный комбинат</x:v>
      </x:c>
      <x:c r="D72" s="5" t="str">
        <x:v>main_200</x:v>
      </x:c>
      <x:c r="E72" s="5" t="str">
        <x:v>university_site</x:v>
      </x:c>
      <x:c r="F72" s="5" t="str">
        <x:v>https://uk57.ru</x:v>
      </x:c>
      <x:c r="G72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72" s="5" t="str">
        <x:v>content_read</x:v>
      </x:c>
      <x:c r="I72" s="5" t="str">
        <x:v>https://uk57.ru</x:v>
      </x:c>
      <x:c r="J72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72" s="5" t="str">
        <x:v>Публичный информационный маршрут; работоспособность автоматического сборщика не проверялась.</x:v>
      </x:c>
      <x:c r="L72" s="5" t="str"/>
    </x:row>
    <x:row r="73" ht="31.5" customHeight="1">
      <x:c r="A73" s="5" t="str">
        <x:v>CU-SRC-0068</x:v>
      </x:c>
      <x:c r="B73" s="5" t="str">
        <x:v>CU-0025</x:v>
      </x:c>
      <x:c r="C73" s="5" t="str">
        <x:v>Орловский учебный комбинат</x:v>
      </x:c>
      <x:c r="D73" s="5" t="str">
        <x:v>main_200</x:v>
      </x:c>
      <x:c r="E73" s="5" t="str">
        <x:v>partners</x:v>
      </x:c>
      <x:c r="F73" s="5" t="str">
        <x:v>https://www.mrsk-1.ru/about/personnel/youth/uchebnye-tsentry/</x:v>
      </x:c>
      <x:c r="G73" s="5" t="str">
        <x:v>Официальный список сети и изменение адресов/связей учебных центров.</x:v>
      </x:c>
      <x:c r="H73" s="5" t="str">
        <x:v>content_read</x:v>
      </x:c>
      <x:c r="I73" s="5" t="str">
        <x:v>https://www.mrsk-1.ru/about/personnel/youth/uchebnye-tsentry/</x:v>
      </x:c>
      <x:c r="J73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73" s="5" t="str">
        <x:v>Публичный маршрут; автоматический сбор не испытан.</x:v>
      </x:c>
      <x:c r="L73" s="5" t="str"/>
    </x:row>
    <x:row r="74" ht="31.5" customHeight="1">
      <x:c r="A74" s="5" t="str">
        <x:v>CU-SRC-0069</x:v>
      </x:c>
      <x:c r="B74" s="5" t="str">
        <x:v>CU-0026</x:v>
      </x:c>
      <x:c r="C74" s="5" t="str">
        <x:v>Воронежский учебный центр «Энергетик»</x:v>
      </x:c>
      <x:c r="D74" s="5" t="str">
        <x:v>main_200</x:v>
      </x:c>
      <x:c r="E74" s="5" t="str">
        <x:v>university_site</x:v>
      </x:c>
      <x:c r="F74" s="5" t="str">
        <x:v>https://vuc-energetik.ru</x:v>
      </x:c>
      <x:c r="G74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74" s="5" t="str">
        <x:v>content_read</x:v>
      </x:c>
      <x:c r="I74" s="5" t="str">
        <x:v>https://vuc-energetik.ru</x:v>
      </x:c>
      <x:c r="J74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74" s="5" t="str">
        <x:v>Публичный информационный маршрут; работоспособность автоматического сборщика не проверялась.</x:v>
      </x:c>
      <x:c r="L74" s="5" t="str"/>
    </x:row>
    <x:row r="75" ht="31.5" customHeight="1">
      <x:c r="A75" s="5" t="str">
        <x:v>CU-SRC-0070</x:v>
      </x:c>
      <x:c r="B75" s="5" t="str">
        <x:v>CU-0026</x:v>
      </x:c>
      <x:c r="C75" s="5" t="str">
        <x:v>Воронежский учебный центр «Энергетик»</x:v>
      </x:c>
      <x:c r="D75" s="5" t="str">
        <x:v>main_200</x:v>
      </x:c>
      <x:c r="E75" s="5" t="str">
        <x:v>partners</x:v>
      </x:c>
      <x:c r="F75" s="5" t="str">
        <x:v>https://www.mrsk-1.ru/about/personnel/youth/uchebnye-tsentry/</x:v>
      </x:c>
      <x:c r="G75" s="5" t="str">
        <x:v>Официальный список сети и изменение адресов/связей учебных центров.</x:v>
      </x:c>
      <x:c r="H75" s="5" t="str">
        <x:v>content_read</x:v>
      </x:c>
      <x:c r="I75" s="5" t="str">
        <x:v>https://www.mrsk-1.ru/about/personnel/youth/uchebnye-tsentry/</x:v>
      </x:c>
      <x:c r="J75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75" s="5" t="str">
        <x:v>Публичный маршрут; автоматический сбор не испытан.</x:v>
      </x:c>
      <x:c r="L75" s="5" t="str"/>
    </x:row>
    <x:row r="76" ht="31.5" customHeight="1">
      <x:c r="A76" s="5" t="str">
        <x:v>CU-SRC-0071</x:v>
      </x:c>
      <x:c r="B76" s="5" t="str">
        <x:v>CU-0027</x:v>
      </x:c>
      <x:c r="C76" s="5" t="str">
        <x:v>Владимирский учебный центр «Энергетик»</x:v>
      </x:c>
      <x:c r="D76" s="5" t="str">
        <x:v>main_200</x:v>
      </x:c>
      <x:c r="E76" s="5" t="str">
        <x:v>university_site</x:v>
      </x:c>
      <x:c r="F76" s="5" t="str">
        <x:v>http://energetik33.ru</x:v>
      </x:c>
      <x:c r="G76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76" s="5" t="str">
        <x:v>search_index</x:v>
      </x:c>
      <x:c r="I76" s="5" t="str">
        <x:v>https://www.mrsk-1.ru/about/personnel/youth/uchebnye-tsentry/</x:v>
      </x:c>
      <x:c r="J76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76" s="5" t="str">
        <x:v>Официальный каталог содержит ссылку; прямое чтение целевого сайта завершилось ошибкой. Автоматизация не подтверждена.</x:v>
      </x:c>
      <x:c r="L76" s="5" t="str"/>
    </x:row>
    <x:row r="77" ht="31.5" customHeight="1">
      <x:c r="A77" s="5" t="str">
        <x:v>CU-SRC-0072</x:v>
      </x:c>
      <x:c r="B77" s="5" t="str">
        <x:v>CU-0027</x:v>
      </x:c>
      <x:c r="C77" s="5" t="str">
        <x:v>Владимирский учебный центр «Энергетик»</x:v>
      </x:c>
      <x:c r="D77" s="5" t="str">
        <x:v>main_200</x:v>
      </x:c>
      <x:c r="E77" s="5" t="str">
        <x:v>partners</x:v>
      </x:c>
      <x:c r="F77" s="5" t="str">
        <x:v>https://www.mrsk-1.ru/about/personnel/youth/uchebnye-tsentry/</x:v>
      </x:c>
      <x:c r="G77" s="5" t="str">
        <x:v>Официальный список сети и изменение адресов/связей учебных центров.</x:v>
      </x:c>
      <x:c r="H77" s="5" t="str">
        <x:v>content_read</x:v>
      </x:c>
      <x:c r="I77" s="5" t="str">
        <x:v>https://www.mrsk-1.ru/about/personnel/youth/uchebnye-tsentry/</x:v>
      </x:c>
      <x:c r="J77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77" s="5" t="str">
        <x:v>Публичный маршрут; автоматический сбор не испытан.</x:v>
      </x:c>
      <x:c r="L77" s="5" t="str"/>
    </x:row>
    <x:row r="78" ht="31.5" customHeight="1">
      <x:c r="A78" s="5" t="str">
        <x:v>CU-SRC-0073</x:v>
      </x:c>
      <x:c r="B78" s="5" t="str">
        <x:v>CU-0028</x:v>
      </x:c>
      <x:c r="C78" s="5" t="str">
        <x:v>Ивановский учебный центр «Энергетик»</x:v>
      </x:c>
      <x:c r="D78" s="5" t="str">
        <x:v>main_200</x:v>
      </x:c>
      <x:c r="E78" s="5" t="str">
        <x:v>university_site</x:v>
      </x:c>
      <x:c r="F78" s="5" t="str">
        <x:v>https://ivenergetik37.ru</x:v>
      </x:c>
      <x:c r="G78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78" s="5" t="str">
        <x:v>content_read</x:v>
      </x:c>
      <x:c r="I78" s="5" t="str">
        <x:v>https://ivenergetik37.ru</x:v>
      </x:c>
      <x:c r="J78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78" s="5" t="str">
        <x:v>Публичный информационный маршрут; работоспособность автоматического сборщика не проверялась.</x:v>
      </x:c>
      <x:c r="L78" s="5" t="str"/>
    </x:row>
    <x:row r="79" ht="31.5" customHeight="1">
      <x:c r="A79" s="5" t="str">
        <x:v>CU-SRC-0074</x:v>
      </x:c>
      <x:c r="B79" s="5" t="str">
        <x:v>CU-0028</x:v>
      </x:c>
      <x:c r="C79" s="5" t="str">
        <x:v>Ивановский учебный центр «Энергетик»</x:v>
      </x:c>
      <x:c r="D79" s="5" t="str">
        <x:v>main_200</x:v>
      </x:c>
      <x:c r="E79" s="5" t="str">
        <x:v>partners</x:v>
      </x:c>
      <x:c r="F79" s="5" t="str">
        <x:v>https://www.mrsk-1.ru/about/personnel/youth/uchebnye-tsentry/</x:v>
      </x:c>
      <x:c r="G79" s="5" t="str">
        <x:v>Официальный список сети и изменение адресов/связей учебных центров.</x:v>
      </x:c>
      <x:c r="H79" s="5" t="str">
        <x:v>content_read</x:v>
      </x:c>
      <x:c r="I79" s="5" t="str">
        <x:v>https://www.mrsk-1.ru/about/personnel/youth/uchebnye-tsentry/</x:v>
      </x:c>
      <x:c r="J79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79" s="5" t="str">
        <x:v>Публичный маршрут; автоматический сбор не испытан.</x:v>
      </x:c>
      <x:c r="L79" s="5" t="str"/>
    </x:row>
    <x:row r="80" ht="31.5" customHeight="1">
      <x:c r="A80" s="5" t="str">
        <x:v>CU-SRC-0075</x:v>
      </x:c>
      <x:c r="B80" s="5" t="str">
        <x:v>CU-0029</x:v>
      </x:c>
      <x:c r="C80" s="5" t="str">
        <x:v>Ижевский учебный центр «Энергетик»</x:v>
      </x:c>
      <x:c r="D80" s="5" t="str">
        <x:v>main_200</x:v>
      </x:c>
      <x:c r="E80" s="5" t="str">
        <x:v>university_site</x:v>
      </x:c>
      <x:c r="F80" s="5" t="str">
        <x:v>https://www.ukenergetic.ru/</x:v>
      </x:c>
      <x:c r="G80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80" s="5" t="str">
        <x:v>content_read</x:v>
      </x:c>
      <x:c r="I80" s="5" t="str">
        <x:v>https://www.ukenergetic.ru/</x:v>
      </x:c>
      <x:c r="J8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80" s="5" t="str">
        <x:v>Публичный информационный маршрут; работоспособность автоматического сборщика не проверялась.</x:v>
      </x:c>
      <x:c r="L80" s="5" t="str"/>
    </x:row>
    <x:row r="81" ht="31.5" customHeight="1">
      <x:c r="A81" s="5" t="str">
        <x:v>CU-SRC-0076</x:v>
      </x:c>
      <x:c r="B81" s="5" t="str">
        <x:v>CU-0029</x:v>
      </x:c>
      <x:c r="C81" s="5" t="str">
        <x:v>Ижевский учебный центр «Энергетик»</x:v>
      </x:c>
      <x:c r="D81" s="5" t="str">
        <x:v>main_200</x:v>
      </x:c>
      <x:c r="E81" s="5" t="str">
        <x:v>partners</x:v>
      </x:c>
      <x:c r="F81" s="5" t="str">
        <x:v>https://www.mrsk-1.ru/about/personnel/youth/uchebnye-tsentry/</x:v>
      </x:c>
      <x:c r="G81" s="5" t="str">
        <x:v>Официальный список сети и изменение адресов/связей учебных центров.</x:v>
      </x:c>
      <x:c r="H81" s="5" t="str">
        <x:v>content_read</x:v>
      </x:c>
      <x:c r="I81" s="5" t="str">
        <x:v>https://www.mrsk-1.ru/about/personnel/youth/uchebnye-tsentry/</x:v>
      </x:c>
      <x:c r="J8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81" s="5" t="str">
        <x:v>Публичный маршрут; автоматический сбор не испытан.</x:v>
      </x:c>
      <x:c r="L81" s="5" t="str"/>
    </x:row>
    <x:row r="82" ht="31.5" customHeight="1">
      <x:c r="A82" s="5" t="str">
        <x:v>CU-SRC-0077</x:v>
      </x:c>
      <x:c r="B82" s="5" t="str">
        <x:v>CU-0030</x:v>
      </x:c>
      <x:c r="C82" s="5" t="str">
        <x:v>Калужский учебный центр «Энергетик»</x:v>
      </x:c>
      <x:c r="D82" s="5" t="str">
        <x:v>main_200</x:v>
      </x:c>
      <x:c r="E82" s="5" t="str">
        <x:v>university_site</x:v>
      </x:c>
      <x:c r="F82" s="5" t="str">
        <x:v>https://energetik40.ru</x:v>
      </x:c>
      <x:c r="G82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82" s="5" t="str">
        <x:v>content_read</x:v>
      </x:c>
      <x:c r="I82" s="5" t="str">
        <x:v>https://energetik40.ru</x:v>
      </x:c>
      <x:c r="J82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82" s="5" t="str">
        <x:v>Публичный информационный маршрут; работоспособность автоматического сборщика не проверялась.</x:v>
      </x:c>
      <x:c r="L82" s="5" t="str"/>
    </x:row>
    <x:row r="83" ht="31.5" customHeight="1">
      <x:c r="A83" s="5" t="str">
        <x:v>CU-SRC-0078</x:v>
      </x:c>
      <x:c r="B83" s="5" t="str">
        <x:v>CU-0030</x:v>
      </x:c>
      <x:c r="C83" s="5" t="str">
        <x:v>Калужский учебный центр «Энергетик»</x:v>
      </x:c>
      <x:c r="D83" s="5" t="str">
        <x:v>main_200</x:v>
      </x:c>
      <x:c r="E83" s="5" t="str">
        <x:v>partners</x:v>
      </x:c>
      <x:c r="F83" s="5" t="str">
        <x:v>https://www.mrsk-1.ru/about/personnel/youth/uchebnye-tsentry/</x:v>
      </x:c>
      <x:c r="G83" s="5" t="str">
        <x:v>Официальный список сети и изменение адресов/связей учебных центров.</x:v>
      </x:c>
      <x:c r="H83" s="5" t="str">
        <x:v>content_read</x:v>
      </x:c>
      <x:c r="I83" s="5" t="str">
        <x:v>https://www.mrsk-1.ru/about/personnel/youth/uchebnye-tsentry/</x:v>
      </x:c>
      <x:c r="J83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83" s="5" t="str">
        <x:v>Публичный маршрут; автоматический сбор не испытан.</x:v>
      </x:c>
      <x:c r="L83" s="5" t="str"/>
    </x:row>
    <x:row r="84" ht="31.5" customHeight="1">
      <x:c r="A84" s="5" t="str">
        <x:v>CU-SRC-0079</x:v>
      </x:c>
      <x:c r="B84" s="5" t="str">
        <x:v>CU-0031</x:v>
      </x:c>
      <x:c r="C84" s="5" t="str">
        <x:v>Кировский учебный центр «Энергетик»</x:v>
      </x:c>
      <x:c r="D84" s="5" t="str">
        <x:v>main_200</x:v>
      </x:c>
      <x:c r="E84" s="5" t="str">
        <x:v>university_site</x:v>
      </x:c>
      <x:c r="F84" s="5" t="str">
        <x:v>http://www.ucenergetik.ru</x:v>
      </x:c>
      <x:c r="G84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84" s="5" t="str">
        <x:v>search_index</x:v>
      </x:c>
      <x:c r="I84" s="5" t="str">
        <x:v>https://www.mrsk-1.ru/about/personnel/youth/uchebnye-tsentry/</x:v>
      </x:c>
      <x:c r="J84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84" s="5" t="str">
        <x:v>Официальный каталог содержит ссылку; прямое чтение целевого сайта завершилось ошибкой. Автоматизация не подтверждена.</x:v>
      </x:c>
      <x:c r="L84" s="5" t="str"/>
    </x:row>
    <x:row r="85" ht="31.5" customHeight="1">
      <x:c r="A85" s="5" t="str">
        <x:v>CU-SRC-0080</x:v>
      </x:c>
      <x:c r="B85" s="5" t="str">
        <x:v>CU-0031</x:v>
      </x:c>
      <x:c r="C85" s="5" t="str">
        <x:v>Кировский учебный центр «Энергетик»</x:v>
      </x:c>
      <x:c r="D85" s="5" t="str">
        <x:v>main_200</x:v>
      </x:c>
      <x:c r="E85" s="5" t="str">
        <x:v>partners</x:v>
      </x:c>
      <x:c r="F85" s="5" t="str">
        <x:v>https://www.mrsk-1.ru/about/personnel/youth/uchebnye-tsentry/</x:v>
      </x:c>
      <x:c r="G85" s="5" t="str">
        <x:v>Официальный список сети и изменение адресов/связей учебных центров.</x:v>
      </x:c>
      <x:c r="H85" s="5" t="str">
        <x:v>content_read</x:v>
      </x:c>
      <x:c r="I85" s="5" t="str">
        <x:v>https://www.mrsk-1.ru/about/personnel/youth/uchebnye-tsentry/</x:v>
      </x:c>
      <x:c r="J85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85" s="5" t="str">
        <x:v>Публичный маршрут; автоматический сбор не испытан.</x:v>
      </x:c>
      <x:c r="L85" s="5" t="str"/>
    </x:row>
    <x:row r="86" ht="31.5" customHeight="1">
      <x:c r="A86" s="5" t="str">
        <x:v>CU-SRC-0081</x:v>
      </x:c>
      <x:c r="B86" s="5" t="str">
        <x:v>CU-0032</x:v>
      </x:c>
      <x:c r="C86" s="5" t="str">
        <x:v>Тульский учебный центр «Энергетик»</x:v>
      </x:c>
      <x:c r="D86" s="5" t="str">
        <x:v>main_200</x:v>
      </x:c>
      <x:c r="E86" s="5" t="str">
        <x:v>university_site</x:v>
      </x:c>
      <x:c r="F86" s="5" t="str">
        <x:v>http://www.ukktulenergo.ru</x:v>
      </x:c>
      <x:c r="G86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86" s="5" t="str">
        <x:v>search_index</x:v>
      </x:c>
      <x:c r="I86" s="5" t="str">
        <x:v>https://www.mrsk-1.ru/about/personnel/youth/uchebnye-tsentry/</x:v>
      </x:c>
      <x:c r="J86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86" s="5" t="str">
        <x:v>Официальный каталог содержит ссылку; прямое чтение целевого сайта завершилось ошибкой. Автоматизация не подтверждена.</x:v>
      </x:c>
      <x:c r="L86" s="5" t="str"/>
    </x:row>
    <x:row r="87" ht="31.5" customHeight="1">
      <x:c r="A87" s="5" t="str">
        <x:v>CU-SRC-0082</x:v>
      </x:c>
      <x:c r="B87" s="5" t="str">
        <x:v>CU-0032</x:v>
      </x:c>
      <x:c r="C87" s="5" t="str">
        <x:v>Тульский учебный центр «Энергетик»</x:v>
      </x:c>
      <x:c r="D87" s="5" t="str">
        <x:v>main_200</x:v>
      </x:c>
      <x:c r="E87" s="5" t="str">
        <x:v>partners</x:v>
      </x:c>
      <x:c r="F87" s="5" t="str">
        <x:v>https://www.mrsk-1.ru/about/personnel/youth/uchebnye-tsentry/</x:v>
      </x:c>
      <x:c r="G87" s="5" t="str">
        <x:v>Официальный список сети и изменение адресов/связей учебных центров.</x:v>
      </x:c>
      <x:c r="H87" s="5" t="str">
        <x:v>content_read</x:v>
      </x:c>
      <x:c r="I87" s="5" t="str">
        <x:v>https://www.mrsk-1.ru/about/personnel/youth/uchebnye-tsentry/</x:v>
      </x:c>
      <x:c r="J87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87" s="5" t="str">
        <x:v>Публичный маршрут; автоматический сбор не испытан.</x:v>
      </x:c>
      <x:c r="L87" s="5" t="str"/>
    </x:row>
    <x:row r="88" ht="31.5" customHeight="1">
      <x:c r="A88" s="5" t="str">
        <x:v>CU-SRC-0083</x:v>
      </x:c>
      <x:c r="B88" s="5" t="str">
        <x:v>CU-0033</x:v>
      </x:c>
      <x:c r="C88" s="5" t="str">
        <x:v>Нижегородский учебный центр «Энергетик»</x:v>
      </x:c>
      <x:c r="D88" s="5" t="str">
        <x:v>main_200</x:v>
      </x:c>
      <x:c r="E88" s="5" t="str">
        <x:v>university_site</x:v>
      </x:c>
      <x:c r="F88" s="5" t="str">
        <x:v>https://energetik-nn.ru/</x:v>
      </x:c>
      <x:c r="G88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88" s="5" t="str">
        <x:v>content_read</x:v>
      </x:c>
      <x:c r="I88" s="5" t="str">
        <x:v>https://energetik-nn.ru/</x:v>
      </x:c>
      <x:c r="J88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88" s="5" t="str">
        <x:v>Публичный информационный маршрут; работоспособность автоматического сборщика не проверялась.</x:v>
      </x:c>
      <x:c r="L88" s="5" t="str"/>
    </x:row>
    <x:row r="89" ht="31.5" customHeight="1">
      <x:c r="A89" s="5" t="str">
        <x:v>CU-SRC-0084</x:v>
      </x:c>
      <x:c r="B89" s="5" t="str">
        <x:v>CU-0033</x:v>
      </x:c>
      <x:c r="C89" s="5" t="str">
        <x:v>Нижегородский учебный центр «Энергетик»</x:v>
      </x:c>
      <x:c r="D89" s="5" t="str">
        <x:v>main_200</x:v>
      </x:c>
      <x:c r="E89" s="5" t="str">
        <x:v>partners</x:v>
      </x:c>
      <x:c r="F89" s="5" t="str">
        <x:v>https://www.mrsk-1.ru/about/personnel/youth/uchebnye-tsentry/</x:v>
      </x:c>
      <x:c r="G89" s="5" t="str">
        <x:v>Официальный список сети и изменение адресов/связей учебных центров.</x:v>
      </x:c>
      <x:c r="H89" s="5" t="str">
        <x:v>content_read</x:v>
      </x:c>
      <x:c r="I89" s="5" t="str">
        <x:v>https://www.mrsk-1.ru/about/personnel/youth/uchebnye-tsentry/</x:v>
      </x:c>
      <x:c r="J89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89" s="5" t="str">
        <x:v>Публичный маршрут; автоматический сбор не испытан.</x:v>
      </x:c>
      <x:c r="L89" s="5" t="str"/>
    </x:row>
    <x:row r="90" ht="31.5" customHeight="1">
      <x:c r="A90" s="5" t="str">
        <x:v>CU-SRC-0085</x:v>
      </x:c>
      <x:c r="B90" s="5" t="str">
        <x:v>CU-0034</x:v>
      </x:c>
      <x:c r="C90" s="5" t="str">
        <x:v>Учебный центр «Россети Урал»</x:v>
      </x:c>
      <x:c r="D90" s="5" t="str">
        <x:v>main_200</x:v>
      </x:c>
      <x:c r="E90" s="5" t="str">
        <x:v>university_site</x:v>
      </x:c>
      <x:c r="F90" s="5" t="str">
        <x:v>https://uc-rosseti-ural.ru/about/</x:v>
      </x:c>
      <x:c r="G90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90" s="5" t="str">
        <x:v>search_index</x:v>
      </x:c>
      <x:c r="I90" s="5" t="str">
        <x:v>https://uc-rosseti-ural.ru/about/</x:v>
      </x:c>
      <x:c r="J9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90" s="5" t="str">
        <x:v>Публичный информационный маршрут; работоспособность автоматического сборщика не проверялась.</x:v>
      </x:c>
      <x:c r="L90" s="5" t="str"/>
    </x:row>
    <x:row r="91" ht="31.5" customHeight="1">
      <x:c r="A91" s="5" t="str">
        <x:v>CU-SRC-0086</x:v>
      </x:c>
      <x:c r="B91" s="5" t="str">
        <x:v>CU-0034</x:v>
      </x:c>
      <x:c r="C91" s="5" t="str">
        <x:v>Учебный центр «Россети Урал»</x:v>
      </x:c>
      <x:c r="D91" s="5" t="str">
        <x:v>main_200</x:v>
      </x:c>
      <x:c r="E91" s="5" t="str">
        <x:v>news</x:v>
      </x:c>
      <x:c r="F91" s="5" t="str">
        <x:v>https://uc-rosseti-ural.ru/news/tehnicheskij-seminar-ustrojstva-regulirovanija-naprjazhenija/</x:v>
      </x:c>
      <x:c r="G91" s="5" t="str">
        <x:v>Пример привлечения внешнего производителя к техническому семинару; сигнал партнёрской модели, не доказательство закупки.</x:v>
      </x:c>
      <x:c r="H91" s="5" t="str">
        <x:v>search_index</x:v>
      </x:c>
      <x:c r="I91" s="5" t="str">
        <x:v>https://uc-rosseti-ural.ru/news/tehnicheskij-seminar-ustrojstva-regulirovanija-naprjazhenija/</x:v>
      </x:c>
      <x:c r="J9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91" s="5" t="str">
        <x:v>Публичный маршрут; автоматический сбор не испытан.</x:v>
      </x:c>
      <x:c r="L91" s="5" t="str"/>
    </x:row>
    <x:row r="92" ht="31.5" customHeight="1">
      <x:c r="A92" s="5" t="str">
        <x:v>CU-SRC-0087</x:v>
      </x:c>
      <x:c r="B92" s="5" t="str">
        <x:v>CU-0035</x:v>
      </x:c>
      <x:c r="C92" s="5" t="str">
        <x:v>Учебный центр ПАО «Россети Московский регион»</x:v>
      </x:c>
      <x:c r="D92" s="5" t="str">
        <x:v>main_200</x:v>
      </x:c>
      <x:c r="E92" s="5" t="str">
        <x:v>university_site</x:v>
      </x:c>
      <x:c r="F92" s="5" t="str">
        <x:v>https://rossetimr.ru/client/services/training-center/</x:v>
      </x:c>
      <x:c r="G92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92" s="5" t="str">
        <x:v>search_index</x:v>
      </x:c>
      <x:c r="I92" s="5" t="str">
        <x:v>https://rossetimr.ru/client/services/training-center/</x:v>
      </x:c>
      <x:c r="J92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92" s="5" t="str">
        <x:v>Публичный информационный маршрут; работоспособность автоматического сборщика не проверялась.</x:v>
      </x:c>
      <x:c r="L92" s="5" t="str"/>
    </x:row>
    <x:row r="93" ht="31.5" customHeight="1">
      <x:c r="A93" s="5" t="str">
        <x:v>CU-SRC-0088</x:v>
      </x:c>
      <x:c r="B93" s="5" t="str">
        <x:v>CU-0035</x:v>
      </x:c>
      <x:c r="C93" s="5" t="str">
        <x:v>Учебный центр ПАО «Россети Московский регион»</x:v>
      </x:c>
      <x:c r="D93" s="5" t="str">
        <x:v>main_200</x:v>
      </x:c>
      <x:c r="E93" s="5" t="str">
        <x:v>contacts</x:v>
      </x:c>
      <x:c r="F93" s="5" t="str">
        <x:v>https://rossetimr.ru/client/services/training-center/kontakty/</x:v>
      </x:c>
      <x:c r="G93" s="5" t="str">
        <x:v>Управление внешнего обучения, связи с образовательными организациями, управленческий коучинг.</x:v>
      </x:c>
      <x:c r="H93" s="5" t="str">
        <x:v>search_index</x:v>
      </x:c>
      <x:c r="I93" s="5" t="str">
        <x:v>https://rossetimr.ru/client/services/training-center/kontakty/</x:v>
      </x:c>
      <x:c r="J93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93" s="5" t="str">
        <x:v>Публичный маршрут; автоматический сбор не испытан.</x:v>
      </x:c>
      <x:c r="L93" s="5" t="str"/>
    </x:row>
    <x:row r="94" ht="31.5" customHeight="1">
      <x:c r="A94" s="5" t="str">
        <x:v>CU-SRC-0089</x:v>
      </x:c>
      <x:c r="B94" s="5" t="str">
        <x:v>CU-0035</x:v>
      </x:c>
      <x:c r="C94" s="5" t="str">
        <x:v>Учебный центр ПАО «Россети Московский регион»</x:v>
      </x:c>
      <x:c r="D94" s="5" t="str">
        <x:v>main_200</x:v>
      </x:c>
      <x:c r="E94" s="5" t="str">
        <x:v>contacts</x:v>
      </x:c>
      <x:c r="F94" s="5" t="str">
        <x:v>https://rossetimr.ru/client/services/training-center/svedeniya/struktura_i_organy_upravleniya/</x:v>
      </x:c>
      <x:c r="G94" s="5" t="str">
        <x:v>Функциональные контакты директора УЦ, внешнего обучения и оценки/развития.</x:v>
      </x:c>
      <x:c r="H94" s="5" t="str">
        <x:v>search_index</x:v>
      </x:c>
      <x:c r="I94" s="5" t="str">
        <x:v>https://rossetimr.ru/client/services/training-center/svedeniya/struktura_i_organy_upravleniya/</x:v>
      </x:c>
      <x:c r="J94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94" s="5" t="str">
        <x:v>Публичный маршрут; автоматический сбор не испытан.</x:v>
      </x:c>
      <x:c r="L94" s="5" t="str"/>
    </x:row>
    <x:row r="95" ht="31.5" customHeight="1">
      <x:c r="A95" s="5" t="str">
        <x:v>CU-SRC-0090</x:v>
      </x:c>
      <x:c r="B95" s="5" t="str">
        <x:v>CU-0036</x:v>
      </x:c>
      <x:c r="C95" s="5" t="str">
        <x:v>Учебный комплекс «Россети Ленэнерго»</x:v>
      </x:c>
      <x:c r="D95" s="5" t="str">
        <x:v>main_200</x:v>
      </x:c>
      <x:c r="E95" s="5" t="str">
        <x:v>university_site</x:v>
      </x:c>
      <x:c r="F95" s="5" t="str">
        <x:v>https://rosseti-lenenergo.ru/educational/svedenia/mattehpoddrzka/</x:v>
      </x:c>
      <x:c r="G95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95" s="5" t="str">
        <x:v>search_index</x:v>
      </x:c>
      <x:c r="I95" s="5" t="str">
        <x:v>https://rosseti-lenenergo.ru/educational/svedenia/mattehpoddrzka/</x:v>
      </x:c>
      <x:c r="J95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95" s="5" t="str">
        <x:v>Публичный информационный маршрут; работоспособность автоматического сборщика не проверялась.</x:v>
      </x:c>
      <x:c r="L95" s="5" t="str"/>
    </x:row>
    <x:row r="96" ht="31.5" customHeight="1">
      <x:c r="A96" s="5" t="str">
        <x:v>CU-SRC-0091</x:v>
      </x:c>
      <x:c r="B96" s="5" t="str">
        <x:v>CU-0036</x:v>
      </x:c>
      <x:c r="C96" s="5" t="str">
        <x:v>Учебный комплекс «Россети Ленэнерго»</x:v>
      </x:c>
      <x:c r="D96" s="5" t="str">
        <x:v>main_200</x:v>
      </x:c>
      <x:c r="E96" s="5" t="str">
        <x:v>news</x:v>
      </x:c>
      <x:c r="F96" s="5" t="str">
        <x:v>https://rosseti-lenenergo.ru/press/lenenergo/318350.html</x:v>
      </x:c>
      <x:c r="G96" s="5" t="str">
        <x:v>Новые курсы, подготовка преподавателей и результаты обучения в 2026 году.</x:v>
      </x:c>
      <x:c r="H96" s="5" t="str">
        <x:v>search_index</x:v>
      </x:c>
      <x:c r="I96" s="5" t="str">
        <x:v>https://rosseti-lenenergo.ru/press/lenenergo/318350.html</x:v>
      </x:c>
      <x:c r="J96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96" s="5" t="str">
        <x:v>Публичный маршрут; автоматический сбор не испытан.</x:v>
      </x:c>
      <x:c r="L96" s="5" t="str"/>
    </x:row>
    <x:row r="97" ht="31.5" customHeight="1">
      <x:c r="A97" s="5" t="str">
        <x:v>CU-SRC-0092</x:v>
      </x:c>
      <x:c r="B97" s="5" t="str">
        <x:v>CU-0037</x:v>
      </x:c>
      <x:c r="C97" s="5" t="str">
        <x:v>Новокуйбышевский учебный центр</x:v>
      </x:c>
      <x:c r="D97" s="5" t="str">
        <x:v>main_200</x:v>
      </x:c>
      <x:c r="E97" s="5" t="str">
        <x:v>university_site</x:v>
      </x:c>
      <x:c r="F97" s="5" t="str">
        <x:v>https://chpounuc.ru/</x:v>
      </x:c>
      <x:c r="G97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97" s="5" t="str">
        <x:v>search_index</x:v>
      </x:c>
      <x:c r="I97" s="5" t="str">
        <x:v>https://chpounuc.ru/</x:v>
      </x:c>
      <x:c r="J97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97" s="5" t="str">
        <x:v>Публичный информационный маршрут; работоспособность автоматического сборщика не проверялась.</x:v>
      </x:c>
      <x:c r="L97" s="5" t="str"/>
    </x:row>
    <x:row r="98" ht="31.5" customHeight="1">
      <x:c r="A98" s="5" t="str">
        <x:v>CU-SRC-0093</x:v>
      </x:c>
      <x:c r="B98" s="5" t="str">
        <x:v>CU-0037</x:v>
      </x:c>
      <x:c r="C98" s="5" t="str">
        <x:v>Новокуйбышевский учебный центр</x:v>
      </x:c>
      <x:c r="D98" s="5" t="str">
        <x:v>main_200</x:v>
      </x:c>
      <x:c r="E98" s="5" t="str">
        <x:v>partners</x:v>
      </x:c>
      <x:c r="F98" s="5" t="str">
        <x:v>https://ptport.ru/personnel-management/training-system/corp-educational-organizations/</x:v>
      </x:c>
      <x:c r="G98" s="5" t="str">
        <x:v>Состав корпоративной образовательной сети и официальные ссылки.</x:v>
      </x:c>
      <x:c r="H98" s="5" t="str">
        <x:v>content_read</x:v>
      </x:c>
      <x:c r="I98" s="5" t="str">
        <x:v>https://ptport.ru/personnel-management/training-system/corp-educational-organizations/</x:v>
      </x:c>
      <x:c r="J98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98" s="5" t="str">
        <x:v>Публичный маршрут; автоматический сбор не испытан.</x:v>
      </x:c>
      <x:c r="L98" s="5" t="str"/>
    </x:row>
    <x:row r="99" ht="31.5" customHeight="1">
      <x:c r="A99" s="5" t="str">
        <x:v>CU-SRC-0094</x:v>
      </x:c>
      <x:c r="B99" s="5" t="str">
        <x:v>CU-0038</x:v>
      </x:c>
      <x:c r="C99" s="5" t="str">
        <x:v>Региональный учебный центр АО «Транснефть — Север»</x:v>
      </x:c>
      <x:c r="D99" s="5" t="str">
        <x:v>main_200</x:v>
      </x:c>
      <x:c r="E99" s="5" t="str">
        <x:v>university_site</x:v>
      </x:c>
      <x:c r="F99" s="5" t="str">
        <x:v>https://north.transneft.ru/personnel-management/training-system/regionalnyy-uchebnyy-tsentr/</x:v>
      </x:c>
      <x:c r="G99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99" s="5" t="str">
        <x:v>search_index</x:v>
      </x:c>
      <x:c r="I99" s="5" t="str">
        <x:v>https://ptport.ru/personnel-management/training-system/corp-educational-organizations/</x:v>
      </x:c>
      <x:c r="J99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99" s="5" t="str">
        <x:v>Ссылка подтверждена официальным каталогом; целевой сайт возвращает сообщение о технических обновлениях.</x:v>
      </x:c>
      <x:c r="L99" s="5" t="str"/>
    </x:row>
    <x:row r="100" ht="31.5" customHeight="1">
      <x:c r="A100" s="5" t="str">
        <x:v>CU-SRC-0095</x:v>
      </x:c>
      <x:c r="B100" s="5" t="str">
        <x:v>CU-0039</x:v>
      </x:c>
      <x:c r="C100" s="5" t="str">
        <x:v>Учебный центр ЛАРН АО «Транснефть — Подводсервис»</x:v>
      </x:c>
      <x:c r="D100" s="5" t="str">
        <x:v>reserve</x:v>
      </x:c>
      <x:c r="E100" s="5" t="str">
        <x:v>university_site</x:v>
      </x:c>
      <x:c r="F100" s="5" t="str">
        <x:v>https://tps.transneft.ru/customers/center/</x:v>
      </x:c>
      <x:c r="G100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100" s="5" t="str">
        <x:v>search_index</x:v>
      </x:c>
      <x:c r="I100" s="5" t="str">
        <x:v>https://ptport.ru/personnel-management/training-system/corp-educational-organizations/</x:v>
      </x:c>
      <x:c r="J10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100" s="5" t="str">
        <x:v>Ссылка подтверждена официальным каталогом; прямое чтение вернуло 502.</x:v>
      </x:c>
      <x:c r="L100" s="5" t="str"/>
    </x:row>
    <x:row r="101" ht="31.5" customHeight="1">
      <x:c r="A101" s="5" t="str">
        <x:v>CU-SRC-0096</x:v>
      </x:c>
      <x:c r="B101" s="5" t="str">
        <x:v>CU-0040</x:v>
      </x:c>
      <x:c r="C101" s="5" t="str">
        <x:v>Учебный центр ПАО «Мосэнерго»</x:v>
      </x:c>
      <x:c r="D101" s="5" t="str">
        <x:v>main_200</x:v>
      </x:c>
      <x:c r="E101" s="5" t="str">
        <x:v>university_site</x:v>
      </x:c>
      <x:c r="F101" s="5" t="str">
        <x:v>https://www.mosenergo.ru/career/training-center/info/</x:v>
      </x:c>
      <x:c r="G101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101" s="5" t="str">
        <x:v>search_index</x:v>
      </x:c>
      <x:c r="I101" s="5" t="str">
        <x:v>https://www.mosenergo.ru/career/training-center/info/</x:v>
      </x:c>
      <x:c r="J101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101" s="5" t="str">
        <x:v>Публичный информационный маршрут; работоспособность автоматического сборщика не проверялась.</x:v>
      </x:c>
      <x:c r="L101" s="5" t="str"/>
    </x:row>
    <x:row r="102" ht="31.5" customHeight="1">
      <x:c r="A102" s="5" t="str">
        <x:v>CU-SRC-0097</x:v>
      </x:c>
      <x:c r="B102" s="5" t="str">
        <x:v>CU-0040</x:v>
      </x:c>
      <x:c r="C102" s="5" t="str">
        <x:v>Учебный центр ПАО «Мосэнерго»</x:v>
      </x:c>
      <x:c r="D102" s="5" t="str">
        <x:v>main_200</x:v>
      </x:c>
      <x:c r="E102" s="5" t="str">
        <x:v>programs</x:v>
      </x:c>
      <x:c r="F102" s="5" t="str">
        <x:v>https://www.mosenergo.ru/career/training-center/documents/</x:v>
      </x:c>
      <x:c r="G102" s="5" t="str">
        <x:v>Положение об электронном обучении, образовательные документы и новые форматы подготовки.</x:v>
      </x:c>
      <x:c r="H102" s="5" t="str">
        <x:v>search_index</x:v>
      </x:c>
      <x:c r="I102" s="5" t="str">
        <x:v>https://www.mosenergo.ru/career/training-center/documents/</x:v>
      </x:c>
      <x:c r="J102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102" s="5" t="str">
        <x:v>Публичный маршрут; автоматический сбор не испытан.</x:v>
      </x:c>
      <x:c r="L102" s="5" t="str"/>
    </x:row>
    <x:row r="103" ht="42.75" customHeight="1">
      <x:c r="A103" s="5" t="str">
        <x:v>CU-SRC-0098</x:v>
      </x:c>
      <x:c r="B103" s="5" t="str">
        <x:v>CU-0040</x:v>
      </x:c>
      <x:c r="C103" s="5" t="str">
        <x:v>Учебный центр ПАО «Мосэнерго»</x:v>
      </x:c>
      <x:c r="D103" s="5" t="str">
        <x:v>main_200</x:v>
      </x:c>
      <x:c r="E103" s="5" t="str">
        <x:v>procurement</x:v>
      </x:c>
      <x:c r="F103" s="5" t="str">
        <x:v>https://tenders.gazprom.ru/</x:v>
      </x:c>
      <x:c r="G103" s="5" t="str">
        <x:v>Обучение и образовательный контент по названию конкретного общества, старым названиям и всем тематическим синонимам; общегрупповой маршрут, наличие закупок именно этого УЦ не установлено.</x:v>
      </x:c>
      <x:c r="H103" s="5" t="str">
        <x:v>search_index</x:v>
      </x:c>
      <x:c r="I103" s="5" t="str">
        <x:v>https://tenders.gazprom.ru/</x:v>
      </x:c>
      <x:c r="J103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K103" s="5" t="str">
        <x:v>Официальный сайт предупреждает об ограниченном раскрытии закупочной информации. Регистрация может требоваться; нулевой результат не означает отсутствия потребности.</x:v>
      </x:c>
      <x:c r="L103" s="5" t="str">
        <x:v>MISB-045</x:v>
      </x:c>
    </x:row>
    <x:row r="104" ht="31.5" customHeight="1">
      <x:c r="A104" s="5" t="str">
        <x:v>CU-SRC-0099</x:v>
      </x:c>
      <x:c r="B104" s="5" t="str">
        <x:v>CU-0041</x:v>
      </x:c>
      <x:c r="C104" s="5" t="str">
        <x:v>Корпоративный университет «Норникель»</x:v>
      </x:c>
      <x:c r="D104" s="5" t="str">
        <x:v>main_200</x:v>
      </x:c>
      <x:c r="E104" s="5" t="str">
        <x:v>university_site</x:v>
      </x:c>
      <x:c r="F104" s="5" t="str">
        <x:v>https://university.nornik.ru/</x:v>
      </x:c>
      <x:c r="G104" s="5" t="str">
        <x:v>Новые программы, образовательные проекты, кадровые изменения, партнёры, материалы и ссылки на другие каналы</x:v>
      </x:c>
      <x:c r="H104" s="5" t="str">
        <x:v>search_index</x:v>
      </x:c>
      <x:c r="I104" s="5" t="str">
        <x:v>https://university.nornik.ru/</x:v>
      </x:c>
      <x:c r="J104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04" s="5" t="str">
        <x:v>Публичный адрес подтверждён поиском; технический доступ и полноту выгрузки проверить отдельно</x:v>
      </x:c>
      <x:c r="L104" s="5" t="str"/>
    </x:row>
    <x:row r="105" ht="31.5" customHeight="1">
      <x:c r="A105" s="5" t="str">
        <x:v>CU-SRC-0100</x:v>
      </x:c>
      <x:c r="B105" s="5" t="str">
        <x:v>CU-0041</x:v>
      </x:c>
      <x:c r="C105" s="5" t="str">
        <x:v>Корпоративный университет «Норникель»</x:v>
      </x:c>
      <x:c r="D105" s="5" t="str">
        <x:v>main_200</x:v>
      </x:c>
      <x:c r="E105" s="5" t="str">
        <x:v>programs</x:v>
      </x:c>
      <x:c r="F105" s="5" t="str">
        <x:v>https://university.nornik.ru/education/programs/</x:v>
      </x:c>
      <x:c r="G105" s="5" t="str">
        <x:v>Портфель программ и новые направления; ссылки на закупочную политику и локальные закупки</x:v>
      </x:c>
      <x:c r="H105" s="5" t="str">
        <x:v>search_index</x:v>
      </x:c>
      <x:c r="I105" s="5" t="str">
        <x:v>https://university.nornik.ru/education/programs/</x:v>
      </x:c>
      <x:c r="J105" s="5" t="str">
        <x:v>Периодически проверять HTML, новые ссылки, документы и изменения; сохранять сырые материалы перед ранжированием</x:v>
      </x:c>
      <x:c r="K105" s="5" t="str">
        <x:v>Публичная страница; сборщик и полнота получения не проверены</x:v>
      </x:c>
      <x:c r="L105" s="5" t="str"/>
    </x:row>
    <x:row r="106" ht="31.5" customHeight="1">
      <x:c r="A106" s="5" t="str">
        <x:v>CU-SRC-0101</x:v>
      </x:c>
      <x:c r="B106" s="5" t="str">
        <x:v>CU-0042</x:v>
      </x:c>
      <x:c r="C106" s="5" t="str">
        <x:v>Корпоративный университет РУСАЛа</x:v>
      </x:c>
      <x:c r="D106" s="5" t="str">
        <x:v>main_200</x:v>
      </x:c>
      <x:c r="E106" s="5" t="str">
        <x:v>university_site</x:v>
      </x:c>
      <x:c r="F106" s="5" t="str">
        <x:v>https://rusal.ru/career/working/</x:v>
      </x:c>
      <x:c r="G106" s="5" t="str">
        <x:v>Новые программы, образовательные проекты, кадровые изменения, партнёры, материалы и ссылки на другие каналы</x:v>
      </x:c>
      <x:c r="H106" s="5" t="str">
        <x:v>content_read</x:v>
      </x:c>
      <x:c r="I106" s="5" t="str">
        <x:v>https://rusal.ru/career/working/</x:v>
      </x:c>
      <x:c r="J106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06" s="5" t="str">
        <x:v>Содержимое публичной страницы прочитано; работоспособность сборщика, пагинация и полнота получения не проверены</x:v>
      </x:c>
      <x:c r="L106" s="5" t="str"/>
    </x:row>
    <x:row r="107" ht="31.5" customHeight="1">
      <x:c r="A107" s="5" t="str">
        <x:v>CU-SRC-0102</x:v>
      </x:c>
      <x:c r="B107" s="5" t="str">
        <x:v>CU-0042</x:v>
      </x:c>
      <x:c r="C107" s="5" t="str">
        <x:v>Корпоративный университет РУСАЛа</x:v>
      </x:c>
      <x:c r="D107" s="5" t="str">
        <x:v>main_200</x:v>
      </x:c>
      <x:c r="E107" s="5" t="str">
        <x:v>careers</x:v>
      </x:c>
      <x:c r="F107" s="5" t="str">
        <x:v>https://rusal.ru/career/contacts/</x:v>
      </x:c>
      <x:c r="G107" s="5" t="str">
        <x:v>Контакты кадровой функции и маршрут к ответственному за развитие</x:v>
      </x:c>
      <x:c r="H107" s="5" t="str">
        <x:v>search_index</x:v>
      </x:c>
      <x:c r="I107" s="5" t="str">
        <x:v>https://rusal.ru/career/contacts/</x:v>
      </x:c>
      <x:c r="J107" s="5" t="str">
        <x:v>Периодически проверять HTML, новые ссылки, документы и изменения; сохранять сырые материалы перед ранжированием</x:v>
      </x:c>
      <x:c r="K107" s="5" t="str">
        <x:v>Публичная страница; сборщик и полнота получения не проверены</x:v>
      </x:c>
      <x:c r="L107" s="5" t="str"/>
    </x:row>
    <x:row r="108" ht="31.5" customHeight="1">
      <x:c r="A108" s="5" t="str">
        <x:v>CU-SRC-0103</x:v>
      </x:c>
      <x:c r="B108" s="5" t="str">
        <x:v>CU-0043</x:v>
      </x:c>
      <x:c r="C108" s="5" t="str">
        <x:v>Университет НЛМК</x:v>
      </x:c>
      <x:c r="D108" s="5" t="str">
        <x:v>main_200</x:v>
      </x:c>
      <x:c r="E108" s="5" t="str">
        <x:v>university_site</x:v>
      </x:c>
      <x:c r="F108" s="5" t="str">
        <x:v>https://university.nlmk.com/university/</x:v>
      </x:c>
      <x:c r="G108" s="5" t="str">
        <x:v>Новые программы, образовательные проекты, кадровые изменения, партнёры, материалы и ссылки на другие каналы</x:v>
      </x:c>
      <x:c r="H108" s="5" t="str">
        <x:v>content_read</x:v>
      </x:c>
      <x:c r="I108" s="5" t="str">
        <x:v>https://university.nlmk.com/university/</x:v>
      </x:c>
      <x:c r="J108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08" s="5" t="str">
        <x:v>Содержимое публичной страницы прочитано; работоспособность сборщика, пагинация и полнота получения не проверены</x:v>
      </x:c>
      <x:c r="L108" s="5" t="str">
        <x:v>MISB-325</x:v>
      </x:c>
    </x:row>
    <x:row r="109" ht="31.5" customHeight="1">
      <x:c r="A109" s="5" t="str">
        <x:v>CU-SRC-0104</x:v>
      </x:c>
      <x:c r="B109" s="5" t="str">
        <x:v>CU-0043</x:v>
      </x:c>
      <x:c r="C109" s="5" t="str">
        <x:v>Университет НЛМК</x:v>
      </x:c>
      <x:c r="D109" s="5" t="str">
        <x:v>main_200</x:v>
      </x:c>
      <x:c r="E109" s="5" t="str">
        <x:v>news</x:v>
      </x:c>
      <x:c r="F109" s="5" t="str">
        <x:v>https://university.nlmk.com/news/</x:v>
      </x:c>
      <x:c r="G109" s="5" t="str">
        <x:v>Новые потоки, конференции, проекты и партнерства</x:v>
      </x:c>
      <x:c r="H109" s="5" t="str">
        <x:v>content_read</x:v>
      </x:c>
      <x:c r="I109" s="5" t="str">
        <x:v>https://university.nlmk.com/news/</x:v>
      </x:c>
      <x:c r="J109" s="5" t="str">
        <x:v>Периодически проверять HTML, новые ссылки, документы и изменения; сохранять сырые материалы перед ранжированием</x:v>
      </x:c>
      <x:c r="K109" s="5" t="str">
        <x:v>Содержимое публичной страницы прочитано; работоспособность сборщика, пагинация и полнота получения не проверены</x:v>
      </x:c>
      <x:c r="L109" s="5" t="str"/>
    </x:row>
    <x:row r="110" ht="31.5" customHeight="1">
      <x:c r="A110" s="5" t="str">
        <x:v>CU-SRC-0105</x:v>
      </x:c>
      <x:c r="B110" s="5" t="str">
        <x:v>CU-0043</x:v>
      </x:c>
      <x:c r="C110" s="5" t="str">
        <x:v>Университет НЛМК</x:v>
      </x:c>
      <x:c r="D110" s="5" t="str">
        <x:v>main_200</x:v>
      </x:c>
      <x:c r="E110" s="5" t="str">
        <x:v>contacts</x:v>
      </x:c>
      <x:c r="F110" s="5" t="str">
        <x:v>https://university.nlmk.com/contacts/</x:v>
      </x:c>
      <x:c r="G110" s="5" t="str">
        <x:v>Публичные контакты университета</x:v>
      </x:c>
      <x:c r="H110" s="5" t="str">
        <x:v>content_read</x:v>
      </x:c>
      <x:c r="I110" s="5" t="str">
        <x:v>https://university.nlmk.com/contacts/</x:v>
      </x:c>
      <x:c r="J110" s="5" t="str">
        <x:v>Периодически проверять HTML, новые ссылки, документы и изменения; сохранять сырые материалы перед ранжированием</x:v>
      </x:c>
      <x:c r="K110" s="5" t="str">
        <x:v>Содержимое публичной страницы прочитано; работоспособность сборщика, пагинация и полнота получения не проверены</x:v>
      </x:c>
      <x:c r="L110" s="5" t="str"/>
    </x:row>
    <x:row r="111" ht="31.5" customHeight="1">
      <x:c r="A111" s="5" t="str">
        <x:v>CU-SRC-0106</x:v>
      </x:c>
      <x:c r="B111" s="5" t="str">
        <x:v>CU-0044</x:v>
      </x:c>
      <x:c r="C111" s="5" t="str">
        <x:v>Корпоративный университет ОМК</x:v>
      </x:c>
      <x:c r="D111" s="5" t="str">
        <x:v>main_200</x:v>
      </x:c>
      <x:c r="E111" s="5" t="str">
        <x:v>university_site</x:v>
      </x:c>
      <x:c r="F111" s="5" t="str">
        <x:v>https://omk.ru/press/news/92090/</x:v>
      </x:c>
      <x:c r="G111" s="5" t="str">
        <x:v>Новые программы, образовательные проекты, кадровые изменения, партнёры, материалы и ссылки на другие каналы</x:v>
      </x:c>
      <x:c r="H111" s="5" t="str">
        <x:v>search_index</x:v>
      </x:c>
      <x:c r="I111" s="5" t="str">
        <x:v>https://omk.ru/press/news/92090/</x:v>
      </x:c>
      <x:c r="J111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11" s="5" t="str">
        <x:v>Публичный адрес подтверждён поиском; технический доступ и полноту выгрузки проверить отдельно</x:v>
      </x:c>
      <x:c r="L111" s="5" t="str"/>
    </x:row>
    <x:row r="112" ht="31.5" customHeight="1">
      <x:c r="A112" s="5" t="str">
        <x:v>CU-SRC-0107</x:v>
      </x:c>
      <x:c r="B112" s="5" t="str">
        <x:v>CU-0044</x:v>
      </x:c>
      <x:c r="C112" s="5" t="str">
        <x:v>Корпоративный университет ОМК</x:v>
      </x:c>
      <x:c r="D112" s="5" t="str">
        <x:v>main_200</x:v>
      </x:c>
      <x:c r="E112" s="5" t="str">
        <x:v>careers</x:v>
      </x:c>
      <x:c r="F112" s="5" t="str">
        <x:v>https://omk-job.ru/office/</x:v>
      </x:c>
      <x:c r="G112" s="5" t="str">
        <x:v>Описание корпоративного обучения, новые инициативы и кадровые точки входа</x:v>
      </x:c>
      <x:c r="H112" s="5" t="str">
        <x:v>search_index</x:v>
      </x:c>
      <x:c r="I112" s="5" t="str">
        <x:v>https://omk-job.ru/office/</x:v>
      </x:c>
      <x:c r="J112" s="5" t="str">
        <x:v>Периодически проверять HTML, новые ссылки, документы и изменения; сохранять сырые материалы перед ранжированием</x:v>
      </x:c>
      <x:c r="K112" s="5" t="str">
        <x:v>Публичная страница; сборщик и полнота получения не проверены</x:v>
      </x:c>
      <x:c r="L112" s="5" t="str"/>
    </x:row>
    <x:row r="113" ht="31.5" customHeight="1">
      <x:c r="A113" s="5" t="str">
        <x:v>CU-SRC-0108</x:v>
      </x:c>
      <x:c r="B113" s="5" t="str">
        <x:v>CU-0045</x:v>
      </x:c>
      <x:c r="C113" s="5" t="str">
        <x:v>Корпоративный университет Металлоинвеста</x:v>
      </x:c>
      <x:c r="D113" s="5" t="str">
        <x:v>main_200</x:v>
      </x:c>
      <x:c r="E113" s="5" t="str">
        <x:v>university_site</x:v>
      </x:c>
      <x:c r="F113" s="5" t="str">
        <x:v>https://vmeste.metalloinvest.com/novosti/yuliya-mazanova-vystupila-na-ezhegodnoi-konferenfii-foruma-donorov/</x:v>
      </x:c>
      <x:c r="G113" s="5" t="str">
        <x:v>Новые программы, образовательные проекты, кадровые изменения, партнёры, материалы и ссылки на другие каналы</x:v>
      </x:c>
      <x:c r="H113" s="5" t="str">
        <x:v>search_index</x:v>
      </x:c>
      <x:c r="I113" s="5" t="str">
        <x:v>https://vmeste.metalloinvest.com/novosti/yuliya-mazanova-vystupila-na-ezhegodnoi-konferenfii-foruma-donorov/</x:v>
      </x:c>
      <x:c r="J113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13" s="5" t="str">
        <x:v>Публичный адрес подтверждён поиском; технический доступ и полноту выгрузки проверить отдельно</x:v>
      </x:c>
      <x:c r="L113" s="5" t="str"/>
    </x:row>
    <x:row r="114" ht="31.5" customHeight="1">
      <x:c r="A114" s="5" t="str">
        <x:v>CU-SRC-0109</x:v>
      </x:c>
      <x:c r="B114" s="5" t="str">
        <x:v>CU-0045</x:v>
      </x:c>
      <x:c r="C114" s="5" t="str">
        <x:v>Корпоративный университет Металлоинвеста</x:v>
      </x:c>
      <x:c r="D114" s="5" t="str">
        <x:v>main_200</x:v>
      </x:c>
      <x:c r="E114" s="5" t="str">
        <x:v>news</x:v>
      </x:c>
      <x:c r="F114" s="5" t="str">
        <x:v>https://www.metalloinvest.com/media/press-releases/581244/</x:v>
      </x:c>
      <x:c r="G114" s="5" t="str">
        <x:v>Новости о корпоративном университете и развитии персонала</x:v>
      </x:c>
      <x:c r="H114" s="5" t="str">
        <x:v>search_index</x:v>
      </x:c>
      <x:c r="I114" s="5" t="str">
        <x:v>https://www.metalloinvest.com/media/press-releases/581244/</x:v>
      </x:c>
      <x:c r="J114" s="5" t="str">
        <x:v>Периодически проверять HTML, новые ссылки, документы и изменения; сохранять сырые материалы перед ранжированием</x:v>
      </x:c>
      <x:c r="K114" s="5" t="str">
        <x:v>Публичная страница; сборщик и полнота получения не проверены</x:v>
      </x:c>
      <x:c r="L114" s="5" t="str"/>
    </x:row>
    <x:row r="115" ht="31.5" customHeight="1">
      <x:c r="A115" s="5" t="str">
        <x:v>CU-SRC-0110</x:v>
      </x:c>
      <x:c r="B115" s="5" t="str">
        <x:v>CU-0046</x:v>
      </x:c>
      <x:c r="C115" s="5" t="str">
        <x:v>Технический университет УГМК</x:v>
      </x:c>
      <x:c r="D115" s="5" t="str">
        <x:v>main_200</x:v>
      </x:c>
      <x:c r="E115" s="5" t="str">
        <x:v>university_site</x:v>
      </x:c>
      <x:c r="F115" s="5" t="str">
        <x:v>https://tu-ugmk.com/about/</x:v>
      </x:c>
      <x:c r="G115" s="5" t="str">
        <x:v>Новые программы, образовательные проекты, кадровые изменения, партнёры, материалы и ссылки на другие каналы</x:v>
      </x:c>
      <x:c r="H115" s="5" t="str">
        <x:v>content_read</x:v>
      </x:c>
      <x:c r="I115" s="5" t="str">
        <x:v>https://tu-ugmk.com/about/</x:v>
      </x:c>
      <x:c r="J115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15" s="5" t="str">
        <x:v>Содержимое публичной страницы прочитано; работоспособность сборщика, пагинация и полнота получения не проверены</x:v>
      </x:c>
      <x:c r="L115" s="5" t="str"/>
    </x:row>
    <x:row r="116" ht="31.5" customHeight="1">
      <x:c r="A116" s="5" t="str">
        <x:v>CU-SRC-0111</x:v>
      </x:c>
      <x:c r="B116" s="5" t="str">
        <x:v>CU-0046</x:v>
      </x:c>
      <x:c r="C116" s="5" t="str">
        <x:v>Технический университет УГМК</x:v>
      </x:c>
      <x:c r="D116" s="5" t="str">
        <x:v>main_200</x:v>
      </x:c>
      <x:c r="E116" s="5" t="str">
        <x:v>programs</x:v>
      </x:c>
      <x:c r="F116" s="5" t="str">
        <x:v>https://tu-ugmk.com/electronic-course/</x:v>
      </x:c>
      <x:c r="G116" s="5" t="str">
        <x:v>Дистанционные программы, управленческий и финансовый блок</x:v>
      </x:c>
      <x:c r="H116" s="5" t="str">
        <x:v>search_index</x:v>
      </x:c>
      <x:c r="I116" s="5" t="str">
        <x:v>https://tu-ugmk.com/electronic-course/</x:v>
      </x:c>
      <x:c r="J116" s="5" t="str">
        <x:v>Периодически проверять HTML, новые ссылки, документы и изменения; сохранять сырые материалы перед ранжированием</x:v>
      </x:c>
      <x:c r="K116" s="5" t="str">
        <x:v>Публичная страница; сборщик и полнота получения не проверены</x:v>
      </x:c>
      <x:c r="L116" s="5" t="str"/>
    </x:row>
    <x:row r="117" ht="31.5" customHeight="1">
      <x:c r="A117" s="5" t="str">
        <x:v>CU-SRC-0112</x:v>
      </x:c>
      <x:c r="B117" s="5" t="str">
        <x:v>CU-0046</x:v>
      </x:c>
      <x:c r="C117" s="5" t="str">
        <x:v>Технический университет УГМК</x:v>
      </x:c>
      <x:c r="D117" s="5" t="str">
        <x:v>main_200</x:v>
      </x:c>
      <x:c r="E117" s="5" t="str">
        <x:v>contacts</x:v>
      </x:c>
      <x:c r="F117" s="5" t="str">
        <x:v>https://tu-ugmk.com/contacts/</x:v>
      </x:c>
      <x:c r="G117" s="5" t="str">
        <x:v>Контакты департамента маркетинга и продаж для партнёрского маршрута</x:v>
      </x:c>
      <x:c r="H117" s="5" t="str">
        <x:v>search_index</x:v>
      </x:c>
      <x:c r="I117" s="5" t="str">
        <x:v>https://tu-ugmk.com/contacts/</x:v>
      </x:c>
      <x:c r="J117" s="5" t="str">
        <x:v>Периодически проверять HTML, новые ссылки, документы и изменения; сохранять сырые материалы перед ранжированием</x:v>
      </x:c>
      <x:c r="K117" s="5" t="str">
        <x:v>Публичная страница; сборщик и полнота получения не проверены</x:v>
      </x:c>
      <x:c r="L117" s="5" t="str"/>
    </x:row>
    <x:row r="118" ht="31.5" customHeight="1">
      <x:c r="A118" s="5" t="str">
        <x:v>CU-SRC-0113</x:v>
      </x:c>
      <x:c r="B118" s="5" t="str">
        <x:v>CU-0047</x:v>
      </x:c>
      <x:c r="C118" s="5" t="str">
        <x:v>Корпоративный университет ТМК2U</x:v>
      </x:c>
      <x:c r="D118" s="5" t="str">
        <x:v>main_200</x:v>
      </x:c>
      <x:c r="E118" s="5" t="str">
        <x:v>university_site</x:v>
      </x:c>
      <x:c r="F118" s="5" t="str">
        <x:v>https://tmk2u.com/Event-calendar/</x:v>
      </x:c>
      <x:c r="G118" s="5" t="str">
        <x:v>Новые программы, образовательные проекты, кадровые изменения, партнёры, материалы и ссылки на другие каналы</x:v>
      </x:c>
      <x:c r="H118" s="5" t="str">
        <x:v>content_read</x:v>
      </x:c>
      <x:c r="I118" s="5" t="str">
        <x:v>https://tmk2u.com/Event-calendar/</x:v>
      </x:c>
      <x:c r="J118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18" s="5" t="str">
        <x:v>Содержимое публичной страницы прочитано; работоспособность сборщика, пагинация и полнота получения не проверены</x:v>
      </x:c>
      <x:c r="L118" s="5" t="str"/>
    </x:row>
    <x:row r="119" ht="31.5" customHeight="1">
      <x:c r="A119" s="5" t="str">
        <x:v>CU-SRC-0114</x:v>
      </x:c>
      <x:c r="B119" s="5" t="str">
        <x:v>CU-0047</x:v>
      </x:c>
      <x:c r="C119" s="5" t="str">
        <x:v>Корпоративный университет ТМК2U</x:v>
      </x:c>
      <x:c r="D119" s="5" t="str">
        <x:v>main_200</x:v>
      </x:c>
      <x:c r="E119" s="5" t="str">
        <x:v>partners</x:v>
      </x:c>
      <x:c r="F119" s="5" t="str">
        <x:v>https://tmk2u.com/%D1%8D%D0%BA%D1%81%D0%BF%D0%B5%D1%80%D1%82%D1%8B</x:v>
      </x:c>
      <x:c r="G119" s="5" t="str">
        <x:v>Экспертная сеть университета; выяснить правила включения внешних экспертов</x:v>
      </x:c>
      <x:c r="H119" s="5" t="str">
        <x:v>content_read</x:v>
      </x:c>
      <x:c r="I119" s="5" t="str">
        <x:v>https://tmk2u.com/%D1%8D%D0%BA%D1%81%D0%BF%D0%B5%D1%80%D1%82%D1%8B</x:v>
      </x:c>
      <x:c r="J119" s="5" t="str">
        <x:v>Периодически проверять HTML, новые ссылки, документы и изменения; сохранять сырые материалы перед ранжированием</x:v>
      </x:c>
      <x:c r="K119" s="5" t="str">
        <x:v>Содержимое публичной страницы прочитано; работоспособность сборщика, пагинация и полнота получения не проверены</x:v>
      </x:c>
      <x:c r="L119" s="5" t="str"/>
    </x:row>
    <x:row r="120" ht="31.5" customHeight="1">
      <x:c r="A120" s="5" t="str">
        <x:v>CU-SRC-0115</x:v>
      </x:c>
      <x:c r="B120" s="5" t="str">
        <x:v>CU-0048</x:v>
      </x:c>
      <x:c r="C120" s="5" t="str">
        <x:v>Корпоративный центр подготовки кадров «Персонал»</x:v>
      </x:c>
      <x:c r="D120" s="5" t="str">
        <x:v>main_200</x:v>
      </x:c>
      <x:c r="E120" s="5" t="str">
        <x:v>university_site</x:v>
      </x:c>
      <x:c r="F120" s="5" t="str">
        <x:v>https://kcpk.ru/about/</x:v>
      </x:c>
      <x:c r="G120" s="5" t="str">
        <x:v>Новые программы, образовательные проекты, кадровые изменения, партнёры, материалы и ссылки на другие каналы</x:v>
      </x:c>
      <x:c r="H120" s="5" t="str">
        <x:v>content_read</x:v>
      </x:c>
      <x:c r="I120" s="5" t="str">
        <x:v>https://kcpk.ru/about/</x:v>
      </x:c>
      <x:c r="J120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20" s="5" t="str">
        <x:v>Содержимое публичной страницы прочитано; работоспособность сборщика, пагинация и полнота получения не проверены</x:v>
      </x:c>
      <x:c r="L120" s="5" t="str"/>
    </x:row>
    <x:row r="121" ht="31.5" customHeight="1">
      <x:c r="A121" s="5" t="str">
        <x:v>CU-SRC-0116</x:v>
      </x:c>
      <x:c r="B121" s="5" t="str">
        <x:v>CU-0048</x:v>
      </x:c>
      <x:c r="C121" s="5" t="str">
        <x:v>Корпоративный центр подготовки кадров «Персонал»</x:v>
      </x:c>
      <x:c r="D121" s="5" t="str">
        <x:v>main_200</x:v>
      </x:c>
      <x:c r="E121" s="5" t="str">
        <x:v>partners</x:v>
      </x:c>
      <x:c r="F121" s="5" t="str">
        <x:v>https://kcpk.ru/clients/</x:v>
      </x:c>
      <x:c r="G121" s="5" t="str">
        <x:v>Клиентская и партнерская сеть; новые компании как маршруты расширения</x:v>
      </x:c>
      <x:c r="H121" s="5" t="str">
        <x:v>search_index</x:v>
      </x:c>
      <x:c r="I121" s="5" t="str">
        <x:v>https://kcpk.ru/clients/</x:v>
      </x:c>
      <x:c r="J121" s="5" t="str">
        <x:v>Периодически проверять HTML, новые ссылки, документы и изменения; сохранять сырые материалы перед ранжированием</x:v>
      </x:c>
      <x:c r="K121" s="5" t="str">
        <x:v>Публичная страница; сборщик и полнота получения не проверены</x:v>
      </x:c>
      <x:c r="L121" s="5" t="str"/>
    </x:row>
    <x:row r="122" ht="31.5" customHeight="1">
      <x:c r="A122" s="5" t="str">
        <x:v>CU-SRC-0117</x:v>
      </x:c>
      <x:c r="B122" s="5" t="str">
        <x:v>CU-0049</x:v>
      </x:c>
      <x:c r="C122" s="5" t="str">
        <x:v>Корпоративный университет Полюса</x:v>
      </x:c>
      <x:c r="D122" s="5" t="str">
        <x:v>main_200</x:v>
      </x:c>
      <x:c r="E122" s="5" t="str">
        <x:v>university_site</x:v>
      </x:c>
      <x:c r="F122" s="5" t="str">
        <x:v>https://career.polyus.com/about/</x:v>
      </x:c>
      <x:c r="G122" s="5" t="str">
        <x:v>Новые программы, образовательные проекты, кадровые изменения, партнёры, материалы и ссылки на другие каналы</x:v>
      </x:c>
      <x:c r="H122" s="5" t="str">
        <x:v>content_read</x:v>
      </x:c>
      <x:c r="I122" s="5" t="str">
        <x:v>https://career.polyus.com/about/</x:v>
      </x:c>
      <x:c r="J122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22" s="5" t="str">
        <x:v>Содержимое публичной страницы прочитано; работоспособность сборщика, пагинация и полнота получения не проверены</x:v>
      </x:c>
      <x:c r="L122" s="5" t="str"/>
    </x:row>
    <x:row r="123" ht="31.5" customHeight="1">
      <x:c r="A123" s="5" t="str">
        <x:v>CU-SRC-0118</x:v>
      </x:c>
      <x:c r="B123" s="5" t="str">
        <x:v>CU-0049</x:v>
      </x:c>
      <x:c r="C123" s="5" t="str">
        <x:v>Корпоративный университет Полюса</x:v>
      </x:c>
      <x:c r="D123" s="5" t="str">
        <x:v>main_200</x:v>
      </x:c>
      <x:c r="E123" s="5" t="str">
        <x:v>careers</x:v>
      </x:c>
      <x:c r="F123" s="5" t="str">
        <x:v>https://career.polyus.com/professionals/</x:v>
      </x:c>
      <x:c r="G123" s="5" t="str">
        <x:v>Развитие персонала и кадровые проекты компании</x:v>
      </x:c>
      <x:c r="H123" s="5" t="str">
        <x:v>search_index</x:v>
      </x:c>
      <x:c r="I123" s="5" t="str">
        <x:v>https://career.polyus.com/professionals/</x:v>
      </x:c>
      <x:c r="J123" s="5" t="str">
        <x:v>Периодически проверять HTML, новые ссылки, документы и изменения; сохранять сырые материалы перед ранжированием</x:v>
      </x:c>
      <x:c r="K123" s="5" t="str">
        <x:v>Публичная страница; сборщик и полнота получения не проверены</x:v>
      </x:c>
      <x:c r="L123" s="5" t="str"/>
    </x:row>
    <x:row r="124" ht="31.5" customHeight="1">
      <x:c r="A124" s="5" t="str">
        <x:v>CU-SRC-0119</x:v>
      </x:c>
      <x:c r="B124" s="5" t="str">
        <x:v>CU-0050</x:v>
      </x:c>
      <x:c r="C124" s="5" t="str">
        <x:v>Корпоративный университет АЛРОСА</x:v>
      </x:c>
      <x:c r="D124" s="5" t="str">
        <x:v>main_200</x:v>
      </x:c>
      <x:c r="E124" s="5" t="str">
        <x:v>university_site</x:v>
      </x:c>
      <x:c r="F124" s="5" t="str">
        <x:v>https://cpk-alrosa.ru/news?cid=6454ed4068e20b0b4c72ce1f</x:v>
      </x:c>
      <x:c r="G124" s="5" t="str">
        <x:v>Новые программы, образовательные проекты, кадровые изменения, партнёры, материалы и ссылки на другие каналы</x:v>
      </x:c>
      <x:c r="H124" s="5" t="str">
        <x:v>search_index</x:v>
      </x:c>
      <x:c r="I124" s="5" t="str">
        <x:v>https://cpk-alrosa.ru/news?cid=6454ed4068e20b0b4c72ce1f</x:v>
      </x:c>
      <x:c r="J124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24" s="5" t="str">
        <x:v>Публичный адрес подтверждён поиском; технический доступ и полноту выгрузки проверить отдельно</x:v>
      </x:c>
      <x:c r="L124" s="5" t="str"/>
    </x:row>
    <x:row r="125" ht="31.5" customHeight="1">
      <x:c r="A125" s="5" t="str">
        <x:v>CU-SRC-0120</x:v>
      </x:c>
      <x:c r="B125" s="5" t="str">
        <x:v>CU-0050</x:v>
      </x:c>
      <x:c r="C125" s="5" t="str">
        <x:v>Корпоративный университет АЛРОСА</x:v>
      </x:c>
      <x:c r="D125" s="5" t="str">
        <x:v>main_200</x:v>
      </x:c>
      <x:c r="E125" s="5" t="str">
        <x:v>careers</x:v>
      </x:c>
      <x:c r="F125" s="5" t="str">
        <x:v>https://www.alrosa.ru/hr/kogo-my-ishchem/studentam-i-vypusknikam/</x:v>
      </x:c>
      <x:c r="G125" s="5" t="str">
        <x:v>Партнерства КУ и новые образовательные проекты</x:v>
      </x:c>
      <x:c r="H125" s="5" t="str">
        <x:v>search_index</x:v>
      </x:c>
      <x:c r="I125" s="5" t="str">
        <x:v>https://www.alrosa.ru/hr/kogo-my-ishchem/studentam-i-vypusknikam/</x:v>
      </x:c>
      <x:c r="J125" s="5" t="str">
        <x:v>Периодически проверять HTML, новые ссылки, документы и изменения; сохранять сырые материалы перед ранжированием</x:v>
      </x:c>
      <x:c r="K125" s="5" t="str">
        <x:v>Публичная страница; сборщик и полнота получения не проверены</x:v>
      </x:c>
      <x:c r="L125" s="5" t="str"/>
    </x:row>
    <x:row r="126" ht="31.5" customHeight="1">
      <x:c r="A126" s="5" t="str">
        <x:v>CU-SRC-0121</x:v>
      </x:c>
      <x:c r="B126" s="5" t="str">
        <x:v>CU-0050</x:v>
      </x:c>
      <x:c r="C126" s="5" t="str">
        <x:v>Корпоративный университет АЛРОСА</x:v>
      </x:c>
      <x:c r="D126" s="5" t="str">
        <x:v>main_200</x:v>
      </x:c>
      <x:c r="E126" s="5" t="str">
        <x:v>news</x:v>
      </x:c>
      <x:c r="F126" s="5" t="str">
        <x:v>https://ynalrosa.ru/career/culture/</x:v>
      </x:c>
      <x:c r="G126" s="5" t="str">
        <x:v>Портфель развития АЛРОСА: кадровый резерв и лидерские программы</x:v>
      </x:c>
      <x:c r="H126" s="5" t="str">
        <x:v>search_index</x:v>
      </x:c>
      <x:c r="I126" s="5" t="str">
        <x:v>https://ynalrosa.ru/career/culture/</x:v>
      </x:c>
      <x:c r="J126" s="5" t="str">
        <x:v>Периодически проверять HTML, новые ссылки, документы и изменения; сохранять сырые материалы перед ранжированием</x:v>
      </x:c>
      <x:c r="K126" s="5" t="str">
        <x:v>Публичная страница; сборщик и полнота получения не проверены</x:v>
      </x:c>
      <x:c r="L126" s="5" t="str"/>
    </x:row>
    <x:row r="127" ht="31.5" customHeight="1">
      <x:c r="A127" s="5" t="str">
        <x:v>CU-SRC-0122</x:v>
      </x:c>
      <x:c r="B127" s="5" t="str">
        <x:v>CU-0051</x:v>
      </x:c>
      <x:c r="C127" s="5" t="str">
        <x:v>Учебный центр Челябинского металлургического комбината</x:v>
      </x:c>
      <x:c r="D127" s="5" t="str">
        <x:v>reserve</x:v>
      </x:c>
      <x:c r="E127" s="5" t="str">
        <x:v>university_site</x:v>
      </x:c>
      <x:c r="F127" s="5" t="str">
        <x:v>https://mechel.ru/sector/steel/chelyabinskiy-metallurgicheskiy-kombinat/professionalnaya_podgotovka/</x:v>
      </x:c>
      <x:c r="G127" s="5" t="str">
        <x:v>Новые программы, образовательные проекты, кадровые изменения, партнёры, материалы и ссылки на другие каналы</x:v>
      </x:c>
      <x:c r="H127" s="5" t="str">
        <x:v>search_index</x:v>
      </x:c>
      <x:c r="I127" s="5" t="str">
        <x:v>https://mechel.ru/sector/steel/chelyabinskiy-metallurgicheskiy-kombinat/professionalnaya_podgotovka/</x:v>
      </x:c>
      <x:c r="J127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27" s="5" t="str">
        <x:v>Публичный адрес подтверждён поиском; технический доступ и полноту выгрузки проверить отдельно</x:v>
      </x:c>
      <x:c r="L127" s="5" t="str"/>
    </x:row>
    <x:row r="128" ht="31.5" customHeight="1">
      <x:c r="A128" s="5" t="str">
        <x:v>CU-SRC-0123</x:v>
      </x:c>
      <x:c r="B128" s="5" t="str">
        <x:v>CU-0052</x:v>
      </x:c>
      <x:c r="C128" s="5" t="str">
        <x:v>Учебный центр Ижстали</x:v>
      </x:c>
      <x:c r="D128" s="5" t="str">
        <x:v>reserve</x:v>
      </x:c>
      <x:c r="E128" s="5" t="str">
        <x:v>university_site</x:v>
      </x:c>
      <x:c r="F128" s="5" t="str">
        <x:v>https://mechel.ru/sector/steel/izhstal/professionalnaya_podgotovka/</x:v>
      </x:c>
      <x:c r="G128" s="5" t="str">
        <x:v>Новые программы, образовательные проекты, кадровые изменения, партнёры, материалы и ссылки на другие каналы</x:v>
      </x:c>
      <x:c r="H128" s="5" t="str">
        <x:v>search_index</x:v>
      </x:c>
      <x:c r="I128" s="5" t="str">
        <x:v>https://mechel.ru/sector/steel/izhstal/professionalnaya_podgotovka/</x:v>
      </x:c>
      <x:c r="J128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28" s="5" t="str">
        <x:v>Публичный адрес подтверждён поиском; технический доступ и полноту выгрузки проверить отдельно</x:v>
      </x:c>
      <x:c r="L128" s="5" t="str"/>
    </x:row>
    <x:row r="129" ht="31.5" customHeight="1">
      <x:c r="A129" s="5" t="str">
        <x:v>CU-SRC-0124</x:v>
      </x:c>
      <x:c r="B129" s="5" t="str">
        <x:v>CU-0053</x:v>
      </x:c>
      <x:c r="C129" s="5" t="str">
        <x:v>Учебный центр Корпорации ВСМПО-АВИСМА</x:v>
      </x:c>
      <x:c r="D129" s="5" t="str">
        <x:v>main_200</x:v>
      </x:c>
      <x:c r="E129" s="5" t="str">
        <x:v>university_site</x:v>
      </x:c>
      <x:c r="F129" s="5" t="str">
        <x:v>https://vsmpo.ru/career/professionalnoe-i-karernoe-razvitie/uchebnyy-tsentr/</x:v>
      </x:c>
      <x:c r="G129" s="5" t="str">
        <x:v>Новые программы, образовательные проекты, кадровые изменения, партнёры, материалы и ссылки на другие каналы</x:v>
      </x:c>
      <x:c r="H129" s="5" t="str">
        <x:v>search_index</x:v>
      </x:c>
      <x:c r="I129" s="5" t="str">
        <x:v>https://vsmpo.ru/career/professionalnoe-i-karernoe-razvitie/uchebnyy-tsentr/</x:v>
      </x:c>
      <x:c r="J129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29" s="5" t="str">
        <x:v>Публичный адрес подтверждён поиском; технический доступ и полноту выгрузки проверить отдельно</x:v>
      </x:c>
      <x:c r="L129" s="5" t="str"/>
    </x:row>
    <x:row r="130" ht="31.5" customHeight="1">
      <x:c r="A130" s="5" t="str">
        <x:v>CU-SRC-0125</x:v>
      </x:c>
      <x:c r="B130" s="5" t="str">
        <x:v>CU-0054</x:v>
      </x:c>
      <x:c r="C130" s="5" t="str">
        <x:v>Корпоративный университет СИБУРа</x:v>
      </x:c>
      <x:c r="D130" s="5" t="str">
        <x:v>main_200</x:v>
      </x:c>
      <x:c r="E130" s="5" t="str">
        <x:v>university_site</x:v>
      </x:c>
      <x:c r="F130" s="5" t="str">
        <x:v>https://www.sibur.ru/ru/corporate-university/</x:v>
      </x:c>
      <x:c r="G130" s="5" t="str">
        <x:v>Новые программы, образовательные проекты, кадровые изменения, партнёры, материалы и ссылки на другие каналы</x:v>
      </x:c>
      <x:c r="H130" s="5" t="str">
        <x:v>content_read</x:v>
      </x:c>
      <x:c r="I130" s="5" t="str">
        <x:v>https://www.sibur.ru/ru/corporate-university/</x:v>
      </x:c>
      <x:c r="J130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30" s="5" t="str">
        <x:v>Содержимое публичной страницы прочитано; работоспособность сборщика, пагинация и полнота получения не проверены</x:v>
      </x:c>
      <x:c r="L130" s="5" t="str">
        <x:v>MISB-118</x:v>
      </x:c>
    </x:row>
    <x:row r="131" ht="31.5" customHeight="1">
      <x:c r="A131" s="5" t="str">
        <x:v>CU-SRC-0126</x:v>
      </x:c>
      <x:c r="B131" s="5" t="str">
        <x:v>CU-0054</x:v>
      </x:c>
      <x:c r="C131" s="5" t="str">
        <x:v>Корпоративный университет СИБУРа</x:v>
      </x:c>
      <x:c r="D131" s="5" t="str">
        <x:v>main_200</x:v>
      </x:c>
      <x:c r="E131" s="5" t="str">
        <x:v>procurement</x:v>
      </x:c>
      <x:c r="F131" s="5" t="str">
        <x:v>https://www.sibur.ru/ru/procurement/buy/</x:v>
      </x:c>
      <x:c r="G131" s="5" t="str">
        <x:v>Актуальные процедуры: обучение, разработка курсов, мероприятия; сохранять документы</x:v>
      </x:c>
      <x:c r="H131" s="5" t="str">
        <x:v>content_read</x:v>
      </x:c>
      <x:c r="I131" s="5" t="str">
        <x:v>https://www.sibur.ru/ru/procurement/buy/</x:v>
      </x:c>
      <x:c r="J131" s="5" t="str">
        <x:v>Периодически проверять HTML, новые ссылки, документы и изменения; сохранять сырые материалы перед ранжированием</x:v>
      </x:c>
      <x:c r="K131" s="5" t="str">
        <x:v>Содержимое публичной страницы прочитано; работоспособность сборщика, пагинация и полнота получения не проверены</x:v>
      </x:c>
      <x:c r="L131" s="5" t="str"/>
    </x:row>
    <x:row r="132" ht="31.5" customHeight="1">
      <x:c r="A132" s="5" t="str">
        <x:v>CU-SRC-0127</x:v>
      </x:c>
      <x:c r="B132" s="5" t="str">
        <x:v>CU-0054</x:v>
      </x:c>
      <x:c r="C132" s="5" t="str">
        <x:v>Корпоративный университет СИБУРа</x:v>
      </x:c>
      <x:c r="D132" s="5" t="str">
        <x:v>main_200</x:v>
      </x:c>
      <x:c r="E132" s="5" t="str">
        <x:v>partners</x:v>
      </x:c>
      <x:c r="F132" s="5" t="str">
        <x:v>https://www.sibur.ru/ru/procurement/start/</x:v>
      </x:c>
      <x:c r="G132" s="5" t="str">
        <x:v>Порядок входа поставщика и требования к партнёрам</x:v>
      </x:c>
      <x:c r="H132" s="5" t="str">
        <x:v>content_read</x:v>
      </x:c>
      <x:c r="I132" s="5" t="str">
        <x:v>https://www.sibur.ru/ru/procurement/start/</x:v>
      </x:c>
      <x:c r="J132" s="5" t="str">
        <x:v>Периодически проверять HTML, новые ссылки, документы и изменения; сохранять сырые материалы перед ранжированием</x:v>
      </x:c>
      <x:c r="K132" s="5" t="str">
        <x:v>Содержимое публичной страницы прочитано; работоспособность сборщика, пагинация и полнота получения не проверены</x:v>
      </x:c>
      <x:c r="L132" s="5" t="str"/>
    </x:row>
    <x:row r="133" ht="31.5" customHeight="1">
      <x:c r="A133" s="5" t="str">
        <x:v>CU-SRC-0128</x:v>
      </x:c>
      <x:c r="B133" s="5" t="str">
        <x:v>CU-0055</x:v>
      </x:c>
      <x:c r="C133" s="5" t="str">
        <x:v>Корпоративный университет Уралкалия</x:v>
      </x:c>
      <x:c r="D133" s="5" t="str">
        <x:v>main_200</x:v>
      </x:c>
      <x:c r="E133" s="5" t="str">
        <x:v>university_site</x:v>
      </x:c>
      <x:c r="F133" s="5" t="str">
        <x:v>https://www.uralkali.com/ru/career/staff/</x:v>
      </x:c>
      <x:c r="G133" s="5" t="str">
        <x:v>Новые программы, образовательные проекты, кадровые изменения, партнёры, материалы и ссылки на другие каналы</x:v>
      </x:c>
      <x:c r="H133" s="5" t="str">
        <x:v>search_index</x:v>
      </x:c>
      <x:c r="I133" s="5" t="str">
        <x:v>https://www.uralkali.com/ru/career/staff/</x:v>
      </x:c>
      <x:c r="J133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33" s="5" t="str">
        <x:v>Публичный адрес подтверждён поиском; технический доступ и полноту выгрузки проверить отдельно</x:v>
      </x:c>
      <x:c r="L133" s="5" t="str"/>
    </x:row>
    <x:row r="134" ht="31.5" customHeight="1">
      <x:c r="A134" s="5" t="str">
        <x:v>CU-SRC-0129</x:v>
      </x:c>
      <x:c r="B134" s="5" t="str">
        <x:v>CU-0056</x:v>
      </x:c>
      <x:c r="C134" s="5" t="str">
        <x:v>Корпоративный университет Уралхима</x:v>
      </x:c>
      <x:c r="D134" s="5" t="str">
        <x:v>main_200</x:v>
      </x:c>
      <x:c r="E134" s="5" t="str">
        <x:v>university_site</x:v>
      </x:c>
      <x:c r="F134" s="5" t="str">
        <x:v>https://csc.uralchem.ru/</x:v>
      </x:c>
      <x:c r="G134" s="5" t="str">
        <x:v>Новые программы, образовательные проекты, кадровые изменения, партнёры, материалы и ссылки на другие каналы</x:v>
      </x:c>
      <x:c r="H134" s="5" t="str">
        <x:v>search_index</x:v>
      </x:c>
      <x:c r="I134" s="5" t="str">
        <x:v>https://csc.uralchem.ru/</x:v>
      </x:c>
      <x:c r="J134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34" s="5" t="str">
        <x:v>Публичный адрес подтверждён поиском; технический доступ и полноту выгрузки проверить отдельно</x:v>
      </x:c>
      <x:c r="L134" s="5" t="str"/>
    </x:row>
    <x:row r="135" ht="31.5" customHeight="1">
      <x:c r="A135" s="5" t="str">
        <x:v>CU-SRC-0130</x:v>
      </x:c>
      <x:c r="B135" s="5" t="str">
        <x:v>CU-0056</x:v>
      </x:c>
      <x:c r="C135" s="5" t="str">
        <x:v>Корпоративный университет Уралхима</x:v>
      </x:c>
      <x:c r="D135" s="5" t="str">
        <x:v>main_200</x:v>
      </x:c>
      <x:c r="E135" s="5" t="str">
        <x:v>news</x:v>
      </x:c>
      <x:c r="F135" s="5" t="str">
        <x:v>https://uralchemgroup.ru/news/222/</x:v>
      </x:c>
      <x:c r="G135" s="5" t="str">
        <x:v>Открытые мероприятия корпоративного университета и контакты образовательного направления</x:v>
      </x:c>
      <x:c r="H135" s="5" t="str">
        <x:v>search_index</x:v>
      </x:c>
      <x:c r="I135" s="5" t="str">
        <x:v>https://uralchemgroup.ru/news/222/</x:v>
      </x:c>
      <x:c r="J135" s="5" t="str">
        <x:v>Периодически проверять HTML, новые ссылки, документы и изменения; сохранять сырые материалы перед ранжированием</x:v>
      </x:c>
      <x:c r="K135" s="5" t="str">
        <x:v>Публичная страница; сборщик и полнота получения не проверены</x:v>
      </x:c>
      <x:c r="L135" s="5" t="str"/>
    </x:row>
    <x:row r="136" ht="31.5" customHeight="1">
      <x:c r="A136" s="5" t="str">
        <x:v>CU-SRC-0131</x:v>
      </x:c>
      <x:c r="B136" s="5" t="str">
        <x:v>CU-0057</x:v>
      </x:c>
      <x:c r="C136" s="5" t="str">
        <x:v>Учебный центр ФосАгро</x:v>
      </x:c>
      <x:c r="D136" s="5" t="str">
        <x:v>main_200</x:v>
      </x:c>
      <x:c r="E136" s="5" t="str">
        <x:v>university_site</x:v>
      </x:c>
      <x:c r="F136" s="5" t="str">
        <x:v>https://www.phosagro.ru/sustainability/quality-education/</x:v>
      </x:c>
      <x:c r="G136" s="5" t="str">
        <x:v>Новые программы, образовательные проекты, кадровые изменения, партнёры, материалы и ссылки на другие каналы</x:v>
      </x:c>
      <x:c r="H136" s="5" t="str">
        <x:v>search_index</x:v>
      </x:c>
      <x:c r="I136" s="5" t="str">
        <x:v>https://www.phosagro.ru/sustainability/quality-education/</x:v>
      </x:c>
      <x:c r="J136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36" s="5" t="str">
        <x:v>Публичный адрес подтверждён поиском; технический доступ и полноту выгрузки проверить отдельно</x:v>
      </x:c>
      <x:c r="L136" s="5" t="str"/>
    </x:row>
    <x:row r="137" ht="31.5" customHeight="1">
      <x:c r="A137" s="5" t="str">
        <x:v>CU-SRC-0132</x:v>
      </x:c>
      <x:c r="B137" s="5" t="str">
        <x:v>CU-0057</x:v>
      </x:c>
      <x:c r="C137" s="5" t="str">
        <x:v>Учебный центр ФосАгро</x:v>
      </x:c>
      <x:c r="D137" s="5" t="str">
        <x:v>main_200</x:v>
      </x:c>
      <x:c r="E137" s="5" t="str">
        <x:v>programs</x:v>
      </x:c>
      <x:c r="F137" s="5" t="str">
        <x:v>https://lectoriy.phosagro.ru/lectures/</x:v>
      </x:c>
      <x:c r="G137" s="5" t="str">
        <x:v>Темы лектория, приглашённые эксперты, новые программы для специалистов</x:v>
      </x:c>
      <x:c r="H137" s="5" t="str">
        <x:v>search_index</x:v>
      </x:c>
      <x:c r="I137" s="5" t="str">
        <x:v>https://lectoriy.phosagro.ru/lectures/</x:v>
      </x:c>
      <x:c r="J137" s="5" t="str">
        <x:v>Периодически проверять HTML, новые ссылки, документы и изменения; сохранять сырые материалы перед ранжированием</x:v>
      </x:c>
      <x:c r="K137" s="5" t="str">
        <x:v>Публичная страница; сборщик и полнота получения не проверены</x:v>
      </x:c>
      <x:c r="L137" s="5" t="str"/>
    </x:row>
    <x:row r="138" ht="31.5" customHeight="1">
      <x:c r="A138" s="5" t="str">
        <x:v>CU-SRC-0133</x:v>
      </x:c>
      <x:c r="B138" s="5" t="str">
        <x:v>CU-0058</x:v>
      </x:c>
      <x:c r="C138" s="5" t="str">
        <x:v>Учебный центр ПАО «Акрон»</x:v>
      </x:c>
      <x:c r="D138" s="5" t="str">
        <x:v>main_200</x:v>
      </x:c>
      <x:c r="E138" s="5" t="str">
        <x:v>university_site</x:v>
      </x:c>
      <x:c r="F138" s="5" t="str">
        <x:v>https://www.acron.ru/sustainability/learning_centers/</x:v>
      </x:c>
      <x:c r="G138" s="5" t="str">
        <x:v>Новые программы, образовательные проекты, кадровые изменения, партнёры, материалы и ссылки на другие каналы</x:v>
      </x:c>
      <x:c r="H138" s="5" t="str">
        <x:v>content_read</x:v>
      </x:c>
      <x:c r="I138" s="5" t="str">
        <x:v>https://www.acron.ru/sustainability/learning_centers/</x:v>
      </x:c>
      <x:c r="J138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38" s="5" t="str">
        <x:v>Содержимое публичной страницы прочитано; работоспособность сборщика, пагинация и полнота получения не проверены</x:v>
      </x:c>
      <x:c r="L138" s="5" t="str"/>
    </x:row>
    <x:row r="139" ht="31.5" customHeight="1">
      <x:c r="A139" s="5" t="str">
        <x:v>CU-SRC-0134</x:v>
      </x:c>
      <x:c r="B139" s="5" t="str">
        <x:v>CU-0058</x:v>
      </x:c>
      <x:c r="C139" s="5" t="str">
        <x:v>Учебный центр ПАО «Акрон»</x:v>
      </x:c>
      <x:c r="D139" s="5" t="str">
        <x:v>main_200</x:v>
      </x:c>
      <x:c r="E139" s="5" t="str">
        <x:v>procurement</x:v>
      </x:c>
      <x:c r="F139" s="5" t="str">
        <x:v>https://www.acron.ru/about-acron-group/etp/</x:v>
      </x:c>
      <x:c r="G139" s="5" t="str">
        <x:v>Закупки группы; образовательные услуги и создание учебных материалов</x:v>
      </x:c>
      <x:c r="H139" s="5" t="str">
        <x:v>content_read</x:v>
      </x:c>
      <x:c r="I139" s="5" t="str">
        <x:v>https://www.acron.ru/about-acron-group/etp/</x:v>
      </x:c>
      <x:c r="J139" s="5" t="str">
        <x:v>Периодически проверять HTML, новые ссылки, документы и изменения; сохранять сырые материалы перед ранжированием</x:v>
      </x:c>
      <x:c r="K139" s="5" t="str">
        <x:v>Содержимое публичной страницы прочитано; работоспособность сборщика, пагинация и полнота получения не проверены</x:v>
      </x:c>
      <x:c r="L139" s="5" t="str"/>
    </x:row>
    <x:row r="140" ht="31.5" customHeight="1">
      <x:c r="A140" s="5" t="str">
        <x:v>CU-SRC-0135</x:v>
      </x:c>
      <x:c r="B140" s="5" t="str">
        <x:v>CU-0059</x:v>
      </x:c>
      <x:c r="C140" s="5" t="str">
        <x:v>Учебный центр СЗФК</x:v>
      </x:c>
      <x:c r="D140" s="5" t="str">
        <x:v>reserve</x:v>
      </x:c>
      <x:c r="E140" s="5" t="str">
        <x:v>university_site</x:v>
      </x:c>
      <x:c r="F140" s="5" t="str">
        <x:v>https://www.szfk.ru/career/learning-centers/</x:v>
      </x:c>
      <x:c r="G140" s="5" t="str">
        <x:v>Новые программы, образовательные проекты, кадровые изменения, партнёры, материалы и ссылки на другие каналы</x:v>
      </x:c>
      <x:c r="H140" s="5" t="str">
        <x:v>search_index</x:v>
      </x:c>
      <x:c r="I140" s="5" t="str">
        <x:v>https://www.szfk.ru/career/learning-centers/</x:v>
      </x:c>
      <x:c r="J140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40" s="5" t="str">
        <x:v>Публичный адрес подтверждён поиском; технический доступ и полноту выгрузки проверить отдельно</x:v>
      </x:c>
      <x:c r="L140" s="5" t="str"/>
    </x:row>
    <x:row r="141" ht="31.5" customHeight="1">
      <x:c r="A141" s="5" t="str">
        <x:v>CU-SRC-0136</x:v>
      </x:c>
      <x:c r="B141" s="5" t="str">
        <x:v>CU-0059</x:v>
      </x:c>
      <x:c r="C141" s="5" t="str">
        <x:v>Учебный центр СЗФК</x:v>
      </x:c>
      <x:c r="D141" s="5" t="str">
        <x:v>reserve</x:v>
      </x:c>
      <x:c r="E141" s="5" t="str">
        <x:v>procurement</x:v>
      </x:c>
      <x:c r="F141" s="5" t="str">
        <x:v>https://www.acron.ru/about-acron-group/etp/</x:v>
      </x:c>
      <x:c r="G141" s="5" t="str">
        <x:v>Закупочный маршрут группы для образовательных услуг</x:v>
      </x:c>
      <x:c r="H141" s="5" t="str">
        <x:v>content_read</x:v>
      </x:c>
      <x:c r="I141" s="5" t="str">
        <x:v>https://www.acron.ru/about-acron-group/etp/</x:v>
      </x:c>
      <x:c r="J141" s="5" t="str">
        <x:v>Периодически проверять HTML, новые ссылки, документы и изменения; сохранять сырые материалы перед ранжированием</x:v>
      </x:c>
      <x:c r="K141" s="5" t="str">
        <x:v>Содержимое публичной страницы прочитано; работоспособность сборщика, пагинация и полнота получения не проверены</x:v>
      </x:c>
      <x:c r="L141" s="5" t="str"/>
    </x:row>
    <x:row r="142" ht="31.5" customHeight="1">
      <x:c r="A142" s="5" t="str">
        <x:v>CU-SRC-0137</x:v>
      </x:c>
      <x:c r="B142" s="5" t="str">
        <x:v>CU-0060</x:v>
      </x:c>
      <x:c r="C142" s="5" t="str">
        <x:v>Корпоративный университет Акрон Холдинг</x:v>
      </x:c>
      <x:c r="D142" s="5" t="str">
        <x:v>main_200</x:v>
      </x:c>
      <x:c r="E142" s="5" t="str">
        <x:v>university_site</x:v>
      </x:c>
      <x:c r="F142" s="5" t="str">
        <x:v>https://podolskkabel.ru/news/korporativnyy-universitet-provel-v-podolske-strategicheskuyu-sessiyu-po-vzaimode/</x:v>
      </x:c>
      <x:c r="G142" s="5" t="str">
        <x:v>Новые программы, образовательные проекты, кадровые изменения, партнёры, материалы и ссылки на другие каналы</x:v>
      </x:c>
      <x:c r="H142" s="5" t="str">
        <x:v>search_index</x:v>
      </x:c>
      <x:c r="I142" s="5" t="str">
        <x:v>https://podolskkabel.ru/news/korporativnyy-universitet-provel-v-podolske-strategicheskuyu-sessiyu-po-vzaimode/</x:v>
      </x:c>
      <x:c r="J142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42" s="5" t="str">
        <x:v>Публичный адрес подтверждён поиском; технический доступ и полноту выгрузки проверить отдельно</x:v>
      </x:c>
      <x:c r="L142" s="5" t="str"/>
    </x:row>
    <x:row r="143" ht="31.5" customHeight="1">
      <x:c r="A143" s="5" t="str">
        <x:v>CU-SRC-0138</x:v>
      </x:c>
      <x:c r="B143" s="5" t="str">
        <x:v>CU-0061</x:v>
      </x:c>
      <x:c r="C143" s="5" t="str">
        <x:v>Академия Ростеха</x:v>
      </x:c>
      <x:c r="D143" s="5" t="str">
        <x:v>main_200</x:v>
      </x:c>
      <x:c r="E143" s="5" t="str">
        <x:v>university_site</x:v>
      </x:c>
      <x:c r="F143" s="5" t="str">
        <x:v>https://rostec.academy/</x:v>
      </x:c>
      <x:c r="G143" s="5" t="str">
        <x:v>Новые программы, образовательные проекты, кадровые изменения, партнёры, материалы и ссылки на другие каналы</x:v>
      </x:c>
      <x:c r="H143" s="5" t="str">
        <x:v>content_read</x:v>
      </x:c>
      <x:c r="I143" s="5" t="str">
        <x:v>https://rostec.academy/</x:v>
      </x:c>
      <x:c r="J143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43" s="5" t="str">
        <x:v>Содержимое публичной страницы прочитано; работоспособность сборщика, пагинация и полнота получения не проверены</x:v>
      </x:c>
      <x:c r="L143" s="5" t="str"/>
    </x:row>
    <x:row r="144" ht="31.5" customHeight="1">
      <x:c r="A144" s="5" t="str">
        <x:v>CU-SRC-0139</x:v>
      </x:c>
      <x:c r="B144" s="5" t="str">
        <x:v>CU-0061</x:v>
      </x:c>
      <x:c r="C144" s="5" t="str">
        <x:v>Академия Ростеха</x:v>
      </x:c>
      <x:c r="D144" s="5" t="str">
        <x:v>main_200</x:v>
      </x:c>
      <x:c r="E144" s="5" t="str">
        <x:v>programs</x:v>
      </x:c>
      <x:c r="F144" s="5" t="str">
        <x:v>https://rostec.academy/direction/education-and-development</x:v>
      </x:c>
      <x:c r="G144" s="5" t="str">
        <x:v>Образовательный портфель, новые программы, отзывы клиентов</x:v>
      </x:c>
      <x:c r="H144" s="5" t="str">
        <x:v>content_read</x:v>
      </x:c>
      <x:c r="I144" s="5" t="str">
        <x:v>https://rostec.academy/direction/education-and-development</x:v>
      </x:c>
      <x:c r="J144" s="5" t="str">
        <x:v>Периодически проверять HTML, новые ссылки, документы и изменения; сохранять сырые материалы перед ранжированием</x:v>
      </x:c>
      <x:c r="K144" s="5" t="str">
        <x:v>Содержимое публичной страницы прочитано; работоспособность сборщика, пагинация и полнота получения не проверены</x:v>
      </x:c>
      <x:c r="L144" s="5" t="str"/>
    </x:row>
    <x:row r="145" ht="31.5" customHeight="1">
      <x:c r="A145" s="5" t="str">
        <x:v>CU-SRC-0140</x:v>
      </x:c>
      <x:c r="B145" s="5" t="str">
        <x:v>CU-0062</x:v>
      </x:c>
      <x:c r="C145" s="5" t="str">
        <x:v>Корпоративный университет КАМАЗа</x:v>
      </x:c>
      <x:c r="D145" s="5" t="str">
        <x:v>main_200</x:v>
      </x:c>
      <x:c r="E145" s="5" t="str">
        <x:v>university_site</x:v>
      </x:c>
      <x:c r="F145" s="5" t="str">
        <x:v>https://vestikamaza.ru/posts/na_kamaze_razrabotan_proekt_dlya_povysheniya_czifrovoj_gramotnosti_sotrudnikov/</x:v>
      </x:c>
      <x:c r="G145" s="5" t="str">
        <x:v>Новые программы, образовательные проекты, кадровые изменения, партнёры, материалы и ссылки на другие каналы</x:v>
      </x:c>
      <x:c r="H145" s="5" t="str">
        <x:v>content_read</x:v>
      </x:c>
      <x:c r="I145" s="5" t="str">
        <x:v>https://vestikamaza.ru/posts/na_kamaze_razrabotan_proekt_dlya_povysheniya_czifrovoj_gramotnosti_sotrudnikov/</x:v>
      </x:c>
      <x:c r="J145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45" s="5" t="str">
        <x:v>Содержимое публичной страницы прочитано; работоспособность сборщика, пагинация и полнота получения не проверены</x:v>
      </x:c>
      <x:c r="L145" s="5" t="str"/>
    </x:row>
    <x:row r="146" ht="31.5" customHeight="1">
      <x:c r="A146" s="5" t="str">
        <x:v>CU-SRC-0141</x:v>
      </x:c>
      <x:c r="B146" s="5" t="str">
        <x:v>CU-0062</x:v>
      </x:c>
      <x:c r="C146" s="5" t="str">
        <x:v>Корпоративный университет КАМАЗа</x:v>
      </x:c>
      <x:c r="D146" s="5" t="str">
        <x:v>main_200</x:v>
      </x:c>
      <x:c r="E146" s="5" t="str">
        <x:v>procurement</x:v>
      </x:c>
      <x:c r="F146" s="5" t="str">
        <x:v>https://kamaz.ru/about/supplier/notification/</x:v>
      </x:c>
      <x:c r="G146" s="5" t="str">
        <x:v>Извещения о закупках, образовательные и методические услуги</x:v>
      </x:c>
      <x:c r="H146" s="5" t="str">
        <x:v>content_read</x:v>
      </x:c>
      <x:c r="I146" s="5" t="str">
        <x:v>https://kamaz.ru/about/supplier/notification/</x:v>
      </x:c>
      <x:c r="J146" s="5" t="str">
        <x:v>Периодически проверять HTML, новые ссылки, документы и изменения; сохранять сырые материалы перед ранжированием</x:v>
      </x:c>
      <x:c r="K146" s="5" t="str">
        <x:v>Содержимое публичной страницы прочитано; работоспособность сборщика, пагинация и полнота получения не проверены</x:v>
      </x:c>
      <x:c r="L146" s="5" t="str"/>
    </x:row>
    <x:row r="147" ht="31.5" customHeight="1">
      <x:c r="A147" s="5" t="str">
        <x:v>CU-SRC-0142</x:v>
      </x:c>
      <x:c r="B147" s="5" t="str">
        <x:v>CU-0062</x:v>
      </x:c>
      <x:c r="C147" s="5" t="str">
        <x:v>Корпоративный университет КАМАЗа</x:v>
      </x:c>
      <x:c r="D147" s="5" t="str">
        <x:v>main_200</x:v>
      </x:c>
      <x:c r="E147" s="5" t="str">
        <x:v>procurement</x:v>
      </x:c>
      <x:c r="F147" s="5" t="str">
        <x:v>https://kamaz.ru/about/supplier/portal/</x:v>
      </x:c>
      <x:c r="G147" s="5" t="str">
        <x:v>Закупочный портал и маршруты регистрации поставщика</x:v>
      </x:c>
      <x:c r="H147" s="5" t="str">
        <x:v>content_read</x:v>
      </x:c>
      <x:c r="I147" s="5" t="str">
        <x:v>https://kamaz.ru/about/supplier/portal/</x:v>
      </x:c>
      <x:c r="J147" s="5" t="str">
        <x:v>Периодически проверять HTML, новые ссылки, документы и изменения; сохранять сырые материалы перед ранжированием</x:v>
      </x:c>
      <x:c r="K147" s="5" t="str">
        <x:v>Содержимое публичной страницы прочитано; работоспособность сборщика, пагинация и полнота получения не проверены</x:v>
      </x:c>
      <x:c r="L147" s="5" t="str"/>
    </x:row>
    <x:row r="148" ht="31.5" customHeight="1">
      <x:c r="A148" s="5" t="str">
        <x:v>CU-SRC-0143</x:v>
      </x:c>
      <x:c r="B148" s="5" t="str">
        <x:v>CU-0063</x:v>
      </x:c>
      <x:c r="C148" s="5" t="str">
        <x:v>Корпоративный университет Горьковского автозавода</x:v>
      </x:c>
      <x:c r="D148" s="5" t="str">
        <x:v>main_200</x:v>
      </x:c>
      <x:c r="E148" s="5" t="str">
        <x:v>university_site</x:v>
      </x:c>
      <x:c r="F148" s="5" t="str">
        <x:v>https://autozavod.media/rubrics/news/korporativnyy-universitet-gorkovskogo-avtozavoda-pereosnashchaetsya-v-ramkakh-nsv/</x:v>
      </x:c>
      <x:c r="G148" s="5" t="str">
        <x:v>Новые программы, образовательные проекты, кадровые изменения, партнёры, материалы и ссылки на другие каналы</x:v>
      </x:c>
      <x:c r="H148" s="5" t="str">
        <x:v>search_index</x:v>
      </x:c>
      <x:c r="I148" s="5" t="str">
        <x:v>https://autozavod.media/rubrics/news/korporativnyy-universitet-gorkovskogo-avtozavoda-pereosnashchaetsya-v-ramkakh-nsv/</x:v>
      </x:c>
      <x:c r="J148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48" s="5" t="str">
        <x:v>Публичный адрес подтверждён поиском; технический доступ и полноту выгрузки проверить отдельно</x:v>
      </x:c>
      <x:c r="L148" s="5" t="str"/>
    </x:row>
    <x:row r="149" ht="31.5" customHeight="1">
      <x:c r="A149" s="5" t="str">
        <x:v>CU-SRC-0144</x:v>
      </x:c>
      <x:c r="B149" s="5" t="str">
        <x:v>CU-0063</x:v>
      </x:c>
      <x:c r="C149" s="5" t="str">
        <x:v>Корпоративный университет Горьковского автозавода</x:v>
      </x:c>
      <x:c r="D149" s="5" t="str">
        <x:v>main_200</x:v>
      </x:c>
      <x:c r="E149" s="5" t="str">
        <x:v>news</x:v>
      </x:c>
      <x:c r="F149" s="5" t="str">
        <x:v>https://newvec.ru/news/korporativnyy-universitet-gorkovskogo-avtozavoda-pereosnashchaetsya/</x:v>
      </x:c>
      <x:c r="G149" s="5" t="str">
        <x:v>Развитие академии и новые образовательные мощности</x:v>
      </x:c>
      <x:c r="H149" s="5" t="str">
        <x:v>search_index</x:v>
      </x:c>
      <x:c r="I149" s="5" t="str">
        <x:v>https://newvec.ru/news/korporativnyy-universitet-gorkovskogo-avtozavoda-pereosnashchaetsya/</x:v>
      </x:c>
      <x:c r="J149" s="5" t="str">
        <x:v>Периодически проверять HTML, новые ссылки, документы и изменения; сохранять сырые материалы перед ранжированием</x:v>
      </x:c>
      <x:c r="K149" s="5" t="str">
        <x:v>Публичная страница; сборщик и полнота получения не проверены</x:v>
      </x:c>
      <x:c r="L149" s="5" t="str"/>
    </x:row>
    <x:row r="150" ht="31.5" customHeight="1">
      <x:c r="A150" s="5" t="str">
        <x:v>CU-SRC-0145</x:v>
      </x:c>
      <x:c r="B150" s="5" t="str">
        <x:v>CU-0064</x:v>
      </x:c>
      <x:c r="C150" s="5" t="str">
        <x:v>LADA Академия</x:v>
      </x:c>
      <x:c r="D150" s="5" t="str">
        <x:v>reserve</x:v>
      </x:c>
      <x:c r="E150" s="5" t="str">
        <x:v>university_site</x:v>
      </x:c>
      <x:c r="F150" s="5" t="str">
        <x:v>https://www.lada.ru/education/</x:v>
      </x:c>
      <x:c r="G150" s="5" t="str">
        <x:v>Новые программы, образовательные проекты, кадровые изменения, партнёры, материалы и ссылки на другие каналы</x:v>
      </x:c>
      <x:c r="H150" s="5" t="str">
        <x:v>search_index</x:v>
      </x:c>
      <x:c r="I150" s="5" t="str">
        <x:v>https://www.lada.ru/education/</x:v>
      </x:c>
      <x:c r="J150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50" s="5" t="str">
        <x:v>Публичный адрес подтверждён поиском; технический доступ и полноту выгрузки проверить отдельно</x:v>
      </x:c>
      <x:c r="L150" s="5" t="str"/>
    </x:row>
    <x:row r="151" ht="31.5" customHeight="1">
      <x:c r="A151" s="5" t="str">
        <x:v>CU-SRC-0146</x:v>
      </x:c>
      <x:c r="B151" s="5" t="str">
        <x:v>CU-0065</x:v>
      </x:c>
      <x:c r="C151" s="5" t="str">
        <x:v>Корпоративная академия Роскосмоса</x:v>
      </x:c>
      <x:c r="D151" s="5" t="str">
        <x:v>main_200</x:v>
      </x:c>
      <x:c r="E151" s="5" t="str">
        <x:v>university_site</x:v>
      </x:c>
      <x:c r="F151" s="5" t="str">
        <x:v>https://rcacademy.ru/</x:v>
      </x:c>
      <x:c r="G151" s="5" t="str">
        <x:v>Новые программы, образовательные проекты, кадровые изменения, партнёры, материалы и ссылки на другие каналы</x:v>
      </x:c>
      <x:c r="H151" s="5" t="str">
        <x:v>content_read</x:v>
      </x:c>
      <x:c r="I151" s="5" t="str">
        <x:v>https://rcacademy.ru/</x:v>
      </x:c>
      <x:c r="J151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51" s="5" t="str">
        <x:v>Содержимое публичной страницы прочитано; работоспособность сборщика, пагинация и полнота получения не проверены</x:v>
      </x:c>
      <x:c r="L151" s="5" t="str"/>
    </x:row>
    <x:row r="152" ht="31.5" customHeight="1">
      <x:c r="A152" s="5" t="str">
        <x:v>CU-SRC-0147</x:v>
      </x:c>
      <x:c r="B152" s="5" t="str">
        <x:v>CU-0065</x:v>
      </x:c>
      <x:c r="C152" s="5" t="str">
        <x:v>Корпоративная академия Роскосмоса</x:v>
      </x:c>
      <x:c r="D152" s="5" t="str">
        <x:v>main_200</x:v>
      </x:c>
      <x:c r="E152" s="5" t="str">
        <x:v>news</x:v>
      </x:c>
      <x:c r="F152" s="5" t="str">
        <x:v>https://www.roscosmos.ru/25077/</x:v>
      </x:c>
      <x:c r="G152" s="5" t="str">
        <x:v>Официальное описание роли академии в отрасли</x:v>
      </x:c>
      <x:c r="H152" s="5" t="str">
        <x:v>search_index</x:v>
      </x:c>
      <x:c r="I152" s="5" t="str">
        <x:v>https://www.roscosmos.ru/25077/</x:v>
      </x:c>
      <x:c r="J152" s="5" t="str">
        <x:v>Периодически проверять HTML, новые ссылки, документы и изменения; сохранять сырые материалы перед ранжированием</x:v>
      </x:c>
      <x:c r="K152" s="5" t="str">
        <x:v>Публичная страница; сборщик и полнота получения не проверены</x:v>
      </x:c>
      <x:c r="L152" s="5" t="str"/>
    </x:row>
    <x:row r="153" ht="31.5" customHeight="1">
      <x:c r="A153" s="5" t="str">
        <x:v>CU-SRC-0148</x:v>
      </x:c>
      <x:c r="B153" s="5" t="str">
        <x:v>CU-0066</x:v>
      </x:c>
      <x:c r="C153" s="5" t="str">
        <x:v>Корпоративный университет ОСК</x:v>
      </x:c>
      <x:c r="D153" s="5" t="str">
        <x:v>main_200</x:v>
      </x:c>
      <x:c r="E153" s="5" t="str">
        <x:v>university_site</x:v>
      </x:c>
      <x:c r="F153" s="5" t="str">
        <x:v>https://www.aoosk.ru/press-center/exhibition/eksperty-rasskazali-o-proektakh-osk-na-mezhdunarodnom-forume/</x:v>
      </x:c>
      <x:c r="G153" s="5" t="str">
        <x:v>Новые программы, образовательные проекты, кадровые изменения, партнёры, материалы и ссылки на другие каналы</x:v>
      </x:c>
      <x:c r="H153" s="5" t="str">
        <x:v>search_index</x:v>
      </x:c>
      <x:c r="I153" s="5" t="str">
        <x:v>https://www.aoosk.ru/press-center/exhibition/eksperty-rasskazali-o-proektakh-osk-na-mezhdunarodnom-forume/</x:v>
      </x:c>
      <x:c r="J153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53" s="5" t="str">
        <x:v>Публичный адрес подтверждён поиском; технический доступ и полноту выгрузки проверить отдельно</x:v>
      </x:c>
      <x:c r="L153" s="5" t="str"/>
    </x:row>
    <x:row r="154" ht="31.5" customHeight="1">
      <x:c r="A154" s="5" t="str">
        <x:v>CU-SRC-0149</x:v>
      </x:c>
      <x:c r="B154" s="5" t="str">
        <x:v>CU-0066</x:v>
      </x:c>
      <x:c r="C154" s="5" t="str">
        <x:v>Корпоративный университет ОСК</x:v>
      </x:c>
      <x:c r="D154" s="5" t="str">
        <x:v>main_200</x:v>
      </x:c>
      <x:c r="E154" s="5" t="str">
        <x:v>news</x:v>
      </x:c>
      <x:c r="F154" s="5" t="str">
        <x:v>https://www.spoarktika.ru/events/217</x:v>
      </x:c>
      <x:c r="G154" s="5" t="str">
        <x:v>Реализация программ КУ на предприятиях; внешние партнёры и руководительская аудитория</x:v>
      </x:c>
      <x:c r="H154" s="5" t="str">
        <x:v>search_index</x:v>
      </x:c>
      <x:c r="I154" s="5" t="str">
        <x:v>https://www.spoarktika.ru/events/217</x:v>
      </x:c>
      <x:c r="J154" s="5" t="str">
        <x:v>Периодически проверять HTML, новые ссылки, документы и изменения; сохранять сырые материалы перед ранжированием</x:v>
      </x:c>
      <x:c r="K154" s="5" t="str">
        <x:v>Публичная страница; сборщик и полнота получения не проверены</x:v>
      </x:c>
      <x:c r="L154" s="5" t="str"/>
    </x:row>
    <x:row r="155" ht="31.5" customHeight="1">
      <x:c r="A155" s="5" t="str">
        <x:v>CU-SRC-0150</x:v>
      </x:c>
      <x:c r="B155" s="5" t="str">
        <x:v>CU-0067</x:v>
      </x:c>
      <x:c r="C155" s="5" t="str">
        <x:v>Университет ТМХ</x:v>
      </x:c>
      <x:c r="D155" s="5" t="str">
        <x:v>main_200</x:v>
      </x:c>
      <x:c r="E155" s="5" t="str">
        <x:v>university_site</x:v>
      </x:c>
      <x:c r="F155" s="5" t="str">
        <x:v>https://tmh-university.ru/</x:v>
      </x:c>
      <x:c r="G155" s="5" t="str">
        <x:v>Новые программы, образовательные проекты, кадровые изменения, партнёры, материалы и ссылки на другие каналы</x:v>
      </x:c>
      <x:c r="H155" s="5" t="str">
        <x:v>search_index</x:v>
      </x:c>
      <x:c r="I155" s="5" t="str">
        <x:v>https://tmh-university.ru/</x:v>
      </x:c>
      <x:c r="J155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55" s="5" t="str">
        <x:v>Публичный адрес подтверждён поиском; технический доступ и полноту выгрузки проверить отдельно</x:v>
      </x:c>
      <x:c r="L155" s="5" t="str"/>
    </x:row>
    <x:row r="156" ht="31.5" customHeight="1">
      <x:c r="A156" s="5" t="str">
        <x:v>CU-SRC-0151</x:v>
      </x:c>
      <x:c r="B156" s="5" t="str">
        <x:v>CU-0068</x:v>
      </x:c>
      <x:c r="C156" s="5" t="str">
        <x:v>Корпоративный университет ОАК</x:v>
      </x:c>
      <x:c r="D156" s="5" t="str">
        <x:v>main_200</x:v>
      </x:c>
      <x:c r="E156" s="5" t="str">
        <x:v>university_site</x:v>
      </x:c>
      <x:c r="F156" s="5" t="str">
        <x:v>https://uacrussia.ru/ru/corporation/personnel-policy/sustained-education/</x:v>
      </x:c>
      <x:c r="G156" s="5" t="str">
        <x:v>Новые программы, образовательные проекты, кадровые изменения, партнёры, материалы и ссылки на другие каналы</x:v>
      </x:c>
      <x:c r="H156" s="5" t="str">
        <x:v>search_index</x:v>
      </x:c>
      <x:c r="I156" s="5" t="str">
        <x:v>https://uacrussia.ru/ru/corporation/personnel-policy/sustained-education/</x:v>
      </x:c>
      <x:c r="J156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56" s="5" t="str">
        <x:v>Публичный адрес подтверждён поиском; технический доступ и полноту выгрузки проверить отдельно</x:v>
      </x:c>
      <x:c r="L156" s="5" t="str"/>
    </x:row>
    <x:row r="157" ht="31.5" customHeight="1">
      <x:c r="A157" s="5" t="str">
        <x:v>CU-SRC-0152</x:v>
      </x:c>
      <x:c r="B157" s="5" t="str">
        <x:v>CU-0068</x:v>
      </x:c>
      <x:c r="C157" s="5" t="str">
        <x:v>Корпоративный университет ОАК</x:v>
      </x:c>
      <x:c r="D157" s="5" t="str">
        <x:v>main_200</x:v>
      </x:c>
      <x:c r="E157" s="5" t="str">
        <x:v>news</x:v>
      </x:c>
      <x:c r="F157" s="5" t="str">
        <x:v>https://anav.ru/news/tpost/13mj7mvjo1-startoval-novii-potok-programmi-povishen</x:v>
      </x:c>
      <x:c r="G157" s="5" t="str">
        <x:v>Потоки обучения руководителей, внешние соисполнители и содержание модулей</x:v>
      </x:c>
      <x:c r="H157" s="5" t="str">
        <x:v>search_index</x:v>
      </x:c>
      <x:c r="I157" s="5" t="str">
        <x:v>https://anav.ru/news/tpost/13mj7mvjo1-startoval-novii-potok-programmi-povishen</x:v>
      </x:c>
      <x:c r="J157" s="5" t="str">
        <x:v>Периодически проверять HTML, новые ссылки, документы и изменения; сохранять сырые материалы перед ранжированием</x:v>
      </x:c>
      <x:c r="K157" s="5" t="str">
        <x:v>Публичная страница; сборщик и полнота получения не проверены</x:v>
      </x:c>
      <x:c r="L157" s="5" t="str"/>
    </x:row>
    <x:row r="158" ht="31.5" customHeight="1">
      <x:c r="A158" s="5" t="str">
        <x:v>CU-SRC-0153</x:v>
      </x:c>
      <x:c r="B158" s="5" t="str">
        <x:v>CU-0069</x:v>
      </x:c>
      <x:c r="C158" s="5" t="str">
        <x:v>Учебный центр «Силовых машин»</x:v>
      </x:c>
      <x:c r="D158" s="5" t="str">
        <x:v>main_200</x:v>
      </x:c>
      <x:c r="E158" s="5" t="str">
        <x:v>university_site</x:v>
      </x:c>
      <x:c r="F158" s="5" t="str">
        <x:v>https://power-m.ru/company/training-center/</x:v>
      </x:c>
      <x:c r="G158" s="5" t="str">
        <x:v>Новые программы, образовательные проекты, кадровые изменения, партнёры, материалы и ссылки на другие каналы</x:v>
      </x:c>
      <x:c r="H158" s="5" t="str">
        <x:v>content_read</x:v>
      </x:c>
      <x:c r="I158" s="5" t="str">
        <x:v>https://power-m.ru/company/training-center/</x:v>
      </x:c>
      <x:c r="J158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58" s="5" t="str">
        <x:v>Содержимое публичной страницы прочитано; работоспособность сборщика, пагинация и полнота получения не проверены</x:v>
      </x:c>
      <x:c r="L158" s="5" t="str"/>
    </x:row>
    <x:row r="159" ht="31.5" customHeight="1">
      <x:c r="A159" s="5" t="str">
        <x:v>CU-SRC-0154</x:v>
      </x:c>
      <x:c r="B159" s="5" t="str">
        <x:v>CU-0069</x:v>
      </x:c>
      <x:c r="C159" s="5" t="str">
        <x:v>Учебный центр «Силовых машин»</x:v>
      </x:c>
      <x:c r="D159" s="5" t="str">
        <x:v>main_200</x:v>
      </x:c>
      <x:c r="E159" s="5" t="str">
        <x:v>programs</x:v>
      </x:c>
      <x:c r="F159" s="5" t="str">
        <x:v>https://power-m.ru/company/training-center/education/</x:v>
      </x:c>
      <x:c r="G159" s="5" t="str">
        <x:v>Изменения программ и форматов образования</x:v>
      </x:c>
      <x:c r="H159" s="5" t="str">
        <x:v>search_index</x:v>
      </x:c>
      <x:c r="I159" s="5" t="str">
        <x:v>https://power-m.ru/company/training-center/education/</x:v>
      </x:c>
      <x:c r="J159" s="5" t="str">
        <x:v>Периодически проверять HTML, новые ссылки, документы и изменения; сохранять сырые материалы перед ранжированием</x:v>
      </x:c>
      <x:c r="K159" s="5" t="str">
        <x:v>Публичная страница; сборщик и полнота получения не проверены</x:v>
      </x:c>
      <x:c r="L159" s="5" t="str"/>
    </x:row>
    <x:row r="160" ht="31.5" customHeight="1">
      <x:c r="A160" s="5" t="str">
        <x:v>CU-SRC-0155</x:v>
      </x:c>
      <x:c r="B160" s="5" t="str">
        <x:v>CU-0070</x:v>
      </x:c>
      <x:c r="C160" s="5" t="str">
        <x:v>Учебный центр Ростсельмаш</x:v>
      </x:c>
      <x:c r="D160" s="5" t="str">
        <x:v>reserve</x:v>
      </x:c>
      <x:c r="E160" s="5" t="str">
        <x:v>university_site</x:v>
      </x:c>
      <x:c r="F160" s="5" t="str">
        <x:v>https://careers.rostselmash.com/programs/</x:v>
      </x:c>
      <x:c r="G160" s="5" t="str">
        <x:v>Новые программы, образовательные проекты, кадровые изменения, партнёры, материалы и ссылки на другие каналы</x:v>
      </x:c>
      <x:c r="H160" s="5" t="str">
        <x:v>search_index</x:v>
      </x:c>
      <x:c r="I160" s="5" t="str">
        <x:v>https://careers.rostselmash.com/programs/</x:v>
      </x:c>
      <x:c r="J160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60" s="5" t="str">
        <x:v>Публичный адрес подтверждён поиском; технический доступ и полноту выгрузки проверить отдельно</x:v>
      </x:c>
      <x:c r="L160" s="5" t="str"/>
    </x:row>
    <x:row r="161" ht="31.5" customHeight="1">
      <x:c r="A161" s="5" t="str">
        <x:v>CU-SRC-0156</x:v>
      </x:c>
      <x:c r="B161" s="5" t="str">
        <x:v>CU-0071</x:v>
      </x:c>
      <x:c r="C161" s="5" t="str">
        <x:v>Корпоративный университет Группы «Илим»</x:v>
      </x:c>
      <x:c r="D161" s="5" t="str">
        <x:v>main_200</x:v>
      </x:c>
      <x:c r="E161" s="5" t="str">
        <x:v>university_site</x:v>
      </x:c>
      <x:c r="F161" s="5" t="str">
        <x:v>https://www.ilimgroup.ru/career/corporate-university/</x:v>
      </x:c>
      <x:c r="G161" s="5" t="str">
        <x:v>Новые программы, образовательные проекты, кадровые изменения, партнёры, материалы и ссылки на другие каналы</x:v>
      </x:c>
      <x:c r="H161" s="5" t="str">
        <x:v>search_index</x:v>
      </x:c>
      <x:c r="I161" s="5" t="str">
        <x:v>https://www.ilimgroup.ru/career/corporate-university/</x:v>
      </x:c>
      <x:c r="J161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61" s="5" t="str">
        <x:v>Публичный адрес подтверждён поиском; технический доступ и полноту выгрузки проверить отдельно</x:v>
      </x:c>
      <x:c r="L161" s="5" t="str"/>
    </x:row>
    <x:row r="162" ht="31.5" customHeight="1">
      <x:c r="A162" s="5" t="str">
        <x:v>CU-SRC-0157</x:v>
      </x:c>
      <x:c r="B162" s="5" t="str">
        <x:v>CU-0071</x:v>
      </x:c>
      <x:c r="C162" s="5" t="str">
        <x:v>Корпоративный университет Группы «Илим»</x:v>
      </x:c>
      <x:c r="D162" s="5" t="str">
        <x:v>main_200</x:v>
      </x:c>
      <x:c r="E162" s="5" t="str">
        <x:v>careers</x:v>
      </x:c>
      <x:c r="F162" s="5" t="str">
        <x:v>https://www.ilimgroup.ru/career/working-with-youth/podderzhka-molodykh-sotrudnikov-i-razvitie-talantov/</x:v>
      </x:c>
      <x:c r="G162" s="5" t="str">
        <x:v>Развитие талантов и программы университета</x:v>
      </x:c>
      <x:c r="H162" s="5" t="str">
        <x:v>search_index</x:v>
      </x:c>
      <x:c r="I162" s="5" t="str">
        <x:v>https://www.ilimgroup.ru/career/working-with-youth/podderzhka-molodykh-sotrudnikov-i-razvitie-talantov/</x:v>
      </x:c>
      <x:c r="J162" s="5" t="str">
        <x:v>Периодически проверять HTML, новые ссылки, документы и изменения; сохранять сырые материалы перед ранжированием</x:v>
      </x:c>
      <x:c r="K162" s="5" t="str">
        <x:v>Публичная страница; сборщик и полнота получения не проверены</x:v>
      </x:c>
      <x:c r="L162" s="5" t="str"/>
    </x:row>
    <x:row r="163" ht="31.5" customHeight="1">
      <x:c r="A163" s="5" t="str">
        <x:v>CU-SRC-0158</x:v>
      </x:c>
      <x:c r="B163" s="5" t="str">
        <x:v>CU-0072</x:v>
      </x:c>
      <x:c r="C163" s="5" t="str">
        <x:v>Корпоративный университет Асконы</x:v>
      </x:c>
      <x:c r="D163" s="5" t="str">
        <x:v>main_200</x:v>
      </x:c>
      <x:c r="E163" s="5" t="str">
        <x:v>university_site</x:v>
      </x:c>
      <x:c r="F163" s="5" t="str">
        <x:v>https://almetevsk.askona.ru/news/company/askona-predstavila-svoyu-ekspertizu-na-pmef-2026/</x:v>
      </x:c>
      <x:c r="G163" s="5" t="str">
        <x:v>Новые программы, образовательные проекты, кадровые изменения, партнёры, материалы и ссылки на другие каналы</x:v>
      </x:c>
      <x:c r="H163" s="5" t="str">
        <x:v>search_index</x:v>
      </x:c>
      <x:c r="I163" s="5" t="str">
        <x:v>https://almetevsk.askona.ru/news/company/askona-predstavila-svoyu-ekspertizu-na-pmef-2026/</x:v>
      </x:c>
      <x:c r="J163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63" s="5" t="str">
        <x:v>Публичный адрес подтверждён поиском; технический доступ и полноту выгрузки проверить отдельно</x:v>
      </x:c>
      <x:c r="L163" s="5" t="str"/>
    </x:row>
    <x:row r="164" ht="31.5" customHeight="1">
      <x:c r="A164" s="5" t="str">
        <x:v>CU-SRC-0159</x:v>
      </x:c>
      <x:c r="B164" s="5" t="str">
        <x:v>CU-0073</x:v>
      </x:c>
      <x:c r="C164" s="5" t="str">
        <x:v>Технологический университет ЕвроХима</x:v>
      </x:c>
      <x:c r="D164" s="5" t="str">
        <x:v>main_200</x:v>
      </x:c>
      <x:c r="E164" s="5" t="str">
        <x:v>social</x:v>
      </x:c>
      <x:c r="F164" s="5" t="str">
        <x:v>https://t.me/s/eurochemofficial/1469</x:v>
      </x:c>
      <x:c r="G164" s="5" t="str">
        <x:v>Новые программы, образовательные проекты, кадровые изменения, партнёры, материалы и ссылки на другие каналы</x:v>
      </x:c>
      <x:c r="H164" s="5" t="str">
        <x:v>content_read</x:v>
      </x:c>
      <x:c r="I164" s="5" t="str">
        <x:v>https://t.me/s/eurochemofficial/1469</x:v>
      </x:c>
      <x:c r="J164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64" s="5" t="str">
        <x:v>Содержимое публичной страницы прочитано; работоспособность сборщика, пагинация и полнота получения не проверены</x:v>
      </x:c>
      <x:c r="L164" s="5" t="str"/>
    </x:row>
    <x:row r="165" ht="31.5" customHeight="1">
      <x:c r="A165" s="5" t="str">
        <x:v>CU-SRC-0160</x:v>
      </x:c>
      <x:c r="B165" s="5" t="str">
        <x:v>CU-0073</x:v>
      </x:c>
      <x:c r="C165" s="5" t="str">
        <x:v>Технологический университет ЕвроХима</x:v>
      </x:c>
      <x:c r="D165" s="5" t="str">
        <x:v>main_200</x:v>
      </x:c>
      <x:c r="E165" s="5" t="str">
        <x:v>university_site</x:v>
      </x:c>
      <x:c r="F165" s="5" t="str">
        <x:v>https://mcc.eurochem.ru/ru/educations/</x:v>
      </x:c>
      <x:c r="G165" s="5" t="str">
        <x:v>Учебные центры предприятий и структура управления обучением; дополнительные маршруты</x:v>
      </x:c>
      <x:c r="H165" s="5" t="str">
        <x:v>search_index</x:v>
      </x:c>
      <x:c r="I165" s="5" t="str">
        <x:v>https://mcc.eurochem.ru/ru/educations/</x:v>
      </x:c>
      <x:c r="J165" s="5" t="str">
        <x:v>Периодически проверять HTML, новые ссылки, документы и изменения; сохранять сырые материалы перед ранжированием</x:v>
      </x:c>
      <x:c r="K165" s="5" t="str">
        <x:v>Публичная страница; сборщик и полнота получения не проверены</x:v>
      </x:c>
      <x:c r="L165" s="5" t="str"/>
    </x:row>
    <x:row r="166" ht="31.5" customHeight="1">
      <x:c r="A166" s="5" t="str">
        <x:v>CU-SRC-0161</x:v>
      </x:c>
      <x:c r="B166" s="5" t="str">
        <x:v>CU-0074</x:v>
      </x:c>
      <x:c r="C166" s="5" t="str">
        <x:v>Образовательный центр Сегежского ЦБК</x:v>
      </x:c>
      <x:c r="D166" s="5" t="str">
        <x:v>reserve</x:v>
      </x:c>
      <x:c r="E166" s="5" t="str">
        <x:v>university_site</x:v>
      </x:c>
      <x:c r="F166" s="5" t="str">
        <x:v>https://segezha-group.com/about/factory/scbk-educational-center/</x:v>
      </x:c>
      <x:c r="G166" s="5" t="str">
        <x:v>Новые программы, образовательные проекты, кадровые изменения, партнёры, материалы и ссылки на другие каналы</x:v>
      </x:c>
      <x:c r="H166" s="5" t="str">
        <x:v>search_index</x:v>
      </x:c>
      <x:c r="I166" s="5" t="str">
        <x:v>https://segezha-group.com/about/factory/scbk-educational-center/</x:v>
      </x:c>
      <x:c r="J166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66" s="5" t="str">
        <x:v>Публичный адрес подтверждён поиском; технический доступ и полноту выгрузки проверить отдельно</x:v>
      </x:c>
      <x:c r="L166" s="5" t="str"/>
    </x:row>
    <x:row r="167" ht="31.5" customHeight="1">
      <x:c r="A167" s="5" t="str">
        <x:v>CU-SRC-0162</x:v>
      </x:c>
      <x:c r="B167" s="5" t="str">
        <x:v>CU-0075</x:v>
      </x:c>
      <x:c r="C167" s="5" t="str">
        <x:v>НОЦ ВКО «Алмаз-Антей» им. академика В.П. Ефремова</x:v>
      </x:c>
      <x:c r="D167" s="5" t="str">
        <x:v>main_200</x:v>
      </x:c>
      <x:c r="E167" s="5" t="str">
        <x:v>university_site</x:v>
      </x:c>
      <x:c r="F167" s="5" t="str">
        <x:v>https://nocvko.ru/</x:v>
      </x:c>
      <x:c r="G167" s="5" t="str">
        <x:v>Новые программы, образовательные проекты, кадровые изменения, партнёры, материалы и ссылки на другие каналы</x:v>
      </x:c>
      <x:c r="H167" s="5" t="str">
        <x:v>content_read</x:v>
      </x:c>
      <x:c r="I167" s="5" t="str">
        <x:v>https://nocvko.ru/</x:v>
      </x:c>
      <x:c r="J167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67" s="5" t="str">
        <x:v>Содержимое публичной страницы прочитано; работоспособность сборщика, пагинация и полнота получения не проверены</x:v>
      </x:c>
      <x:c r="L167" s="5" t="str"/>
    </x:row>
    <x:row r="168" ht="31.5" customHeight="1">
      <x:c r="A168" s="5" t="str">
        <x:v>CU-SRC-0163</x:v>
      </x:c>
      <x:c r="B168" s="5" t="str">
        <x:v>CU-0075</x:v>
      </x:c>
      <x:c r="C168" s="5" t="str">
        <x:v>НОЦ ВКО «Алмаз-Антей» им. академика В.П. Ефремова</x:v>
      </x:c>
      <x:c r="D168" s="5" t="str">
        <x:v>main_200</x:v>
      </x:c>
      <x:c r="E168" s="5" t="str">
        <x:v>programs</x:v>
      </x:c>
      <x:c r="F168" s="5" t="str">
        <x:v>https://nocvko.ru/dopolnitelnoe-professionalnoe-obrazovanie-53/grafik-obucheniya-68</x:v>
      </x:c>
      <x:c r="G168" s="5" t="str">
        <x:v>График программ и новые направления</x:v>
      </x:c>
      <x:c r="H168" s="5" t="str">
        <x:v>content_read</x:v>
      </x:c>
      <x:c r="I168" s="5" t="str">
        <x:v>https://nocvko.ru/dopolnitelnoe-professionalnoe-obrazovanie-53/grafik-obucheniya-68</x:v>
      </x:c>
      <x:c r="J168" s="5" t="str">
        <x:v>Периодически проверять HTML, новые ссылки, документы и изменения; сохранять сырые материалы перед ранжированием</x:v>
      </x:c>
      <x:c r="K168" s="5" t="str">
        <x:v>Содержимое публичной страницы прочитано; работоспособность сборщика, пагинация и полнота получения не проверены</x:v>
      </x:c>
      <x:c r="L168" s="5" t="str"/>
    </x:row>
    <x:row r="169" ht="31.5" customHeight="1">
      <x:c r="A169" s="5" t="str">
        <x:v>CU-SRC-0164</x:v>
      </x:c>
      <x:c r="B169" s="5" t="str">
        <x:v>CU-0075</x:v>
      </x:c>
      <x:c r="C169" s="5" t="str">
        <x:v>НОЦ ВКО «Алмаз-Антей» им. академика В.П. Ефремова</x:v>
      </x:c>
      <x:c r="D169" s="5" t="str">
        <x:v>main_200</x:v>
      </x:c>
      <x:c r="E169" s="5" t="str">
        <x:v>contacts</x:v>
      </x:c>
      <x:c r="F169" s="5" t="str">
        <x:v>https://nocvko.ru/o-tsentre-1/kontakty-2</x:v>
      </x:c>
      <x:c r="G169" s="5" t="str">
        <x:v>Контакты ДПО и операторов программ</x:v>
      </x:c>
      <x:c r="H169" s="5" t="str">
        <x:v>content_read</x:v>
      </x:c>
      <x:c r="I169" s="5" t="str">
        <x:v>https://nocvko.ru/o-tsentre-1/kontakty-2</x:v>
      </x:c>
      <x:c r="J169" s="5" t="str">
        <x:v>Периодически проверять HTML, новые ссылки, документы и изменения; сохранять сырые материалы перед ранжированием</x:v>
      </x:c>
      <x:c r="K169" s="5" t="str">
        <x:v>Содержимое публичной страницы прочитано; работоспособность сборщика, пагинация и полнота получения не проверены</x:v>
      </x:c>
      <x:c r="L169" s="5" t="str"/>
    </x:row>
    <x:row r="170" ht="31.5" customHeight="1">
      <x:c r="A170" s="5" t="str">
        <x:v>CU-SRC-0165</x:v>
      </x:c>
      <x:c r="B170" s="5" t="str">
        <x:v>CU-0076</x:v>
      </x:c>
      <x:c r="C170" s="5" t="str">
        <x:v>Научно-образовательный центр Обуховского завода</x:v>
      </x:c>
      <x:c r="D170" s="5" t="str">
        <x:v>main_200</x:v>
      </x:c>
      <x:c r="E170" s="5" t="str">
        <x:v>university_site</x:v>
      </x:c>
      <x:c r="F170" s="5" t="str">
        <x:v>https://noc.goz.ru/</x:v>
      </x:c>
      <x:c r="G170" s="5" t="str">
        <x:v>Новые программы, образовательные проекты, кадровые изменения, партнёры, материалы и ссылки на другие каналы</x:v>
      </x:c>
      <x:c r="H170" s="5" t="str">
        <x:v>search_index</x:v>
      </x:c>
      <x:c r="I170" s="5" t="str">
        <x:v>https://noc.goz.ru/</x:v>
      </x:c>
      <x:c r="J170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70" s="5" t="str">
        <x:v>Публичный адрес подтверждён поиском; технический доступ и полноту выгрузки проверить отдельно</x:v>
      </x:c>
      <x:c r="L170" s="5" t="str"/>
    </x:row>
    <x:row r="171" ht="31.5" customHeight="1">
      <x:c r="A171" s="5" t="str">
        <x:v>CU-SRC-0166</x:v>
      </x:c>
      <x:c r="B171" s="5" t="str">
        <x:v>CU-0077</x:v>
      </x:c>
      <x:c r="C171" s="5" t="str">
        <x:v>Региональный центр подготовки персонала «Евраз-Сибирь»</x:v>
      </x:c>
      <x:c r="D171" s="5" t="str">
        <x:v>main_200</x:v>
      </x:c>
      <x:c r="E171" s="5" t="str">
        <x:v>university_site</x:v>
      </x:c>
      <x:c r="F171" s="5" t="str">
        <x:v>https://www.rcpp.ru/sveden/istoriya-tsentra</x:v>
      </x:c>
      <x:c r="G171" s="5" t="str">
        <x:v>Новые программы, образовательные проекты, кадровые изменения, партнёры, материалы и ссылки на другие каналы</x:v>
      </x:c>
      <x:c r="H171" s="5" t="str">
        <x:v>content_read</x:v>
      </x:c>
      <x:c r="I171" s="5" t="str">
        <x:v>https://www.rcpp.ru/sveden/istoriya-tsentra</x:v>
      </x:c>
      <x:c r="J171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71" s="5" t="str">
        <x:v>Содержимое публичной страницы прочитано; работоспособность сборщика, пагинация и полнота получения не проверены</x:v>
      </x:c>
      <x:c r="L171" s="5" t="str"/>
    </x:row>
    <x:row r="172" ht="31.5" customHeight="1">
      <x:c r="A172" s="5" t="str">
        <x:v>CU-SRC-0167</x:v>
      </x:c>
      <x:c r="B172" s="5" t="str">
        <x:v>CU-0077</x:v>
      </x:c>
      <x:c r="C172" s="5" t="str">
        <x:v>Региональный центр подготовки персонала «Евраз-Сибирь»</x:v>
      </x:c>
      <x:c r="D172" s="5" t="str">
        <x:v>main_200</x:v>
      </x:c>
      <x:c r="E172" s="5" t="str">
        <x:v>programs</x:v>
      </x:c>
      <x:c r="F172" s="5" t="str">
        <x:v>https://www.rcpp.ru/grafiki-i-rastsenki</x:v>
      </x:c>
      <x:c r="G172" s="5" t="str">
        <x:v>Графики для руководителей и специалистов; новые темы и партнёрская ниша</x:v>
      </x:c>
      <x:c r="H172" s="5" t="str">
        <x:v>search_index</x:v>
      </x:c>
      <x:c r="I172" s="5" t="str">
        <x:v>https://www.rcpp.ru/grafiki-i-rastsenki</x:v>
      </x:c>
      <x:c r="J172" s="5" t="str">
        <x:v>Периодически проверять HTML, новые ссылки, документы и изменения; сохранять сырые материалы перед ранжированием</x:v>
      </x:c>
      <x:c r="K172" s="5" t="str">
        <x:v>Публичная страница; сборщик и полнота получения не проверены</x:v>
      </x:c>
      <x:c r="L172" s="5" t="str"/>
    </x:row>
    <x:row r="173" ht="31.5" customHeight="1">
      <x:c r="A173" s="5" t="str">
        <x:v>CU-SRC-0168</x:v>
      </x:c>
      <x:c r="B173" s="5" t="str">
        <x:v>CU-0077</x:v>
      </x:c>
      <x:c r="C173" s="5" t="str">
        <x:v>Региональный центр подготовки персонала «Евраз-Сибирь»</x:v>
      </x:c>
      <x:c r="D173" s="5" t="str">
        <x:v>main_200</x:v>
      </x:c>
      <x:c r="E173" s="5" t="str">
        <x:v>news</x:v>
      </x:c>
      <x:c r="F173" s="5" t="str">
        <x:v>https://obr.evraz.com/zsmk/pedagogicheskij-sostav/</x:v>
      </x:c>
      <x:c r="G173" s="5" t="str">
        <x:v>Методическая подготовка преподавателей и дистанционные форматы</x:v>
      </x:c>
      <x:c r="H173" s="5" t="str">
        <x:v>search_index</x:v>
      </x:c>
      <x:c r="I173" s="5" t="str">
        <x:v>https://obr.evraz.com/zsmk/pedagogicheskij-sostav/</x:v>
      </x:c>
      <x:c r="J173" s="5" t="str">
        <x:v>Периодически проверять HTML, новые ссылки, документы и изменения; сохранять сырые материалы перед ранжированием</x:v>
      </x:c>
      <x:c r="K173" s="5" t="str">
        <x:v>Публичная страница; сборщик и полнота получения не проверены</x:v>
      </x:c>
      <x:c r="L173" s="5" t="str"/>
    </x:row>
    <x:row r="174" ht="31.5" customHeight="1">
      <x:c r="A174" s="5" t="str">
        <x:v>CU-SRC-0169</x:v>
      </x:c>
      <x:c r="B174" s="5" t="str">
        <x:v>CU-0078</x:v>
      </x:c>
      <x:c r="C174" s="5" t="str">
        <x:v>Центр подготовки персонала «Евраз-Урал»</x:v>
      </x:c>
      <x:c r="D174" s="5" t="str">
        <x:v>main_200</x:v>
      </x:c>
      <x:c r="E174" s="5" t="str">
        <x:v>university_site</x:v>
      </x:c>
      <x:c r="F174" s="5" t="str">
        <x:v>https://cpp-evraz-ural.ru/sveden/common/</x:v>
      </x:c>
      <x:c r="G174" s="5" t="str">
        <x:v>Новые программы, образовательные проекты, кадровые изменения, партнёры, материалы и ссылки на другие каналы</x:v>
      </x:c>
      <x:c r="H174" s="5" t="str">
        <x:v>search_index</x:v>
      </x:c>
      <x:c r="I174" s="5" t="str">
        <x:v>https://cpp-evraz-ural.ru/sveden/common/</x:v>
      </x:c>
      <x:c r="J174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74" s="5" t="str">
        <x:v>Публичный адрес подтверждён поиском; технический доступ и полноту выгрузки проверить отдельно</x:v>
      </x:c>
      <x:c r="L174" s="5" t="str"/>
    </x:row>
    <x:row r="175" ht="31.5" customHeight="1">
      <x:c r="A175" s="5" t="str">
        <x:v>CU-SRC-0170</x:v>
      </x:c>
      <x:c r="B175" s="5" t="str">
        <x:v>CU-0078</x:v>
      </x:c>
      <x:c r="C175" s="5" t="str">
        <x:v>Центр подготовки персонала «Евраз-Урал»</x:v>
      </x:c>
      <x:c r="D175" s="5" t="str">
        <x:v>main_200</x:v>
      </x:c>
      <x:c r="E175" s="5" t="str">
        <x:v>partners</x:v>
      </x:c>
      <x:c r="F175" s="5" t="str">
        <x:v>https://kcpk.ru/clients/chou-dpo-tsentr-podgotovki-personala-evraz-ural/</x:v>
      </x:c>
      <x:c r="G175" s="5" t="str">
        <x:v>Подтвержденная партнёром специализация и сеть взаимодействия</x:v>
      </x:c>
      <x:c r="H175" s="5" t="str">
        <x:v>search_index</x:v>
      </x:c>
      <x:c r="I175" s="5" t="str">
        <x:v>https://kcpk.ru/clients/chou-dpo-tsentr-podgotovki-personala-evraz-ural/</x:v>
      </x:c>
      <x:c r="J175" s="5" t="str">
        <x:v>Периодически проверять HTML, новые ссылки, документы и изменения; сохранять сырые материалы перед ранжированием</x:v>
      </x:c>
      <x:c r="K175" s="5" t="str">
        <x:v>Публичная страница; сборщик и полнота получения не проверены</x:v>
      </x:c>
      <x:c r="L175" s="5" t="str"/>
    </x:row>
    <x:row r="176" ht="31.5" customHeight="1">
      <x:c r="A176" s="5" t="str">
        <x:v>CU-SRC-0171</x:v>
      </x:c>
      <x:c r="B176" s="5" t="str">
        <x:v>CU-0079</x:v>
      </x:c>
      <x:c r="C176" s="5" t="str">
        <x:v>Учебный центр ЧерМК / отдел по обучению и развитию Северстали</x:v>
      </x:c>
      <x:c r="D176" s="5" t="str">
        <x:v>main_200</x:v>
      </x:c>
      <x:c r="E176" s="5" t="str">
        <x:v>university_site</x:v>
      </x:c>
      <x:c r="F176" s="5" t="str">
        <x:v>https://severstal.com/rus/about/structure/businesses/cherepovetskiy-metallurgicheskiy-kombinat/uchebnyy-tsentr-chermk/</x:v>
      </x:c>
      <x:c r="G176" s="5" t="str">
        <x:v>Новые программы, образовательные проекты, кадровые изменения, партнёры, материалы и ссылки на другие каналы</x:v>
      </x:c>
      <x:c r="H176" s="5" t="str">
        <x:v>search_index</x:v>
      </x:c>
      <x:c r="I176" s="5" t="str">
        <x:v>https://severstal.com/rus/about/structure/businesses/cherepovetskiy-metallurgicheskiy-kombinat/uchebnyy-tsentr-chermk/</x:v>
      </x:c>
      <x:c r="J176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76" s="5" t="str">
        <x:v>Публичный адрес подтверждён поиском; технический доступ и полноту выгрузки проверить отдельно</x:v>
      </x:c>
      <x:c r="L176" s="5" t="str"/>
    </x:row>
    <x:row r="177" ht="42.75" customHeight="1">
      <x:c r="A177" s="5" t="str">
        <x:v>CU-SRC-0172</x:v>
      </x:c>
      <x:c r="B177" s="5" t="str">
        <x:v>CU-0079</x:v>
      </x:c>
      <x:c r="C177" s="5" t="str">
        <x:v>Учебный центр ЧерМК / отдел по обучению и развитию Северстали</x:v>
      </x:c>
      <x:c r="D177" s="5" t="str">
        <x:v>main_200</x:v>
      </x:c>
      <x:c r="E177" s="5" t="str">
        <x:v>university_site</x:v>
      </x:c>
      <x:c r="F177" s="5" t="str">
        <x:v>https://severstal.com/rus/about/structure/businesses/cherepovetskiy-metallurgicheskiy-kombinat/uchebnyy-tsentr-chermk/svedeniya-ob-organizatsii/</x:v>
      </x:c>
      <x:c r="G177" s="5" t="str">
        <x:v>Реквизиты, образовательный статус и подразделение обучения</x:v>
      </x:c>
      <x:c r="H177" s="5" t="str">
        <x:v>search_index</x:v>
      </x:c>
      <x:c r="I177" s="5" t="str">
        <x:v>https://severstal.com/rus/about/structure/businesses/cherepovetskiy-metallurgicheskiy-kombinat/uchebnyy-tsentr-chermk/svedeniya-ob-organizatsii/</x:v>
      </x:c>
      <x:c r="J177" s="5" t="str">
        <x:v>Периодически проверять HTML, новые ссылки, документы и изменения; сохранять сырые материалы перед ранжированием</x:v>
      </x:c>
      <x:c r="K177" s="5" t="str">
        <x:v>Публичная страница; сборщик и полнота получения не проверены</x:v>
      </x:c>
      <x:c r="L177" s="5" t="str"/>
    </x:row>
    <x:row r="178" ht="31.5" customHeight="1">
      <x:c r="A178" s="5" t="str">
        <x:v>CU-SRC-0173</x:v>
      </x:c>
      <x:c r="B178" s="5" t="str">
        <x:v>CU-0080</x:v>
      </x:c>
      <x:c r="C178" s="5" t="str">
        <x:v>Учебный центр ПАО «Дорогобуж»</x:v>
      </x:c>
      <x:c r="D178" s="5" t="str">
        <x:v>reserve</x:v>
      </x:c>
      <x:c r="E178" s="5" t="str">
        <x:v>university_site</x:v>
      </x:c>
      <x:c r="F178" s="5" t="str">
        <x:v>https://www.acron.ru/sustainability/learning_centers/</x:v>
      </x:c>
      <x:c r="G178" s="5" t="str">
        <x:v>Новые программы, образовательные проекты, кадровые изменения, партнёры, материалы и ссылки на другие каналы</x:v>
      </x:c>
      <x:c r="H178" s="5" t="str">
        <x:v>content_read</x:v>
      </x:c>
      <x:c r="I178" s="5" t="str">
        <x:v>https://www.acron.ru/sustainability/learning_centers/</x:v>
      </x:c>
      <x:c r="J178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K178" s="5" t="str">
        <x:v>Содержимое публичной страницы прочитано; работоспособность сборщика, пагинация и полнота получения не проверены</x:v>
      </x:c>
      <x:c r="L178" s="5" t="str"/>
    </x:row>
    <x:row r="179" ht="31.5" customHeight="1">
      <x:c r="A179" s="5" t="str">
        <x:v>CU-SRC-0174</x:v>
      </x:c>
      <x:c r="B179" s="5" t="str">
        <x:v>CU-0080</x:v>
      </x:c>
      <x:c r="C179" s="5" t="str">
        <x:v>Учебный центр ПАО «Дорогобуж»</x:v>
      </x:c>
      <x:c r="D179" s="5" t="str">
        <x:v>reserve</x:v>
      </x:c>
      <x:c r="E179" s="5" t="str">
        <x:v>procurement</x:v>
      </x:c>
      <x:c r="F179" s="5" t="str">
        <x:v>https://www.acron.ru/about-acron-group/etp/</x:v>
      </x:c>
      <x:c r="G179" s="5" t="str">
        <x:v>Закупки группы и услуг обучения для предприятия</x:v>
      </x:c>
      <x:c r="H179" s="5" t="str">
        <x:v>content_read</x:v>
      </x:c>
      <x:c r="I179" s="5" t="str">
        <x:v>https://www.acron.ru/about-acron-group/etp/</x:v>
      </x:c>
      <x:c r="J179" s="5" t="str">
        <x:v>Периодически проверять HTML, новые ссылки, документы и изменения; сохранять сырые материалы перед ранжированием</x:v>
      </x:c>
      <x:c r="K179" s="5" t="str">
        <x:v>Содержимое публичной страницы прочитано; работоспособность сборщика, пагинация и полнота получения не проверены</x:v>
      </x:c>
      <x:c r="L179" s="5" t="str"/>
    </x:row>
    <x:row r="180" ht="31.5" customHeight="1">
      <x:c r="A180" s="5" t="str">
        <x:v>CU-SRC-0175</x:v>
      </x:c>
      <x:c r="B180" s="5" t="str">
        <x:v>CU-0081</x:v>
      </x:c>
      <x:c r="C180" s="5" t="str">
        <x:v>СберУниверситет</x:v>
      </x:c>
      <x:c r="D180" s="5" t="str">
        <x:v>main_200</x:v>
      </x:c>
      <x:c r="E180" s="5" t="str">
        <x:v>university_site</x:v>
      </x:c>
      <x:c r="F180" s="5" t="str">
        <x:v>https://sberuniversity.ru/</x:v>
      </x:c>
      <x:c r="G180" s="5" t="str">
        <x:v>Образовательные приоритеты, названия программ, приглашения партнёров, изменения структуры, ссылки на новые каналы.</x:v>
      </x:c>
      <x:c r="H180" s="5" t="str">
        <x:v>content_read</x:v>
      </x:c>
      <x:c r="I180" s="5" t="str">
        <x:v>https://sberuniversity.ru/</x:v>
      </x:c>
      <x:c r="J180" s="5" t="str">
        <x:v>HTTP/HTML или текст PDF; проверка обновлений и переход к найденным официальным разделам. RSS/API не подтверждены.</x:v>
      </x:c>
      <x:c r="K180" s="5" t="str">
        <x:v>Страница прочитана</x:v>
      </x:c>
      <x:c r="L180" s="5" t="str">
        <x:v>MISB-326</x:v>
      </x:c>
    </x:row>
    <x:row r="181" ht="31.5" customHeight="1">
      <x:c r="A181" s="5" t="str">
        <x:v>CU-SRC-0176</x:v>
      </x:c>
      <x:c r="B181" s="5" t="str">
        <x:v>CU-0081</x:v>
      </x:c>
      <x:c r="C181" s="5" t="str">
        <x:v>СберУниверситет</x:v>
      </x:c>
      <x:c r="D181" s="5" t="str">
        <x:v>main_200</x:v>
      </x:c>
      <x:c r="E181" s="5" t="str">
        <x:v>news</x:v>
      </x:c>
      <x:c r="F181" s="5" t="str">
        <x:v>https://sberuniversity.ru/news/</x:v>
      </x:c>
      <x:c r="G181" s="5" t="str">
        <x:v>Новые публикации, образовательные программы и ссылки на дополнительные источники; для закупок — широкий словарь услуг МИСБ.</x:v>
      </x:c>
      <x:c r="H181" s="5" t="str">
        <x:v>content_read</x:v>
      </x:c>
      <x:c r="I181" s="5" t="str">
        <x:v>https://sberuniversity.ru/</x:v>
      </x:c>
      <x:c r="J181" s="5" t="str">
        <x:v>Открытые HTML/JS после проверки доступа; сохранять документы, изменения и исходные ссылки.</x:v>
      </x:c>
      <x:c r="K181" s="5" t="str">
        <x:v>Открытая новостная лента; автоматический сбор не подключён.</x:v>
      </x:c>
      <x:c r="L181" s="5" t="str"/>
    </x:row>
    <x:row r="182" ht="31.5" customHeight="1">
      <x:c r="A182" s="5" t="str">
        <x:v>CU-SRC-0177</x:v>
      </x:c>
      <x:c r="B182" s="5" t="str">
        <x:v>CU-0082</x:v>
      </x:c>
      <x:c r="C182" s="5" t="str">
        <x:v>ВТБ Образование</x:v>
      </x:c>
      <x:c r="D182" s="5" t="str">
        <x:v>reserve</x:v>
      </x:c>
      <x:c r="E182" s="5" t="str">
        <x:v>university_site</x:v>
      </x:c>
      <x:c r="F182" s="5" t="str">
        <x:v>https://learn.vtb.ru/</x:v>
      </x:c>
      <x:c r="G182" s="5" t="str">
        <x:v>Образовательные приоритеты, названия программ, приглашения партнёров, изменения структуры, ссылки на новые каналы.</x:v>
      </x:c>
      <x:c r="H182" s="5" t="str">
        <x:v>search_index</x:v>
      </x:c>
      <x:c r="I182" s="5" t="str">
        <x:v>https://learn.vtb.ru/</x:v>
      </x:c>
      <x:c r="J182" s="5" t="str">
        <x:v>HTTP/HTML или текст PDF; проверка обновлений и переход к найденным официальным разделам. RSS/API не подтверждены.</x:v>
      </x:c>
      <x:c r="K182" s="5" t="str">
        <x:v>Подтверждено поисковым индексом официального сайта; попытка открыть страницу инструментом завершилась ошибкой. Сохранять и повторить доступ.</x:v>
      </x:c>
      <x:c r="L182" s="5" t="str"/>
    </x:row>
    <x:row r="183" ht="31.5" customHeight="1">
      <x:c r="A183" s="5" t="str">
        <x:v>CU-SRC-0178</x:v>
      </x:c>
      <x:c r="B183" s="5" t="str">
        <x:v>CU-0082</x:v>
      </x:c>
      <x:c r="C183" s="5" t="str">
        <x:v>ВТБ Образование</x:v>
      </x:c>
      <x:c r="D183" s="5" t="str">
        <x:v>reserve</x:v>
      </x:c>
      <x:c r="E183" s="5" t="str">
        <x:v>programs</x:v>
      </x:c>
      <x:c r="F183" s="5" t="str">
        <x:v>https://academy.vtb.ru/course/catalog.php</x:v>
      </x:c>
      <x:c r="G183" s="5" t="str">
        <x:v>Каталог программ, новые темы, аудитории и авторы.</x:v>
      </x:c>
      <x:c r="H183" s="5" t="str">
        <x:v>search_index</x:v>
      </x:c>
      <x:c r="I183" s="5" t="str">
        <x:v>https://academy.vtb.ru/course/catalog.php</x:v>
      </x:c>
      <x:c r="J183" s="5" t="str">
        <x:v>Сохранять HTML/PDF и изменения; извлекать ссылки на карточки и документы. RSS/API не предполагаются.</x:v>
      </x:c>
      <x:c r="K183" s="5" t="str">
        <x:v>Подтверждён адрес в выдаче/официальной ссылке; работа сборщика, пагинация и авторизация не проверены.</x:v>
      </x:c>
      <x:c r="L183" s="5" t="str"/>
    </x:row>
    <x:row r="184" ht="31.5" customHeight="1">
      <x:c r="A184" s="5" t="str">
        <x:v>CU-SRC-0179</x:v>
      </x:c>
      <x:c r="B184" s="5" t="str">
        <x:v>CU-0082</x:v>
      </x:c>
      <x:c r="C184" s="5" t="str">
        <x:v>ВТБ Образование</x:v>
      </x:c>
      <x:c r="D184" s="5" t="str">
        <x:v>reserve</x:v>
      </x:c>
      <x:c r="E184" s="5" t="str">
        <x:v>procurement</x:v>
      </x:c>
      <x:c r="F184" s="5" t="str">
        <x:v>https://www.vtb.ru/malyj-biznes/servisy-v-pomoshch-biznesu/biznes-connect/</x:v>
      </x:c>
      <x:c r="G184" s="5" t="str">
        <x:v>Официальный маршрут на Бизнес Коннект для закупок группы ВТБ; искать обучение и разработку курсов после перехода на площадку.</x:v>
      </x:c>
      <x:c r="H184" s="5" t="str">
        <x:v>search_index</x:v>
      </x:c>
      <x:c r="I184" s="5" t="str">
        <x:v>https://www.vtb.ru/malyj-biznes/servisy-v-pomoshch-biznesu/biznes-connect/</x:v>
      </x:c>
      <x:c r="J184" s="5" t="str">
        <x:v>Сохранять HTML/PDF и изменения; извлекать ссылки на карточки и документы. RSS/API не предполагаются.</x:v>
      </x:c>
      <x:c r="K184" s="5" t="str">
        <x:v>Подтверждён адрес в выдаче/официальной ссылке; работа сборщика, пагинация и авторизация не проверены.</x:v>
      </x:c>
      <x:c r="L184" s="5" t="str"/>
    </x:row>
    <x:row r="185" ht="31.5" customHeight="1">
      <x:c r="A185" s="5" t="str">
        <x:v>CU-SRC-0180</x:v>
      </x:c>
      <x:c r="B185" s="5" t="str">
        <x:v>CU-0083</x:v>
      </x:c>
      <x:c r="C185" s="5" t="str">
        <x:v>Альфа-Академия</x:v>
      </x:c>
      <x:c r="D185" s="5" t="str">
        <x:v>main_200</x:v>
      </x:c>
      <x:c r="E185" s="5" t="str">
        <x:v>news</x:v>
      </x:c>
      <x:c r="F185" s="5" t="str">
        <x:v>https://alfabank.ru/about/sustainability/</x:v>
      </x:c>
      <x:c r="G185" s="5" t="str">
        <x:v>Образовательные приоритеты, названия программ, приглашения партнёров, изменения структуры, ссылки на новые каналы.</x:v>
      </x:c>
      <x:c r="H185" s="5" t="str">
        <x:v>search_index</x:v>
      </x:c>
      <x:c r="I185" s="5" t="str">
        <x:v>https://alfabank.ru/about/sustainability/</x:v>
      </x:c>
      <x:c r="J185" s="5" t="str">
        <x:v>HTTP/HTML или текст PDF; проверка обновлений и переход к найденным официальным разделам. RSS/API не подтверждены.</x:v>
      </x:c>
      <x:c r="K185" s="5" t="str">
        <x:v>Найдено в поисковом индексе; извлечение содержимого сборщиком и права доступа не проверены</x:v>
      </x:c>
      <x:c r="L185" s="5" t="str"/>
    </x:row>
    <x:row r="186" ht="31.5" customHeight="1">
      <x:c r="A186" s="5" t="str">
        <x:v>CU-SRC-0181</x:v>
      </x:c>
      <x:c r="B186" s="5" t="str">
        <x:v>CU-0084</x:v>
      </x:c>
      <x:c r="C186" s="5" t="str">
        <x:v>РСХБ-Университет</x:v>
      </x:c>
      <x:c r="D186" s="5" t="str">
        <x:v>main_200</x:v>
      </x:c>
      <x:c r="E186" s="5" t="str">
        <x:v>university_site</x:v>
      </x:c>
      <x:c r="F186" s="5" t="str">
        <x:v>https://www.rshb.ru/news/19042024-000003</x:v>
      </x:c>
      <x:c r="G186" s="5" t="str">
        <x:v>Образовательные приоритеты, названия программ, приглашения партнёров, изменения структуры, ссылки на новые каналы.</x:v>
      </x:c>
      <x:c r="H186" s="5" t="str">
        <x:v>search_index</x:v>
      </x:c>
      <x:c r="I186" s="5" t="str">
        <x:v>https://www.rshb.ru/news/19042024-000003</x:v>
      </x:c>
      <x:c r="J186" s="5" t="str">
        <x:v>HTTP/HTML или текст PDF; проверка обновлений и переход к найденным официальным разделам. RSS/API не подтверждены.</x:v>
      </x:c>
      <x:c r="K186" s="5" t="str">
        <x:v>Найдено в поисковом индексе; извлечение содержимого сборщиком и права доступа не проверены</x:v>
      </x:c>
      <x:c r="L186" s="5" t="str"/>
    </x:row>
    <x:row r="187" ht="31.5" customHeight="1">
      <x:c r="A187" s="5" t="str">
        <x:v>CU-SRC-0182</x:v>
      </x:c>
      <x:c r="B187" s="5" t="str">
        <x:v>CU-0084</x:v>
      </x:c>
      <x:c r="C187" s="5" t="str">
        <x:v>РСХБ-Университет</x:v>
      </x:c>
      <x:c r="D187" s="5" t="str">
        <x:v>main_200</x:v>
      </x:c>
      <x:c r="E187" s="5" t="str">
        <x:v>procurement</x:v>
      </x:c>
      <x:c r="F187" s="5" t="str">
        <x:v>https://www.rshb.ru/about/purchases</x:v>
      </x:c>
      <x:c r="G187" s="5" t="str">
        <x:v>Закупки банка, ссылки на ЭТП и документы; обучение и электронный контент по широкому словарю.</x:v>
      </x:c>
      <x:c r="H187" s="5" t="str">
        <x:v>search_index</x:v>
      </x:c>
      <x:c r="I187" s="5" t="str">
        <x:v>https://www.rshb.ru/about/purchases</x:v>
      </x:c>
      <x:c r="J187" s="5" t="str">
        <x:v>Сохранять HTML/PDF и изменения; извлекать ссылки на карточки и документы. RSS/API не предполагаются.</x:v>
      </x:c>
      <x:c r="K187" s="5" t="str">
        <x:v>Подтверждён адрес в выдаче/официальной ссылке; работа сборщика, пагинация и авторизация не проверены.</x:v>
      </x:c>
      <x:c r="L187" s="5" t="str"/>
    </x:row>
    <x:row r="188" ht="31.5" customHeight="1">
      <x:c r="A188" s="5" t="str">
        <x:v>CU-SRC-0183</x:v>
      </x:c>
      <x:c r="B188" s="5" t="str">
        <x:v>CU-0085</x:v>
      </x:c>
      <x:c r="C188" s="5" t="str">
        <x:v>Академия ПСБ</x:v>
      </x:c>
      <x:c r="D188" s="5" t="str">
        <x:v>main_200</x:v>
      </x:c>
      <x:c r="E188" s="5" t="str">
        <x:v>university_site</x:v>
      </x:c>
      <x:c r="F188" s="5" t="str">
        <x:v>https://www.psbank.ru/bank/academy</x:v>
      </x:c>
      <x:c r="G188" s="5" t="str">
        <x:v>Образовательные приоритеты, названия программ, приглашения партнёров, изменения структуры, ссылки на новые каналы.</x:v>
      </x:c>
      <x:c r="H188" s="5" t="str">
        <x:v>search_index</x:v>
      </x:c>
      <x:c r="I188" s="5" t="str">
        <x:v>https://www.psbank.ru/bank/academy</x:v>
      </x:c>
      <x:c r="J188" s="5" t="str">
        <x:v>HTTP/HTML или текст PDF; проверка обновлений и переход к найденным официальным разделам. RSS/API не подтверждены.</x:v>
      </x:c>
      <x:c r="K188" s="5" t="str">
        <x:v>Подтверждено поисковым индексом официального сайта; попытка открыть страницу инструментом завершилась ошибкой. Сохранять и повторить доступ.</x:v>
      </x:c>
      <x:c r="L188" s="5" t="str"/>
    </x:row>
    <x:row r="189" ht="31.5" customHeight="1">
      <x:c r="A189" s="5" t="str">
        <x:v>CU-SRC-0184</x:v>
      </x:c>
      <x:c r="B189" s="5" t="str">
        <x:v>CU-0086</x:v>
      </x:c>
      <x:c r="C189" s="5" t="str">
        <x:v>Корпоративный университет УРАЛСИБ</x:v>
      </x:c>
      <x:c r="D189" s="5" t="str">
        <x:v>main_200</x:v>
      </x:c>
      <x:c r="E189" s="5" t="str">
        <x:v>news</x:v>
      </x:c>
      <x:c r="F189" s="5" t="str">
        <x:v>https://uralsib.ru/api/directory-engine/files/regulatory-objectives/riski_2015-05-29_lxnyyapa.pdf</x:v>
      </x:c>
      <x:c r="G189" s="5" t="str">
        <x:v>Образовательные приоритеты, названия программ, приглашения партнёров, изменения структуры, ссылки на новые каналы.</x:v>
      </x:c>
      <x:c r="H189" s="5" t="str">
        <x:v>search_index</x:v>
      </x:c>
      <x:c r="I189" s="5" t="str">
        <x:v>https://uralsib.ru/api/directory-engine/files/regulatory-objectives/riski_2015-05-29_lxnyyapa.pdf</x:v>
      </x:c>
      <x:c r="J189" s="5" t="str">
        <x:v>HTTP/HTML или текст PDF; проверка обновлений и переход к найденным официальным разделам. RSS/API не подтверждены.</x:v>
      </x:c>
      <x:c r="K189" s="5" t="str">
        <x:v>Найдено в поисковом индексе; извлечение содержимого сборщиком и права доступа не проверены</x:v>
      </x:c>
      <x:c r="L189" s="5" t="str"/>
    </x:row>
    <x:row r="190" ht="42.75" customHeight="1">
      <x:c r="A190" s="5" t="str">
        <x:v>CU-SRC-0185</x:v>
      </x:c>
      <x:c r="B190" s="5" t="str">
        <x:v>CU-0087</x:v>
      </x:c>
      <x:c r="C190" s="5" t="str">
        <x:v>Корпоративный университет Совкомбанка</x:v>
      </x:c>
      <x:c r="D190" s="5" t="str">
        <x:v>main_200</x:v>
      </x:c>
      <x:c r="E190" s="5" t="str">
        <x:v>news</x:v>
      </x:c>
      <x:c r="F190" s="5" t="str">
        <x:v>https://sovcombank.ru/about/press-center/news/novosti-kompanii/gruppa-sovkombank-stala-laureatom-hr-premii-hrustalnaya-piramida--2024-srazu-v-tryoh-nominatsiyah</x:v>
      </x:c>
      <x:c r="G190" s="5" t="str">
        <x:v>Образовательные приоритеты, названия программ, приглашения партнёров, изменения структуры, ссылки на новые каналы.</x:v>
      </x:c>
      <x:c r="H190" s="5" t="str">
        <x:v>search_index</x:v>
      </x:c>
      <x:c r="I190" s="5" t="str">
        <x:v>https://sovcombank.ru/about/press-center/news/novosti-kompanii/gruppa-sovkombank-stala-laureatom-hr-premii-hrustalnaya-piramida--2024-srazu-v-tryoh-nominatsiyah</x:v>
      </x:c>
      <x:c r="J190" s="5" t="str">
        <x:v>HTTP/HTML или текст PDF; проверка обновлений и переход к найденным официальным разделам. RSS/API не подтверждены.</x:v>
      </x:c>
      <x:c r="K190" s="5" t="str">
        <x:v>Найдено в поисковом индексе; извлечение содержимого сборщиком и права доступа не проверены</x:v>
      </x:c>
      <x:c r="L190" s="5" t="str"/>
    </x:row>
    <x:row r="191" ht="31.5" customHeight="1">
      <x:c r="A191" s="5" t="str">
        <x:v>CU-SRC-0186</x:v>
      </x:c>
      <x:c r="B191" s="5" t="str">
        <x:v>CU-0088</x:v>
      </x:c>
      <x:c r="C191" s="5" t="str">
        <x:v>Корпоративный университет Ингосстраха</x:v>
      </x:c>
      <x:c r="D191" s="5" t="str">
        <x:v>main_200</x:v>
      </x:c>
      <x:c r="E191" s="5" t="str">
        <x:v>news</x:v>
      </x:c>
      <x:c r="F191" s="5" t="str">
        <x:v>https://cdn.ingos.ru/docs/year-reports/igs-annual-report-2024_rus.pdf</x:v>
      </x:c>
      <x:c r="G191" s="5" t="str">
        <x:v>Образовательные приоритеты, названия программ, приглашения партнёров, изменения структуры, ссылки на новые каналы.</x:v>
      </x:c>
      <x:c r="H191" s="5" t="str">
        <x:v>search_index</x:v>
      </x:c>
      <x:c r="I191" s="5" t="str">
        <x:v>https://cdn.ingos.ru/docs/year-reports/igs-annual-report-2024_rus.pdf</x:v>
      </x:c>
      <x:c r="J191" s="5" t="str">
        <x:v>HTTP/HTML или текст PDF; проверка обновлений и переход к найденным официальным разделам. RSS/API не подтверждены.</x:v>
      </x:c>
      <x:c r="K191" s="5" t="str">
        <x:v>Найдено в поисковом индексе; извлечение содержимого сборщиком и права доступа не проверены</x:v>
      </x:c>
      <x:c r="L191" s="5" t="str"/>
    </x:row>
    <x:row r="192" ht="31.5" customHeight="1">
      <x:c r="A192" s="5" t="str">
        <x:v>CU-SRC-0187</x:v>
      </x:c>
      <x:c r="B192" s="5" t="str">
        <x:v>CU-0089</x:v>
      </x:c>
      <x:c r="C192" s="5" t="str">
        <x:v>Корпоративный университет Росгосстраха</x:v>
      </x:c>
      <x:c r="D192" s="5" t="str">
        <x:v>reserve</x:v>
      </x:c>
      <x:c r="E192" s="5" t="str">
        <x:v>news</x:v>
      </x:c>
      <x:c r="F192" s="5" t="str">
        <x:v>https://my.rgs.ru/media/all_insurance/sbotnik_kaliningrad.pdf</x:v>
      </x:c>
      <x:c r="G192" s="5" t="str">
        <x:v>Образовательные приоритеты, названия программ, приглашения партнёров, изменения структуры, ссылки на новые каналы.</x:v>
      </x:c>
      <x:c r="H192" s="5" t="str">
        <x:v>search_index</x:v>
      </x:c>
      <x:c r="I192" s="5" t="str">
        <x:v>https://my.rgs.ru/media/all_insurance/sbotnik_kaliningrad.pdf</x:v>
      </x:c>
      <x:c r="J192" s="5" t="str">
        <x:v>HTTP/HTML или текст PDF; проверка обновлений и переход к найденным официальным разделам. RSS/API не подтверждены.</x:v>
      </x:c>
      <x:c r="K192" s="5" t="str">
        <x:v>Найдено в поисковом индексе; извлечение содержимого сборщиком и права доступа не проверены</x:v>
      </x:c>
      <x:c r="L192" s="5" t="str"/>
    </x:row>
    <x:row r="193" ht="31.5" customHeight="1">
      <x:c r="A193" s="5" t="str">
        <x:v>CU-SRC-0188</x:v>
      </x:c>
      <x:c r="B193" s="5" t="str">
        <x:v>CU-0089</x:v>
      </x:c>
      <x:c r="C193" s="5" t="str">
        <x:v>Корпоративный университет Росгосстраха</x:v>
      </x:c>
      <x:c r="D193" s="5" t="str">
        <x:v>reserve</x:v>
      </x:c>
      <x:c r="E193" s="5" t="str">
        <x:v>news</x:v>
      </x:c>
      <x:c r="F193" s="5" t="str">
        <x:v>https://www.rgs.ru/about/news/rosgosstrakh-sokratil-razrabotku-uchebnykh-kursov-dlya-sotrudnikov-vtroe-s-pomoshchyu-ii-</x:v>
      </x:c>
      <x:c r="G193" s="5" t="str">
        <x:v>Актуальное управление обучения сети продаж, планы ИИ и производство электронных курсов; установить преемственность КУ.</x:v>
      </x:c>
      <x:c r="H193" s="5" t="str">
        <x:v>search_index</x:v>
      </x:c>
      <x:c r="I193" s="5" t="str">
        <x:v>https://www.rgs.ru/about/news/rosgosstrakh-sokratil-razrabotku-uchebnykh-kursov-dlya-sotrudnikov-vtroe-s-pomoshchyu-ii-</x:v>
      </x:c>
      <x:c r="J193" s="5" t="str">
        <x:v>Сохранять HTML/PDF и изменения; извлекать ссылки на карточки и документы. RSS/API не предполагаются.</x:v>
      </x:c>
      <x:c r="K193" s="5" t="str">
        <x:v>Подтверждён адрес в выдаче/официальной ссылке; работа сборщика, пагинация и авторизация не проверены.</x:v>
      </x:c>
      <x:c r="L193" s="5" t="str"/>
    </x:row>
    <x:row r="194" ht="31.5" customHeight="1">
      <x:c r="A194" s="5" t="str">
        <x:v>CU-SRC-0189</x:v>
      </x:c>
      <x:c r="B194" s="5" t="str">
        <x:v>CU-0090</x:v>
      </x:c>
      <x:c r="C194" s="5" t="str">
        <x:v>Корпоративный университет АльфаСтрахования</x:v>
      </x:c>
      <x:c r="D194" s="5" t="str">
        <x:v>main_200</x:v>
      </x:c>
      <x:c r="E194" s="5" t="str">
        <x:v>news</x:v>
      </x:c>
      <x:c r="F194" s="5" t="str">
        <x:v>https://www.alfastrah.ru/company/history/</x:v>
      </x:c>
      <x:c r="G194" s="5" t="str">
        <x:v>Образовательные приоритеты, названия программ, приглашения партнёров, изменения структуры, ссылки на новые каналы.</x:v>
      </x:c>
      <x:c r="H194" s="5" t="str">
        <x:v>search_index</x:v>
      </x:c>
      <x:c r="I194" s="5" t="str">
        <x:v>https://www.alfastrah.ru/company/history/</x:v>
      </x:c>
      <x:c r="J194" s="5" t="str">
        <x:v>HTTP/HTML или текст PDF; проверка обновлений и переход к найденным официальным разделам. RSS/API не подтверждены.</x:v>
      </x:c>
      <x:c r="K194" s="5" t="str">
        <x:v>Найдено в поисковом индексе; извлечение содержимого сборщиком и права доступа не проверены</x:v>
      </x:c>
      <x:c r="L194" s="5" t="str"/>
    </x:row>
    <x:row r="195" ht="31.5" customHeight="1">
      <x:c r="A195" s="5" t="str">
        <x:v>CU-SRC-0190</x:v>
      </x:c>
      <x:c r="B195" s="5" t="str">
        <x:v>CU-0091</x:v>
      </x:c>
      <x:c r="C195" s="5" t="str">
        <x:v>Школа страхования РЕСО</x:v>
      </x:c>
      <x:c r="D195" s="5" t="str">
        <x:v>main_200</x:v>
      </x:c>
      <x:c r="E195" s="5" t="str">
        <x:v>university_site</x:v>
      </x:c>
      <x:c r="F195" s="5" t="str">
        <x:v>https://reso.ru/agent-job/</x:v>
      </x:c>
      <x:c r="G195" s="5" t="str">
        <x:v>Образовательные приоритеты, названия программ, приглашения партнёров, изменения структуры, ссылки на новые каналы.</x:v>
      </x:c>
      <x:c r="H195" s="5" t="str">
        <x:v>search_index</x:v>
      </x:c>
      <x:c r="I195" s="5" t="str">
        <x:v>https://reso.ru/agent-job/</x:v>
      </x:c>
      <x:c r="J195" s="5" t="str">
        <x:v>HTTP/HTML или текст PDF; проверка обновлений и переход к найденным официальным разделам. RSS/API не подтверждены.</x:v>
      </x:c>
      <x:c r="K195" s="5" t="str">
        <x:v>Найдено в поисковом индексе; извлечение содержимого сборщиком и права доступа не проверены</x:v>
      </x:c>
      <x:c r="L195" s="5" t="str"/>
    </x:row>
    <x:row r="196" ht="31.5" customHeight="1">
      <x:c r="A196" s="5" t="str">
        <x:v>CU-SRC-0191</x:v>
      </x:c>
      <x:c r="B196" s="5" t="str">
        <x:v>CU-0091</x:v>
      </x:c>
      <x:c r="C196" s="5" t="str">
        <x:v>Школа страхования РЕСО</x:v>
      </x:c>
      <x:c r="D196" s="5" t="str">
        <x:v>main_200</x:v>
      </x:c>
      <x:c r="E196" s="5" t="str">
        <x:v>procurement</x:v>
      </x:c>
      <x:c r="F196" s="5" t="str">
        <x:v>https://reso.ru/about/tenders/</x:v>
      </x:c>
      <x:c r="G196" s="5" t="str">
        <x:v>Закупки компании и переход к актуальным тендерам; школа не объявляет здесь гарантированный спрос.</x:v>
      </x:c>
      <x:c r="H196" s="5" t="str">
        <x:v>search_index</x:v>
      </x:c>
      <x:c r="I196" s="5" t="str">
        <x:v>https://reso.ru/about/tenders/</x:v>
      </x:c>
      <x:c r="J196" s="5" t="str">
        <x:v>Сохранять HTML/PDF и изменения; извлекать ссылки на карточки и документы. RSS/API не предполагаются.</x:v>
      </x:c>
      <x:c r="K196" s="5" t="str">
        <x:v>Подтверждён адрес в выдаче/официальной ссылке; работа сборщика, пагинация и авторизация не проверены.</x:v>
      </x:c>
      <x:c r="L196" s="5" t="str"/>
    </x:row>
    <x:row r="197" ht="31.5" customHeight="1">
      <x:c r="A197" s="5" t="str">
        <x:v>CU-SRC-0192</x:v>
      </x:c>
      <x:c r="B197" s="5" t="str">
        <x:v>CU-0092</x:v>
      </x:c>
      <x:c r="C197" s="5" t="str">
        <x:v>Университет Банка России</x:v>
      </x:c>
      <x:c r="D197" s="5" t="str">
        <x:v>main_200</x:v>
      </x:c>
      <x:c r="E197" s="5" t="str">
        <x:v>news</x:v>
      </x:c>
      <x:c r="F197" s="5" t="str">
        <x:v>https://www.cbr.ru/about_br/bankstructute/ubr/</x:v>
      </x:c>
      <x:c r="G197" s="5" t="str">
        <x:v>Образовательные приоритеты, названия программ, приглашения партнёров, изменения структуры, ссылки на новые каналы.</x:v>
      </x:c>
      <x:c r="H197" s="5" t="str">
        <x:v>search_index</x:v>
      </x:c>
      <x:c r="I197" s="5" t="str">
        <x:v>https://www.cbr.ru/about_br/bankstructute/ubr/</x:v>
      </x:c>
      <x:c r="J197" s="5" t="str">
        <x:v>HTTP/HTML или текст PDF; проверка обновлений и переход к найденным официальным разделам. RSS/API не подтверждены.</x:v>
      </x:c>
      <x:c r="K197" s="5" t="str">
        <x:v>Официальная страница в индексе, прямое открытие вернуло 403. Сохранять с отдельной задачей доступа.</x:v>
      </x:c>
      <x:c r="L197" s="5" t="str"/>
    </x:row>
    <x:row r="198" ht="31.5" customHeight="1">
      <x:c r="A198" s="5" t="str">
        <x:v>CU-SRC-0193</x:v>
      </x:c>
      <x:c r="B198" s="5" t="str">
        <x:v>CU-0092</x:v>
      </x:c>
      <x:c r="C198" s="5" t="str">
        <x:v>Университет Банка России</x:v>
      </x:c>
      <x:c r="D198" s="5" t="str">
        <x:v>main_200</x:v>
      </x:c>
      <x:c r="E198" s="5" t="str">
        <x:v>programs</x:v>
      </x:c>
      <x:c r="F198" s="5" t="str">
        <x:v>https://finclass.info/</x:v>
      </x:c>
      <x:c r="G198" s="5" t="str">
        <x:v>Каталог открытых программ университета, новые курсы, темы, партнёрства; регистрация на обучение отдельна от доступа к публичным данным.</x:v>
      </x:c>
      <x:c r="H198" s="5" t="str">
        <x:v>search_index</x:v>
      </x:c>
      <x:c r="I198" s="5" t="str">
        <x:v>https://finclass.info/</x:v>
      </x:c>
      <x:c r="J198" s="5" t="str">
        <x:v>Сохранять HTML/PDF и изменения; извлекать ссылки на карточки и документы. RSS/API не предполагаются.</x:v>
      </x:c>
      <x:c r="K198" s="5" t="str">
        <x:v>Подтверждён адрес в выдаче/официальной ссылке; работа сборщика, пагинация и авторизация не проверены.</x:v>
      </x:c>
      <x:c r="L198" s="5" t="str"/>
    </x:row>
    <x:row r="199" ht="31.5" customHeight="1">
      <x:c r="A199" s="5" t="str">
        <x:v>CU-SRC-0194</x:v>
      </x:c>
      <x:c r="B199" s="5" t="str">
        <x:v>CU-0093</x:v>
      </x:c>
      <x:c r="C199" s="5" t="str">
        <x:v>Корпоративный университет МТС</x:v>
      </x:c>
      <x:c r="D199" s="5" t="str">
        <x:v>main_200</x:v>
      </x:c>
      <x:c r="E199" s="5" t="str">
        <x:v>university_site</x:v>
      </x:c>
      <x:c r="F199" s="5" t="str">
        <x:v>https://support.mts.ru/korporativnyyuniversitet</x:v>
      </x:c>
      <x:c r="G199" s="5" t="str">
        <x:v>Образовательные приоритеты, названия программ, приглашения партнёров, изменения структуры, ссылки на новые каналы.</x:v>
      </x:c>
      <x:c r="H199" s="5" t="str">
        <x:v>content_read</x:v>
      </x:c>
      <x:c r="I199" s="5" t="str">
        <x:v>https://support.mts.ru/korporativnyyuniversitet</x:v>
      </x:c>
      <x:c r="J199" s="5" t="str">
        <x:v>HTTP/HTML или текст PDF; проверка обновлений и переход к найденным официальным разделам. RSS/API не подтверждены.</x:v>
      </x:c>
      <x:c r="K199" s="5" t="str">
        <x:v>Страница прочитана</x:v>
      </x:c>
      <x:c r="L199" s="5" t="str"/>
    </x:row>
    <x:row r="200" ht="42.75" customHeight="1">
      <x:c r="A200" s="5" t="str">
        <x:v>CU-SRC-0195</x:v>
      </x:c>
      <x:c r="B200" s="5" t="str">
        <x:v>CU-0093</x:v>
      </x:c>
      <x:c r="C200" s="5" t="str">
        <x:v>Корпоративный университет МТС</x:v>
      </x:c>
      <x:c r="D200" s="5" t="str">
        <x:v>main_200</x:v>
      </x:c>
      <x:c r="E200" s="5" t="str">
        <x:v>news</x:v>
      </x:c>
      <x:c r="F200" s="5" t="str">
        <x:v>https://moskva.mts.ru/about/media-centr/soobshheniya-kompanii/novosti-mts-v-rossii-i-mire/2022-10-04/mts-stala-laureatom-premii-hr-brend</x:v>
      </x:c>
      <x:c r="G200" s="5" t="str">
        <x:v>Портфель тем, изменение образовательной платформы, внешние партнёры.</x:v>
      </x:c>
      <x:c r="H200" s="5" t="str">
        <x:v>search_index</x:v>
      </x:c>
      <x:c r="I200" s="5" t="str">
        <x:v>https://moskva.mts.ru/about/media-centr/soobshheniya-kompanii/novosti-mts-v-rossii-i-mire/2022-10-04/mts-stala-laureatom-premii-hr-brend</x:v>
      </x:c>
      <x:c r="J200" s="5" t="str">
        <x:v>Сохранять HTML/PDF и изменения; извлекать ссылки на карточки и документы. RSS/API не предполагаются.</x:v>
      </x:c>
      <x:c r="K200" s="5" t="str">
        <x:v>Подтверждён адрес в выдаче/официальной ссылке; работа сборщика, пагинация и авторизация не проверены.</x:v>
      </x:c>
      <x:c r="L200" s="5" t="str"/>
    </x:row>
    <x:row r="201" ht="31.5" customHeight="1">
      <x:c r="A201" s="5" t="str">
        <x:v>CU-SRC-0196</x:v>
      </x:c>
      <x:c r="B201" s="5" t="str">
        <x:v>CU-0093</x:v>
      </x:c>
      <x:c r="C201" s="5" t="str">
        <x:v>Корпоративный университет МТС</x:v>
      </x:c>
      <x:c r="D201" s="5" t="str">
        <x:v>main_200</x:v>
      </x:c>
      <x:c r="E201" s="5" t="str">
        <x:v>university_site</x:v>
      </x:c>
      <x:c r="F201" s="5" t="str">
        <x:v>https://education.mts.ru/</x:v>
      </x:c>
      <x:c r="G201" s="5" t="str">
        <x:v>Новые публикации, образовательные программы и ссылки на дополнительные источники; для закупок — широкий словарь услуг МИСБ.</x:v>
      </x:c>
      <x:c r="H201" s="5" t="str">
        <x:v>content_read</x:v>
      </x:c>
      <x:c r="I201" s="5" t="str">
        <x:v>https://support.mts.ru/korporativnyyuniversitet</x:v>
      </x:c>
      <x:c r="J201" s="5" t="str">
        <x:v>Открытые HTML/JS после проверки доступа; сохранять документы, изменения и исходные ссылки.</x:v>
      </x:c>
      <x:c r="K201" s="5" t="str">
        <x:v>Официальная ссылка открыта, возвращает оболочку с требованием JavaScript. Содержание/LMS не прочитаны; доступ ещё проверить.</x:v>
      </x:c>
      <x:c r="L201" s="5" t="str"/>
    </x:row>
    <x:row r="202" ht="31.5" customHeight="1">
      <x:c r="A202" s="5" t="str">
        <x:v>CU-SRC-0197</x:v>
      </x:c>
      <x:c r="B202" s="5" t="str">
        <x:v>CU-0094</x:v>
      </x:c>
      <x:c r="C202" s="5" t="str">
        <x:v>билайн университет</x:v>
      </x:c>
      <x:c r="D202" s="5" t="str">
        <x:v>main_200</x:v>
      </x:c>
      <x:c r="E202" s="5" t="str">
        <x:v>news</x:v>
      </x:c>
      <x:c r="F202" s="5" t="str">
        <x:v>https://beelinenow.ru/articles/klassika-i-sovremennost-25-let-bilayn-universitetu/</x:v>
      </x:c>
      <x:c r="G202" s="5" t="str">
        <x:v>Образовательные приоритеты, названия программ, приглашения партнёров, изменения структуры, ссылки на новые каналы.</x:v>
      </x:c>
      <x:c r="H202" s="5" t="str">
        <x:v>search_index</x:v>
      </x:c>
      <x:c r="I202" s="5" t="str">
        <x:v>https://beelinenow.ru/articles/klassika-i-sovremennost-25-let-bilayn-universitetu/</x:v>
      </x:c>
      <x:c r="J202" s="5" t="str">
        <x:v>HTTP/HTML или текст PDF; проверка обновлений и переход к найденным официальным разделам. RSS/API не подтверждены.</x:v>
      </x:c>
      <x:c r="K202" s="5" t="str">
        <x:v>Найдено в поисковом индексе; извлечение содержимого сборщиком и права доступа не проверены</x:v>
      </x:c>
      <x:c r="L202" s="5" t="str"/>
    </x:row>
    <x:row r="203" ht="31.5" customHeight="1">
      <x:c r="A203" s="5" t="str">
        <x:v>CU-SRC-0198</x:v>
      </x:c>
      <x:c r="B203" s="5" t="str">
        <x:v>CU-0095</x:v>
      </x:c>
      <x:c r="C203" s="5" t="str">
        <x:v>Корпоративный онлайн-университет Ростелекома</x:v>
      </x:c>
      <x:c r="D203" s="5" t="str">
        <x:v>main_200</x:v>
      </x:c>
      <x:c r="E203" s="5" t="str">
        <x:v>news</x:v>
      </x:c>
      <x:c r="F203" s="5" t="str">
        <x:v>https://www.company.rt.ru/social/staff/</x:v>
      </x:c>
      <x:c r="G203" s="5" t="str">
        <x:v>Образовательные приоритеты, названия программ, приглашения партнёров, изменения структуры, ссылки на новые каналы.</x:v>
      </x:c>
      <x:c r="H203" s="5" t="str">
        <x:v>search_index</x:v>
      </x:c>
      <x:c r="I203" s="5" t="str">
        <x:v>https://www.company.rt.ru/social/staff/</x:v>
      </x:c>
      <x:c r="J203" s="5" t="str">
        <x:v>HTTP/HTML или текст PDF; проверка обновлений и переход к найденным официальным разделам. RSS/API не подтверждены.</x:v>
      </x:c>
      <x:c r="K203" s="5" t="str">
        <x:v>Найдено в поисковом индексе; извлечение содержимого сборщиком и права доступа не проверены</x:v>
      </x:c>
      <x:c r="L203" s="5" t="str"/>
    </x:row>
    <x:row r="204" ht="31.5" customHeight="1">
      <x:c r="A204" s="5" t="str">
        <x:v>CU-SRC-0199</x:v>
      </x:c>
      <x:c r="B204" s="5" t="str">
        <x:v>CU-0096</x:v>
      </x:c>
      <x:c r="C204" s="5" t="str">
        <x:v>МегаАкадемия</x:v>
      </x:c>
      <x:c r="D204" s="5" t="str">
        <x:v>main_200</x:v>
      </x:c>
      <x:c r="E204" s="5" t="str">
        <x:v>news</x:v>
      </x:c>
      <x:c r="F204" s="5" t="str">
        <x:v>https://corp.megafon.ru/download/~federal/corp/investoram/report/year_reports/megafon_ar2019_rus.pdf</x:v>
      </x:c>
      <x:c r="G204" s="5" t="str">
        <x:v>Образовательные приоритеты, названия программ, приглашения партнёров, изменения структуры, ссылки на новые каналы.</x:v>
      </x:c>
      <x:c r="H204" s="5" t="str">
        <x:v>search_index</x:v>
      </x:c>
      <x:c r="I204" s="5" t="str">
        <x:v>https://corp.megafon.ru/download/~federal/corp/investoram/report/year_reports/megafon_ar2019_rus.pdf</x:v>
      </x:c>
      <x:c r="J204" s="5" t="str">
        <x:v>HTTP/HTML или текст PDF; проверка обновлений и переход к найденным официальным разделам. RSS/API не подтверждены.</x:v>
      </x:c>
      <x:c r="K204" s="5" t="str">
        <x:v>Найдено в поисковом индексе; извлечение содержимого сборщиком и права доступа не проверены</x:v>
      </x:c>
      <x:c r="L204" s="5" t="str"/>
    </x:row>
    <x:row r="205" ht="31.5" customHeight="1">
      <x:c r="A205" s="5" t="str">
        <x:v>CU-SRC-0200</x:v>
      </x:c>
      <x:c r="B205" s="5" t="str">
        <x:v>CU-0096</x:v>
      </x:c>
      <x:c r="C205" s="5" t="str">
        <x:v>МегаАкадемия</x:v>
      </x:c>
      <x:c r="D205" s="5" t="str">
        <x:v>main_200</x:v>
      </x:c>
      <x:c r="E205" s="5" t="str">
        <x:v>programs</x:v>
      </x:c>
      <x:c r="F205" s="5" t="str">
        <x:v>https://tng.megafon.ru/page94393376.html</x:v>
      </x:c>
      <x:c r="G205" s="5" t="str">
        <x:v>Именованные учебные материалы МегаАкадемии; выйти из отдельного материала к актуальному каталогу.</x:v>
      </x:c>
      <x:c r="H205" s="5" t="str">
        <x:v>search_index</x:v>
      </x:c>
      <x:c r="I205" s="5" t="str">
        <x:v>https://tng.megafon.ru/page94393376.html</x:v>
      </x:c>
      <x:c r="J205" s="5" t="str">
        <x:v>Сохранять HTML/PDF и изменения; извлекать ссылки на карточки и документы. RSS/API не предполагаются.</x:v>
      </x:c>
      <x:c r="K205" s="5" t="str">
        <x:v>Подтверждён адрес в выдаче/официальной ссылке; работа сборщика, пагинация и авторизация не проверены.</x:v>
      </x:c>
      <x:c r="L205" s="5" t="str"/>
    </x:row>
    <x:row r="206" ht="31.5" customHeight="1">
      <x:c r="A206" s="5" t="str">
        <x:v>CU-SRC-0201</x:v>
      </x:c>
      <x:c r="B206" s="5" t="str">
        <x:v>CU-0097</x:v>
      </x:c>
      <x:c r="C206" s="5" t="str">
        <x:v>Полка X5</x:v>
      </x:c>
      <x:c r="D206" s="5" t="str">
        <x:v>main_200</x:v>
      </x:c>
      <x:c r="E206" s="5" t="str">
        <x:v>news</x:v>
      </x:c>
      <x:c r="F206" s="5" t="str">
        <x:v>https://www.x5.ru/ru/news/x5-zapuskaet-korporativnyj-universitet/</x:v>
      </x:c>
      <x:c r="G206" s="5" t="str">
        <x:v>Образовательные приоритеты, названия программ, приглашения партнёров, изменения структуры, ссылки на новые каналы.</x:v>
      </x:c>
      <x:c r="H206" s="5" t="str">
        <x:v>search_index</x:v>
      </x:c>
      <x:c r="I206" s="5" t="str">
        <x:v>https://www.x5.ru/ru/news/x5-zapuskaet-korporativnyj-universitet/</x:v>
      </x:c>
      <x:c r="J206" s="5" t="str">
        <x:v>HTTP/HTML или текст PDF; проверка обновлений и переход к найденным официальным разделам. RSS/API не подтверждены.</x:v>
      </x:c>
      <x:c r="K206" s="5" t="str">
        <x:v>Найдено в поисковом индексе; извлечение содержимого сборщиком и права доступа не проверены</x:v>
      </x:c>
      <x:c r="L206" s="5" t="str"/>
    </x:row>
    <x:row r="207" ht="31.5" customHeight="1">
      <x:c r="A207" s="5" t="str">
        <x:v>CU-SRC-0202</x:v>
      </x:c>
      <x:c r="B207" s="5" t="str">
        <x:v>CU-0097</x:v>
      </x:c>
      <x:c r="C207" s="5" t="str">
        <x:v>Полка X5</x:v>
      </x:c>
      <x:c r="D207" s="5" t="str">
        <x:v>main_200</x:v>
      </x:c>
      <x:c r="E207" s="5" t="str">
        <x:v>procurement</x:v>
      </x:c>
      <x:c r="F207" s="5" t="str">
        <x:v>https://www.x5.ru/ru/partners/purchases-for-own-needs/</x:v>
      </x:c>
      <x:c r="G207" s="5" t="str">
        <x:v>Нетоварные закупки группы; обучение, оценка, кадровые и цифровые образовательные услуги.</x:v>
      </x:c>
      <x:c r="H207" s="5" t="str">
        <x:v>search_index</x:v>
      </x:c>
      <x:c r="I207" s="5" t="str">
        <x:v>https://www.x5.ru/ru/partners/purchases-for-own-needs/</x:v>
      </x:c>
      <x:c r="J207" s="5" t="str">
        <x:v>Сохранять HTML/PDF и изменения; извлекать ссылки на карточки и документы. RSS/API не предполагаются.</x:v>
      </x:c>
      <x:c r="K207" s="5" t="str">
        <x:v>Подтверждён адрес в выдаче/официальной ссылке; работа сборщика, пагинация и авторизация не проверены.</x:v>
      </x:c>
      <x:c r="L207" s="5" t="str">
        <x:v>MISB-296</x:v>
      </x:c>
    </x:row>
    <x:row r="208" ht="31.5" customHeight="1">
      <x:c r="A208" s="5" t="str">
        <x:v>CU-SRC-0203</x:v>
      </x:c>
      <x:c r="B208" s="5" t="str">
        <x:v>CU-0097</x:v>
      </x:c>
      <x:c r="C208" s="5" t="str">
        <x:v>Полка X5</x:v>
      </x:c>
      <x:c r="D208" s="5" t="str">
        <x:v>main_200</x:v>
      </x:c>
      <x:c r="E208" s="5" t="str">
        <x:v>procurement</x:v>
      </x:c>
      <x:c r="F208" s="5" t="str">
        <x:v>https://www.x5.ru/ru/suppliers/noncommercial-purchase/</x:v>
      </x:c>
      <x:c r="G208" s="5" t="str">
        <x:v>Кабинет поставщика и правила регистрации по нетоварным услугам; сохранить отдельно от информационной страницы.</x:v>
      </x:c>
      <x:c r="H208" s="5" t="str">
        <x:v>search_index</x:v>
      </x:c>
      <x:c r="I208" s="5" t="str">
        <x:v>https://www.x5.ru/ru/suppliers/noncommercial-purchase/</x:v>
      </x:c>
      <x:c r="J208" s="5" t="str">
        <x:v>Сохранять HTML/PDF и изменения; извлекать ссылки на карточки и документы. RSS/API не предполагаются.</x:v>
      </x:c>
      <x:c r="K208" s="5" t="str">
        <x:v>Подтверждён адрес в выдаче/официальной ссылке; работа сборщика, пагинация и авторизация не проверены.</x:v>
      </x:c>
      <x:c r="L208" s="5" t="str">
        <x:v>MISB-297</x:v>
      </x:c>
    </x:row>
    <x:row r="209" ht="31.5" customHeight="1">
      <x:c r="A209" s="5" t="str">
        <x:v>CU-SRC-0204</x:v>
      </x:c>
      <x:c r="B209" s="5" t="str">
        <x:v>CU-0098</x:v>
      </x:c>
      <x:c r="C209" s="5" t="str">
        <x:v>Корпоративная академия Магнита</x:v>
      </x:c>
      <x:c r="D209" s="5" t="str">
        <x:v>main_200</x:v>
      </x:c>
      <x:c r="E209" s="5" t="str">
        <x:v>news</x:v>
      </x:c>
      <x:c r="F209" s="5" t="str">
        <x:v>https://sr2022.magnit.com/ru/our-employees/recruitment-training/training-development</x:v>
      </x:c>
      <x:c r="G209" s="5" t="str">
        <x:v>Образовательные приоритеты, названия программ, приглашения партнёров, изменения структуры, ссылки на новые каналы.</x:v>
      </x:c>
      <x:c r="H209" s="5" t="str">
        <x:v>search_index</x:v>
      </x:c>
      <x:c r="I209" s="5" t="str">
        <x:v>https://sr2022.magnit.com/ru/our-employees/recruitment-training/training-development</x:v>
      </x:c>
      <x:c r="J209" s="5" t="str">
        <x:v>HTTP/HTML или текст PDF; проверка обновлений и переход к найденным официальным разделам. RSS/API не подтверждены.</x:v>
      </x:c>
      <x:c r="K209" s="5" t="str">
        <x:v>Найдено в поисковом индексе; извлечение содержимого сборщиком и права доступа не проверены</x:v>
      </x:c>
      <x:c r="L209" s="5" t="str"/>
    </x:row>
    <x:row r="210" ht="42.75" customHeight="1">
      <x:c r="A210" s="5" t="str">
        <x:v>CU-SRC-0205</x:v>
      </x:c>
      <x:c r="B210" s="5" t="str">
        <x:v>CU-0099</x:v>
      </x:c>
      <x:c r="C210" s="5" t="str">
        <x:v>Корпоративный университет Монетки</x:v>
      </x:c>
      <x:c r="D210" s="5" t="str">
        <x:v>main_200</x:v>
      </x:c>
      <x:c r="E210" s="5" t="str">
        <x:v>news</x:v>
      </x:c>
      <x:c r="F210" s="5" t="str">
        <x:v>https://www.lentagroup.ru/ru/media/news-and-press-releases/bolee-98-sotrudnikov-monetki-polozhitelno-otsenivayut-obuchenie-v-korporativnom-universitete/</x:v>
      </x:c>
      <x:c r="G210" s="5" t="str">
        <x:v>Образовательные приоритеты, названия программ, приглашения партнёров, изменения структуры, ссылки на новые каналы.</x:v>
      </x:c>
      <x:c r="H210" s="5" t="str">
        <x:v>search_index</x:v>
      </x:c>
      <x:c r="I210" s="5" t="str">
        <x:v>https://www.lentagroup.ru/ru/media/news-and-press-releases/bolee-98-sotrudnikov-monetki-polozhitelno-otsenivayut-obuchenie-v-korporativnom-universitete/</x:v>
      </x:c>
      <x:c r="J210" s="5" t="str">
        <x:v>HTTP/HTML или текст PDF; проверка обновлений и переход к найденным официальным разделам. RSS/API не подтверждены.</x:v>
      </x:c>
      <x:c r="K210" s="5" t="str">
        <x:v>Найдено в поисковом индексе; извлечение содержимого сборщиком и права доступа не проверены</x:v>
      </x:c>
      <x:c r="L210" s="5" t="str"/>
    </x:row>
    <x:row r="211" ht="31.5" customHeight="1">
      <x:c r="A211" s="5" t="str">
        <x:v>CU-SRC-0206</x:v>
      </x:c>
      <x:c r="B211" s="5" t="str">
        <x:v>CU-0100</x:v>
      </x:c>
      <x:c r="C211" s="5" t="str">
        <x:v>Цифровая академия / Академия ритейла М.Видео-Эльдорадо</x:v>
      </x:c>
      <x:c r="D211" s="5" t="str">
        <x:v>main_200</x:v>
      </x:c>
      <x:c r="E211" s="5" t="str">
        <x:v>news</x:v>
      </x:c>
      <x:c r="F211" s="5" t="str">
        <x:v>https://mvideoeldorado.ru/en/press-center/press-releases/detail/2420</x:v>
      </x:c>
      <x:c r="G211" s="5" t="str">
        <x:v>Образовательные приоритеты, названия программ, приглашения партнёров, изменения структуры, ссылки на новые каналы.</x:v>
      </x:c>
      <x:c r="H211" s="5" t="str">
        <x:v>search_index</x:v>
      </x:c>
      <x:c r="I211" s="5" t="str">
        <x:v>https://mvideoeldorado.ru/en/press-center/press-releases/detail/2420</x:v>
      </x:c>
      <x:c r="J211" s="5" t="str">
        <x:v>HTTP/HTML или текст PDF; проверка обновлений и переход к найденным официальным разделам. RSS/API не подтверждены.</x:v>
      </x:c>
      <x:c r="K211" s="5" t="str">
        <x:v>Найдено в поисковом индексе; извлечение содержимого сборщиком и права доступа не проверены</x:v>
      </x:c>
      <x:c r="L211" s="5" t="str"/>
    </x:row>
    <x:row r="212" ht="31.5" customHeight="1">
      <x:c r="A212" s="5" t="str">
        <x:v>CU-SRC-0207</x:v>
      </x:c>
      <x:c r="B212" s="5" t="str">
        <x:v>CU-0100</x:v>
      </x:c>
      <x:c r="C212" s="5" t="str">
        <x:v>Цифровая академия / Академия ритейла М.Видео-Эльдорадо</x:v>
      </x:c>
      <x:c r="D212" s="5" t="str">
        <x:v>main_200</x:v>
      </x:c>
      <x:c r="E212" s="5" t="str">
        <x:v>news</x:v>
      </x:c>
      <x:c r="F212" s="5" t="str">
        <x:v>https://www.mvideoeldorado.ru/fileadmin/user_upload/annual_reports/ru/2025/Mvideo_AR2025_Book_RUS_public.pdf</x:v>
      </x:c>
      <x:c r="G212" s="5" t="str">
        <x:v>Актуальное устройство обучения, Академия ТехноЭкспертов, SMART.TALKS, программы для новых руководителей.</x:v>
      </x:c>
      <x:c r="H212" s="5" t="str">
        <x:v>search_index</x:v>
      </x:c>
      <x:c r="I212" s="5" t="str">
        <x:v>https://www.mvideoeldorado.ru/fileadmin/user_upload/annual_reports/ru/2025/Mvideo_AR2025_Book_RUS_public.pdf</x:v>
      </x:c>
      <x:c r="J212" s="5" t="str">
        <x:v>Сохранять HTML/PDF и изменения; извлекать ссылки на карточки и документы. RSS/API не предполагаются.</x:v>
      </x:c>
      <x:c r="K212" s="5" t="str">
        <x:v>Подтверждён адрес в выдаче/официальной ссылке; работа сборщика, пагинация и авторизация не проверены.</x:v>
      </x:c>
      <x:c r="L212" s="5" t="str"/>
    </x:row>
    <x:row r="213" ht="31.5" customHeight="1">
      <x:c r="A213" s="5" t="str">
        <x:v>CU-SRC-0208</x:v>
      </x:c>
      <x:c r="B213" s="5" t="str">
        <x:v>CU-0101</x:v>
      </x:c>
      <x:c r="C213" s="5" t="str">
        <x:v>Корпоративный университет IBS</x:v>
      </x:c>
      <x:c r="D213" s="5" t="str">
        <x:v>reserve</x:v>
      </x:c>
      <x:c r="E213" s="5" t="str">
        <x:v>news</x:v>
      </x:c>
      <x:c r="F213" s="5" t="str">
        <x:v>https://ibs.ru/media/ibs-integriruet-svoi-obrazovatelnye-struktury-v-korporativnyy-universitet/</x:v>
      </x:c>
      <x:c r="G213" s="5" t="str">
        <x:v>Образовательные приоритеты, названия программ, приглашения партнёров, изменения структуры, ссылки на новые каналы.</x:v>
      </x:c>
      <x:c r="H213" s="5" t="str">
        <x:v>search_index</x:v>
      </x:c>
      <x:c r="I213" s="5" t="str">
        <x:v>https://ibs.ru/media/ibs-integriruet-svoi-obrazovatelnye-struktury-v-korporativnyy-universitet/</x:v>
      </x:c>
      <x:c r="J213" s="5" t="str">
        <x:v>HTTP/HTML или текст PDF; проверка обновлений и переход к найденным официальным разделам. RSS/API не подтверждены.</x:v>
      </x:c>
      <x:c r="K213" s="5" t="str">
        <x:v>Найдено в поисковом индексе; извлечение содержимого сборщиком и права доступа не проверены</x:v>
      </x:c>
      <x:c r="L213" s="5" t="str"/>
    </x:row>
    <x:row r="214" ht="31.5" customHeight="1">
      <x:c r="A214" s="5" t="str">
        <x:v>CU-SRC-0209</x:v>
      </x:c>
      <x:c r="B214" s="5" t="str">
        <x:v>CU-0102</x:v>
      </x:c>
      <x:c r="C214" s="5" t="str">
        <x:v>Корпоративный университет КРОК</x:v>
      </x:c>
      <x:c r="D214" s="5" t="str">
        <x:v>main_200</x:v>
      </x:c>
      <x:c r="E214" s="5" t="str">
        <x:v>news</x:v>
      </x:c>
      <x:c r="F214" s="5" t="str">
        <x:v>https://edcrunch.online/conf/2022/180</x:v>
      </x:c>
      <x:c r="G214" s="5" t="str">
        <x:v>Образовательные приоритеты, названия программ, приглашения партнёров, изменения структуры, ссылки на новые каналы.</x:v>
      </x:c>
      <x:c r="H214" s="5" t="str">
        <x:v>search_index</x:v>
      </x:c>
      <x:c r="I214" s="5" t="str">
        <x:v>https://edcrunch.online/conf/2022/180</x:v>
      </x:c>
      <x:c r="J214" s="5" t="str">
        <x:v>HTTP/HTML или текст PDF; проверка обновлений и переход к найденным официальным разделам. RSS/API не подтверждены.</x:v>
      </x:c>
      <x:c r="K214" s="5" t="str">
        <x:v>Найдено в поисковом индексе; извлечение содержимого сборщиком и права доступа не проверены</x:v>
      </x:c>
      <x:c r="L214" s="5" t="str"/>
    </x:row>
    <x:row r="215" ht="31.5" customHeight="1">
      <x:c r="A215" s="5" t="str">
        <x:v>CU-SRC-0210</x:v>
      </x:c>
      <x:c r="B215" s="5" t="str">
        <x:v>CU-0102</x:v>
      </x:c>
      <x:c r="C215" s="5" t="str">
        <x:v>Корпоративный университет КРОК</x:v>
      </x:c>
      <x:c r="D215" s="5" t="str">
        <x:v>main_200</x:v>
      </x:c>
      <x:c r="E215" s="5" t="str">
        <x:v>partners</x:v>
      </x:c>
      <x:c r="F215" s="5" t="str">
        <x:v>https://edu.croc.ru/projects</x:v>
      </x:c>
      <x:c r="G215" s="5" t="str">
        <x:v>Официальные кейсы образовательных услуг КРОК и направления партнёрства; искать актуальные контакты.</x:v>
      </x:c>
      <x:c r="H215" s="5" t="str">
        <x:v>search_index</x:v>
      </x:c>
      <x:c r="I215" s="5" t="str">
        <x:v>https://edu.croc.ru/projects</x:v>
      </x:c>
      <x:c r="J215" s="5" t="str">
        <x:v>Сохранять HTML/PDF и изменения; извлекать ссылки на карточки и документы. RSS/API не предполагаются.</x:v>
      </x:c>
      <x:c r="K215" s="5" t="str">
        <x:v>Подтверждён адрес в выдаче/официальной ссылке; работа сборщика, пагинация и авторизация не проверены.</x:v>
      </x:c>
      <x:c r="L215" s="5" t="str"/>
    </x:row>
    <x:row r="216" ht="42.75" customHeight="1">
      <x:c r="A216" s="5" t="str">
        <x:v>CU-SRC-0211</x:v>
      </x:c>
      <x:c r="B216" s="5" t="str">
        <x:v>CU-0103</x:v>
      </x:c>
      <x:c r="C216" s="5" t="str">
        <x:v>Корпоративный университет / внутренняя Академия Softline</x:v>
      </x:c>
      <x:c r="D216" s="5" t="str">
        <x:v>main_200</x:v>
      </x:c>
      <x:c r="E216" s="5" t="str">
        <x:v>news</x:v>
      </x:c>
      <x:c r="F216" s="5" t="str">
        <x:v>https://edu.softline.com/news/kompaniya-softline-otkryta-dlya-vsekh-kto-reshil-smenit-profil-deyatelnosti-i-nashel-sebya-v-it/</x:v>
      </x:c>
      <x:c r="G216" s="5" t="str">
        <x:v>Образовательные приоритеты, названия программ, приглашения партнёров, изменения структуры, ссылки на новые каналы.</x:v>
      </x:c>
      <x:c r="H216" s="5" t="str">
        <x:v>search_index</x:v>
      </x:c>
      <x:c r="I216" s="5" t="str">
        <x:v>https://edu.softline.com/news/kompaniya-softline-otkryta-dlya-vsekh-kto-reshil-smenit-profil-deyatelnosti-i-nashel-sebya-v-it/</x:v>
      </x:c>
      <x:c r="J216" s="5" t="str">
        <x:v>HTTP/HTML или текст PDF; проверка обновлений и переход к найденным официальным разделам. RSS/API не подтверждены.</x:v>
      </x:c>
      <x:c r="K216" s="5" t="str">
        <x:v>Найдено в поисковом индексе; извлечение содержимого сборщиком и права доступа не проверены</x:v>
      </x:c>
      <x:c r="L216" s="5" t="str"/>
    </x:row>
    <x:row r="217" ht="31.5" customHeight="1">
      <x:c r="A217" s="5" t="str">
        <x:v>CU-SRC-0212</x:v>
      </x:c>
      <x:c r="B217" s="5" t="str">
        <x:v>CU-0103</x:v>
      </x:c>
      <x:c r="C217" s="5" t="str">
        <x:v>Корпоративный университет / внутренняя Академия Softline</x:v>
      </x:c>
      <x:c r="D217" s="5" t="str">
        <x:v>main_200</x:v>
      </x:c>
      <x:c r="E217" s="5" t="str">
        <x:v>partners</x:v>
      </x:c>
      <x:c r="F217" s="5" t="str">
        <x:v>https://academy-softline.ru/</x:v>
      </x:c>
      <x:c r="G217" s="5" t="str">
        <x:v>Внешняя экосистема группы: темы и возможное партнёрство. Это смежный канал, не доказательство общего бюджета с внутренним КУ.</x:v>
      </x:c>
      <x:c r="H217" s="5" t="str">
        <x:v>search_index</x:v>
      </x:c>
      <x:c r="I217" s="5" t="str">
        <x:v>https://academy-softline.ru/</x:v>
      </x:c>
      <x:c r="J217" s="5" t="str">
        <x:v>Сохранять HTML/PDF и изменения; извлекать ссылки на карточки и документы. RSS/API не предполагаются.</x:v>
      </x:c>
      <x:c r="K217" s="5" t="str">
        <x:v>Подтверждён адрес в выдаче/официальной ссылке; работа сборщика, пагинация и авторизация не проверены.</x:v>
      </x:c>
      <x:c r="L217" s="5" t="str"/>
    </x:row>
    <x:row r="218" ht="31.5" customHeight="1">
      <x:c r="A218" s="5" t="str">
        <x:v>CU-SRC-0213</x:v>
      </x:c>
      <x:c r="B218" s="5" t="str">
        <x:v>CU-0104</x:v>
      </x:c>
      <x:c r="C218" s="5" t="str">
        <x:v>Сетевая Академия ЛАНИТ</x:v>
      </x:c>
      <x:c r="D218" s="5" t="str">
        <x:v>main_200</x:v>
      </x:c>
      <x:c r="E218" s="5" t="str">
        <x:v>news</x:v>
      </x:c>
      <x:c r="F218" s="5" t="str">
        <x:v>https://lanit.ru/press/archive/setevaya-akademiya-lanit-podvela-itogi-2021-goda-</x:v>
      </x:c>
      <x:c r="G218" s="5" t="str">
        <x:v>Образовательные приоритеты, названия программ, приглашения партнёров, изменения структуры, ссылки на новые каналы.</x:v>
      </x:c>
      <x:c r="H218" s="5" t="str">
        <x:v>search_index</x:v>
      </x:c>
      <x:c r="I218" s="5" t="str">
        <x:v>https://lanit.ru/press/archive/setevaya-akademiya-lanit-podvela-itogi-2021-goda-</x:v>
      </x:c>
      <x:c r="J218" s="5" t="str">
        <x:v>HTTP/HTML или текст PDF; проверка обновлений и переход к найденным официальным разделам. RSS/API не подтверждены.</x:v>
      </x:c>
      <x:c r="K218" s="5" t="str">
        <x:v>Найдено в поисковом индексе; извлечение содержимого сборщиком и права доступа не проверены</x:v>
      </x:c>
      <x:c r="L218" s="5" t="str"/>
    </x:row>
    <x:row r="219" ht="42.75" customHeight="1">
      <x:c r="A219" s="5" t="str">
        <x:v>CU-SRC-0214</x:v>
      </x:c>
      <x:c r="B219" s="5" t="str">
        <x:v>CU-0104</x:v>
      </x:c>
      <x:c r="C219" s="5" t="str">
        <x:v>Сетевая Академия ЛАНИТ</x:v>
      </x:c>
      <x:c r="D219" s="5" t="str">
        <x:v>main_200</x:v>
      </x:c>
      <x:c r="E219" s="5" t="str">
        <x:v>news</x:v>
      </x:c>
      <x:c r="F219" s="5" t="str">
        <x:v>https://lanit.ru/press/archive/setevaya-akademiya-lanit-poluchila-status-serebryanogo-partnera-gruppy-kompaniy-astra-po-obucheniyu</x:v>
      </x:c>
      <x:c r="G219" s="5" t="str">
        <x:v>Развитие учебного бизнеса и направлений; первичные ссылки на актуальный сайт академии.</x:v>
      </x:c>
      <x:c r="H219" s="5" t="str">
        <x:v>search_index</x:v>
      </x:c>
      <x:c r="I219" s="5" t="str">
        <x:v>https://lanit.ru/press/archive/setevaya-akademiya-lanit-poluchila-status-serebryanogo-partnera-gruppy-kompaniy-astra-po-obucheniyu</x:v>
      </x:c>
      <x:c r="J219" s="5" t="str">
        <x:v>Сохранять HTML/PDF и изменения; извлекать ссылки на карточки и документы. RSS/API не предполагаются.</x:v>
      </x:c>
      <x:c r="K219" s="5" t="str">
        <x:v>Подтверждён адрес в выдаче/официальной ссылке; работа сборщика, пагинация и авторизация не проверены.</x:v>
      </x:c>
      <x:c r="L219" s="5" t="str"/>
    </x:row>
    <x:row r="220" ht="31.5" customHeight="1">
      <x:c r="A220" s="5" t="str">
        <x:v>CU-SRC-0215</x:v>
      </x:c>
      <x:c r="B220" s="5" t="str">
        <x:v>CU-0105</x:v>
      </x:c>
      <x:c r="C220" s="5" t="str">
        <x:v>Ozon Универ</x:v>
      </x:c>
      <x:c r="D220" s="5" t="str">
        <x:v>main_200</x:v>
      </x:c>
      <x:c r="E220" s="5" t="str">
        <x:v>news</x:v>
      </x:c>
      <x:c r="F220" s="5" t="str">
        <x:v>https://dreamjob.ru/employers/26029/blog/ucene-trend-kak-vygladit-korporativnyj-universitet-ozon</x:v>
      </x:c>
      <x:c r="G220" s="5" t="str">
        <x:v>Образовательные приоритеты, названия программ, приглашения партнёров, изменения структуры, ссылки на новые каналы.</x:v>
      </x:c>
      <x:c r="H220" s="5" t="str">
        <x:v>content_read</x:v>
      </x:c>
      <x:c r="I220" s="5" t="str">
        <x:v>https://dreamjob.ru/employers/26029/blog/ucene-trend-kak-vygladit-korporativnyj-universitet-ozon</x:v>
      </x:c>
      <x:c r="J220" s="5" t="str">
        <x:v>HTTP/HTML или текст PDF; проверка обновлений и переход к найденным официальным разделам. RSS/API не подтверждены.</x:v>
      </x:c>
      <x:c r="K220" s="5" t="str">
        <x:v>Открыта статья от имени Ozon, описывает внутренний КУ и программы.</x:v>
      </x:c>
      <x:c r="L220" s="5" t="str"/>
    </x:row>
    <x:row r="221" ht="31.5" customHeight="1">
      <x:c r="A221" s="5" t="str">
        <x:v>CU-SRC-0216</x:v>
      </x:c>
      <x:c r="B221" s="5" t="str">
        <x:v>CU-0105</x:v>
      </x:c>
      <x:c r="C221" s="5" t="str">
        <x:v>Ozon Универ</x:v>
      </x:c>
      <x:c r="D221" s="5" t="str">
        <x:v>main_200</x:v>
      </x:c>
      <x:c r="E221" s="5" t="str">
        <x:v>news</x:v>
      </x:c>
      <x:c r="F221" s="5" t="str">
        <x:v>https://dreamjob.ru/employers/26029/blog</x:v>
      </x:c>
      <x:c r="G221" s="5" t="str">
        <x:v>Новые публикации, образовательные программы и ссылки на дополнительные источники; для закупок — широкий словарь услуг МИСБ.</x:v>
      </x:c>
      <x:c r="H221" s="5" t="str">
        <x:v>content_read</x:v>
      </x:c>
      <x:c r="I221" s="5" t="str">
        <x:v>https://dreamjob.ru/employers/26029/blog/ucene-trend-kak-vygladit-korporativnyj-universitet-ozon</x:v>
      </x:c>
      <x:c r="J221" s="5" t="str">
        <x:v>Открытые HTML/JS после проверки доступа; сохранять документы, изменения и исходные ссылки.</x:v>
      </x:c>
      <x:c r="K221" s="5" t="str">
        <x:v>Открыт авторский блог работодателя; сборщик не подключён.</x:v>
      </x:c>
      <x:c r="L221" s="5" t="str"/>
    </x:row>
    <x:row r="222" ht="31.5" customHeight="1">
      <x:c r="A222" s="5" t="str">
        <x:v>CU-SRC-0217</x:v>
      </x:c>
      <x:c r="B222" s="5" t="str">
        <x:v>CU-0106</x:v>
      </x:c>
      <x:c r="C222" s="5" t="str">
        <x:v>Корпоративный университет Петровича</x:v>
      </x:c>
      <x:c r="D222" s="5" t="str">
        <x:v>main_200</x:v>
      </x:c>
      <x:c r="E222" s="5" t="str">
        <x:v>news</x:v>
      </x:c>
      <x:c r="F222" s="5" t="str">
        <x:v>https://ostanin.ru/cases/std-petrovich/</x:v>
      </x:c>
      <x:c r="G222" s="5" t="str">
        <x:v>Образовательные приоритеты, названия программ, приглашения партнёров, изменения структуры, ссылки на новые каналы.</x:v>
      </x:c>
      <x:c r="H222" s="5" t="str">
        <x:v>search_index</x:v>
      </x:c>
      <x:c r="I222" s="5" t="str">
        <x:v>https://ostanin.ru/cases/std-petrovich/</x:v>
      </x:c>
      <x:c r="J222" s="5" t="str">
        <x:v>HTTP/HTML или текст PDF; проверка обновлений и переход к найденным официальным разделам. RSS/API не подтверждены.</x:v>
      </x:c>
      <x:c r="K222" s="5" t="str">
        <x:v>Найдено в поисковом индексе; извлечение содержимого сборщиком и права доступа не проверены</x:v>
      </x:c>
      <x:c r="L222" s="5" t="str"/>
    </x:row>
    <x:row r="223" ht="31.5" customHeight="1">
      <x:c r="A223" s="5" t="str">
        <x:v>CU-SRC-0218</x:v>
      </x:c>
      <x:c r="B223" s="5" t="str">
        <x:v>CU-0107</x:v>
      </x:c>
      <x:c r="C223" s="5" t="str">
        <x:v>Корпоративный университет СК Согласие</x:v>
      </x:c>
      <x:c r="D223" s="5" t="str">
        <x:v>main_200</x:v>
      </x:c>
      <x:c r="E223" s="5" t="str">
        <x:v>university_site</x:v>
      </x:c>
      <x:c r="F223" s="5" t="str">
        <x:v>https://auditorium-cg.ru/cef25</x:v>
      </x:c>
      <x:c r="G223" s="5" t="str">
        <x:v>Образовательные приоритеты, названия программ, приглашения партнёров, изменения структуры, ссылки на новые каналы.</x:v>
      </x:c>
      <x:c r="H223" s="5" t="str">
        <x:v>search_index</x:v>
      </x:c>
      <x:c r="I223" s="5" t="str">
        <x:v>https://auditorium-cg.ru/cef25</x:v>
      </x:c>
      <x:c r="J223" s="5" t="str">
        <x:v>HTTP/HTML или текст PDF; проверка обновлений и переход к найденным официальным разделам. RSS/API не подтверждены.</x:v>
      </x:c>
      <x:c r="K223" s="5" t="str">
        <x:v>Найдено в поисковом индексе; извлечение содержимого сборщиком и права доступа не проверены</x:v>
      </x:c>
      <x:c r="L223" s="5" t="str"/>
    </x:row>
    <x:row r="224" ht="31.5" customHeight="1">
      <x:c r="A224" s="5" t="str">
        <x:v>CU-SRC-0219</x:v>
      </x:c>
      <x:c r="B224" s="5" t="str">
        <x:v>CU-0108</x:v>
      </x:c>
      <x:c r="C224" s="5" t="str">
        <x:v>Академия бизнеса Б1</x:v>
      </x:c>
      <x:c r="D224" s="5" t="str">
        <x:v>main_200</x:v>
      </x:c>
      <x:c r="E224" s="5" t="str">
        <x:v>university_site</x:v>
      </x:c>
      <x:c r="F224" s="5" t="str">
        <x:v>https://b1.ru/academyb1/</x:v>
      </x:c>
      <x:c r="G224" s="5" t="str">
        <x:v>Образовательные приоритеты, названия программ, приглашения партнёров, изменения структуры, ссылки на новые каналы.</x:v>
      </x:c>
      <x:c r="H224" s="5" t="str">
        <x:v>search_index</x:v>
      </x:c>
      <x:c r="I224" s="5" t="str">
        <x:v>https://b1.ru/academyb1/</x:v>
      </x:c>
      <x:c r="J224" s="5" t="str">
        <x:v>HTTP/HTML или текст PDF; проверка обновлений и переход к найденным официальным разделам. RSS/API не подтверждены.</x:v>
      </x:c>
      <x:c r="K224" s="5" t="str">
        <x:v>Найдено в поисковом индексе; извлечение содержимого сборщиком и права доступа не проверены</x:v>
      </x:c>
      <x:c r="L224" s="5" t="str"/>
    </x:row>
    <x:row r="225" ht="31.5" customHeight="1">
      <x:c r="A225" s="5" t="str">
        <x:v>CU-SRC-0220</x:v>
      </x:c>
      <x:c r="B225" s="5" t="str">
        <x:v>CU-0108</x:v>
      </x:c>
      <x:c r="C225" s="5" t="str">
        <x:v>Академия бизнеса Б1</x:v>
      </x:c>
      <x:c r="D225" s="5" t="str">
        <x:v>main_200</x:v>
      </x:c>
      <x:c r="E225" s="5" t="str">
        <x:v>programs</x:v>
      </x:c>
      <x:c r="F225" s="5" t="str">
        <x:v>https://academyb1.ru/catalog/</x:v>
      </x:c>
      <x:c r="G225" s="5" t="str">
        <x:v>Новые темы, корпоративные версии, преподаватели, дефицитные компетенции.</x:v>
      </x:c>
      <x:c r="H225" s="5" t="str">
        <x:v>search_index</x:v>
      </x:c>
      <x:c r="I225" s="5" t="str">
        <x:v>https://academyb1.ru/catalog/</x:v>
      </x:c>
      <x:c r="J225" s="5" t="str">
        <x:v>Сохранять HTML/PDF и изменения; извлекать ссылки на карточки и документы. RSS/API не предполагаются.</x:v>
      </x:c>
      <x:c r="K225" s="5" t="str">
        <x:v>Подтверждён адрес в выдаче/официальной ссылке; работа сборщика, пагинация и авторизация не проверены.</x:v>
      </x:c>
      <x:c r="L225" s="5" t="str"/>
    </x:row>
    <x:row r="226" ht="31.5" customHeight="1">
      <x:c r="A226" s="5" t="str">
        <x:v>CU-SRC-0221</x:v>
      </x:c>
      <x:c r="B226" s="5" t="str">
        <x:v>CU-0108</x:v>
      </x:c>
      <x:c r="C226" s="5" t="str">
        <x:v>Академия бизнеса Б1</x:v>
      </x:c>
      <x:c r="D226" s="5" t="str">
        <x:v>main_200</x:v>
      </x:c>
      <x:c r="E226" s="5" t="str">
        <x:v>contacts</x:v>
      </x:c>
      <x:c r="F226" s="5" t="str">
        <x:v>https://academyb1.ru/contacts/</x:v>
      </x:c>
      <x:c r="G226" s="5" t="str">
        <x:v>Контактные маршруты академии; предложение экспертов и партнёрства по конкретной теме.</x:v>
      </x:c>
      <x:c r="H226" s="5" t="str">
        <x:v>search_index</x:v>
      </x:c>
      <x:c r="I226" s="5" t="str">
        <x:v>https://academyb1.ru/contacts/</x:v>
      </x:c>
      <x:c r="J226" s="5" t="str">
        <x:v>Сохранять HTML/PDF и изменения; извлекать ссылки на карточки и документы. RSS/API не предполагаются.</x:v>
      </x:c>
      <x:c r="K226" s="5" t="str">
        <x:v>Подтверждён адрес в выдаче/официальной ссылке; работа сборщика, пагинация и авторизация не проверены.</x:v>
      </x:c>
      <x:c r="L226" s="5" t="str"/>
    </x:row>
    <x:row r="227" ht="31.5" customHeight="1">
      <x:c r="A227" s="5" t="str">
        <x:v>CU-SRC-0222</x:v>
      </x:c>
      <x:c r="B227" s="5" t="str">
        <x:v>CU-0109</x:v>
      </x:c>
      <x:c r="C227" s="5" t="str">
        <x:v>Академия Kept</x:v>
      </x:c>
      <x:c r="D227" s="5" t="str">
        <x:v>main_200</x:v>
      </x:c>
      <x:c r="E227" s="5" t="str">
        <x:v>university_site</x:v>
      </x:c>
      <x:c r="F227" s="5" t="str">
        <x:v>https://academy.kept.ru/corp</x:v>
      </x:c>
      <x:c r="G227" s="5" t="str">
        <x:v>Образовательные приоритеты, названия программ, приглашения партнёров, изменения структуры, ссылки на новые каналы.</x:v>
      </x:c>
      <x:c r="H227" s="5" t="str">
        <x:v>search_index</x:v>
      </x:c>
      <x:c r="I227" s="5" t="str">
        <x:v>https://academy.kept.ru/corp</x:v>
      </x:c>
      <x:c r="J227" s="5" t="str">
        <x:v>HTTP/HTML или текст PDF; проверка обновлений и переход к найденным официальным разделам. RSS/API не подтверждены.</x:v>
      </x:c>
      <x:c r="K227" s="5" t="str">
        <x:v>Найдено в поисковом индексе; извлечение содержимого сборщиком и права доступа не проверены</x:v>
      </x:c>
      <x:c r="L227" s="5" t="str"/>
    </x:row>
    <x:row r="228" ht="31.5" customHeight="1">
      <x:c r="A228" s="5" t="str">
        <x:v>CU-SRC-0223</x:v>
      </x:c>
      <x:c r="B228" s="5" t="str">
        <x:v>CU-0109</x:v>
      </x:c>
      <x:c r="C228" s="5" t="str">
        <x:v>Академия Kept</x:v>
      </x:c>
      <x:c r="D228" s="5" t="str">
        <x:v>main_200</x:v>
      </x:c>
      <x:c r="E228" s="5" t="str">
        <x:v>programs</x:v>
      </x:c>
      <x:c r="F228" s="5" t="str">
        <x:v>https://academy.kept.ru/calendar</x:v>
      </x:c>
      <x:c r="G228" s="5" t="str">
        <x:v>Календарь обучения, новые форматы и темы.</x:v>
      </x:c>
      <x:c r="H228" s="5" t="str">
        <x:v>search_index</x:v>
      </x:c>
      <x:c r="I228" s="5" t="str">
        <x:v>https://academy.kept.ru/calendar</x:v>
      </x:c>
      <x:c r="J228" s="5" t="str">
        <x:v>Сохранять HTML/PDF и изменения; извлекать ссылки на карточки и документы. RSS/API не предполагаются.</x:v>
      </x:c>
      <x:c r="K228" s="5" t="str">
        <x:v>Подтверждён адрес в выдаче/официальной ссылке; работа сборщика, пагинация и авторизация не проверены.</x:v>
      </x:c>
      <x:c r="L228" s="5" t="str"/>
    </x:row>
    <x:row r="229" ht="31.5" customHeight="1">
      <x:c r="A229" s="5" t="str">
        <x:v>CU-SRC-0224</x:v>
      </x:c>
      <x:c r="B229" s="5" t="str">
        <x:v>CU-0110</x:v>
      </x:c>
      <x:c r="C229" s="5" t="str">
        <x:v>Академия Технологий Доверия</x:v>
      </x:c>
      <x:c r="D229" s="5" t="str">
        <x:v>main_200</x:v>
      </x:c>
      <x:c r="E229" s="5" t="str">
        <x:v>university_site</x:v>
      </x:c>
      <x:c r="F229" s="5" t="str">
        <x:v>https://training.tedo.ru/about-academy/</x:v>
      </x:c>
      <x:c r="G229" s="5" t="str">
        <x:v>Образовательные приоритеты, названия программ, приглашения партнёров, изменения структуры, ссылки на новые каналы.</x:v>
      </x:c>
      <x:c r="H229" s="5" t="str">
        <x:v>search_index</x:v>
      </x:c>
      <x:c r="I229" s="5" t="str">
        <x:v>https://training.tedo.ru/about-academy/</x:v>
      </x:c>
      <x:c r="J229" s="5" t="str">
        <x:v>HTTP/HTML или текст PDF; проверка обновлений и переход к найденным официальным разделам. RSS/API не подтверждены.</x:v>
      </x:c>
      <x:c r="K229" s="5" t="str">
        <x:v>Найдено в поисковом индексе; извлечение содержимого сборщиком и права доступа не проверены</x:v>
      </x:c>
      <x:c r="L229" s="5" t="str"/>
    </x:row>
    <x:row r="230" ht="31.5" customHeight="1">
      <x:c r="A230" s="5" t="str">
        <x:v>CU-SRC-0225</x:v>
      </x:c>
      <x:c r="B230" s="5" t="str">
        <x:v>CU-0110</x:v>
      </x:c>
      <x:c r="C230" s="5" t="str">
        <x:v>Академия Технологий Доверия</x:v>
      </x:c>
      <x:c r="D230" s="5" t="str">
        <x:v>main_200</x:v>
      </x:c>
      <x:c r="E230" s="5" t="str">
        <x:v>contacts</x:v>
      </x:c>
      <x:c r="F230" s="5" t="str">
        <x:v>https://training.tedo.ru/contacts/</x:v>
      </x:c>
      <x:c r="G230" s="5" t="str">
        <x:v>Контакты действующего центра корпоративного обучения Технологии Доверия-Эксперт.</x:v>
      </x:c>
      <x:c r="H230" s="5" t="str">
        <x:v>search_index</x:v>
      </x:c>
      <x:c r="I230" s="5" t="str">
        <x:v>https://training.tedo.ru/contacts/</x:v>
      </x:c>
      <x:c r="J230" s="5" t="str">
        <x:v>Сохранять HTML/PDF и изменения; извлекать ссылки на карточки и документы. RSS/API не предполагаются.</x:v>
      </x:c>
      <x:c r="K230" s="5" t="str">
        <x:v>Подтверждён адрес в выдаче/официальной ссылке; работа сборщика, пагинация и авторизация не проверены.</x:v>
      </x:c>
      <x:c r="L230" s="5" t="str"/>
    </x:row>
    <x:row r="231" ht="31.5" customHeight="1">
      <x:c r="A231" s="5" t="str">
        <x:v>CU-SRC-0226</x:v>
      </x:c>
      <x:c r="B231" s="5" t="str">
        <x:v>CU-0110</x:v>
      </x:c>
      <x:c r="C231" s="5" t="str">
        <x:v>Академия Технологий Доверия</x:v>
      </x:c>
      <x:c r="D231" s="5" t="str">
        <x:v>main_200</x:v>
      </x:c>
      <x:c r="E231" s="5" t="str">
        <x:v>programs</x:v>
      </x:c>
      <x:c r="F231" s="5" t="str">
        <x:v>https://training.tedo.ru/experts/</x:v>
      </x:c>
      <x:c r="G231" s="5" t="str">
        <x:v>Состав экспертов, новые направления и потенциальные совместные программы.</x:v>
      </x:c>
      <x:c r="H231" s="5" t="str">
        <x:v>search_index</x:v>
      </x:c>
      <x:c r="I231" s="5" t="str">
        <x:v>https://training.tedo.ru/experts/</x:v>
      </x:c>
      <x:c r="J231" s="5" t="str">
        <x:v>Сохранять HTML/PDF и изменения; извлекать ссылки на карточки и документы. RSS/API не предполагаются.</x:v>
      </x:c>
      <x:c r="K231" s="5" t="str">
        <x:v>Подтверждён адрес в выдаче/официальной ссылке; работа сборщика, пагинация и авторизация не проверены.</x:v>
      </x:c>
      <x:c r="L231" s="5" t="str"/>
    </x:row>
    <x:row r="232" ht="31.5" customHeight="1">
      <x:c r="A232" s="5" t="str">
        <x:v>CU-SRC-0227</x:v>
      </x:c>
      <x:c r="B232" s="5" t="str">
        <x:v>CU-0111</x:v>
      </x:c>
      <x:c r="C232" s="5" t="str">
        <x:v>Экономико-правовая школа ФБК</x:v>
      </x:c>
      <x:c r="D232" s="5" t="str">
        <x:v>main_200</x:v>
      </x:c>
      <x:c r="E232" s="5" t="str">
        <x:v>news</x:v>
      </x:c>
      <x:c r="F232" s="5" t="str">
        <x:v>https://www.fbk.ru/press-center/news/ekonomiko-pravovaya-shkola-fbk-zapustila-novyy-sayt/</x:v>
      </x:c>
      <x:c r="G232" s="5" t="str">
        <x:v>Образовательные приоритеты, названия программ, приглашения партнёров, изменения структуры, ссылки на новые каналы.</x:v>
      </x:c>
      <x:c r="H232" s="5" t="str">
        <x:v>search_index</x:v>
      </x:c>
      <x:c r="I232" s="5" t="str">
        <x:v>https://www.fbk.ru/press-center/news/ekonomiko-pravovaya-shkola-fbk-zapustila-novyy-sayt/</x:v>
      </x:c>
      <x:c r="J232" s="5" t="str">
        <x:v>HTTP/HTML или текст PDF; проверка обновлений и переход к найденным официальным разделам. RSS/API не подтверждены.</x:v>
      </x:c>
      <x:c r="K232" s="5" t="str">
        <x:v>Найдено в поисковом индексе; извлечение содержимого сборщиком и права доступа не проверены</x:v>
      </x:c>
      <x:c r="L232" s="5" t="str"/>
    </x:row>
    <x:row r="233" ht="31.5" customHeight="1">
      <x:c r="A233" s="5" t="str">
        <x:v>CU-SRC-0228</x:v>
      </x:c>
      <x:c r="B233" s="5" t="str">
        <x:v>CU-0111</x:v>
      </x:c>
      <x:c r="C233" s="5" t="str">
        <x:v>Экономико-правовая школа ФБК</x:v>
      </x:c>
      <x:c r="D233" s="5" t="str">
        <x:v>main_200</x:v>
      </x:c>
      <x:c r="E233" s="5" t="str">
        <x:v>university_site</x:v>
      </x:c>
      <x:c r="F233" s="5" t="str">
        <x:v>https://elsfbk.ru/</x:v>
      </x:c>
      <x:c r="G233" s="5" t="str">
        <x:v>Основной сайт школы: программы, календарь, новости и контакты.</x:v>
      </x:c>
      <x:c r="H233" s="5" t="str">
        <x:v>search_index</x:v>
      </x:c>
      <x:c r="I233" s="5" t="str">
        <x:v>https://elsfbk.ru/</x:v>
      </x:c>
      <x:c r="J233" s="5" t="str">
        <x:v>Сохранять HTML/PDF и изменения; извлекать ссылки на карточки и документы. RSS/API не предполагаются.</x:v>
      </x:c>
      <x:c r="K233" s="5" t="str">
        <x:v>Подтверждён адрес в выдаче/официальной ссылке; работа сборщика, пагинация и авторизация не проверены.</x:v>
      </x:c>
      <x:c r="L233" s="5" t="str"/>
    </x:row>
    <x:row r="234" ht="31.5" customHeight="1">
      <x:c r="A234" s="5" t="str">
        <x:v>CU-SRC-0229</x:v>
      </x:c>
      <x:c r="B234" s="5" t="str">
        <x:v>CU-0112</x:v>
      </x:c>
      <x:c r="C234" s="5" t="str">
        <x:v>Корпоративный университет СКБ Контур</x:v>
      </x:c>
      <x:c r="D234" s="5" t="str">
        <x:v>main_200</x:v>
      </x:c>
      <x:c r="E234" s="5" t="str">
        <x:v>news</x:v>
      </x:c>
      <x:c r="F234" s="5" t="str">
        <x:v>https://kontur.ru/press/news/79945-kontur_reshenie_kadrovogo_deficita_v_it</x:v>
      </x:c>
      <x:c r="G234" s="5" t="str">
        <x:v>Образовательные приоритеты, названия программ, приглашения партнёров, изменения структуры, ссылки на новые каналы.</x:v>
      </x:c>
      <x:c r="H234" s="5" t="str">
        <x:v>search_index</x:v>
      </x:c>
      <x:c r="I234" s="5" t="str">
        <x:v>https://kontur.ru/press/news/79945-kontur_reshenie_kadrovogo_deficita_v_it</x:v>
      </x:c>
      <x:c r="J234" s="5" t="str">
        <x:v>HTTP/HTML или текст PDF; проверка обновлений и переход к найденным официальным разделам. RSS/API не подтверждены.</x:v>
      </x:c>
      <x:c r="K234" s="5" t="str">
        <x:v>Найдено в поисковом индексе; извлечение содержимого сборщиком и права доступа не проверены</x:v>
      </x:c>
      <x:c r="L234" s="5" t="str"/>
    </x:row>
    <x:row r="235" ht="31.5" customHeight="1">
      <x:c r="A235" s="5" t="str">
        <x:v>CU-SRC-0230</x:v>
      </x:c>
      <x:c r="B235" s="5" t="str">
        <x:v>CU-0113</x:v>
      </x:c>
      <x:c r="C235" s="5" t="str">
        <x:v>Корпоративный университет Тензора</x:v>
      </x:c>
      <x:c r="D235" s="5" t="str">
        <x:v>main_200</x:v>
      </x:c>
      <x:c r="E235" s="5" t="str">
        <x:v>university_site</x:v>
      </x:c>
      <x:c r="F235" s="5" t="str">
        <x:v>https://tensor.ru/about/training</x:v>
      </x:c>
      <x:c r="G235" s="5" t="str">
        <x:v>Образовательные приоритеты, названия программ, приглашения партнёров, изменения структуры, ссылки на новые каналы.</x:v>
      </x:c>
      <x:c r="H235" s="5" t="str">
        <x:v>content_read</x:v>
      </x:c>
      <x:c r="I235" s="5" t="str">
        <x:v>https://tensor.ru/about/training</x:v>
      </x:c>
      <x:c r="J235" s="5" t="str">
        <x:v>HTTP/HTML или текст PDF; проверка обновлений и переход к найденным официальным разделам. RSS/API не подтверждены.</x:v>
      </x:c>
      <x:c r="K235" s="5" t="str">
        <x:v>Официальная страница открыта; содержимое доступно, сборщик не подключён.</x:v>
      </x:c>
      <x:c r="L235" s="5" t="str"/>
    </x:row>
    <x:row r="236" ht="31.5" customHeight="1">
      <x:c r="A236" s="5" t="str">
        <x:v>CU-SRC-0231</x:v>
      </x:c>
      <x:c r="B236" s="5" t="str">
        <x:v>CU-0114</x:v>
      </x:c>
      <x:c r="C236" s="5" t="str">
        <x:v>Nexign Academy / корпоративный университет Nexign</x:v>
      </x:c>
      <x:c r="D236" s="5" t="str">
        <x:v>main_200</x:v>
      </x:c>
      <x:c r="E236" s="5" t="str">
        <x:v>news</x:v>
      </x:c>
      <x:c r="F236" s="5" t="str">
        <x:v>https://nexign.com/ru/nexign-academy/razvitie-hr-servisov</x:v>
      </x:c>
      <x:c r="G236" s="5" t="str">
        <x:v>Образовательные приоритеты, названия программ, приглашения партнёров, изменения структуры, ссылки на новые каналы.</x:v>
      </x:c>
      <x:c r="H236" s="5" t="str">
        <x:v>content_read</x:v>
      </x:c>
      <x:c r="I236" s="5" t="str">
        <x:v>https://nexign.com/ru/nexign-academy/razvitie-hr-servisov</x:v>
      </x:c>
      <x:c r="J236" s="5" t="str">
        <x:v>HTTP/HTML или текст PDF; проверка обновлений и переход к найденным официальным разделам. RSS/API не подтверждены.</x:v>
      </x:c>
      <x:c r="K236" s="5" t="str">
        <x:v>Официальная страница открыта; содержимое доступно, сборщик не подключён.</x:v>
      </x:c>
      <x:c r="L236" s="5" t="str"/>
    </x:row>
    <x:row r="237" ht="31.5" customHeight="1">
      <x:c r="A237" s="5" t="str">
        <x:v>CU-SRC-0232</x:v>
      </x:c>
      <x:c r="B237" s="5" t="str">
        <x:v>CU-0114</x:v>
      </x:c>
      <x:c r="C237" s="5" t="str">
        <x:v>Nexign Academy / корпоративный университет Nexign</x:v>
      </x:c>
      <x:c r="D237" s="5" t="str">
        <x:v>main_200</x:v>
      </x:c>
      <x:c r="E237" s="5" t="str">
        <x:v>news</x:v>
      </x:c>
      <x:c r="F237" s="5" t="str">
        <x:v>https://nexign.com/ru/newsroom/events/russoft-zaharov</x:v>
      </x:c>
      <x:c r="G237" s="5" t="str">
        <x:v>Официальное выступление HR-директора о корпоративном университете и переподготовке кадров.</x:v>
      </x:c>
      <x:c r="H237" s="5" t="str">
        <x:v>search_index</x:v>
      </x:c>
      <x:c r="I237" s="5" t="str">
        <x:v>https://nexign.com/ru/newsroom/events/russoft-zaharov</x:v>
      </x:c>
      <x:c r="J237" s="5" t="str">
        <x:v>Сохранять HTML/PDF и изменения; извлекать ссылки на карточки и документы. RSS/API не предполагаются.</x:v>
      </x:c>
      <x:c r="K237" s="5" t="str">
        <x:v>Подтверждён адрес в выдаче/официальной ссылке; работа сборщика, пагинация и авторизация не проверены.</x:v>
      </x:c>
      <x:c r="L237" s="5" t="str"/>
    </x:row>
    <x:row r="238" ht="31.5" customHeight="1">
      <x:c r="A238" s="5" t="str">
        <x:v>CU-SRC-0233</x:v>
      </x:c>
      <x:c r="B238" s="5" t="str">
        <x:v>CU-0115</x:v>
      </x:c>
      <x:c r="C238" s="5" t="str">
        <x:v>ВСК Университет</x:v>
      </x:c>
      <x:c r="D238" s="5" t="str">
        <x:v>main_200</x:v>
      </x:c>
      <x:c r="E238" s="5" t="str">
        <x:v>university_site</x:v>
      </x:c>
      <x:c r="F238" s="5" t="str">
        <x:v>https://university.vsk.ru/</x:v>
      </x:c>
      <x:c r="G238" s="5" t="str">
        <x:v>Образовательные приоритеты, названия программ, приглашения партнёров, изменения структуры, ссылки на новые каналы.</x:v>
      </x:c>
      <x:c r="H238" s="5" t="str">
        <x:v>content_read</x:v>
      </x:c>
      <x:c r="I238" s="5" t="str">
        <x:v>https://university.vsk.ru/</x:v>
      </x:c>
      <x:c r="J238" s="5" t="str">
        <x:v>HTTP/HTML или текст PDF; проверка обновлений и переход к найденным официальным разделам. RSS/API не подтверждены.</x:v>
      </x:c>
      <x:c r="K238" s="5" t="str">
        <x:v>Страница прочитана</x:v>
      </x:c>
      <x:c r="L238" s="5" t="str"/>
    </x:row>
    <x:row r="239" ht="31.5" customHeight="1">
      <x:c r="A239" s="5" t="str">
        <x:v>CU-SRC-0234</x:v>
      </x:c>
      <x:c r="B239" s="5" t="str">
        <x:v>CU-0115</x:v>
      </x:c>
      <x:c r="C239" s="5" t="str">
        <x:v>ВСК Университет</x:v>
      </x:c>
      <x:c r="D239" s="5" t="str">
        <x:v>main_200</x:v>
      </x:c>
      <x:c r="E239" s="5" t="str">
        <x:v>programs</x:v>
      </x:c>
      <x:c r="F239" s="5" t="str">
        <x:v>https://university.vsk.ru/catalog/programmy/</x:v>
      </x:c>
      <x:c r="G239" s="5" t="str">
        <x:v>Новые программы, форматы и целевые аудитории; темы для партнёрства/экспертного предложения.</x:v>
      </x:c>
      <x:c r="H239" s="5" t="str">
        <x:v>search_index</x:v>
      </x:c>
      <x:c r="I239" s="5" t="str">
        <x:v>https://university.vsk.ru/catalog/programmy/</x:v>
      </x:c>
      <x:c r="J239" s="5" t="str">
        <x:v>Сохранять HTML/PDF и изменения; извлекать ссылки на карточки и документы. RSS/API не предполагаются.</x:v>
      </x:c>
      <x:c r="K239" s="5" t="str">
        <x:v>Подтверждён адрес в выдаче/официальной ссылке; работа сборщика, пагинация и авторизация не проверены.</x:v>
      </x:c>
      <x:c r="L239" s="5" t="str"/>
    </x:row>
    <x:row r="240" ht="31.5" customHeight="1">
      <x:c r="A240" s="5" t="str">
        <x:v>CU-SRC-0235</x:v>
      </x:c>
      <x:c r="B240" s="5" t="str">
        <x:v>CU-0115</x:v>
      </x:c>
      <x:c r="C240" s="5" t="str">
        <x:v>ВСК Университет</x:v>
      </x:c>
      <x:c r="D240" s="5" t="str">
        <x:v>main_200</x:v>
      </x:c>
      <x:c r="E240" s="5" t="str">
        <x:v>contacts</x:v>
      </x:c>
      <x:c r="F240" s="5" t="str">
        <x:v>https://university.vsk.ru/rukovodstvo</x:v>
      </x:c>
      <x:c r="G240" s="5" t="str">
        <x:v>Руководители и изменение структуры, назначение владельца программы.</x:v>
      </x:c>
      <x:c r="H240" s="5" t="str">
        <x:v>search_index</x:v>
      </x:c>
      <x:c r="I240" s="5" t="str">
        <x:v>https://university.vsk.ru/rukovodstvo</x:v>
      </x:c>
      <x:c r="J240" s="5" t="str">
        <x:v>Сохранять HTML/PDF и изменения; извлекать ссылки на карточки и документы. RSS/API не предполагаются.</x:v>
      </x:c>
      <x:c r="K240" s="5" t="str">
        <x:v>Подтверждён адрес в выдаче/официальной ссылке; работа сборщика, пагинация и авторизация не проверены.</x:v>
      </x:c>
      <x:c r="L240" s="5" t="str"/>
    </x:row>
    <x:row r="241" ht="42.75" customHeight="1">
      <x:c r="A241" s="5" t="str">
        <x:v>CU-SRC-0236</x:v>
      </x:c>
      <x:c r="B241" s="5" t="str">
        <x:v>CU-0116</x:v>
      </x:c>
      <x:c r="C241" s="5" t="str">
        <x:v>Корпоративный университет Ак Барс Банка</x:v>
      </x:c>
      <x:c r="D241" s="5" t="str">
        <x:v>main_200</x:v>
      </x:c>
      <x:c r="E241" s="5" t="str">
        <x:v>university_site</x:v>
      </x:c>
      <x:c r="F241" s="5" t="str">
        <x:v>https://www.tisbi.ru/novosti/tisbi-prinyal-uchastie-v-shestom-zasedanii-kruglogo-stola-s-departamentom-po-rabote-s-personalom-i-korporativnim-universitetom-ak-bars-banka</x:v>
      </x:c>
      <x:c r="G241" s="5" t="str">
        <x:v>Образовательные приоритеты, названия программ, приглашения партнёров, изменения структуры, ссылки на новые каналы.</x:v>
      </x:c>
      <x:c r="H241" s="5" t="str">
        <x:v>search_index</x:v>
      </x:c>
      <x:c r="I241" s="5" t="str">
        <x:v>https://www.tisbi.ru/novosti/tisbi-prinyal-uchastie-v-shestom-zasedanii-kruglogo-stola-s-departamentom-po-rabote-s-personalom-i-korporativnim-universitetom-ak-bars-banka</x:v>
      </x:c>
      <x:c r="J241" s="5" t="str">
        <x:v>HTTP/HTML или текст PDF; проверка обновлений и переход к найденным официальным разделам. RSS/API не подтверждены.</x:v>
      </x:c>
      <x:c r="K241" s="5" t="str">
        <x:v>Найдено в поисковом индексе; извлечение содержимого сборщиком и права доступа не проверены</x:v>
      </x:c>
      <x:c r="L241" s="5" t="str"/>
    </x:row>
    <x:row r="242" ht="31.5" customHeight="1">
      <x:c r="A242" s="5" t="str">
        <x:v>CU-SRC-0237</x:v>
      </x:c>
      <x:c r="B242" s="5" t="str">
        <x:v>CU-0116</x:v>
      </x:c>
      <x:c r="C242" s="5" t="str">
        <x:v>Корпоративный университет Ак Барс Банка</x:v>
      </x:c>
      <x:c r="D242" s="5" t="str">
        <x:v>main_200</x:v>
      </x:c>
      <x:c r="E242" s="5" t="str">
        <x:v>news</x:v>
      </x:c>
      <x:c r="F242" s="5" t="str">
        <x:v>https://media.kpfu.ru/news/komandy-kfu-voshli-v-pyaterku-luchshikh-na-khakatone-ak-bars-banka</x:v>
      </x:c>
      <x:c r="G242" s="5" t="str">
        <x:v>Первичная публикация партнёра об очном событии на площадке КУ; участники и развитие аналитического обучения.</x:v>
      </x:c>
      <x:c r="H242" s="5" t="str">
        <x:v>search_index</x:v>
      </x:c>
      <x:c r="I242" s="5" t="str">
        <x:v>https://media.kpfu.ru/news/komandy-kfu-voshli-v-pyaterku-luchshikh-na-khakatone-ak-bars-banka</x:v>
      </x:c>
      <x:c r="J242" s="5" t="str">
        <x:v>Сохранять HTML/PDF и изменения; извлекать ссылки на карточки и документы. RSS/API не предполагаются.</x:v>
      </x:c>
      <x:c r="K242" s="5" t="str">
        <x:v>Подтверждён адрес в выдаче/официальной ссылке; работа сборщика, пагинация и авторизация не проверены.</x:v>
      </x:c>
      <x:c r="L242" s="5" t="str"/>
    </x:row>
    <x:row r="243" ht="31.5" customHeight="1">
      <x:c r="A243" s="5" t="str">
        <x:v>CU-SRC-0238</x:v>
      </x:c>
      <x:c r="B243" s="5" t="str">
        <x:v>CU-0117</x:v>
      </x:c>
      <x:c r="C243" s="5" t="str">
        <x:v>Корпоративный университет Газпромбанка</x:v>
      </x:c>
      <x:c r="D243" s="5" t="str">
        <x:v>main_200</x:v>
      </x:c>
      <x:c r="E243" s="5" t="str">
        <x:v>news</x:v>
      </x:c>
      <x:c r="F243" s="5" t="str">
        <x:v>https://career.habr.com/companies/gazprombank/scores/2022</x:v>
      </x:c>
      <x:c r="G243" s="5" t="str">
        <x:v>Образовательные приоритеты, названия программ, приглашения партнёров, изменения структуры, ссылки на новые каналы.</x:v>
      </x:c>
      <x:c r="H243" s="5" t="str">
        <x:v>search_index</x:v>
      </x:c>
      <x:c r="I243" s="5" t="str">
        <x:v>https://career.habr.com/companies/gazprombank/scores/2022</x:v>
      </x:c>
      <x:c r="J243" s="5" t="str">
        <x:v>HTTP/HTML или текст PDF; проверка обновлений и переход к найденным официальным разделам. RSS/API не подтверждены.</x:v>
      </x:c>
      <x:c r="K243" s="5" t="str">
        <x:v>Найдено в поисковом индексе; извлечение содержимого сборщиком и права доступа не проверены</x:v>
      </x:c>
      <x:c r="L243" s="5" t="str"/>
    </x:row>
    <x:row r="244" ht="31.5" customHeight="1">
      <x:c r="A244" s="5" t="str">
        <x:v>CU-SRC-0239</x:v>
      </x:c>
      <x:c r="B244" s="5" t="str">
        <x:v>CU-0117</x:v>
      </x:c>
      <x:c r="C244" s="5" t="str">
        <x:v>Корпоративный университет Газпромбанка</x:v>
      </x:c>
      <x:c r="D244" s="5" t="str">
        <x:v>main_200</x:v>
      </x:c>
      <x:c r="E244" s="5" t="str">
        <x:v>news</x:v>
      </x:c>
      <x:c r="F244" s="5" t="str">
        <x:v>https://auditorium-cg.ru/cef22</x:v>
      </x:c>
      <x:c r="G244" s="5" t="str">
        <x:v>Первичный организатор конференции: руководитель КУ, темы выступлений. Перейти к актуальной программе и корпоративному профилю.</x:v>
      </x:c>
      <x:c r="H244" s="5" t="str">
        <x:v>search_index</x:v>
      </x:c>
      <x:c r="I244" s="5" t="str">
        <x:v>https://auditorium-cg.ru/cef22</x:v>
      </x:c>
      <x:c r="J244" s="5" t="str">
        <x:v>Сохранять HTML/PDF и изменения; извлекать ссылки на карточки и документы. RSS/API не предполагаются.</x:v>
      </x:c>
      <x:c r="K244" s="5" t="str">
        <x:v>Подтверждён адрес в выдаче/официальной ссылке; работа сборщика, пагинация и авторизация не проверены.</x:v>
      </x:c>
      <x:c r="L244" s="5" t="str"/>
    </x:row>
    <x:row r="245" ht="31.5" customHeight="1">
      <x:c r="A245" s="5" t="str">
        <x:v>CU-SRC-0240</x:v>
      </x:c>
      <x:c r="B245" s="5" t="str">
        <x:v>CU-0118</x:v>
      </x:c>
      <x:c r="C245" s="5" t="str">
        <x:v>Академия лидерства T2Way</x:v>
      </x:c>
      <x:c r="D245" s="5" t="str">
        <x:v>main_200</x:v>
      </x:c>
      <x:c r="E245" s="5" t="str">
        <x:v>university_site</x:v>
      </x:c>
      <x:c r="F245" s="5" t="str">
        <x:v>https://careers.t2.ru/?erid=2Vtzqwb7nMJ</x:v>
      </x:c>
      <x:c r="G245" s="5" t="str">
        <x:v>Образовательные приоритеты, названия программ, приглашения партнёров, изменения структуры, ссылки на новые каналы.</x:v>
      </x:c>
      <x:c r="H245" s="5" t="str">
        <x:v>search_index</x:v>
      </x:c>
      <x:c r="I245" s="5" t="str">
        <x:v>https://careers.t2.ru/?erid=2Vtzqwb7nMJ</x:v>
      </x:c>
      <x:c r="J245" s="5" t="str">
        <x:v>HTTP/HTML или текст PDF; проверка обновлений и переход к найденным официальным разделам. RSS/API не подтверждены.</x:v>
      </x:c>
      <x:c r="K245" s="5" t="str">
        <x:v>Подтверждено поисковым индексом официального сайта; попытка открыть страницу инструментом завершилась ошибкой. Сохранять и повторить доступ.</x:v>
      </x:c>
      <x:c r="L245" s="5" t="str"/>
    </x:row>
    <x:row r="246" ht="31.5" customHeight="1">
      <x:c r="A246" s="5" t="str">
        <x:v>CU-SRC-0241</x:v>
      </x:c>
      <x:c r="B246" s="5" t="str">
        <x:v>CU-0119</x:v>
      </x:c>
      <x:c r="C246" s="5" t="str">
        <x:v>Т1 Цифровая академия</x:v>
      </x:c>
      <x:c r="D246" s="5" t="str">
        <x:v>main_200</x:v>
      </x:c>
      <x:c r="E246" s="5" t="str">
        <x:v>news</x:v>
      </x:c>
      <x:c r="F246" s="5" t="str">
        <x:v>https://t1.ru/about/units/t1-academy</x:v>
      </x:c>
      <x:c r="G246" s="5" t="str">
        <x:v>Образовательные приоритеты, названия программ, приглашения партнёров, изменения структуры, ссылки на новые каналы.</x:v>
      </x:c>
      <x:c r="H246" s="5" t="str">
        <x:v>content_read</x:v>
      </x:c>
      <x:c r="I246" s="5" t="str">
        <x:v>https://t1.ru/about/units/t1-academy</x:v>
      </x:c>
      <x:c r="J246" s="5" t="str">
        <x:v>HTTP/HTML или текст PDF; проверка обновлений и переход к найденным официальным разделам. RSS/API не подтверждены.</x:v>
      </x:c>
      <x:c r="K246" s="5" t="str">
        <x:v>Официальная страница открыта; содержимое доступно, сборщик не подключён.</x:v>
      </x:c>
      <x:c r="L246" s="5" t="str"/>
    </x:row>
    <x:row r="247" ht="31.5" customHeight="1">
      <x:c r="A247" s="5" t="str">
        <x:v>CU-SRC-0242</x:v>
      </x:c>
      <x:c r="B247" s="5" t="str">
        <x:v>CU-0119</x:v>
      </x:c>
      <x:c r="C247" s="5" t="str">
        <x:v>Т1 Цифровая академия</x:v>
      </x:c>
      <x:c r="D247" s="5" t="str">
        <x:v>main_200</x:v>
      </x:c>
      <x:c r="E247" s="5" t="str">
        <x:v>contacts</x:v>
      </x:c>
      <x:c r="F247" s="5" t="str">
        <x:v>https://t1.ru/about/contacts</x:v>
      </x:c>
      <x:c r="G247" s="5" t="str">
        <x:v>Опубликованный контакт по закупочным процедурам и маршруты бизнес-направлений.</x:v>
      </x:c>
      <x:c r="H247" s="5" t="str">
        <x:v>search_index</x:v>
      </x:c>
      <x:c r="I247" s="5" t="str">
        <x:v>https://t1.ru/about/contacts</x:v>
      </x:c>
      <x:c r="J247" s="5" t="str">
        <x:v>Сохранять HTML/PDF и изменения; извлекать ссылки на карточки и документы. RSS/API не предполагаются.</x:v>
      </x:c>
      <x:c r="K247" s="5" t="str">
        <x:v>Подтверждён адрес в выдаче/официальной ссылке; работа сборщика, пагинация и авторизация не проверены.</x:v>
      </x:c>
      <x:c r="L247" s="5" t="str"/>
    </x:row>
    <x:row r="248" ht="31.5" customHeight="1">
      <x:c r="A248" s="5" t="str">
        <x:v>CU-SRC-0243</x:v>
      </x:c>
      <x:c r="B248" s="5" t="str">
        <x:v>CU-0119</x:v>
      </x:c>
      <x:c r="C248" s="5" t="str">
        <x:v>Т1 Цифровая академия</x:v>
      </x:c>
      <x:c r="D248" s="5" t="str">
        <x:v>main_200</x:v>
      </x:c>
      <x:c r="E248" s="5" t="str">
        <x:v>procurement</x:v>
      </x:c>
      <x:c r="F248" s="5" t="str">
        <x:v>https://t1.ru/about/purchases</x:v>
      </x:c>
      <x:c r="G248" s="5" t="str">
        <x:v>Новые публикации, образовательные программы и ссылки на дополнительные источники; для закупок — широкий словарь услуг МИСБ.</x:v>
      </x:c>
      <x:c r="H248" s="5" t="str">
        <x:v>content_read</x:v>
      </x:c>
      <x:c r="I248" s="5" t="str">
        <x:v>https://t1.ru/about/units/t1-academy</x:v>
      </x:c>
      <x:c r="J248" s="5" t="str">
        <x:v>Открытые HTML/JS после проверки доступа; сохранять документы, изменения и исходные ссылки.</x:v>
      </x:c>
      <x:c r="K248" s="5" t="str">
        <x:v>Официальный раздел открыт; покрытие всех процедур не проверено.</x:v>
      </x:c>
      <x:c r="L248" s="5" t="str"/>
    </x:row>
    <x:row r="249" ht="31.5" customHeight="1">
      <x:c r="A249" s="5" t="str">
        <x:v>CU-SRC-0244</x:v>
      </x:c>
      <x:c r="B249" s="5" t="str">
        <x:v>CU-0120</x:v>
      </x:c>
      <x:c r="C249" s="5" t="str">
        <x:v>1С:Учебный центр №1</x:v>
      </x:c>
      <x:c r="D249" s="5" t="str">
        <x:v>main_200</x:v>
      </x:c>
      <x:c r="E249" s="5" t="str">
        <x:v>university_site</x:v>
      </x:c>
      <x:c r="F249" s="5" t="str">
        <x:v>https://uc1.1c.ru/</x:v>
      </x:c>
      <x:c r="G249" s="5" t="str">
        <x:v>Календарь, новые программы, авторы, партнёрства и заявки на разработку материалов.</x:v>
      </x:c>
      <x:c r="H249" s="5" t="str">
        <x:v>search_index</x:v>
      </x:c>
      <x:c r="I249" s="5" t="str">
        <x:v>https://uc1.1c.ru/about/?ysclid=mbgmgyswxj770636479</x:v>
      </x:c>
      <x:c r="J249" s="5" t="str">
        <x:v>Открытые HTML-страницы и календарь; API/RSS не подтверждены.</x:v>
      </x:c>
      <x:c r="K249" s="5" t="str">
        <x:v>Официальный сайт и принадлежность фирме найдены в поисковом индексе; сборщик не проверен.</x:v>
      </x:c>
      <x:c r="L249" s="5" t="str"/>
    </x:row>
    <x:row r="250" ht="31.5" customHeight="1">
      <x:c r="A250" s="5" t="str">
        <x:v>CU-SRC-0245</x:v>
      </x:c>
      <x:c r="B250" s="5" t="str">
        <x:v>CU-0121</x:v>
      </x:c>
      <x:c r="C250" s="5" t="str">
        <x:v>Управление развития функции обучения Т-Банка</x:v>
      </x:c>
      <x:c r="D250" s="5" t="str">
        <x:v>reserve</x:v>
      </x:c>
      <x:c r="E250" s="5" t="str">
        <x:v>news</x:v>
      </x:c>
      <x:c r="F250" s="5" t="str">
        <x:v>https://rutube.ru/video/363426e9f42348c0d1d8e4388de851f7/</x:v>
      </x:c>
      <x:c r="G250" s="5" t="str">
        <x:v>Образовательные приоритеты, названия программ, приглашения партнёров, изменения структуры, ссылки на новые каналы.</x:v>
      </x:c>
      <x:c r="H250" s="5" t="str">
        <x:v>search_index</x:v>
      </x:c>
      <x:c r="I250" s="5" t="str">
        <x:v>https://rutube.ru/video/363426e9f42348c0d1d8e4388de851f7/</x:v>
      </x:c>
      <x:c r="J250" s="5" t="str">
        <x:v>HTTP/HTML или текст PDF; проверка обновлений и переход к найденным официальным разделам. RSS/API не подтверждены.</x:v>
      </x:c>
      <x:c r="K250" s="5" t="str">
        <x:v>Найдено в поисковом индексе; извлечение содержимого сборщиком и права доступа не проверены</x:v>
      </x:c>
      <x:c r="L250" s="5" t="str"/>
    </x:row>
    <x:row r="251" ht="31.5" customHeight="1">
      <x:c r="A251" s="5" t="str">
        <x:v>CU-SRC-0246</x:v>
      </x:c>
      <x:c r="B251" s="5" t="str">
        <x:v>CU-0122</x:v>
      </x:c>
      <x:c r="C251" s="5" t="str">
        <x:v>Корпоративный университет РЖД</x:v>
      </x:c>
      <x:c r="D251" s="5" t="str">
        <x:v>main_200</x:v>
      </x:c>
      <x:c r="E251" s="5" t="str">
        <x:v>university_site</x:v>
      </x:c>
      <x:c r="F251" s="5" t="str">
        <x:v>https://www.universitetrzd.ru/</x:v>
      </x:c>
      <x:c r="G251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51" s="5" t="str">
        <x:v>content_read</x:v>
      </x:c>
      <x:c r="I251" s="5" t="str">
        <x:v>https://www.universitetrzd.ru/about/</x:v>
      </x:c>
      <x:c r="J251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51" s="5" t="str">
        <x:v>Обнаружение в открытом вебе; действующий автоматический сборщик не тестировался</x:v>
      </x:c>
      <x:c r="L251" s="5" t="str">
        <x:v>MISB-253</x:v>
      </x:c>
    </x:row>
    <x:row r="252" ht="31.5" customHeight="1">
      <x:c r="A252" s="5" t="str">
        <x:v>CU-SRC-0247</x:v>
      </x:c>
      <x:c r="B252" s="5" t="str">
        <x:v>CU-0122</x:v>
      </x:c>
      <x:c r="C252" s="5" t="str">
        <x:v>Корпоративный университет РЖД</x:v>
      </x:c>
      <x:c r="D252" s="5" t="str">
        <x:v>main_200</x:v>
      </x:c>
      <x:c r="E252" s="5" t="str">
        <x:v>programs</x:v>
      </x:c>
      <x:c r="F252" s="5" t="str">
        <x:v>https://www.portfolio.universitetrzd.ru/</x:v>
      </x:c>
      <x:c r="G252" s="5" t="str">
        <x:v>Изменения каталога и новые образовательные проекты</x:v>
      </x:c>
      <x:c r="H252" s="5" t="str">
        <x:v>search_index</x:v>
      </x:c>
      <x:c r="I252" s="5" t="str">
        <x:v>https://www.portfolio.universitetrzd.ru/</x:v>
      </x:c>
      <x:c r="J252" s="5" t="str">
        <x:v>Сбор публичного HTML/PDF и изменений; сохранять ссылки на документы и их версии</x:v>
      </x:c>
      <x:c r="K252" s="5" t="str">
        <x:v>Техническая интеграция не проверена; не считать ссылку доказательством полного покрытия</x:v>
      </x:c>
      <x:c r="L252" s="5" t="str"/>
    </x:row>
    <x:row r="253" ht="31.5" customHeight="1">
      <x:c r="A253" s="5" t="str">
        <x:v>CU-SRC-0248</x:v>
      </x:c>
      <x:c r="B253" s="5" t="str">
        <x:v>CU-0122</x:v>
      </x:c>
      <x:c r="C253" s="5" t="str">
        <x:v>Корпоративный университет РЖД</x:v>
      </x:c>
      <x:c r="D253" s="5" t="str">
        <x:v>main_200</x:v>
      </x:c>
      <x:c r="E253" s="5" t="str">
        <x:v>contacts</x:v>
      </x:c>
      <x:c r="F253" s="5" t="str">
        <x:v>https://www.universitetrzd.ru/contacts/</x:v>
      </x:c>
      <x:c r="G253" s="5" t="str">
        <x:v>Контакты сотрудничества и центров методологии/дистанционных технологий</x:v>
      </x:c>
      <x:c r="H253" s="5" t="str">
        <x:v>content_read</x:v>
      </x:c>
      <x:c r="I253" s="5" t="str">
        <x:v>https://www.universitetrzd.ru/contacts/</x:v>
      </x:c>
      <x:c r="J253" s="5" t="str">
        <x:v>Сбор публичного HTML/PDF и изменений; сохранять ссылки на документы и их версии</x:v>
      </x:c>
      <x:c r="K253" s="5" t="str">
        <x:v>Техническая интеграция не проверена; не считать ссылку доказательством полного покрытия</x:v>
      </x:c>
      <x:c r="L253" s="5" t="str"/>
    </x:row>
    <x:row r="254" ht="31.5" customHeight="1">
      <x:c r="A254" s="5" t="str">
        <x:v>CU-SRC-0249</x:v>
      </x:c>
      <x:c r="B254" s="5" t="str">
        <x:v>CU-0123</x:v>
      </x:c>
      <x:c r="C254" s="5" t="str">
        <x:v>Корпоративный университет группы «Волга-Днепр»</x:v>
      </x:c>
      <x:c r="D254" s="5" t="str">
        <x:v>main_200</x:v>
      </x:c>
      <x:c r="E254" s="5" t="str">
        <x:v>university_site</x:v>
      </x:c>
      <x:c r="F254" s="5" t="str">
        <x:v>https://www.volga-dnepr.com/about/practice-and-work-for-young-specialists/</x:v>
      </x:c>
      <x:c r="G254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54" s="5" t="str">
        <x:v>content_read</x:v>
      </x:c>
      <x:c r="I254" s="5" t="str">
        <x:v>https://www.volga-dnepr.com/about/practice-and-work-for-young-specialists/</x:v>
      </x:c>
      <x:c r="J254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54" s="5" t="str">
        <x:v>Обнаружение в открытом вебе; действующий автоматический сборщик не тестировался</x:v>
      </x:c>
      <x:c r="L254" s="5" t="str"/>
    </x:row>
    <x:row r="255" ht="31.5" customHeight="1">
      <x:c r="A255" s="5" t="str">
        <x:v>CU-SRC-0250</x:v>
      </x:c>
      <x:c r="B255" s="5" t="str">
        <x:v>CU-0124</x:v>
      </x:c>
      <x:c r="C255" s="5" t="str">
        <x:v>АР-Университет</x:v>
      </x:c>
      <x:c r="D255" s="5" t="str">
        <x:v>main_200</x:v>
      </x:c>
      <x:c r="E255" s="5" t="str">
        <x:v>university_site</x:v>
      </x:c>
      <x:c r="F255" s="5" t="str">
        <x:v>https://ar-university.ru/ru/about</x:v>
      </x:c>
      <x:c r="G255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55" s="5" t="str">
        <x:v>search_index</x:v>
      </x:c>
      <x:c r="I255" s="5" t="str">
        <x:v>https://ar-university.ru/ru/about</x:v>
      </x:c>
      <x:c r="J255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55" s="5" t="str">
        <x:v>Обнаружение в открытом вебе; действующий автоматический сборщик не тестировался</x:v>
      </x:c>
      <x:c r="L255" s="5" t="str"/>
    </x:row>
    <x:row r="256" ht="31.5" customHeight="1">
      <x:c r="A256" s="5" t="str">
        <x:v>CU-SRC-0251</x:v>
      </x:c>
      <x:c r="B256" s="5" t="str">
        <x:v>CU-0125</x:v>
      </x:c>
      <x:c r="C256" s="5" t="str">
        <x:v>Корпоративный университет — авиационный учебный центр Пулково</x:v>
      </x:c>
      <x:c r="D256" s="5" t="str">
        <x:v>main_200</x:v>
      </x:c>
      <x:c r="E256" s="5" t="str">
        <x:v>university_site</x:v>
      </x:c>
      <x:c r="F256" s="5" t="str">
        <x:v>https://pulkovoairport.ru/atc/about-educational/</x:v>
      </x:c>
      <x:c r="G256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56" s="5" t="str">
        <x:v>content_read</x:v>
      </x:c>
      <x:c r="I256" s="5" t="str">
        <x:v>https://pulkovoairport.ru/atc/about-educational/</x:v>
      </x:c>
      <x:c r="J256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56" s="5" t="str">
        <x:v>Обнаружение в открытом вебе; действующий автоматический сборщик не тестировался</x:v>
      </x:c>
      <x:c r="L256" s="5" t="str"/>
    </x:row>
    <x:row r="257" ht="31.5" customHeight="1">
      <x:c r="A257" s="5" t="str">
        <x:v>CU-SRC-0252</x:v>
      </x:c>
      <x:c r="B257" s="5" t="str">
        <x:v>CU-0125</x:v>
      </x:c>
      <x:c r="C257" s="5" t="str">
        <x:v>Корпоративный университет — авиационный учебный центр Пулково</x:v>
      </x:c>
      <x:c r="D257" s="5" t="str">
        <x:v>main_200</x:v>
      </x:c>
      <x:c r="E257" s="5" t="str">
        <x:v>procurement</x:v>
      </x:c>
      <x:c r="F257" s="5" t="str">
        <x:v>https://pulkovoairport.ru/partners/tenders/</x:v>
      </x:c>
      <x:c r="G257" s="5" t="str">
        <x:v>Закупки аэропорта, включая обучение и разработку учебных материалов</x:v>
      </x:c>
      <x:c r="H257" s="5" t="str">
        <x:v>content_read</x:v>
      </x:c>
      <x:c r="I257" s="5" t="str">
        <x:v>https://pulkovoairport.ru/partners/tenders/</x:v>
      </x:c>
      <x:c r="J257" s="5" t="str">
        <x:v>Сбор публичного HTML/PDF и изменений; сохранять ссылки на документы и их версии</x:v>
      </x:c>
      <x:c r="K257" s="5" t="str">
        <x:v>Техническая интеграция не проверена; не считать ссылку доказательством полного покрытия</x:v>
      </x:c>
      <x:c r="L257" s="5" t="str"/>
    </x:row>
    <x:row r="258" ht="31.5" customHeight="1">
      <x:c r="A258" s="5" t="str">
        <x:v>CU-SRC-0253</x:v>
      </x:c>
      <x:c r="B258" s="5" t="str">
        <x:v>CU-0125</x:v>
      </x:c>
      <x:c r="C258" s="5" t="str">
        <x:v>Корпоративный университет — авиационный учебный центр Пулково</x:v>
      </x:c>
      <x:c r="D258" s="5" t="str">
        <x:v>main_200</x:v>
      </x:c>
      <x:c r="E258" s="5" t="str">
        <x:v>programs</x:v>
      </x:c>
      <x:c r="F258" s="5" t="str">
        <x:v>https://pulkovoairport.ru/atc/course_catalog/</x:v>
      </x:c>
      <x:c r="G258" s="5" t="str">
        <x:v>Каталог курсов; новые направления и изменения</x:v>
      </x:c>
      <x:c r="H258" s="5" t="str">
        <x:v>content_read</x:v>
      </x:c>
      <x:c r="I258" s="5" t="str">
        <x:v>https://pulkovoairport.ru/atc/course_catalog/</x:v>
      </x:c>
      <x:c r="J258" s="5" t="str">
        <x:v>Сбор публичного HTML/PDF и изменений; сохранять ссылки на документы и их версии</x:v>
      </x:c>
      <x:c r="K258" s="5" t="str">
        <x:v>Техническая интеграция не проверена; не считать ссылку доказательством полного покрытия</x:v>
      </x:c>
      <x:c r="L258" s="5" t="str"/>
    </x:row>
    <x:row r="259" ht="31.5" customHeight="1">
      <x:c r="A259" s="5" t="str">
        <x:v>CU-SRC-0254</x:v>
      </x:c>
      <x:c r="B259" s="5" t="str">
        <x:v>CU-0126</x:v>
      </x:c>
      <x:c r="C259" s="5" t="str">
        <x:v>S7 Training</x:v>
      </x:c>
      <x:c r="D259" s="5" t="str">
        <x:v>reserve</x:v>
      </x:c>
      <x:c r="E259" s="5" t="str">
        <x:v>university_site</x:v>
      </x:c>
      <x:c r="F259" s="5" t="str">
        <x:v>https://www.s7training.ru/</x:v>
      </x:c>
      <x:c r="G259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59" s="5" t="str">
        <x:v>content_read</x:v>
      </x:c>
      <x:c r="I259" s="5" t="str">
        <x:v>https://s7-training.ru/osnovnyie-svedeniya</x:v>
      </x:c>
      <x:c r="J259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59" s="5" t="str">
        <x:v>Обнаружение в открытом вебе; действующий автоматический сборщик не тестировался</x:v>
      </x:c>
      <x:c r="L259" s="5" t="str"/>
    </x:row>
    <x:row r="260" ht="31.5" customHeight="1">
      <x:c r="A260" s="5" t="str">
        <x:v>CU-SRC-0255</x:v>
      </x:c>
      <x:c r="B260" s="5" t="str">
        <x:v>CU-0126</x:v>
      </x:c>
      <x:c r="C260" s="5" t="str">
        <x:v>S7 Training</x:v>
      </x:c>
      <x:c r="D260" s="5" t="str">
        <x:v>reserve</x:v>
      </x:c>
      <x:c r="E260" s="5" t="str">
        <x:v>contacts</x:v>
      </x:c>
      <x:c r="F260" s="5" t="str">
        <x:v>https://www.s7training.ru/kontaktyi</x:v>
      </x:c>
      <x:c r="G260" s="5" t="str">
        <x:v>Официальные контакты учебного центра</x:v>
      </x:c>
      <x:c r="H260" s="5" t="str">
        <x:v>search_index</x:v>
      </x:c>
      <x:c r="I260" s="5" t="str">
        <x:v>https://www.s7training.ru/kontaktyi</x:v>
      </x:c>
      <x:c r="J260" s="5" t="str">
        <x:v>Сбор публичного HTML/PDF и изменений; сохранять ссылки на документы и их версии</x:v>
      </x:c>
      <x:c r="K260" s="5" t="str">
        <x:v>Техническая интеграция не проверена; не считать ссылку доказательством полного покрытия</x:v>
      </x:c>
      <x:c r="L260" s="5" t="str"/>
    </x:row>
    <x:row r="261" ht="31.5" customHeight="1">
      <x:c r="A261" s="5" t="str">
        <x:v>CU-SRC-0256</x:v>
      </x:c>
      <x:c r="B261" s="5" t="str">
        <x:v>CU-0127</x:v>
      </x:c>
      <x:c r="C261" s="5" t="str">
        <x:v>Авиашкола Аэрофлота (Академия Аэрофлота)</x:v>
      </x:c>
      <x:c r="D261" s="5" t="str">
        <x:v>main_200</x:v>
      </x:c>
      <x:c r="E261" s="5" t="str">
        <x:v>university_site</x:v>
      </x:c>
      <x:c r="F261" s="5" t="str">
        <x:v>https://www.avb.ru/</x:v>
      </x:c>
      <x:c r="G261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61" s="5" t="str">
        <x:v>content_read</x:v>
      </x:c>
      <x:c r="I261" s="5" t="str">
        <x:v>https://www.avb.ru/about</x:v>
      </x:c>
      <x:c r="J261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61" s="5" t="str">
        <x:v>Обнаружение в открытом вебе; действующий автоматический сборщик не тестировался</x:v>
      </x:c>
      <x:c r="L261" s="5" t="str"/>
    </x:row>
    <x:row r="262" ht="31.5" customHeight="1">
      <x:c r="A262" s="5" t="str">
        <x:v>CU-SRC-0257</x:v>
      </x:c>
      <x:c r="B262" s="5" t="str">
        <x:v>CU-0128</x:v>
      </x:c>
      <x:c r="C262" s="5" t="str">
        <x:v>Корпоративный университет Почты России</x:v>
      </x:c>
      <x:c r="D262" s="5" t="str">
        <x:v>main_200</x:v>
      </x:c>
      <x:c r="E262" s="5" t="str">
        <x:v>university_site</x:v>
      </x:c>
      <x:c r="F262" s="5" t="str">
        <x:v>https://www.pochta.ru/news/item/post-156</x:v>
      </x:c>
      <x:c r="G262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62" s="5" t="str">
        <x:v>search_index</x:v>
      </x:c>
      <x:c r="I262" s="5" t="str">
        <x:v>https://www.pochta.ru/news/item/post-156</x:v>
      </x:c>
      <x:c r="J262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62" s="5" t="str">
        <x:v>Обнаружение в открытом вебе; действующий автоматический сборщик не тестировался</x:v>
      </x:c>
      <x:c r="L262" s="5" t="str"/>
    </x:row>
    <x:row r="263" ht="31.5" customHeight="1">
      <x:c r="A263" s="5" t="str">
        <x:v>CU-SRC-0258</x:v>
      </x:c>
      <x:c r="B263" s="5" t="str">
        <x:v>CU-0129</x:v>
      </x:c>
      <x:c r="C263" s="5" t="str">
        <x:v>Корпоративный университет Транспортного комплекса Москвы</x:v>
      </x:c>
      <x:c r="D263" s="5" t="str">
        <x:v>main_200</x:v>
      </x:c>
      <x:c r="E263" s="5" t="str">
        <x:v>university_site</x:v>
      </x:c>
      <x:c r="F263" s="5" t="str">
        <x:v>https://sop.mosmetro.ru/</x:v>
      </x:c>
      <x:c r="G263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63" s="5" t="str">
        <x:v>search_index</x:v>
      </x:c>
      <x:c r="I263" s="5" t="str">
        <x:v>https://sop.mosmetro.ru/</x:v>
      </x:c>
      <x:c r="J263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63" s="5" t="str">
        <x:v>Обнаружение в открытом вебе; действующий автоматический сборщик не тестировался</x:v>
      </x:c>
      <x:c r="L263" s="5" t="str"/>
    </x:row>
    <x:row r="264" ht="31.5" customHeight="1">
      <x:c r="A264" s="5" t="str">
        <x:v>CU-SRC-0259</x:v>
      </x:c>
      <x:c r="B264" s="5" t="str">
        <x:v>CU-0129</x:v>
      </x:c>
      <x:c r="C264" s="5" t="str">
        <x:v>Корпоративный университет Транспортного комплекса Москвы</x:v>
      </x:c>
      <x:c r="D264" s="5" t="str">
        <x:v>main_200</x:v>
      </x:c>
      <x:c r="E264" s="5" t="str">
        <x:v>social</x:v>
      </x:c>
      <x:c r="F264" s="5" t="str">
        <x:v>https://t.me/KY_MT</x:v>
      </x:c>
      <x:c r="G264" s="5" t="str">
        <x:v>Анонсы программ, образовательные проекты, наставники, сообщения о сотрудничестве</x:v>
      </x:c>
      <x:c r="H264" s="5" t="str">
        <x:v>search_index</x:v>
      </x:c>
      <x:c r="I264" s="5" t="str">
        <x:v>https://t.me/KY_MT</x:v>
      </x:c>
      <x:c r="J264" s="5" t="str">
        <x:v>Сбор публичного HTML/PDF и изменений; сохранять ссылки на документы и их версии</x:v>
      </x:c>
      <x:c r="K264" s="5" t="str">
        <x:v>Техническая интеграция не проверена; не считать ссылку доказательством полного покрытия</x:v>
      </x:c>
      <x:c r="L264" s="5" t="str"/>
    </x:row>
    <x:row r="265" ht="31.5" customHeight="1">
      <x:c r="A265" s="5" t="str">
        <x:v>CU-SRC-0260</x:v>
      </x:c>
      <x:c r="B265" s="5" t="str">
        <x:v>CU-0130</x:v>
      </x:c>
      <x:c r="C265" s="5" t="str">
        <x:v>Авиационный учебный центр «ЮТэйр-Вертолетные услуги»</x:v>
      </x:c>
      <x:c r="D265" s="5" t="str">
        <x:v>reserve</x:v>
      </x:c>
      <x:c r="E265" s="5" t="str">
        <x:v>university_site</x:v>
      </x:c>
      <x:c r="F265" s="5" t="str">
        <x:v>https://heli.utair.ru/aviationtrainingcenter</x:v>
      </x:c>
      <x:c r="G265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65" s="5" t="str">
        <x:v>search_index</x:v>
      </x:c>
      <x:c r="I265" s="5" t="str">
        <x:v>https://heli.utair.ru/aviationtrainingcenter</x:v>
      </x:c>
      <x:c r="J265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65" s="5" t="str">
        <x:v>Обнаружение в открытом вебе; действующий автоматический сборщик не тестировался</x:v>
      </x:c>
      <x:c r="L265" s="5" t="str"/>
    </x:row>
    <x:row r="266" ht="31.5" customHeight="1">
      <x:c r="A266" s="5" t="str">
        <x:v>CU-SRC-0261</x:v>
      </x:c>
      <x:c r="B266" s="5" t="str">
        <x:v>CU-0131</x:v>
      </x:c>
      <x:c r="C266" s="5" t="str">
        <x:v>DOMODEDOVO TRAINING</x:v>
      </x:c>
      <x:c r="D266" s="5" t="str">
        <x:v>main_200</x:v>
      </x:c>
      <x:c r="E266" s="5" t="str">
        <x:v>university_site</x:v>
      </x:c>
      <x:c r="F266" s="5" t="str">
        <x:v>https://business.dme.ru/company/group/dt/</x:v>
      </x:c>
      <x:c r="G266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66" s="5" t="str">
        <x:v>content_read</x:v>
      </x:c>
      <x:c r="I266" s="5" t="str">
        <x:v>https://business.dme.ru/company/group/dt/</x:v>
      </x:c>
      <x:c r="J266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66" s="5" t="str">
        <x:v>Обнаружение в открытом вебе; действующий автоматический сборщик не тестировался</x:v>
      </x:c>
      <x:c r="L266" s="5" t="str"/>
    </x:row>
    <x:row r="267" ht="31.5" customHeight="1">
      <x:c r="A267" s="5" t="str">
        <x:v>CU-SRC-0262</x:v>
      </x:c>
      <x:c r="B267" s="5" t="str">
        <x:v>CU-0131</x:v>
      </x:c>
      <x:c r="C267" s="5" t="str">
        <x:v>DOMODEDOVO TRAINING</x:v>
      </x:c>
      <x:c r="D267" s="5" t="str">
        <x:v>main_200</x:v>
      </x:c>
      <x:c r="E267" s="5" t="str">
        <x:v>procurement</x:v>
      </x:c>
      <x:c r="F267" s="5" t="str">
        <x:v>https://business.dme.ru/company/group/dt/about/dt/</x:v>
      </x:c>
      <x:c r="G267" s="5" t="str">
        <x:v>Страница для поставщиков учебного центра; новые процедуры и документы</x:v>
      </x:c>
      <x:c r="H267" s="5" t="str">
        <x:v>content_read</x:v>
      </x:c>
      <x:c r="I267" s="5" t="str">
        <x:v>https://business.dme.ru/company/group/dt/about/dt/</x:v>
      </x:c>
      <x:c r="J267" s="5" t="str">
        <x:v>Сбор публичного HTML/PDF и изменений; сохранять ссылки на документы и их версии</x:v>
      </x:c>
      <x:c r="K267" s="5" t="str">
        <x:v>Техническая интеграция не проверена; не считать ссылку доказательством полного покрытия</x:v>
      </x:c>
      <x:c r="L267" s="5" t="str"/>
    </x:row>
    <x:row r="268" ht="31.5" customHeight="1">
      <x:c r="A268" s="5" t="str">
        <x:v>CU-SRC-0263</x:v>
      </x:c>
      <x:c r="B268" s="5" t="str">
        <x:v>CU-0132</x:v>
      </x:c>
      <x:c r="C268" s="5" t="str">
        <x:v>Авиационный учебный центр аэропорта Толмачёво</x:v>
      </x:c>
      <x:c r="D268" s="5" t="str">
        <x:v>reserve</x:v>
      </x:c>
      <x:c r="E268" s="5" t="str">
        <x:v>university_site</x:v>
      </x:c>
      <x:c r="F268" s="5" t="str">
        <x:v>https://auc.tolmachevo.ru/</x:v>
      </x:c>
      <x:c r="G268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68" s="5" t="str">
        <x:v>search_index</x:v>
      </x:c>
      <x:c r="I268" s="5" t="str">
        <x:v>https://auc.tolmachevo.ru/</x:v>
      </x:c>
      <x:c r="J268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68" s="5" t="str">
        <x:v>Обнаружение в открытом вебе; действующий автоматический сборщик не тестировался</x:v>
      </x:c>
      <x:c r="L268" s="5" t="str"/>
    </x:row>
    <x:row r="269" ht="31.5" customHeight="1">
      <x:c r="A269" s="5" t="str">
        <x:v>CU-SRC-0264</x:v>
      </x:c>
      <x:c r="B269" s="5" t="str">
        <x:v>CU-0133</x:v>
      </x:c>
      <x:c r="C269" s="5" t="str">
        <x:v>CDEK University / CDEK.Univer</x:v>
      </x:c>
      <x:c r="D269" s="5" t="str">
        <x:v>main_200</x:v>
      </x:c>
      <x:c r="E269" s="5" t="str">
        <x:v>university_site</x:v>
      </x:c>
      <x:c r="F269" s="5" t="str">
        <x:v>https://rabota.cdek.ru/career</x:v>
      </x:c>
      <x:c r="G269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69" s="5" t="str">
        <x:v>content_read</x:v>
      </x:c>
      <x:c r="I269" s="5" t="str">
        <x:v>https://rabota.cdek.ru/career</x:v>
      </x:c>
      <x:c r="J269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69" s="5" t="str">
        <x:v>Обнаружение в открытом вебе; действующий автоматический сборщик не тестировался</x:v>
      </x:c>
      <x:c r="L269" s="5" t="str"/>
    </x:row>
    <x:row r="270" ht="31.5" customHeight="1">
      <x:c r="A270" s="5" t="str">
        <x:v>CU-SRC-0265</x:v>
      </x:c>
      <x:c r="B270" s="5" t="str">
        <x:v>CU-0133</x:v>
      </x:c>
      <x:c r="C270" s="5" t="str">
        <x:v>CDEK University / CDEK.Univer</x:v>
      </x:c>
      <x:c r="D270" s="5" t="str">
        <x:v>main_200</x:v>
      </x:c>
      <x:c r="E270" s="5" t="str">
        <x:v>news</x:v>
      </x:c>
      <x:c r="F270" s="5" t="str">
        <x:v>https://rabota.cdek.ru/blog/transformaciya-cdek-univer-my-zapustili-novuyu-platformu-obucheniya</x:v>
      </x:c>
      <x:c r="G270" s="5" t="str">
        <x:v>Изменения учебной платформы и требования к контенту</x:v>
      </x:c>
      <x:c r="H270" s="5" t="str">
        <x:v>search_index</x:v>
      </x:c>
      <x:c r="I270" s="5" t="str">
        <x:v>https://rabota.cdek.ru/blog/transformaciya-cdek-univer-my-zapustili-novuyu-platformu-obucheniya</x:v>
      </x:c>
      <x:c r="J270" s="5" t="str">
        <x:v>Сбор публичного HTML/PDF и изменений; сохранять ссылки на документы и их версии</x:v>
      </x:c>
      <x:c r="K270" s="5" t="str">
        <x:v>Техническая интеграция не проверена; не считать ссылку доказательством полного покрытия</x:v>
      </x:c>
      <x:c r="L270" s="5" t="str"/>
    </x:row>
    <x:row r="271" ht="31.5" customHeight="1">
      <x:c r="A271" s="5" t="str">
        <x:v>CU-SRC-0266</x:v>
      </x:c>
      <x:c r="B271" s="5" t="str">
        <x:v>CU-0133</x:v>
      </x:c>
      <x:c r="C271" s="5" t="str">
        <x:v>CDEK University / CDEK.Univer</x:v>
      </x:c>
      <x:c r="D271" s="5" t="str">
        <x:v>main_200</x:v>
      </x:c>
      <x:c r="E271" s="5" t="str">
        <x:v>programs</x:v>
      </x:c>
      <x:c r="F271" s="5" t="str">
        <x:v>https://rabota.cdek.ru/sales-school</x:v>
      </x:c>
      <x:c r="G271" s="5" t="str">
        <x:v>Школа продаж и наборы; гипотеза о масштабировании обучения</x:v>
      </x:c>
      <x:c r="H271" s="5" t="str">
        <x:v>search_index</x:v>
      </x:c>
      <x:c r="I271" s="5" t="str">
        <x:v>https://rabota.cdek.ru/sales-school</x:v>
      </x:c>
      <x:c r="J271" s="5" t="str">
        <x:v>Сбор публичного HTML/PDF и изменений; сохранять ссылки на документы и их версии</x:v>
      </x:c>
      <x:c r="K271" s="5" t="str">
        <x:v>Техническая интеграция не проверена; не считать ссылку доказательством полного покрытия</x:v>
      </x:c>
      <x:c r="L271" s="5" t="str"/>
    </x:row>
    <x:row r="272" ht="31.5" customHeight="1">
      <x:c r="A272" s="5" t="str">
        <x:v>CU-SRC-0267</x:v>
      </x:c>
      <x:c r="B272" s="5" t="str">
        <x:v>CU-0134</x:v>
      </x:c>
      <x:c r="C272" s="5" t="str">
        <x:v>Академия FESCO</x:v>
      </x:c>
      <x:c r="D272" s="5" t="str">
        <x:v>main_200</x:v>
      </x:c>
      <x:c r="E272" s="5" t="str">
        <x:v>university_site</x:v>
      </x:c>
      <x:c r="F272" s="5" t="str">
        <x:v>https://www.fesco.ru/ru/about/fesco-academy/docs/</x:v>
      </x:c>
      <x:c r="G272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72" s="5" t="str">
        <x:v>search_index</x:v>
      </x:c>
      <x:c r="I272" s="5" t="str">
        <x:v>https://www.fesco.ru/ru/about/fesco-academy/docs/</x:v>
      </x:c>
      <x:c r="J272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72" s="5" t="str">
        <x:v>Обнаружение в открытом вебе; действующий автоматический сборщик не тестировался</x:v>
      </x:c>
      <x:c r="L272" s="5" t="str"/>
    </x:row>
    <x:row r="273" ht="31.5" customHeight="1">
      <x:c r="A273" s="5" t="str">
        <x:v>CU-SRC-0268</x:v>
      </x:c>
      <x:c r="B273" s="5" t="str">
        <x:v>CU-0135</x:v>
      </x:c>
      <x:c r="C273" s="5" t="str">
        <x:v>Корпоративный университет Самолёт Плюс</x:v>
      </x:c>
      <x:c r="D273" s="5" t="str">
        <x:v>main_200</x:v>
      </x:c>
      <x:c r="E273" s="5" t="str">
        <x:v>university_site</x:v>
      </x:c>
      <x:c r="F273" s="5" t="str">
        <x:v>https://education.samoletplus.ru/local/crw/</x:v>
      </x:c>
      <x:c r="G273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73" s="5" t="str">
        <x:v>content_read</x:v>
      </x:c>
      <x:c r="I273" s="5" t="str">
        <x:v>https://education.samoletplus.ru/local/crw/</x:v>
      </x:c>
      <x:c r="J273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73" s="5" t="str">
        <x:v>Обнаружение в открытом вебе; действующий автоматический сборщик не тестировался</x:v>
      </x:c>
      <x:c r="L273" s="5" t="str"/>
    </x:row>
    <x:row r="274" ht="31.5" customHeight="1">
      <x:c r="A274" s="5" t="str">
        <x:v>CU-SRC-0269</x:v>
      </x:c>
      <x:c r="B274" s="5" t="str">
        <x:v>CU-0135</x:v>
      </x:c>
      <x:c r="C274" s="5" t="str">
        <x:v>Корпоративный университет Самолёт Плюс</x:v>
      </x:c>
      <x:c r="D274" s="5" t="str">
        <x:v>main_200</x:v>
      </x:c>
      <x:c r="E274" s="5" t="str">
        <x:v>programs</x:v>
      </x:c>
      <x:c r="F274" s="5" t="str">
        <x:v>https://education.samoletplus.ru/course/</x:v>
      </x:c>
      <x:c r="G274" s="5" t="str">
        <x:v>Каталог направлений; новые модули и учебные аудитории</x:v>
      </x:c>
      <x:c r="H274" s="5" t="str">
        <x:v>search_index</x:v>
      </x:c>
      <x:c r="I274" s="5" t="str">
        <x:v>https://education.samoletplus.ru/course/</x:v>
      </x:c>
      <x:c r="J274" s="5" t="str">
        <x:v>Сбор публичного HTML/PDF и изменений; сохранять ссылки на документы и их версии</x:v>
      </x:c>
      <x:c r="K274" s="5" t="str">
        <x:v>Техническая интеграция не проверена; не считать ссылку доказательством полного покрытия</x:v>
      </x:c>
      <x:c r="L274" s="5" t="str"/>
    </x:row>
    <x:row r="275" ht="31.5" customHeight="1">
      <x:c r="A275" s="5" t="str">
        <x:v>CU-SRC-0270</x:v>
      </x:c>
      <x:c r="B275" s="5" t="str">
        <x:v>CU-0135</x:v>
      </x:c>
      <x:c r="C275" s="5" t="str">
        <x:v>Корпоративный университет Самолёт Плюс</x:v>
      </x:c>
      <x:c r="D275" s="5" t="str">
        <x:v>main_200</x:v>
      </x:c>
      <x:c r="E275" s="5" t="str">
        <x:v>news</x:v>
      </x:c>
      <x:c r="F275" s="5" t="str">
        <x:v>https://education.samoletplus.ru/mod/forum/discuss.php?d=285</x:v>
      </x:c>
      <x:c r="G275" s="5" t="str">
        <x:v>Обновления КУ; использовать как начальную точку обнаружения общего форума</x:v>
      </x:c>
      <x:c r="H275" s="5" t="str">
        <x:v>search_index</x:v>
      </x:c>
      <x:c r="I275" s="5" t="str">
        <x:v>https://education.samoletplus.ru/mod/forum/discuss.php?d=285</x:v>
      </x:c>
      <x:c r="J275" s="5" t="str">
        <x:v>Сбор публичного HTML/PDF и изменений; сохранять ссылки на документы и их версии</x:v>
      </x:c>
      <x:c r="K275" s="5" t="str">
        <x:v>Техническая интеграция не проверена; не считать ссылку доказательством полного покрытия</x:v>
      </x:c>
      <x:c r="L275" s="5" t="str"/>
    </x:row>
    <x:row r="276" ht="31.5" customHeight="1">
      <x:c r="A276" s="5" t="str">
        <x:v>CU-SRC-0271</x:v>
      </x:c>
      <x:c r="B276" s="5" t="str">
        <x:v>CU-0136</x:v>
      </x:c>
      <x:c r="C276" s="5" t="str">
        <x:v>Корпоративный университет ПЕТОН</x:v>
      </x:c>
      <x:c r="D276" s="5" t="str">
        <x:v>main_200</x:v>
      </x:c>
      <x:c r="E276" s="5" t="str">
        <x:v>university_site</x:v>
      </x:c>
      <x:c r="F276" s="5" t="str">
        <x:v>https://www.university.peton.ru/</x:v>
      </x:c>
      <x:c r="G276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76" s="5" t="str">
        <x:v>content_read</x:v>
      </x:c>
      <x:c r="I276" s="5" t="str">
        <x:v>https://www.peton.ru/ru/education/structure-management/</x:v>
      </x:c>
      <x:c r="J276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76" s="5" t="str">
        <x:v>Обнаружение в открытом вебе; действующий автоматический сборщик не тестировался</x:v>
      </x:c>
      <x:c r="L276" s="5" t="str"/>
    </x:row>
    <x:row r="277" ht="31.5" customHeight="1">
      <x:c r="A277" s="5" t="str">
        <x:v>CU-SRC-0272</x:v>
      </x:c>
      <x:c r="B277" s="5" t="str">
        <x:v>CU-0137</x:v>
      </x:c>
      <x:c r="C277" s="5" t="str">
        <x:v>Корпоративный университет ТЕХНОНИКОЛЬ</x:v>
      </x:c>
      <x:c r="D277" s="5" t="str">
        <x:v>main_200</x:v>
      </x:c>
      <x:c r="E277" s="5" t="str">
        <x:v>university_site</x:v>
      </x:c>
      <x:c r="F277" s="5" t="str">
        <x:v>https://www.tn.ru/journal/tm/novyy-etap-korporativnogo-obucheniya-v-tekhnonikol/</x:v>
      </x:c>
      <x:c r="G277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77" s="5" t="str">
        <x:v>search_index</x:v>
      </x:c>
      <x:c r="I277" s="5" t="str">
        <x:v>https://www.tn.ru/journal/tm/novyy-etap-korporativnogo-obucheniya-v-tekhnonikol/</x:v>
      </x:c>
      <x:c r="J277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77" s="5" t="str">
        <x:v>Обнаружение в открытом вебе; действующий автоматический сборщик не тестировался</x:v>
      </x:c>
      <x:c r="L277" s="5" t="str"/>
    </x:row>
    <x:row r="278" ht="31.5" customHeight="1">
      <x:c r="A278" s="5" t="str">
        <x:v>CU-SRC-0273</x:v>
      </x:c>
      <x:c r="B278" s="5" t="str">
        <x:v>CU-0137</x:v>
      </x:c>
      <x:c r="C278" s="5" t="str">
        <x:v>Корпоративный университет ТЕХНОНИКОЛЬ</x:v>
      </x:c>
      <x:c r="D278" s="5" t="str">
        <x:v>main_200</x:v>
      </x:c>
      <x:c r="E278" s="5" t="str">
        <x:v>programs</x:v>
      </x:c>
      <x:c r="F278" s="5" t="str">
        <x:v>https://academy.tn.ru/</x:v>
      </x:c>
      <x:c r="G278" s="5" t="str">
        <x:v>Строительная академия: цифровой контент, партнёрские программы; технические темы отдельно</x:v>
      </x:c>
      <x:c r="H278" s="5" t="str">
        <x:v>search_index</x:v>
      </x:c>
      <x:c r="I278" s="5" t="str">
        <x:v>https://academy.tn.ru/</x:v>
      </x:c>
      <x:c r="J278" s="5" t="str">
        <x:v>Сбор публичного HTML/PDF и изменений; сохранять ссылки на документы и их версии</x:v>
      </x:c>
      <x:c r="K278" s="5" t="str">
        <x:v>Техническая интеграция не проверена; не считать ссылку доказательством полного покрытия</x:v>
      </x:c>
      <x:c r="L278" s="5" t="str"/>
    </x:row>
    <x:row r="279" ht="31.5" customHeight="1">
      <x:c r="A279" s="5" t="str">
        <x:v>CU-SRC-0274</x:v>
      </x:c>
      <x:c r="B279" s="5" t="str">
        <x:v>CU-0138</x:v>
      </x:c>
      <x:c r="C279" s="5" t="str">
        <x:v>Корпоративный университет ТСТН — Академия директоров</x:v>
      </x:c>
      <x:c r="D279" s="5" t="str">
        <x:v>main_200</x:v>
      </x:c>
      <x:c r="E279" s="5" t="str">
        <x:v>university_site</x:v>
      </x:c>
      <x:c r="F279" s="5" t="str">
        <x:v>https://www.tstn.ru/protein/probiznes/otkuda_berutsya_kadry_korporativnyy_universitet_tstn/</x:v>
      </x:c>
      <x:c r="G279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79" s="5" t="str">
        <x:v>search_index</x:v>
      </x:c>
      <x:c r="I279" s="5" t="str">
        <x:v>https://www.tstn.ru/protein/probiznes/otkuda_berutsya_kadry_korporativnyy_universitet_tstn/</x:v>
      </x:c>
      <x:c r="J279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79" s="5" t="str">
        <x:v>Обнаружение в открытом вебе; действующий автоматический сборщик не тестировался</x:v>
      </x:c>
      <x:c r="L279" s="5" t="str"/>
    </x:row>
    <x:row r="280" ht="31.5" customHeight="1">
      <x:c r="A280" s="5" t="str">
        <x:v>CU-SRC-0275</x:v>
      </x:c>
      <x:c r="B280" s="5" t="str">
        <x:v>CU-0139</x:v>
      </x:c>
      <x:c r="C280" s="5" t="str">
        <x:v>Академия КНАУФ — Россия</x:v>
      </x:c>
      <x:c r="D280" s="5" t="str">
        <x:v>reserve</x:v>
      </x:c>
      <x:c r="E280" s="5" t="str">
        <x:v>university_site</x:v>
      </x:c>
      <x:c r="F280" s="5" t="str">
        <x:v>https://www.knauf.ru/service/academy/</x:v>
      </x:c>
      <x:c r="G280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80" s="5" t="str">
        <x:v>search_index</x:v>
      </x:c>
      <x:c r="I280" s="5" t="str">
        <x:v>https://www.knauf.ru/service/academy/</x:v>
      </x:c>
      <x:c r="J280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80" s="5" t="str">
        <x:v>Обнаружение в открытом вебе; действующий автоматический сборщик не тестировался</x:v>
      </x:c>
      <x:c r="L280" s="5" t="str"/>
    </x:row>
    <x:row r="281" ht="31.5" customHeight="1">
      <x:c r="A281" s="5" t="str">
        <x:v>CU-SRC-0276</x:v>
      </x:c>
      <x:c r="B281" s="5" t="str">
        <x:v>CU-0139</x:v>
      </x:c>
      <x:c r="C281" s="5" t="str">
        <x:v>Академия КНАУФ — Россия</x:v>
      </x:c>
      <x:c r="D281" s="5" t="str">
        <x:v>reserve</x:v>
      </x:c>
      <x:c r="E281" s="5" t="str">
        <x:v>programs</x:v>
      </x:c>
      <x:c r="F281" s="5" t="str">
        <x:v>https://www.knauf.ru/service/academy/training-program/</x:v>
      </x:c>
      <x:c r="G281" s="5" t="str">
        <x:v>Программы, новые темы и форматы</x:v>
      </x:c>
      <x:c r="H281" s="5" t="str">
        <x:v>search_index</x:v>
      </x:c>
      <x:c r="I281" s="5" t="str">
        <x:v>https://www.knauf.ru/service/academy/training-program/</x:v>
      </x:c>
      <x:c r="J281" s="5" t="str">
        <x:v>Сбор публичного HTML/PDF и изменений; сохранять ссылки на документы и их версии</x:v>
      </x:c>
      <x:c r="K281" s="5" t="str">
        <x:v>Техническая интеграция не проверена; не считать ссылку доказательством полного покрытия</x:v>
      </x:c>
      <x:c r="L281" s="5" t="str"/>
    </x:row>
    <x:row r="282" ht="31.5" customHeight="1">
      <x:c r="A282" s="5" t="str">
        <x:v>CU-SRC-0277</x:v>
      </x:c>
      <x:c r="B282" s="5" t="str">
        <x:v>CU-0140</x:v>
      </x:c>
      <x:c r="C282" s="5" t="str">
        <x:v>Корпоративный университет «РУСЛАКТО»</x:v>
      </x:c>
      <x:c r="D282" s="5" t="str">
        <x:v>main_200</x:v>
      </x:c>
      <x:c r="E282" s="5" t="str">
        <x:v>university_site</x:v>
      </x:c>
      <x:c r="F282" s="5" t="str">
        <x:v>https://ruslacto.ru/university/</x:v>
      </x:c>
      <x:c r="G282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82" s="5" t="str">
        <x:v>content_read</x:v>
      </x:c>
      <x:c r="I282" s="5" t="str">
        <x:v>https://ruslacto.ru/university/</x:v>
      </x:c>
      <x:c r="J282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82" s="5" t="str">
        <x:v>Обнаружение в открытом вебе; действующий автоматический сборщик не тестировался</x:v>
      </x:c>
      <x:c r="L282" s="5" t="str"/>
    </x:row>
    <x:row r="283" ht="31.5" customHeight="1">
      <x:c r="A283" s="5" t="str">
        <x:v>CU-SRC-0278</x:v>
      </x:c>
      <x:c r="B283" s="5" t="str">
        <x:v>CU-0141</x:v>
      </x:c>
      <x:c r="C283" s="5" t="str">
        <x:v>Академия «ЭкоНива» / корпоративный университет</x:v>
      </x:c>
      <x:c r="D283" s="5" t="str">
        <x:v>main_200</x:v>
      </x:c>
      <x:c r="E283" s="5" t="str">
        <x:v>university_site</x:v>
      </x:c>
      <x:c r="F283" s="5" t="str">
        <x:v>https://ekoniva-apk.ru/projects</x:v>
      </x:c>
      <x:c r="G283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83" s="5" t="str">
        <x:v>search_index</x:v>
      </x:c>
      <x:c r="I283" s="5" t="str">
        <x:v>https://ekoniva-apk.ru/images/press/esg/esg_report-2023.pdf</x:v>
      </x:c>
      <x:c r="J283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83" s="5" t="str">
        <x:v>Обнаружение в открытом вебе; действующий автоматический сборщик не тестировался</x:v>
      </x:c>
      <x:c r="L283" s="5" t="str"/>
    </x:row>
    <x:row r="284" ht="31.5" customHeight="1">
      <x:c r="A284" s="5" t="str">
        <x:v>CU-SRC-0279</x:v>
      </x:c>
      <x:c r="B284" s="5" t="str">
        <x:v>CU-0141</x:v>
      </x:c>
      <x:c r="C284" s="5" t="str">
        <x:v>Академия «ЭкоНива» / корпоративный университет</x:v>
      </x:c>
      <x:c r="D284" s="5" t="str">
        <x:v>main_200</x:v>
      </x:c>
      <x:c r="E284" s="5" t="str">
        <x:v>news</x:v>
      </x:c>
      <x:c r="F284" s="5" t="str">
        <x:v>https://ekoniva-apk.ru/esg/3182-ekoniva-otkryla-novyj-sezon-osennikh-akademij-2026-uzhe-podano-bolee-400-zayavok</x:v>
      </x:c>
      <x:c r="G284" s="5" t="str">
        <x:v>Новые наборы, география и учебные направления</x:v>
      </x:c>
      <x:c r="H284" s="5" t="str">
        <x:v>search_index</x:v>
      </x:c>
      <x:c r="I284" s="5" t="str">
        <x:v>https://ekoniva-apk.ru/esg/3182-ekoniva-otkryla-novyj-sezon-osennikh-akademij-2026-uzhe-podano-bolee-400-zayavok</x:v>
      </x:c>
      <x:c r="J284" s="5" t="str">
        <x:v>Сбор публичного HTML/PDF и изменений; сохранять ссылки на документы и их версии</x:v>
      </x:c>
      <x:c r="K284" s="5" t="str">
        <x:v>Техническая интеграция не проверена; не считать ссылку доказательством полного покрытия</x:v>
      </x:c>
      <x:c r="L284" s="5" t="str"/>
    </x:row>
    <x:row r="285" ht="31.5" customHeight="1">
      <x:c r="A285" s="5" t="str">
        <x:v>CU-SRC-0280</x:v>
      </x:c>
      <x:c r="B285" s="5" t="str">
        <x:v>CU-0142</x:v>
      </x:c>
      <x:c r="C285" s="5" t="str">
        <x:v>Академия Мираторг</x:v>
      </x:c>
      <x:c r="D285" s="5" t="str">
        <x:v>reserve</x:v>
      </x:c>
      <x:c r="E285" s="5" t="str">
        <x:v>university_site</x:v>
      </x:c>
      <x:c r="F285" s="5" t="str">
        <x:v>https://miratorg.ru/academy/</x:v>
      </x:c>
      <x:c r="G285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85" s="5" t="str">
        <x:v>content_read</x:v>
      </x:c>
      <x:c r="I285" s="5" t="str">
        <x:v>https://miratorg.ru/career/academy/NEWindex.php</x:v>
      </x:c>
      <x:c r="J285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85" s="5" t="str">
        <x:v>Обнаружение в открытом вебе; действующий автоматический сборщик не тестировался</x:v>
      </x:c>
      <x:c r="L285" s="5" t="str"/>
    </x:row>
    <x:row r="286" ht="31.5" customHeight="1">
      <x:c r="A286" s="5" t="str">
        <x:v>CU-SRC-0281</x:v>
      </x:c>
      <x:c r="B286" s="5" t="str">
        <x:v>CU-0143</x:v>
      </x:c>
      <x:c r="C286" s="5" t="str">
        <x:v>Научно-образовательный центр «Бирюч» ЭФКО</x:v>
      </x:c>
      <x:c r="D286" s="5" t="str">
        <x:v>main_200</x:v>
      </x:c>
      <x:c r="E286" s="5" t="str">
        <x:v>university_site</x:v>
      </x:c>
      <x:c r="F286" s="5" t="str">
        <x:v>https://biruch.efko.ru/o-nas/</x:v>
      </x:c>
      <x:c r="G286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86" s="5" t="str">
        <x:v>content_read</x:v>
      </x:c>
      <x:c r="I286" s="5" t="str">
        <x:v>https://biruch.efko.ru/o-nas/</x:v>
      </x:c>
      <x:c r="J286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86" s="5" t="str">
        <x:v>Обнаружение в открытом вебе; действующий автоматический сборщик не тестировался</x:v>
      </x:c>
      <x:c r="L286" s="5" t="str"/>
    </x:row>
    <x:row r="287" ht="31.5" customHeight="1">
      <x:c r="A287" s="5" t="str">
        <x:v>CU-SRC-0282</x:v>
      </x:c>
      <x:c r="B287" s="5" t="str">
        <x:v>CU-0143</x:v>
      </x:c>
      <x:c r="C287" s="5" t="str">
        <x:v>Научно-образовательный центр «Бирюч» ЭФКО</x:v>
      </x:c>
      <x:c r="D287" s="5" t="str">
        <x:v>main_200</x:v>
      </x:c>
      <x:c r="E287" s="5" t="str">
        <x:v>programs</x:v>
      </x:c>
      <x:c r="F287" s="5" t="str">
        <x:v>https://biruch.efko.ru/obuchenie/</x:v>
      </x:c>
      <x:c r="G287" s="5" t="str">
        <x:v>Программы, наборы и преподаватели</x:v>
      </x:c>
      <x:c r="H287" s="5" t="str">
        <x:v>search_index</x:v>
      </x:c>
      <x:c r="I287" s="5" t="str">
        <x:v>https://biruch.efko.ru/obuchenie/</x:v>
      </x:c>
      <x:c r="J287" s="5" t="str">
        <x:v>Сбор публичного HTML/PDF и изменений; сохранять ссылки на документы и их версии</x:v>
      </x:c>
      <x:c r="K287" s="5" t="str">
        <x:v>Техническая интеграция не проверена; не считать ссылку доказательством полного покрытия</x:v>
      </x:c>
      <x:c r="L287" s="5" t="str"/>
    </x:row>
    <x:row r="288" ht="31.5" customHeight="1">
      <x:c r="A288" s="5" t="str">
        <x:v>CU-SRC-0283</x:v>
      </x:c>
      <x:c r="B288" s="5" t="str">
        <x:v>CU-0143</x:v>
      </x:c>
      <x:c r="C288" s="5" t="str">
        <x:v>Научно-образовательный центр «Бирюч» ЭФКО</x:v>
      </x:c>
      <x:c r="D288" s="5" t="str">
        <x:v>main_200</x:v>
      </x:c>
      <x:c r="E288" s="5" t="str">
        <x:v>partners</x:v>
      </x:c>
      <x:c r="F288" s="5" t="str">
        <x:v>https://www.efko.ru/news/rossiyskie-studenty-mogut-proyti-onlayn-kurs-po-menedzhmentu-ot-efko/</x:v>
      </x:c>
      <x:c r="G288" s="5" t="str">
        <x:v>Партнёрские образовательные инициативы; публикация историческая</x:v>
      </x:c>
      <x:c r="H288" s="5" t="str">
        <x:v>search_index</x:v>
      </x:c>
      <x:c r="I288" s="5" t="str">
        <x:v>https://www.efko.ru/news/rossiyskie-studenty-mogut-proyti-onlayn-kurs-po-menedzhmentu-ot-efko/</x:v>
      </x:c>
      <x:c r="J288" s="5" t="str">
        <x:v>Сбор публичного HTML/PDF и изменений; сохранять ссылки на документы и их версии</x:v>
      </x:c>
      <x:c r="K288" s="5" t="str">
        <x:v>Техническая интеграция не проверена; не считать ссылку доказательством полного покрытия</x:v>
      </x:c>
      <x:c r="L288" s="5" t="str"/>
    </x:row>
    <x:row r="289" ht="31.5" customHeight="1">
      <x:c r="A289" s="5" t="str">
        <x:v>CU-SRC-0284</x:v>
      </x:c>
      <x:c r="B289" s="5" t="str">
        <x:v>CU-0144</x:v>
      </x:c>
      <x:c r="C289" s="5" t="str">
        <x:v>Медицинская академия МЕДСИ</x:v>
      </x:c>
      <x:c r="D289" s="5" t="str">
        <x:v>main_200</x:v>
      </x:c>
      <x:c r="E289" s="5" t="str">
        <x:v>university_site</x:v>
      </x:c>
      <x:c r="F289" s="5" t="str">
        <x:v>https://medsi.ru/academy/</x:v>
      </x:c>
      <x:c r="G289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89" s="5" t="str">
        <x:v>search_index</x:v>
      </x:c>
      <x:c r="I289" s="5" t="str">
        <x:v>https://medsi.ru/about/medacademy/</x:v>
      </x:c>
      <x:c r="J289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89" s="5" t="str">
        <x:v>Обнаружение в открытом вебе; действующий автоматический сборщик не тестировался</x:v>
      </x:c>
      <x:c r="L289" s="5" t="str"/>
    </x:row>
    <x:row r="290" ht="31.5" customHeight="1">
      <x:c r="A290" s="5" t="str">
        <x:v>CU-SRC-0285</x:v>
      </x:c>
      <x:c r="B290" s="5" t="str">
        <x:v>CU-0145</x:v>
      </x:c>
      <x:c r="C290" s="5" t="str">
        <x:v>Высшая медицинская школа — учебный центр ИНВИТРО</x:v>
      </x:c>
      <x:c r="D290" s="5" t="str">
        <x:v>main_200</x:v>
      </x:c>
      <x:c r="E290" s="5" t="str">
        <x:v>university_site</x:v>
      </x:c>
      <x:c r="F290" s="5" t="str">
        <x:v>https://www.vmsh.ru/</x:v>
      </x:c>
      <x:c r="G290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90" s="5" t="str">
        <x:v>search_index</x:v>
      </x:c>
      <x:c r="I290" s="5" t="str">
        <x:v>https://www.invitro.ru/zhukovka/about/news/13171/</x:v>
      </x:c>
      <x:c r="J290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90" s="5" t="str">
        <x:v>Обнаружение в открытом вебе; действующий автоматический сборщик не тестировался</x:v>
      </x:c>
      <x:c r="L290" s="5" t="str"/>
    </x:row>
    <x:row r="291" ht="31.5" customHeight="1">
      <x:c r="A291" s="5" t="str">
        <x:v>CU-SRC-0286</x:v>
      </x:c>
      <x:c r="B291" s="5" t="str">
        <x:v>CU-0145</x:v>
      </x:c>
      <x:c r="C291" s="5" t="str">
        <x:v>Высшая медицинская школа — учебный центр ИНВИТРО</x:v>
      </x:c>
      <x:c r="D291" s="5" t="str">
        <x:v>main_200</x:v>
      </x:c>
      <x:c r="E291" s="5" t="str">
        <x:v>contacts</x:v>
      </x:c>
      <x:c r="F291" s="5" t="str">
        <x:v>https://www.vmsh.ru/info/</x:v>
      </x:c>
      <x:c r="G291" s="5" t="str">
        <x:v>Руководство, сведения об организации, контакты и документы</x:v>
      </x:c>
      <x:c r="H291" s="5" t="str">
        <x:v>content_read</x:v>
      </x:c>
      <x:c r="I291" s="5" t="str">
        <x:v>https://www.vmsh.ru/info/</x:v>
      </x:c>
      <x:c r="J291" s="5" t="str">
        <x:v>Сбор публичного HTML/PDF и изменений; сохранять ссылки на документы и их версии</x:v>
      </x:c>
      <x:c r="K291" s="5" t="str">
        <x:v>Техническая интеграция не проверена; не считать ссылку доказательством полного покрытия</x:v>
      </x:c>
      <x:c r="L291" s="5" t="str"/>
    </x:row>
    <x:row r="292" ht="31.5" customHeight="1">
      <x:c r="A292" s="5" t="str">
        <x:v>CU-SRC-0287</x:v>
      </x:c>
      <x:c r="B292" s="5" t="str">
        <x:v>CU-0146</x:v>
      </x:c>
      <x:c r="C292" s="5" t="str">
        <x:v>Корпоративный университет BIOCAD</x:v>
      </x:c>
      <x:c r="D292" s="5" t="str">
        <x:v>main_200</x:v>
      </x:c>
      <x:c r="E292" s="5" t="str">
        <x:v>university_site</x:v>
      </x:c>
      <x:c r="F292" s="5" t="str">
        <x:v>https://career.biocad.ru/department/IT</x:v>
      </x:c>
      <x:c r="G292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92" s="5" t="str">
        <x:v>search_index</x:v>
      </x:c>
      <x:c r="I292" s="5" t="str">
        <x:v>https://career.biocad.ru/department/IT</x:v>
      </x:c>
      <x:c r="J292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92" s="5" t="str">
        <x:v>Обнаружение в открытом вебе; действующий автоматический сборщик не тестировался</x:v>
      </x:c>
      <x:c r="L292" s="5" t="str"/>
    </x:row>
    <x:row r="293" ht="31.5" customHeight="1">
      <x:c r="A293" s="5" t="str">
        <x:v>CU-SRC-0288</x:v>
      </x:c>
      <x:c r="B293" s="5" t="str">
        <x:v>CU-0146</x:v>
      </x:c>
      <x:c r="C293" s="5" t="str">
        <x:v>Корпоративный университет BIOCAD</x:v>
      </x:c>
      <x:c r="D293" s="5" t="str">
        <x:v>main_200</x:v>
      </x:c>
      <x:c r="E293" s="5" t="str">
        <x:v>careers</x:v>
      </x:c>
      <x:c r="F293" s="5" t="str">
        <x:v>https://heroes.biocad.ru/</x:v>
      </x:c>
      <x:c r="G293" s="5" t="str">
        <x:v>Программы развития, потребности в кадрах/обучении; не считать вакансию заказом</x:v>
      </x:c>
      <x:c r="H293" s="5" t="str">
        <x:v>search_index</x:v>
      </x:c>
      <x:c r="I293" s="5" t="str">
        <x:v>https://heroes.biocad.ru/</x:v>
      </x:c>
      <x:c r="J293" s="5" t="str">
        <x:v>Сбор публичного HTML/PDF и изменений; сохранять ссылки на документы и их версии</x:v>
      </x:c>
      <x:c r="K293" s="5" t="str">
        <x:v>Техническая интеграция не проверена; не считать ссылку доказательством полного покрытия</x:v>
      </x:c>
      <x:c r="L293" s="5" t="str"/>
    </x:row>
    <x:row r="294" ht="31.5" customHeight="1">
      <x:c r="A294" s="5" t="str">
        <x:v>CU-SRC-0289</x:v>
      </x:c>
      <x:c r="B294" s="5" t="str">
        <x:v>CU-0147</x:v>
      </x:c>
      <x:c r="C294" s="5" t="str">
        <x:v>Академия Р-Фарм</x:v>
      </x:c>
      <x:c r="D294" s="5" t="str">
        <x:v>main_200</x:v>
      </x:c>
      <x:c r="E294" s="5" t="str">
        <x:v>university_site</x:v>
      </x:c>
      <x:c r="F294" s="5" t="str">
        <x:v>https://t.me/s/rpharm_group?before=1458</x:v>
      </x:c>
      <x:c r="G294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94" s="5" t="str">
        <x:v>search_index</x:v>
      </x:c>
      <x:c r="I294" s="5" t="str">
        <x:v>https://t.me/s/rpharm_group?before=1458</x:v>
      </x:c>
      <x:c r="J294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94" s="5" t="str">
        <x:v>Обнаружение в открытом вебе; действующий автоматический сборщик не тестировался</x:v>
      </x:c>
      <x:c r="L294" s="5" t="str"/>
    </x:row>
    <x:row r="295" ht="31.5" customHeight="1">
      <x:c r="A295" s="5" t="str">
        <x:v>CU-SRC-0290</x:v>
      </x:c>
      <x:c r="B295" s="5" t="str">
        <x:v>CU-0147</x:v>
      </x:c>
      <x:c r="C295" s="5" t="str">
        <x:v>Академия Р-Фарм</x:v>
      </x:c>
      <x:c r="D295" s="5" t="str">
        <x:v>main_200</x:v>
      </x:c>
      <x:c r="E295" s="5" t="str">
        <x:v>social</x:v>
      </x:c>
      <x:c r="F295" s="5" t="str">
        <x:v>https://t.me/s/rpharm_group</x:v>
      </x:c>
      <x:c r="G295" s="5" t="str">
        <x:v>Публичные новости обучения, программ и кадрового резерва</x:v>
      </x:c>
      <x:c r="H295" s="5" t="str">
        <x:v>search_index</x:v>
      </x:c>
      <x:c r="I295" s="5" t="str">
        <x:v>https://t.me/s/rpharm_group?before=1458</x:v>
      </x:c>
      <x:c r="J295" s="5" t="str">
        <x:v>Сбор публичного HTML/PDF и изменений; сохранять ссылки на документы и их версии</x:v>
      </x:c>
      <x:c r="K295" s="5" t="str">
        <x:v>Техническая интеграция не проверена; не считать ссылку доказательством полного покрытия</x:v>
      </x:c>
      <x:c r="L295" s="5" t="str"/>
    </x:row>
    <x:row r="296" ht="31.5" customHeight="1">
      <x:c r="A296" s="5" t="str">
        <x:v>CU-SRC-0291</x:v>
      </x:c>
      <x:c r="B296" s="5" t="str">
        <x:v>CU-0148</x:v>
      </x:c>
      <x:c r="C296" s="5" t="str">
        <x:v>Академия гостеприимства COSMOS</x:v>
      </x:c>
      <x:c r="D296" s="5" t="str">
        <x:v>main_200</x:v>
      </x:c>
      <x:c r="E296" s="5" t="str">
        <x:v>university_site</x:v>
      </x:c>
      <x:c r="F296" s="5" t="str">
        <x:v>https://cosmos-academy.ru/</x:v>
      </x:c>
      <x:c r="G296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96" s="5" t="str">
        <x:v>search_index</x:v>
      </x:c>
      <x:c r="I296" s="5" t="str">
        <x:v>https://cosmos-academy.ru/academy/</x:v>
      </x:c>
      <x:c r="J296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96" s="5" t="str">
        <x:v>Обнаружение в открытом вебе; действующий автоматический сборщик не тестировался</x:v>
      </x:c>
      <x:c r="L296" s="5" t="str"/>
    </x:row>
    <x:row r="297" ht="31.5" customHeight="1">
      <x:c r="A297" s="5" t="str">
        <x:v>CU-SRC-0292</x:v>
      </x:c>
      <x:c r="B297" s="5" t="str">
        <x:v>CU-0148</x:v>
      </x:c>
      <x:c r="C297" s="5" t="str">
        <x:v>Академия гостеприимства COSMOS</x:v>
      </x:c>
      <x:c r="D297" s="5" t="str">
        <x:v>main_200</x:v>
      </x:c>
      <x:c r="E297" s="5" t="str">
        <x:v>programs</x:v>
      </x:c>
      <x:c r="F297" s="5" t="str">
        <x:v>https://cosmos-academy.ru/courses/developers/</x:v>
      </x:c>
      <x:c r="G297" s="5" t="str">
        <x:v>Программы для девелоперов и управленцев</x:v>
      </x:c>
      <x:c r="H297" s="5" t="str">
        <x:v>search_index</x:v>
      </x:c>
      <x:c r="I297" s="5" t="str">
        <x:v>https://cosmos-academy.ru/courses/developers/</x:v>
      </x:c>
      <x:c r="J297" s="5" t="str">
        <x:v>Сбор публичного HTML/PDF и изменений; сохранять ссылки на документы и их версии</x:v>
      </x:c>
      <x:c r="K297" s="5" t="str">
        <x:v>Техническая интеграция не проверена; не считать ссылку доказательством полного покрытия</x:v>
      </x:c>
      <x:c r="L297" s="5" t="str"/>
    </x:row>
    <x:row r="298" ht="42.75" customHeight="1">
      <x:c r="A298" s="5" t="str">
        <x:v>CU-SRC-0293</x:v>
      </x:c>
      <x:c r="B298" s="5" t="str">
        <x:v>CU-0148</x:v>
      </x:c>
      <x:c r="C298" s="5" t="str">
        <x:v>Академия гостеприимства COSMOS</x:v>
      </x:c>
      <x:c r="D298" s="5" t="str">
        <x:v>main_200</x:v>
      </x:c>
      <x:c r="E298" s="5" t="str">
        <x:v>partners</x:v>
      </x:c>
      <x:c r="F298" s="5" t="str">
        <x:v>https://cosmosgroup.ru/about/press/cosmos-hotel-group-i-centr-kompetencij-v-sfere-turizma-i-gostepriimstva-sozdaut-skolu-nastavnikov-po</x:v>
      </x:c>
      <x:c r="G298" s="5" t="str">
        <x:v>Совместные программы и новые партнёрства</x:v>
      </x:c>
      <x:c r="H298" s="5" t="str">
        <x:v>search_index</x:v>
      </x:c>
      <x:c r="I298" s="5" t="str">
        <x:v>https://cosmosgroup.ru/about/press/cosmos-hotel-group-i-centr-kompetencij-v-sfere-turizma-i-gostepriimstva-sozdaut-skolu-nastavnikov-po</x:v>
      </x:c>
      <x:c r="J298" s="5" t="str">
        <x:v>Сбор публичного HTML/PDF и изменений; сохранять ссылки на документы и их версии</x:v>
      </x:c>
      <x:c r="K298" s="5" t="str">
        <x:v>Техническая интеграция не проверена; не считать ссылку доказательством полного покрытия</x:v>
      </x:c>
      <x:c r="L298" s="5" t="str"/>
    </x:row>
    <x:row r="299" ht="31.5" customHeight="1">
      <x:c r="A299" s="5" t="str">
        <x:v>CU-SRC-0294</x:v>
      </x:c>
      <x:c r="B299" s="5" t="str">
        <x:v>CU-0149</x:v>
      </x:c>
      <x:c r="C299" s="5" t="str">
        <x:v>Академия гостеприимства курорта «Мрия»</x:v>
      </x:c>
      <x:c r="D299" s="5" t="str">
        <x:v>main_200</x:v>
      </x:c>
      <x:c r="E299" s="5" t="str">
        <x:v>university_site</x:v>
      </x:c>
      <x:c r="F299" s="5" t="str">
        <x:v>https://academy-hospitality.ru/</x:v>
      </x:c>
      <x:c r="G299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299" s="5" t="str">
        <x:v>content_read</x:v>
      </x:c>
      <x:c r="I299" s="5" t="str">
        <x:v>https://academy-hospitality.ru/</x:v>
      </x:c>
      <x:c r="J299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299" s="5" t="str">
        <x:v>Обнаружение в открытом вебе; действующий автоматический сборщик не тестировался</x:v>
      </x:c>
      <x:c r="L299" s="5" t="str"/>
    </x:row>
    <x:row r="300" ht="31.5" customHeight="1">
      <x:c r="A300" s="5" t="str">
        <x:v>CU-SRC-0295</x:v>
      </x:c>
      <x:c r="B300" s="5" t="str">
        <x:v>CU-0149</x:v>
      </x:c>
      <x:c r="C300" s="5" t="str">
        <x:v>Академия гостеприимства курорта «Мрия»</x:v>
      </x:c>
      <x:c r="D300" s="5" t="str">
        <x:v>main_200</x:v>
      </x:c>
      <x:c r="E300" s="5" t="str">
        <x:v>programs</x:v>
      </x:c>
      <x:c r="F300" s="5" t="str">
        <x:v>https://academy-hospitality.ru/programms</x:v>
      </x:c>
      <x:c r="G300" s="5" t="str">
        <x:v>Новые продукты и возможные совместные модули</x:v>
      </x:c>
      <x:c r="H300" s="5" t="str">
        <x:v>search_index</x:v>
      </x:c>
      <x:c r="I300" s="5" t="str">
        <x:v>https://academy-hospitality.ru/programms</x:v>
      </x:c>
      <x:c r="J300" s="5" t="str">
        <x:v>Сбор публичного HTML/PDF и изменений; сохранять ссылки на документы и их версии</x:v>
      </x:c>
      <x:c r="K300" s="5" t="str">
        <x:v>Техническая интеграция не проверена; не считать ссылку доказательством полного покрытия</x:v>
      </x:c>
      <x:c r="L300" s="5" t="str"/>
    </x:row>
    <x:row r="301" ht="31.5" customHeight="1">
      <x:c r="A301" s="5" t="str">
        <x:v>CU-SRC-0296</x:v>
      </x:c>
      <x:c r="B301" s="5" t="str">
        <x:v>CU-0149</x:v>
      </x:c>
      <x:c r="C301" s="5" t="str">
        <x:v>Академия гостеприимства курорта «Мрия»</x:v>
      </x:c>
      <x:c r="D301" s="5" t="str">
        <x:v>main_200</x:v>
      </x:c>
      <x:c r="E301" s="5" t="str">
        <x:v>programs</x:v>
      </x:c>
      <x:c r="F301" s="5" t="str">
        <x:v>https://academy-hospitality.ru/online-courses</x:v>
      </x:c>
      <x:c r="G301" s="5" t="str">
        <x:v>Цифровой каталог и обновления курсов</x:v>
      </x:c>
      <x:c r="H301" s="5" t="str">
        <x:v>search_index</x:v>
      </x:c>
      <x:c r="I301" s="5" t="str">
        <x:v>https://academy-hospitality.ru/online-courses</x:v>
      </x:c>
      <x:c r="J301" s="5" t="str">
        <x:v>Сбор публичного HTML/PDF и изменений; сохранять ссылки на документы и их версии</x:v>
      </x:c>
      <x:c r="K301" s="5" t="str">
        <x:v>Техническая интеграция не проверена; не считать ссылку доказательством полного покрытия</x:v>
      </x:c>
      <x:c r="L301" s="5" t="str"/>
    </x:row>
    <x:row r="302" ht="31.5" customHeight="1">
      <x:c r="A302" s="5" t="str">
        <x:v>CU-SRC-0297</x:v>
      </x:c>
      <x:c r="B302" s="5" t="str">
        <x:v>CU-0150</x:v>
      </x:c>
      <x:c r="C302" s="5" t="str">
        <x:v>Учебный центр Главгосэкспертизы России</x:v>
      </x:c>
      <x:c r="D302" s="5" t="str">
        <x:v>main_200</x:v>
      </x:c>
      <x:c r="E302" s="5" t="str">
        <x:v>university_site</x:v>
      </x:c>
      <x:c r="F302" s="5" t="str">
        <x:v>https://edu.gge.ru/</x:v>
      </x:c>
      <x:c r="G302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302" s="5" t="str">
        <x:v>content_read</x:v>
      </x:c>
      <x:c r="I302" s="5" t="str">
        <x:v>https://edu.gge.ru/</x:v>
      </x:c>
      <x:c r="J302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302" s="5" t="str">
        <x:v>Обнаружение в открытом вебе; действующий автоматический сборщик не тестировался</x:v>
      </x:c>
      <x:c r="L302" s="5" t="str"/>
    </x:row>
    <x:row r="303" ht="31.5" customHeight="1">
      <x:c r="A303" s="5" t="str">
        <x:v>CU-SRC-0298</x:v>
      </x:c>
      <x:c r="B303" s="5" t="str">
        <x:v>CU-0151</x:v>
      </x:c>
      <x:c r="C303" s="5" t="str">
        <x:v>Корпоративный университет «Автобан»</x:v>
      </x:c>
      <x:c r="D303" s="5" t="str">
        <x:v>main_200</x:v>
      </x:c>
      <x:c r="E303" s="5" t="str">
        <x:v>university_site</x:v>
      </x:c>
      <x:c r="F303" s="5" t="str">
        <x:v>https://www.avtoban.ru/company/staff/development/</x:v>
      </x:c>
      <x:c r="G303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303" s="5" t="str">
        <x:v>content_read</x:v>
      </x:c>
      <x:c r="I303" s="5" t="str">
        <x:v>https://www.avtoban.ru/sustainability/</x:v>
      </x:c>
      <x:c r="J303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303" s="5" t="str">
        <x:v>Обнаружение в открытом вебе; действующий автоматический сборщик не тестировался</x:v>
      </x:c>
      <x:c r="L303" s="5" t="str"/>
    </x:row>
    <x:row r="304" ht="31.5" customHeight="1">
      <x:c r="A304" s="5" t="str">
        <x:v>CU-SRC-0299</x:v>
      </x:c>
      <x:c r="B304" s="5" t="str">
        <x:v>CU-0151</x:v>
      </x:c>
      <x:c r="C304" s="5" t="str">
        <x:v>Корпоративный университет «Автобан»</x:v>
      </x:c>
      <x:c r="D304" s="5" t="str">
        <x:v>main_200</x:v>
      </x:c>
      <x:c r="E304" s="5" t="str">
        <x:v>procurement</x:v>
      </x:c>
      <x:c r="F304" s="5" t="str">
        <x:v>https://www.avtoban.ru/tender/</x:v>
      </x:c>
      <x:c r="G304" s="5" t="str">
        <x:v>Закупочные планы и переходы на ЭТП; текущий заголовок содержит план 2024 года, проверять свежесть</x:v>
      </x:c>
      <x:c r="H304" s="5" t="str">
        <x:v>content_read</x:v>
      </x:c>
      <x:c r="I304" s="5" t="str">
        <x:v>https://www.avtoban.ru/tender/</x:v>
      </x:c>
      <x:c r="J304" s="5" t="str">
        <x:v>Сбор публичного HTML/PDF и изменений; сохранять ссылки на документы и их версии</x:v>
      </x:c>
      <x:c r="K304" s="5" t="str">
        <x:v>Техническая интеграция не проверена; не считать ссылку доказательством полного покрытия</x:v>
      </x:c>
      <x:c r="L304" s="5" t="str"/>
    </x:row>
    <x:row r="305" ht="31.5" customHeight="1">
      <x:c r="A305" s="5" t="str">
        <x:v>CU-SRC-0300</x:v>
      </x:c>
      <x:c r="B305" s="5" t="str">
        <x:v>CU-0151</x:v>
      </x:c>
      <x:c r="C305" s="5" t="str">
        <x:v>Корпоративный университет «Автобан»</x:v>
      </x:c>
      <x:c r="D305" s="5" t="str">
        <x:v>main_200</x:v>
      </x:c>
      <x:c r="E305" s="5" t="str">
        <x:v>news</x:v>
      </x:c>
      <x:c r="F305" s="5" t="str">
        <x:v>https://www.avtoban.ru/press/</x:v>
      </x:c>
      <x:c r="G305" s="5" t="str">
        <x:v>Программы, партнёрства и новые проекты</x:v>
      </x:c>
      <x:c r="H305" s="5" t="str">
        <x:v>search_index</x:v>
      </x:c>
      <x:c r="I305" s="5" t="str">
        <x:v>https://www.avtoban.ru/press/</x:v>
      </x:c>
      <x:c r="J305" s="5" t="str">
        <x:v>Сбор публичного HTML/PDF и изменений; сохранять ссылки на документы и их версии</x:v>
      </x:c>
      <x:c r="K305" s="5" t="str">
        <x:v>Техническая интеграция не проверена; не считать ссылку доказательством полного покрытия</x:v>
      </x:c>
      <x:c r="L305" s="5" t="str"/>
    </x:row>
    <x:row r="306" ht="31.5" customHeight="1">
      <x:c r="A306" s="5" t="str">
        <x:v>CU-SRC-0301</x:v>
      </x:c>
      <x:c r="B306" s="5" t="str">
        <x:v>CU-0152</x:v>
      </x:c>
      <x:c r="C306" s="5" t="str">
        <x:v>Корпоративный университет СКФ</x:v>
      </x:c>
      <x:c r="D306" s="5" t="str">
        <x:v>main_200</x:v>
      </x:c>
      <x:c r="E306" s="5" t="str">
        <x:v>university_site</x:v>
      </x:c>
      <x:c r="F306" s="5" t="str">
        <x:v>https://university.scf-group.ru/</x:v>
      </x:c>
      <x:c r="G306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306" s="5" t="str">
        <x:v>content_read</x:v>
      </x:c>
      <x:c r="I306" s="5" t="str">
        <x:v>https://university.scf-group.ru/structure/</x:v>
      </x:c>
      <x:c r="J306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306" s="5" t="str">
        <x:v>Обнаружение в открытом вебе; действующий автоматический сборщик не тестировался</x:v>
      </x:c>
      <x:c r="L306" s="5" t="str"/>
    </x:row>
    <x:row r="307" ht="31.5" customHeight="1">
      <x:c r="A307" s="5" t="str">
        <x:v>CU-SRC-0302</x:v>
      </x:c>
      <x:c r="B307" s="5" t="str">
        <x:v>CU-0152</x:v>
      </x:c>
      <x:c r="C307" s="5" t="str">
        <x:v>Корпоративный университет СКФ</x:v>
      </x:c>
      <x:c r="D307" s="5" t="str">
        <x:v>main_200</x:v>
      </x:c>
      <x:c r="E307" s="5" t="str">
        <x:v>university_site</x:v>
      </x:c>
      <x:c r="F307" s="5" t="str">
        <x:v>https://scf-group.ru/career/trainingcentre/st_petersburg/</x:v>
      </x:c>
      <x:c r="G307" s="5" t="str">
        <x:v>Переименование, корпоративная принадлежность, цели обучения</x:v>
      </x:c>
      <x:c r="H307" s="5" t="str">
        <x:v>search_index</x:v>
      </x:c>
      <x:c r="I307" s="5" t="str">
        <x:v>https://scf-group.ru/career/trainingcentre/st_petersburg/</x:v>
      </x:c>
      <x:c r="J307" s="5" t="str">
        <x:v>Сбор публичного HTML/PDF и изменений; сохранять ссылки на документы и их версии</x:v>
      </x:c>
      <x:c r="K307" s="5" t="str">
        <x:v>Техническая интеграция не проверена; не считать ссылку доказательством полного покрытия</x:v>
      </x:c>
      <x:c r="L307" s="5" t="str"/>
    </x:row>
    <x:row r="308" ht="31.5" customHeight="1">
      <x:c r="A308" s="5" t="str">
        <x:v>CU-SRC-0303</x:v>
      </x:c>
      <x:c r="B308" s="5" t="str">
        <x:v>CU-0153</x:v>
      </x:c>
      <x:c r="C308" s="5" t="str">
        <x:v>Морской учебно-тренажерный центр «СКФ Новошип Тренинг»</x:v>
      </x:c>
      <x:c r="D308" s="5" t="str">
        <x:v>reserve</x:v>
      </x:c>
      <x:c r="E308" s="5" t="str">
        <x:v>university_site</x:v>
      </x:c>
      <x:c r="F308" s="5" t="str">
        <x:v>https://www.sovcomflot.ru/career/trainingcentre/</x:v>
      </x:c>
      <x:c r="G308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308" s="5" t="str">
        <x:v>content_read</x:v>
      </x:c>
      <x:c r="I308" s="5" t="str">
        <x:v>https://www.sovcomflot.ru/career/trainingcentre/</x:v>
      </x:c>
      <x:c r="J308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308" s="5" t="str">
        <x:v>Обнаружение в открытом вебе; действующий автоматический сборщик не тестировался</x:v>
      </x:c>
      <x:c r="L308" s="5" t="str"/>
    </x:row>
    <x:row r="309" ht="31.5" customHeight="1">
      <x:c r="A309" s="5" t="str">
        <x:v>CU-SRC-0304</x:v>
      </x:c>
      <x:c r="B309" s="5" t="str">
        <x:v>CU-0154</x:v>
      </x:c>
      <x:c r="C309" s="5" t="str">
        <x:v>Корпоративный университет локомотивных технологий («ЛокоТех»)</x:v>
      </x:c>
      <x:c r="D309" s="5" t="str">
        <x:v>main_200</x:v>
      </x:c>
      <x:c r="E309" s="5" t="str">
        <x:v>university_site</x:v>
      </x:c>
      <x:c r="F309" s="5" t="str">
        <x:v>https://sdo.locotech.ru/</x:v>
      </x:c>
      <x:c r="G309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309" s="5" t="str">
        <x:v>content_read</x:v>
      </x:c>
      <x:c r="I309" s="5" t="str">
        <x:v>https://locotech.ru/press-center/news/25551/</x:v>
      </x:c>
      <x:c r="J309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309" s="5" t="str">
        <x:v>Обнаружение в открытом вебе; действующий автоматический сборщик не тестировался</x:v>
      </x:c>
      <x:c r="L309" s="5" t="str"/>
    </x:row>
    <x:row r="310" ht="31.5" customHeight="1">
      <x:c r="A310" s="5" t="str">
        <x:v>CU-SRC-0305</x:v>
      </x:c>
      <x:c r="B310" s="5" t="str">
        <x:v>CU-0154</x:v>
      </x:c>
      <x:c r="C310" s="5" t="str">
        <x:v>Корпоративный университет локомотивных технологий («ЛокоТех»)</x:v>
      </x:c>
      <x:c r="D310" s="5" t="str">
        <x:v>main_200</x:v>
      </x:c>
      <x:c r="E310" s="5" t="str">
        <x:v>news</x:v>
      </x:c>
      <x:c r="F310" s="5" t="str">
        <x:v>https://locotech.ru/press-center/news/25551/</x:v>
      </x:c>
      <x:c r="G310" s="5" t="str">
        <x:v>Новые программы и механизм ежегодного сбора потребностей</x:v>
      </x:c>
      <x:c r="H310" s="5" t="str">
        <x:v>content_read</x:v>
      </x:c>
      <x:c r="I310" s="5" t="str">
        <x:v>https://locotech.ru/press-center/news/25551/</x:v>
      </x:c>
      <x:c r="J310" s="5" t="str">
        <x:v>Сбор публичного HTML/PDF и изменений; сохранять ссылки на документы и их версии</x:v>
      </x:c>
      <x:c r="K310" s="5" t="str">
        <x:v>Техническая интеграция не проверена; не считать ссылку доказательством полного покрытия</x:v>
      </x:c>
      <x:c r="L310" s="5" t="str"/>
    </x:row>
    <x:row r="311" ht="31.5" customHeight="1">
      <x:c r="A311" s="5" t="str">
        <x:v>CU-SRC-0306</x:v>
      </x:c>
      <x:c r="B311" s="5" t="str">
        <x:v>CU-0154</x:v>
      </x:c>
      <x:c r="C311" s="5" t="str">
        <x:v>Корпоративный университет локомотивных технологий («ЛокоТех»)</x:v>
      </x:c>
      <x:c r="D311" s="5" t="str">
        <x:v>main_200</x:v>
      </x:c>
      <x:c r="E311" s="5" t="str">
        <x:v>contacts</x:v>
      </x:c>
      <x:c r="F311" s="5" t="str">
        <x:v>https://sdo.locotech.ru/contacts</x:v>
      </x:c>
      <x:c r="G311" s="5" t="str">
        <x:v>Контакты организации учебных групп и ДПО</x:v>
      </x:c>
      <x:c r="H311" s="5" t="str">
        <x:v>search_index</x:v>
      </x:c>
      <x:c r="I311" s="5" t="str">
        <x:v>https://sdo.locotech.ru/contacts</x:v>
      </x:c>
      <x:c r="J311" s="5" t="str">
        <x:v>Сбор публичного HTML/PDF и изменений; сохранять ссылки на документы и их версии</x:v>
      </x:c>
      <x:c r="K311" s="5" t="str">
        <x:v>Техническая интеграция не проверена; не считать ссылку доказательством полного покрытия</x:v>
      </x:c>
      <x:c r="L311" s="5" t="str"/>
    </x:row>
    <x:row r="312" ht="31.5" customHeight="1">
      <x:c r="A312" s="5" t="str">
        <x:v>CU-SRC-0307</x:v>
      </x:c>
      <x:c r="B312" s="5" t="str">
        <x:v>CU-0154</x:v>
      </x:c>
      <x:c r="C312" s="5" t="str">
        <x:v>Корпоративный университет локомотивных технологий («ЛокоТех»)</x:v>
      </x:c>
      <x:c r="D312" s="5" t="str">
        <x:v>main_200</x:v>
      </x:c>
      <x:c r="E312" s="5" t="str">
        <x:v>university_site</x:v>
      </x:c>
      <x:c r="F312" s="5" t="str">
        <x:v>https://do.locotech.ru/</x:v>
      </x:c>
      <x:c r="G312" s="5" t="str">
        <x:v>Параллельный учебный маршрут; сверить связь и полноту с sdo.locotech.ru</x:v>
      </x:c>
      <x:c r="H312" s="5" t="str">
        <x:v>search_index</x:v>
      </x:c>
      <x:c r="I312" s="5" t="str">
        <x:v>https://do.locotech.ru/</x:v>
      </x:c>
      <x:c r="J312" s="5" t="str">
        <x:v>Сбор публичного HTML/PDF и изменений; сохранять ссылки на документы и их версии</x:v>
      </x:c>
      <x:c r="K312" s="5" t="str">
        <x:v>Техническая интеграция не проверена; не считать ссылку доказательством полного покрытия</x:v>
      </x:c>
      <x:c r="L312" s="5" t="str"/>
    </x:row>
    <x:row r="313" ht="31.5" customHeight="1">
      <x:c r="A313" s="5" t="str">
        <x:v>CU-SRC-0308</x:v>
      </x:c>
      <x:c r="B313" s="5" t="str">
        <x:v>CU-0155</x:v>
      </x:c>
      <x:c r="C313" s="5" t="str">
        <x:v>Корпоративный университет Медскан Hadassah</x:v>
      </x:c>
      <x:c r="D313" s="5" t="str">
        <x:v>main_200</x:v>
      </x:c>
      <x:c r="E313" s="5" t="str">
        <x:v>university_site</x:v>
      </x:c>
      <x:c r="F313" s="5" t="str">
        <x:v>https://university.hadassah.moscow/</x:v>
      </x:c>
      <x:c r="G313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313" s="5" t="str">
        <x:v>content_read</x:v>
      </x:c>
      <x:c r="I313" s="5" t="str">
        <x:v>https://university.hadassah.moscow/</x:v>
      </x:c>
      <x:c r="J313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313" s="5" t="str">
        <x:v>Обнаружение в открытом вебе; действующий автоматический сборщик не тестировался</x:v>
      </x:c>
      <x:c r="L313" s="5" t="str"/>
    </x:row>
    <x:row r="314" ht="31.5" customHeight="1">
      <x:c r="A314" s="5" t="str">
        <x:v>CU-SRC-0309</x:v>
      </x:c>
      <x:c r="B314" s="5" t="str">
        <x:v>CU-0155</x:v>
      </x:c>
      <x:c r="C314" s="5" t="str">
        <x:v>Корпоративный университет Медскан Hadassah</x:v>
      </x:c>
      <x:c r="D314" s="5" t="str">
        <x:v>main_200</x:v>
      </x:c>
      <x:c r="E314" s="5" t="str">
        <x:v>programs</x:v>
      </x:c>
      <x:c r="F314" s="5" t="str">
        <x:v>https://university.hadassah.moscow/listeners/programmy-obucheniya-dlya-rukovoditelej/</x:v>
      </x:c>
      <x:c r="G314" s="5" t="str">
        <x:v>Управленческие программы и новые продукты для медицинского бизнеса</x:v>
      </x:c>
      <x:c r="H314" s="5" t="str">
        <x:v>content_read</x:v>
      </x:c>
      <x:c r="I314" s="5" t="str">
        <x:v>https://university.hadassah.moscow/listeners/programmy-obucheniya-dlya-rukovoditelej/</x:v>
      </x:c>
      <x:c r="J314" s="5" t="str">
        <x:v>Сбор публичного HTML/PDF и изменений; сохранять ссылки на документы и их версии</x:v>
      </x:c>
      <x:c r="K314" s="5" t="str">
        <x:v>Техническая интеграция не проверена; не считать ссылку доказательством полного покрытия</x:v>
      </x:c>
      <x:c r="L314" s="5" t="str"/>
    </x:row>
    <x:row r="315" ht="31.5" customHeight="1">
      <x:c r="A315" s="5" t="str">
        <x:v>CU-SRC-0310</x:v>
      </x:c>
      <x:c r="B315" s="5" t="str">
        <x:v>CU-0156</x:v>
      </x:c>
      <x:c r="C315" s="5" t="str">
        <x:v>Медицинская школа ЕМС — EMC Medical School</x:v>
      </x:c>
      <x:c r="D315" s="5" t="str">
        <x:v>main_200</x:v>
      </x:c>
      <x:c r="E315" s="5" t="str">
        <x:v>university_site</x:v>
      </x:c>
      <x:c r="F315" s="5" t="str">
        <x:v>https://www.emc-school.ru/</x:v>
      </x:c>
      <x:c r="G315" s="5" t="str">
        <x:v>Название/структура центра; программы и новые направления; анонсы обучения, преподаватели и партнёры; ссылки на новости/закупки/контакты</x:v>
      </x:c>
      <x:c r="H315" s="5" t="str">
        <x:v>search_index</x:v>
      </x:c>
      <x:c r="I315" s="5" t="str">
        <x:v>https://www.emcmos.ru/for-specialists/</x:v>
      </x:c>
      <x:c r="J315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K315" s="5" t="str">
        <x:v>Обнаружение в открытом вебе; действующий автоматический сборщик не тестировался</x:v>
      </x:c>
      <x:c r="L315" s="5" t="str"/>
    </x:row>
    <x:row r="316" ht="31.5" customHeight="1">
      <x:c r="A316" s="5" t="str">
        <x:v>CU-SRC-0311</x:v>
      </x:c>
      <x:c r="B316" s="5" t="str">
        <x:v>CU-0156</x:v>
      </x:c>
      <x:c r="C316" s="5" t="str">
        <x:v>Медицинская школа ЕМС — EMC Medical School</x:v>
      </x:c>
      <x:c r="D316" s="5" t="str">
        <x:v>main_200</x:v>
      </x:c>
      <x:c r="E316" s="5" t="str">
        <x:v>programs</x:v>
      </x:c>
      <x:c r="F316" s="5" t="str">
        <x:v>https://www.emc-school.ru/node/3990</x:v>
      </x:c>
      <x:c r="G316" s="5" t="str">
        <x:v>Онлайн-обучение и стажировки; спрос на образовательный контент</x:v>
      </x:c>
      <x:c r="H316" s="5" t="str">
        <x:v>search_index</x:v>
      </x:c>
      <x:c r="I316" s="5" t="str">
        <x:v>https://www.emc-school.ru/node/3990</x:v>
      </x:c>
      <x:c r="J316" s="5" t="str">
        <x:v>Сбор публичного HTML/PDF и изменений; сохранять ссылки на документы и их версии</x:v>
      </x:c>
      <x:c r="K316" s="5" t="str">
        <x:v>Техническая интеграция не проверена; не считать ссылку доказательством полного покрытия</x:v>
      </x:c>
      <x:c r="L316" s="5" t="str"/>
    </x:row>
    <x:row r="317" ht="31.5" customHeight="1">
      <x:c r="A317" s="5" t="str">
        <x:v>CU-SRC-0312</x:v>
      </x:c>
      <x:c r="B317" s="5" t="str">
        <x:v>CU-0156</x:v>
      </x:c>
      <x:c r="C317" s="5" t="str">
        <x:v>Медицинская школа ЕМС — EMC Medical School</x:v>
      </x:c>
      <x:c r="D317" s="5" t="str">
        <x:v>main_200</x:v>
      </x:c>
      <x:c r="E317" s="5" t="str">
        <x:v>partners</x:v>
      </x:c>
      <x:c r="F317" s="5" t="str">
        <x:v>https://www.emcmos.ru/for-specialists/</x:v>
      </x:c>
      <x:c r="G317" s="5" t="str">
        <x:v>Партнёрство с медицинским центром и школой</x:v>
      </x:c>
      <x:c r="H317" s="5" t="str">
        <x:v>search_index</x:v>
      </x:c>
      <x:c r="I317" s="5" t="str">
        <x:v>https://www.emcmos.ru/for-specialists/</x:v>
      </x:c>
      <x:c r="J317" s="5" t="str">
        <x:v>Сбор публичного HTML/PDF и изменений; сохранять ссылки на документы и их версии</x:v>
      </x:c>
      <x:c r="K317" s="5" t="str">
        <x:v>Техническая интеграция не проверена; не считать ссылку доказательством полного покрытия</x:v>
      </x:c>
      <x:c r="L317" s="5" t="str"/>
    </x:row>
    <x:row r="318" ht="42.75" customHeight="1">
      <x:c r="A318" s="5" t="str">
        <x:v>CU-SRC-0313</x:v>
      </x:c>
      <x:c r="B318" s="5" t="str">
        <x:v>CU-0157</x:v>
      </x:c>
      <x:c r="C318" s="5" t="str">
        <x:v>Международная Бизнес-Академия «Белоруснефть»</x:v>
      </x:c>
      <x:c r="D318" s="5" t="str">
        <x:v>main_200</x:v>
      </x:c>
      <x:c r="E318" s="5" t="str">
        <x:v>university_site</x:v>
      </x:c>
      <x:c r="F318" s="5" t="str">
        <x:v>https://mba.belorusneft.by/</x:v>
      </x:c>
      <x:c r="G318" s="5" t="str">
        <x:v>Изменения программ, состава подразделения, партнерств и порядка привлечения внешних экспертов.</x:v>
      </x:c>
      <x:c r="H318" s="5" t="str">
        <x:v>search_index</x:v>
      </x:c>
      <x:c r="I318" s="5" t="str">
        <x:v>https://mba.belorusneft.by/about?lang=ru</x:v>
      </x:c>
      <x:c r="J318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18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18" s="5" t="str"/>
    </x:row>
    <x:row r="319" ht="31.5" customHeight="1">
      <x:c r="A319" s="5" t="str">
        <x:v>CU-SRC-0314</x:v>
      </x:c>
      <x:c r="B319" s="5" t="str">
        <x:v>CU-0157</x:v>
      </x:c>
      <x:c r="C319" s="5" t="str">
        <x:v>Международная Бизнес-Академия «Белоруснефть»</x:v>
      </x:c>
      <x:c r="D319" s="5" t="str">
        <x:v>main_200</x:v>
      </x:c>
      <x:c r="E319" s="5" t="str">
        <x:v>programs</x:v>
      </x:c>
      <x:c r="F319" s="5" t="str">
        <x:v>https://mba.belorusneft.by/courses?lang=ru</x:v>
      </x:c>
      <x:c r="G319" s="5" t="str">
        <x:v>Новые программы, календарь, совместные модули.</x:v>
      </x:c>
      <x:c r="H319" s="5" t="str">
        <x:v>search_index</x:v>
      </x:c>
      <x:c r="I319" s="5" t="str">
        <x:v>https://mba.belorusneft.by/courses?lang=ru</x:v>
      </x:c>
      <x:c r="J319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19" s="5" t="str">
        <x:v>URL найден в официальном поисковом индексе; автоматический сбор не протестирован.</x:v>
      </x:c>
      <x:c r="L319" s="5" t="str"/>
    </x:row>
    <x:row r="320" ht="42.75" customHeight="1">
      <x:c r="A320" s="5" t="str">
        <x:v>CU-SRC-0315</x:v>
      </x:c>
      <x:c r="B320" s="5" t="str">
        <x:v>CU-0158</x:v>
      </x:c>
      <x:c r="C320" s="5" t="str">
        <x:v>Центр подготовки, повышения квалификации и переподготовки кадров трубопроводного транспорта</x:v>
      </x:c>
      <x:c r="D320" s="5" t="str">
        <x:v>main_200</x:v>
      </x:c>
      <x:c r="E320" s="5" t="str">
        <x:v>university_site</x:v>
      </x:c>
      <x:c r="F320" s="5" t="str">
        <x:v>https://ecbtg.by/</x:v>
      </x:c>
      <x:c r="G320" s="5" t="str">
        <x:v>Изменения программ, состава подразделения, партнерств и порядка привлечения внешних экспертов.</x:v>
      </x:c>
      <x:c r="H320" s="5" t="str">
        <x:v>search_index</x:v>
      </x:c>
      <x:c r="I320" s="5" t="str">
        <x:v>https://ecbtg.by/obuchenie-rabochih/</x:v>
      </x:c>
      <x:c r="J320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20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20" s="5" t="str"/>
    </x:row>
    <x:row r="321" ht="42.75" customHeight="1">
      <x:c r="A321" s="5" t="str">
        <x:v>CU-SRC-0316</x:v>
      </x:c>
      <x:c r="B321" s="5" t="str">
        <x:v>CU-0159</x:v>
      </x:c>
      <x:c r="C321" s="5" t="str">
        <x:v>Учебный центр подготовки персонала «Энергетик»</x:v>
      </x:c>
      <x:c r="D321" s="5" t="str">
        <x:v>main_200</x:v>
      </x:c>
      <x:c r="E321" s="5" t="str">
        <x:v>university_site</x:v>
      </x:c>
      <x:c r="F321" s="5" t="str">
        <x:v>https://xn--90aefa3bijdgk5j.xn--90ais/filials/ucebnyi-centr-podgotovki-personala-energetik</x:v>
      </x:c>
      <x:c r="G321" s="5" t="str">
        <x:v>Изменения программ, состава подразделения, партнерств и порядка привлечения внешних экспертов.</x:v>
      </x:c>
      <x:c r="H321" s="5" t="str">
        <x:v>search_index</x:v>
      </x:c>
      <x:c r="I321" s="5" t="str">
        <x:v>https://xn--90aefa3bijdgk5j.xn--90ais/filials/ucebnyi-centr-podgotovki-personala-energetik</x:v>
      </x:c>
      <x:c r="J321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21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21" s="5" t="str"/>
    </x:row>
    <x:row r="322" ht="42.75" customHeight="1">
      <x:c r="A322" s="5" t="str">
        <x:v>CU-SRC-0317</x:v>
      </x:c>
      <x:c r="B322" s="5" t="str">
        <x:v>CU-0160</x:v>
      </x:c>
      <x:c r="C322" s="5" t="str">
        <x:v>Филиал «Учебный центр» РУП «Гродноэнерго»</x:v>
      </x:c>
      <x:c r="D322" s="5" t="str">
        <x:v>main_200</x:v>
      </x:c>
      <x:c r="E322" s="5" t="str">
        <x:v>university_site</x:v>
      </x:c>
      <x:c r="F322" s="5" t="str">
        <x:v>https://energo.grodno.by/</x:v>
      </x:c>
      <x:c r="G322" s="5" t="str">
        <x:v>Изменения программ, состава подразделения, партнерств и порядка привлечения внешних экспертов.</x:v>
      </x:c>
      <x:c r="H322" s="5" t="str">
        <x:v>search_index</x:v>
      </x:c>
      <x:c r="I322" s="5" t="str">
        <x:v>https://t.me/s/grodnoenergo_official/6524</x:v>
      </x:c>
      <x:c r="J322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22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22" s="5" t="str"/>
    </x:row>
    <x:row r="323" ht="31.5" customHeight="1">
      <x:c r="A323" s="5" t="str">
        <x:v>CU-SRC-0318</x:v>
      </x:c>
      <x:c r="B323" s="5" t="str">
        <x:v>CU-0160</x:v>
      </x:c>
      <x:c r="C323" s="5" t="str">
        <x:v>Филиал «Учебный центр» РУП «Гродноэнерго»</x:v>
      </x:c>
      <x:c r="D323" s="5" t="str">
        <x:v>main_200</x:v>
      </x:c>
      <x:c r="E323" s="5" t="str">
        <x:v>social</x:v>
      </x:c>
      <x:c r="F323" s="5" t="str">
        <x:v>https://t.me/s/grodnoenergo_official/6524</x:v>
      </x:c>
      <x:c r="G323" s="5" t="str">
        <x:v>Курсы, партнерства, новые программы учебного центра.</x:v>
      </x:c>
      <x:c r="H323" s="5" t="str">
        <x:v>search_index</x:v>
      </x:c>
      <x:c r="I323" s="5" t="str">
        <x:v>https://t.me/s/grodnoenergo_official/6524</x:v>
      </x:c>
      <x:c r="J323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23" s="5" t="str">
        <x:v>Публичный web-preview Telegram; доступность, пагинация и полнота истории требуют проверки.</x:v>
      </x:c>
      <x:c r="L323" s="5" t="str"/>
    </x:row>
    <x:row r="324" ht="42.75" customHeight="1">
      <x:c r="A324" s="5" t="str">
        <x:v>CU-SRC-0319</x:v>
      </x:c>
      <x:c r="B324" s="5" t="str">
        <x:v>CU-0161</x:v>
      </x:c>
      <x:c r="C324" s="5" t="str">
        <x:v>Филиал «Учебный центр» РУП «Гомельэнерго»</x:v>
      </x:c>
      <x:c r="D324" s="5" t="str">
        <x:v>main_200</x:v>
      </x:c>
      <x:c r="E324" s="5" t="str">
        <x:v>university_site</x:v>
      </x:c>
      <x:c r="F324" s="5" t="str">
        <x:v>https://gomelenergo.by/</x:v>
      </x:c>
      <x:c r="G324" s="5" t="str">
        <x:v>Изменения программ, состава подразделения, партнерств и порядка привлечения внешних экспертов.</x:v>
      </x:c>
      <x:c r="H324" s="5" t="str">
        <x:v>search_index</x:v>
      </x:c>
      <x:c r="I324" s="5" t="str">
        <x:v>https://t.me/s/gomelenergo_by?after=3474</x:v>
      </x:c>
      <x:c r="J324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24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24" s="5" t="str"/>
    </x:row>
    <x:row r="325" ht="31.5" customHeight="1">
      <x:c r="A325" s="5" t="str">
        <x:v>CU-SRC-0320</x:v>
      </x:c>
      <x:c r="B325" s="5" t="str">
        <x:v>CU-0161</x:v>
      </x:c>
      <x:c r="C325" s="5" t="str">
        <x:v>Филиал «Учебный центр» РУП «Гомельэнерго»</x:v>
      </x:c>
      <x:c r="D325" s="5" t="str">
        <x:v>main_200</x:v>
      </x:c>
      <x:c r="E325" s="5" t="str">
        <x:v>social</x:v>
      </x:c>
      <x:c r="F325" s="5" t="str">
        <x:v>https://t.me/s/gomelenergo_by?after=3474</x:v>
      </x:c>
      <x:c r="G325" s="5" t="str">
        <x:v>Учебные программы и сотрудничество центра.</x:v>
      </x:c>
      <x:c r="H325" s="5" t="str">
        <x:v>search_index</x:v>
      </x:c>
      <x:c r="I325" s="5" t="str">
        <x:v>https://t.me/s/gomelenergo_by?after=3474</x:v>
      </x:c>
      <x:c r="J325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25" s="5" t="str">
        <x:v>Публичный web-preview Telegram; доступность, пагинация и полнота истории требуют проверки.</x:v>
      </x:c>
      <x:c r="L325" s="5" t="str"/>
    </x:row>
    <x:row r="326" ht="42.75" customHeight="1">
      <x:c r="A326" s="5" t="str">
        <x:v>CU-SRC-0321</x:v>
      </x:c>
      <x:c r="B326" s="5" t="str">
        <x:v>CU-0162</x:v>
      </x:c>
      <x:c r="C326" s="5" t="str">
        <x:v>Филиал «Учебный центр» РУП «Витебскэнерго»</x:v>
      </x:c>
      <x:c r="D326" s="5" t="str">
        <x:v>main_200</x:v>
      </x:c>
      <x:c r="E326" s="5" t="str">
        <x:v>university_site</x:v>
      </x:c>
      <x:c r="F326" s="5" t="str">
        <x:v>https://www.vitebsk.energo.by/o-predpriyatii/filials/uchebnyi-tsentr/</x:v>
      </x:c>
      <x:c r="G326" s="5" t="str">
        <x:v>Изменения программ, состава подразделения, партнерств и порядка привлечения внешних экспертов.</x:v>
      </x:c>
      <x:c r="H326" s="5" t="str">
        <x:v>content_read</x:v>
      </x:c>
      <x:c r="I326" s="5" t="str">
        <x:v>https://www.vitebsk.energo.by/o-predpriyatii/filials/uchebnyi-tsentr/</x:v>
      </x:c>
      <x:c r="J326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26" s="5" t="str">
        <x:v>Публичное содержимое страницы прочитано; наличие API/RSS не проверялось.</x:v>
      </x:c>
      <x:c r="L326" s="5" t="str"/>
    </x:row>
    <x:row r="327" ht="31.5" customHeight="1">
      <x:c r="A327" s="5" t="str">
        <x:v>CU-SRC-0322</x:v>
      </x:c>
      <x:c r="B327" s="5" t="str">
        <x:v>CU-0162</x:v>
      </x:c>
      <x:c r="C327" s="5" t="str">
        <x:v>Филиал «Учебный центр» РУП «Витебскэнерго»</x:v>
      </x:c>
      <x:c r="D327" s="5" t="str">
        <x:v>main_200</x:v>
      </x:c>
      <x:c r="E327" s="5" t="str">
        <x:v>procurement</x:v>
      </x:c>
      <x:c r="F327" s="5" t="str">
        <x:v>https://www.vitebsk.energo.by/deyatelnost/zakupki/procedury-zakupok/</x:v>
      </x:c>
      <x:c r="G327" s="5" t="str">
        <x:v>Лоты на обучение, консалтинг, электронные курсы и HR-услуги.</x:v>
      </x:c>
      <x:c r="H327" s="5" t="str">
        <x:v>content_read</x:v>
      </x:c>
      <x:c r="I327" s="5" t="str">
        <x:v>https://www.vitebsk.energo.by/deyatelnost/zakupki/procedury-zakupok/</x:v>
      </x:c>
      <x:c r="J327" s="5" t="str">
        <x:v>Проверять дважды в неделю; извлекать предмет, срок, требования и ссылку на первичный документ. Архив хранить отдельно от активных приглашений.</x:v>
      </x:c>
      <x:c r="K327" s="5" t="str">
        <x:v>Публичная страница прочитана.</x:v>
      </x:c>
      <x:c r="L327" s="5" t="str"/>
    </x:row>
    <x:row r="328" ht="42.75" customHeight="1">
      <x:c r="A328" s="5" t="str">
        <x:v>CU-SRC-0323</x:v>
      </x:c>
      <x:c r="B328" s="5" t="str">
        <x:v>CU-0163</x:v>
      </x:c>
      <x:c r="C328" s="5" t="str">
        <x:v>Учебный центр РУП «Могилевэнерго»</x:v>
      </x:c>
      <x:c r="D328" s="5" t="str">
        <x:v>reserve</x:v>
      </x:c>
      <x:c r="E328" s="5" t="str">
        <x:v>university_site</x:v>
      </x:c>
      <x:c r="F328" s="5" t="str">
        <x:v>https://mogilev.energo.by/</x:v>
      </x:c>
      <x:c r="G328" s="5" t="str">
        <x:v>Изменения программ, состава подразделения, партнерств и порядка привлечения внешних экспертов.</x:v>
      </x:c>
      <x:c r="H328" s="5" t="str">
        <x:v>search_index</x:v>
      </x:c>
      <x:c r="I328" s="5" t="str">
        <x:v>https://fcviten.by/nashi-partnyory/partnyory-vhodyashie-v-belenergo/mogilyovenergo</x:v>
      </x:c>
      <x:c r="J328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28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28" s="5" t="str"/>
    </x:row>
    <x:row r="329" ht="31.5" customHeight="1">
      <x:c r="A329" s="5" t="str">
        <x:v>CU-SRC-0324</x:v>
      </x:c>
      <x:c r="B329" s="5" t="str">
        <x:v>CU-0163</x:v>
      </x:c>
      <x:c r="C329" s="5" t="str">
        <x:v>Учебный центр РУП «Могилевэнерго»</x:v>
      </x:c>
      <x:c r="D329" s="5" t="str">
        <x:v>reserve</x:v>
      </x:c>
      <x:c r="E329" s="5" t="str">
        <x:v>procurement</x:v>
      </x:c>
      <x:c r="F329" s="5" t="str">
        <x:v>https://mogilev.energo.by/about/zakupki-tovarov-rabot-uslug.php</x:v>
      </x:c>
      <x:c r="G329" s="5" t="str">
        <x:v>Закупки обучения и повышения квалификации.</x:v>
      </x:c>
      <x:c r="H329" s="5" t="str">
        <x:v>content_read</x:v>
      </x:c>
      <x:c r="I329" s="5" t="str">
        <x:v>https://mogilev.energo.by/about/zakupki-tovarov-rabot-uslug.php</x:v>
      </x:c>
      <x:c r="J329" s="5" t="str">
        <x:v>Проверять дважды в неделю; извлекать предмет, срок, требования и ссылку на первичный документ. Архив хранить отдельно от активных приглашений.</x:v>
      </x:c>
      <x:c r="K329" s="5" t="str">
        <x:v>Публичная страница прочитана.</x:v>
      </x:c>
      <x:c r="L329" s="5" t="str"/>
    </x:row>
    <x:row r="330" ht="42.75" customHeight="1">
      <x:c r="A330" s="5" t="str">
        <x:v>CU-SRC-0325</x:v>
      </x:c>
      <x:c r="B330" s="5" t="str">
        <x:v>CU-0164</x:v>
      </x:c>
      <x:c r="C330" s="5" t="str">
        <x:v>Учебный центр РУП «Минскэнерго»</x:v>
      </x:c>
      <x:c r="D330" s="5" t="str">
        <x:v>main_200</x:v>
      </x:c>
      <x:c r="E330" s="5" t="str">
        <x:v>university_site</x:v>
      </x:c>
      <x:c r="F330" s="5" t="str">
        <x:v>https://web.minskenergo.by/filialy/uchebnyj-tsentr/obrazovatelnye-uslugi/</x:v>
      </x:c>
      <x:c r="G330" s="5" t="str">
        <x:v>Изменения программ, состава подразделения, партнерств и порядка привлечения внешних экспертов.</x:v>
      </x:c>
      <x:c r="H330" s="5" t="str">
        <x:v>content_read</x:v>
      </x:c>
      <x:c r="I330" s="5" t="str">
        <x:v>https://web.minskenergo.by/filialy/uchebnyj-tsentr/obrazovatelnye-uslugi/</x:v>
      </x:c>
      <x:c r="J330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30" s="5" t="str">
        <x:v>Публичное содержимое страницы прочитано; наличие API/RSS не проверялось.</x:v>
      </x:c>
      <x:c r="L330" s="5" t="str"/>
    </x:row>
    <x:row r="331" ht="31.5" customHeight="1">
      <x:c r="A331" s="5" t="str">
        <x:v>CU-SRC-0326</x:v>
      </x:c>
      <x:c r="B331" s="5" t="str">
        <x:v>CU-0164</x:v>
      </x:c>
      <x:c r="C331" s="5" t="str">
        <x:v>Учебный центр РУП «Минскэнерго»</x:v>
      </x:c>
      <x:c r="D331" s="5" t="str">
        <x:v>main_200</x:v>
      </x:c>
      <x:c r="E331" s="5" t="str">
        <x:v>procurement</x:v>
      </x:c>
      <x:c r="F331" s="5" t="str">
        <x:v>https://web.minskenergo.by/zakupki/</x:v>
      </x:c>
      <x:c r="G331" s="5" t="str">
        <x:v>Объявления и переходы к процедурам закупок обучения.</x:v>
      </x:c>
      <x:c r="H331" s="5" t="str">
        <x:v>content_read</x:v>
      </x:c>
      <x:c r="I331" s="5" t="str">
        <x:v>https://web.minskenergo.by/zakupki/</x:v>
      </x:c>
      <x:c r="J331" s="5" t="str">
        <x:v>Проверять дважды в неделю; извлекать предмет, срок, требования и ссылку на первичный документ. Архив хранить отдельно от активных приглашений.</x:v>
      </x:c>
      <x:c r="K331" s="5" t="str">
        <x:v>Публичная страница прочитана.</x:v>
      </x:c>
      <x:c r="L331" s="5" t="str"/>
    </x:row>
    <x:row r="332" ht="42.75" customHeight="1">
      <x:c r="A332" s="5" t="str">
        <x:v>CU-SRC-0327</x:v>
      </x:c>
      <x:c r="B332" s="5" t="str">
        <x:v>CU-0165</x:v>
      </x:c>
      <x:c r="C332" s="5" t="str">
        <x:v>ГИПК «ГАЗ-ИНСТИТУТ»</x:v>
      </x:c>
      <x:c r="D332" s="5" t="str">
        <x:v>main_200</x:v>
      </x:c>
      <x:c r="E332" s="5" t="str">
        <x:v>university_site</x:v>
      </x:c>
      <x:c r="F332" s="5" t="str">
        <x:v>https://gazinstitut.by/</x:v>
      </x:c>
      <x:c r="G332" s="5" t="str">
        <x:v>Изменения программ, состава подразделения, партнерств и порядка привлечения внешних экспертов.</x:v>
      </x:c>
      <x:c r="H332" s="5" t="str">
        <x:v>content_read</x:v>
      </x:c>
      <x:c r="I332" s="5" t="str">
        <x:v>https://gazinstitut.by/gpobeltopgas/</x:v>
      </x:c>
      <x:c r="J332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32" s="5" t="str">
        <x:v>Публичное содержимое страницы прочитано; наличие API/RSS не проверялось.</x:v>
      </x:c>
      <x:c r="L332" s="5" t="str"/>
    </x:row>
    <x:row r="333" ht="31.5" customHeight="1">
      <x:c r="A333" s="5" t="str">
        <x:v>CU-SRC-0328</x:v>
      </x:c>
      <x:c r="B333" s="5" t="str">
        <x:v>CU-0165</x:v>
      </x:c>
      <x:c r="C333" s="5" t="str">
        <x:v>ГИПК «ГАЗ-ИНСТИТУТ»</x:v>
      </x:c>
      <x:c r="D333" s="5" t="str">
        <x:v>main_200</x:v>
      </x:c>
      <x:c r="E333" s="5" t="str">
        <x:v>programs</x:v>
      </x:c>
      <x:c r="F333" s="5" t="str">
        <x:v>https://gazinstitut.by/moreaboutus/</x:v>
      </x:c>
      <x:c r="G333" s="5" t="str">
        <x:v>Образовательные направления, партнеры, формы привлечения преподавателей.</x:v>
      </x:c>
      <x:c r="H333" s="5" t="str">
        <x:v>content_read</x:v>
      </x:c>
      <x:c r="I333" s="5" t="str">
        <x:v>https://gazinstitut.by/moreaboutus/</x:v>
      </x:c>
      <x:c r="J333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33" s="5" t="str">
        <x:v>Публичная страница прочитана.</x:v>
      </x:c>
      <x:c r="L333" s="5" t="str"/>
    </x:row>
    <x:row r="334" ht="42.75" customHeight="1">
      <x:c r="A334" s="5" t="str">
        <x:v>CU-SRC-0329</x:v>
      </x:c>
      <x:c r="B334" s="5" t="str">
        <x:v>CU-0166</x:v>
      </x:c>
      <x:c r="C334" s="5" t="str">
        <x:v>Дорожный центр по подготовке, переподготовке и повышению квалификации кадров</x:v>
      </x:c>
      <x:c r="D334" s="5" t="str">
        <x:v>main_200</x:v>
      </x:c>
      <x:c r="E334" s="5" t="str">
        <x:v>university_site</x:v>
      </x:c>
      <x:c r="F334" s="5" t="str">
        <x:v>https://www.rw.by/corporate/structure/dorozhnij_centr_po_podgotovke_perepodgot/</x:v>
      </x:c>
      <x:c r="G334" s="5" t="str">
        <x:v>Изменения программ, состава подразделения, партнерств и порядка привлечения внешних экспертов.</x:v>
      </x:c>
      <x:c r="H334" s="5" t="str">
        <x:v>search_index</x:v>
      </x:c>
      <x:c r="I334" s="5" t="str">
        <x:v>https://www.rw.by/corporate/structure/dorozhnij_centr_po_podgotovke_perepodgot/</x:v>
      </x:c>
      <x:c r="J334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34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34" s="5" t="str"/>
    </x:row>
    <x:row r="335" ht="31.5" customHeight="1">
      <x:c r="A335" s="5" t="str">
        <x:v>CU-SRC-0330</x:v>
      </x:c>
      <x:c r="B335" s="5" t="str">
        <x:v>CU-0166</x:v>
      </x:c>
      <x:c r="C335" s="5" t="str">
        <x:v>Дорожный центр по подготовке, переподготовке и повышению квалификации кадров</x:v>
      </x:c>
      <x:c r="D335" s="5" t="str">
        <x:v>main_200</x:v>
      </x:c>
      <x:c r="E335" s="5" t="str">
        <x:v>university_site</x:v>
      </x:c>
      <x:c r="F335" s="5" t="str">
        <x:v>https://www.rw.by/corporate/structure/dorozhnij_centr_po_podgotovke_perepodgot/baranovichskoe_podrazdelenie_dorozhnogo/</x:v>
      </x:c>
      <x:c r="G335" s="5" t="str">
        <x:v>Программы территориального подразделения как дополнительный канал единого центра.</x:v>
      </x:c>
      <x:c r="H335" s="5" t="str">
        <x:v>search_index</x:v>
      </x:c>
      <x:c r="I335" s="5" t="str">
        <x:v>https://www.rw.by/corporate/structure/dorozhnij_centr_po_podgotovke_perepodgot/baranovichskoe_podrazdelenie_dorozhnogo/</x:v>
      </x:c>
      <x:c r="J335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35" s="5" t="str">
        <x:v>URL найден в официальном поисковом индексе; автоматический сбор не протестирован.</x:v>
      </x:c>
      <x:c r="L335" s="5" t="str"/>
    </x:row>
    <x:row r="336" ht="42.75" customHeight="1">
      <x:c r="A336" s="5" t="str">
        <x:v>CU-SRC-0331</x:v>
      </x:c>
      <x:c r="B336" s="5" t="str">
        <x:v>CU-0167</x:v>
      </x:c>
      <x:c r="C336" s="5" t="str">
        <x:v>Институт ИТ и бизнес-администрирования IBA</x:v>
      </x:c>
      <x:c r="D336" s="5" t="str">
        <x:v>main_200</x:v>
      </x:c>
      <x:c r="E336" s="5" t="str">
        <x:v>university_site</x:v>
      </x:c>
      <x:c r="F336" s="5" t="str">
        <x:v>https://www.instituteiba.by/</x:v>
      </x:c>
      <x:c r="G336" s="5" t="str">
        <x:v>Изменения программ, состава подразделения, партнерств и порядка привлечения внешних экспертов.</x:v>
      </x:c>
      <x:c r="H336" s="5" t="str">
        <x:v>search_index</x:v>
      </x:c>
      <x:c r="I336" s="5" t="str">
        <x:v>https://www.instituteiba.by/about/news/news-2020/we-re-18-let-s-check-your-knowledge-about-the-institute-iba/?special_version=Y</x:v>
      </x:c>
      <x:c r="J336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36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36" s="5" t="str"/>
    </x:row>
    <x:row r="337" ht="31.5" customHeight="1">
      <x:c r="A337" s="5" t="str">
        <x:v>CU-SRC-0332</x:v>
      </x:c>
      <x:c r="B337" s="5" t="str">
        <x:v>CU-0167</x:v>
      </x:c>
      <x:c r="C337" s="5" t="str">
        <x:v>Институт ИТ и бизнес-администрирования IBA</x:v>
      </x:c>
      <x:c r="D337" s="5" t="str">
        <x:v>main_200</x:v>
      </x:c>
      <x:c r="E337" s="5" t="str">
        <x:v>programs</x:v>
      </x:c>
      <x:c r="F337" s="5" t="str">
        <x:v>https://www.instituteiba.by/about/</x:v>
      </x:c>
      <x:c r="G337" s="5" t="str">
        <x:v>Текущие направления, внешние преподаватели, корпоративное обучение.</x:v>
      </x:c>
      <x:c r="H337" s="5" t="str">
        <x:v>content_read</x:v>
      </x:c>
      <x:c r="I337" s="5" t="str">
        <x:v>https://www.instituteiba.by/about/</x:v>
      </x:c>
      <x:c r="J337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37" s="5" t="str">
        <x:v>Публичная страница прочитана.</x:v>
      </x:c>
      <x:c r="L337" s="5" t="str"/>
    </x:row>
    <x:row r="338" ht="31.5" customHeight="1">
      <x:c r="A338" s="5" t="str">
        <x:v>CU-SRC-0333</x:v>
      </x:c>
      <x:c r="B338" s="5" t="str">
        <x:v>CU-0167</x:v>
      </x:c>
      <x:c r="C338" s="5" t="str">
        <x:v>Институт ИТ и бизнес-администрирования IBA</x:v>
      </x:c>
      <x:c r="D338" s="5" t="str">
        <x:v>main_200</x:v>
      </x:c>
      <x:c r="E338" s="5" t="str">
        <x:v>programs</x:v>
      </x:c>
      <x:c r="F338" s="5" t="str">
        <x:v>https://www.instituteiba.by/about/learning/</x:v>
      </x:c>
      <x:c r="G338" s="5" t="str">
        <x:v>Форматы и индивидуальные корпоративные программы.</x:v>
      </x:c>
      <x:c r="H338" s="5" t="str">
        <x:v>search_index</x:v>
      </x:c>
      <x:c r="I338" s="5" t="str">
        <x:v>https://www.instituteiba.by/about/learning/</x:v>
      </x:c>
      <x:c r="J338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38" s="5" t="str">
        <x:v>URL найден в официальном поисковом индексе; автоматический сбор не протестирован.</x:v>
      </x:c>
      <x:c r="L338" s="5" t="str"/>
    </x:row>
    <x:row r="339" ht="42.75" customHeight="1">
      <x:c r="A339" s="5" t="str">
        <x:v>CU-SRC-0334</x:v>
      </x:c>
      <x:c r="B339" s="5" t="str">
        <x:v>CU-0168</x:v>
      </x:c>
      <x:c r="C339" s="5" t="str">
        <x:v>Учебный центр Itransition</x:v>
      </x:c>
      <x:c r="D339" s="5" t="str">
        <x:v>reserve</x:v>
      </x:c>
      <x:c r="E339" s="5" t="str">
        <x:v>university_site</x:v>
      </x:c>
      <x:c r="F339" s="5" t="str">
        <x:v>https://www.itransition.com/careers/training</x:v>
      </x:c>
      <x:c r="G339" s="5" t="str">
        <x:v>Изменения программ, состава подразделения, партнерств и порядка привлечения внешних экспертов.</x:v>
      </x:c>
      <x:c r="H339" s="5" t="str">
        <x:v>content_read</x:v>
      </x:c>
      <x:c r="I339" s="5" t="str">
        <x:v>https://www.itransition.com/careers/training</x:v>
      </x:c>
      <x:c r="J339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39" s="5" t="str">
        <x:v>Публичное содержимое страницы прочитано; наличие API/RSS не проверялось.</x:v>
      </x:c>
      <x:c r="L339" s="5" t="str"/>
    </x:row>
    <x:row r="340" ht="42.75" customHeight="1">
      <x:c r="A340" s="5" t="str">
        <x:v>CU-SRC-0335</x:v>
      </x:c>
      <x:c r="B340" s="5" t="str">
        <x:v>CU-0169</x:v>
      </x:c>
      <x:c r="C340" s="5" t="str">
        <x:v>Корпоративный Тренинг-центр ISsoft</x:v>
      </x:c>
      <x:c r="D340" s="5" t="str">
        <x:v>main_200</x:v>
      </x:c>
      <x:c r="E340" s="5" t="str">
        <x:v>university_site</x:v>
      </x:c>
      <x:c r="F340" s="5" t="str">
        <x:v>https://issoft.by/training-center/</x:v>
      </x:c>
      <x:c r="G340" s="5" t="str">
        <x:v>Изменения программ, состава подразделения, партнерств и порядка привлечения внешних экспертов.</x:v>
      </x:c>
      <x:c r="H340" s="5" t="str">
        <x:v>search_index</x:v>
      </x:c>
      <x:c r="I340" s="5" t="str">
        <x:v>https://issoft.by/training-center/</x:v>
      </x:c>
      <x:c r="J340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40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40" s="5" t="str"/>
    </x:row>
    <x:row r="341" ht="31.5" customHeight="1">
      <x:c r="A341" s="5" t="str">
        <x:v>CU-SRC-0336</x:v>
      </x:c>
      <x:c r="B341" s="5" t="str">
        <x:v>CU-0169</x:v>
      </x:c>
      <x:c r="C341" s="5" t="str">
        <x:v>Корпоративный Тренинг-центр ISsoft</x:v>
      </x:c>
      <x:c r="D341" s="5" t="str">
        <x:v>main_200</x:v>
      </x:c>
      <x:c r="E341" s="5" t="str">
        <x:v>programs</x:v>
      </x:c>
      <x:c r="F341" s="5" t="str">
        <x:v>https://issoft.by/school-of-development/</x:v>
      </x:c>
      <x:c r="G341" s="5" t="str">
        <x:v>Статус школ, новые потоки, требования к наставникам.</x:v>
      </x:c>
      <x:c r="H341" s="5" t="str">
        <x:v>search_index</x:v>
      </x:c>
      <x:c r="I341" s="5" t="str">
        <x:v>https://issoft.by/school-of-development/</x:v>
      </x:c>
      <x:c r="J341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41" s="5" t="str">
        <x:v>URL найден в официальном поисковом индексе; автоматический сбор не протестирован.</x:v>
      </x:c>
      <x:c r="L341" s="5" t="str"/>
    </x:row>
    <x:row r="342" ht="42.75" customHeight="1">
      <x:c r="A342" s="5" t="str">
        <x:v>CU-SRC-0337</x:v>
      </x:c>
      <x:c r="B342" s="5" t="str">
        <x:v>CU-0170</x:v>
      </x:c>
      <x:c r="C342" s="5" t="str">
        <x:v>Корпоративный университет «АЛЮТЕХ»</x:v>
      </x:c>
      <x:c r="D342" s="5" t="str">
        <x:v>main_200</x:v>
      </x:c>
      <x:c r="E342" s="5" t="str">
        <x:v>university_site</x:v>
      </x:c>
      <x:c r="F342" s="5" t="str">
        <x:v>https://alutech-group.com/cis-ru/diler-rva/publikacii/novosti/obnovlen-uchebnyy-portal/</x:v>
      </x:c>
      <x:c r="G342" s="5" t="str">
        <x:v>Изменения программ, состава подразделения, партнерств и порядка привлечения внешних экспертов.</x:v>
      </x:c>
      <x:c r="H342" s="5" t="str">
        <x:v>search_index</x:v>
      </x:c>
      <x:c r="I342" s="5" t="str">
        <x:v>https://alutech-group.com/cis-ru/diler-rva/publikacii/novosti/obnovlen-uchebnyy-portal/</x:v>
      </x:c>
      <x:c r="J342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42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42" s="5" t="str"/>
    </x:row>
    <x:row r="343" ht="31.5" customHeight="1">
      <x:c r="A343" s="5" t="str">
        <x:v>CU-SRC-0338</x:v>
      </x:c>
      <x:c r="B343" s="5" t="str">
        <x:v>CU-0170</x:v>
      </x:c>
      <x:c r="C343" s="5" t="str">
        <x:v>Корпоративный университет «АЛЮТЕХ»</x:v>
      </x:c>
      <x:c r="D343" s="5" t="str">
        <x:v>main_200</x:v>
      </x:c>
      <x:c r="E343" s="5" t="str">
        <x:v>programs</x:v>
      </x:c>
      <x:c r="F343" s="5" t="str">
        <x:v>https://alutech-group.com/cis-ru/inzhenerno-tekhnicheskij-czentr/uchebnyj-czentr/</x:v>
      </x:c>
      <x:c r="G343" s="5" t="str">
        <x:v>Обучение партнеров, инженерных команд и руководителей производств.</x:v>
      </x:c>
      <x:c r="H343" s="5" t="str">
        <x:v>search_index</x:v>
      </x:c>
      <x:c r="I343" s="5" t="str">
        <x:v>https://alutech-group.com/cis-ru/inzhenerno-tekhnicheskij-czentr/uchebnyj-czentr/</x:v>
      </x:c>
      <x:c r="J343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43" s="5" t="str">
        <x:v>URL найден в официальном поисковом индексе; автоматический сбор не протестирован.</x:v>
      </x:c>
      <x:c r="L343" s="5" t="str"/>
    </x:row>
    <x:row r="344" ht="42.75" customHeight="1">
      <x:c r="A344" s="5" t="str">
        <x:v>CU-SRC-0339</x:v>
      </x:c>
      <x:c r="B344" s="5" t="str">
        <x:v>CU-0171</x:v>
      </x:c>
      <x:c r="C344" s="5" t="str">
        <x:v>Академия недвижимости А-100</x:v>
      </x:c>
      <x:c r="D344" s="5" t="str">
        <x:v>main_200</x:v>
      </x:c>
      <x:c r="E344" s="5" t="str">
        <x:v>university_site</x:v>
      </x:c>
      <x:c r="F344" s="5" t="str">
        <x:v>https://www.a-100.by/group-of-companies/</x:v>
      </x:c>
      <x:c r="G344" s="5" t="str">
        <x:v>Изменения программ, состава подразделения, партнерств и порядка привлечения внешних экспертов.</x:v>
      </x:c>
      <x:c r="H344" s="5" t="str">
        <x:v>search_index</x:v>
      </x:c>
      <x:c r="I344" s="5" t="str">
        <x:v>https://www.a-100.by/group-of-companies/</x:v>
      </x:c>
      <x:c r="J344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44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44" s="5" t="str"/>
    </x:row>
    <x:row r="345" ht="42.75" customHeight="1">
      <x:c r="A345" s="5" t="str">
        <x:v>CU-SRC-0340</x:v>
      </x:c>
      <x:c r="B345" s="5" t="str">
        <x:v>CU-0172</x:v>
      </x:c>
      <x:c r="C345" s="5" t="str">
        <x:v>Центр по работе с персоналом ОАО «Белагропромбанк»</x:v>
      </x:c>
      <x:c r="D345" s="5" t="str">
        <x:v>reserve</x:v>
      </x:c>
      <x:c r="E345" s="5" t="str">
        <x:v>university_site</x:v>
      </x:c>
      <x:c r="F345" s="5" t="str">
        <x:v>https://www.belapb.by/about/karera-v-banke/razvitie-personala/</x:v>
      </x:c>
      <x:c r="G345" s="5" t="str">
        <x:v>Изменения программ, состава подразделения, партнерств и порядка привлечения внешних экспертов.</x:v>
      </x:c>
      <x:c r="H345" s="5" t="str">
        <x:v>search_index</x:v>
      </x:c>
      <x:c r="I345" s="5" t="str">
        <x:v>https://www.belapb.by/about/karera-v-banke/razvitie-personala/</x:v>
      </x:c>
      <x:c r="J345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45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45" s="5" t="str"/>
    </x:row>
    <x:row r="346" ht="42.75" customHeight="1">
      <x:c r="A346" s="5" t="str">
        <x:v>CU-SRC-0341</x:v>
      </x:c>
      <x:c r="B346" s="5" t="str">
        <x:v>CU-0173</x:v>
      </x:c>
      <x:c r="C346" s="5" t="str">
        <x:v>Учебный центр ОАО «БЕЛАЗ»</x:v>
      </x:c>
      <x:c r="D346" s="5" t="str">
        <x:v>main_200</x:v>
      </x:c>
      <x:c r="E346" s="5" t="str">
        <x:v>university_site</x:v>
      </x:c>
      <x:c r="F346" s="5" t="str">
        <x:v>https://m.belaz.by/services/training/</x:v>
      </x:c>
      <x:c r="G346" s="5" t="str">
        <x:v>Изменения программ, состава подразделения, партнерств и порядка привлечения внешних экспертов.</x:v>
      </x:c>
      <x:c r="H346" s="5" t="str">
        <x:v>search_index</x:v>
      </x:c>
      <x:c r="I346" s="5" t="str">
        <x:v>https://m.belaz.by/services/training/</x:v>
      </x:c>
      <x:c r="J346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46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46" s="5" t="str"/>
    </x:row>
    <x:row r="347" ht="42.75" customHeight="1">
      <x:c r="A347" s="5" t="str">
        <x:v>CU-SRC-0342</x:v>
      </x:c>
      <x:c r="B347" s="5" t="str">
        <x:v>CU-0174</x:v>
      </x:c>
      <x:c r="C347" s="5" t="str">
        <x:v>Учебный центр по подготовке и повышению квалификации кадров БМЗ</x:v>
      </x:c>
      <x:c r="D347" s="5" t="str">
        <x:v>main_200</x:v>
      </x:c>
      <x:c r="E347" s="5" t="str">
        <x:v>university_site</x:v>
      </x:c>
      <x:c r="F347" s="5" t="str">
        <x:v>https://metallurg.belsteel.com/?p=17054</x:v>
      </x:c>
      <x:c r="G347" s="5" t="str">
        <x:v>Изменения программ, состава подразделения, партнерств и порядка привлечения внешних экспертов.</x:v>
      </x:c>
      <x:c r="H347" s="5" t="str">
        <x:v>search_index</x:v>
      </x:c>
      <x:c r="I347" s="5" t="str">
        <x:v>https://belsteel.com/about/bmz-35.php</x:v>
      </x:c>
      <x:c r="J347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47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47" s="5" t="str"/>
    </x:row>
    <x:row r="348" ht="31.5" customHeight="1">
      <x:c r="A348" s="5" t="str">
        <x:v>CU-SRC-0343</x:v>
      </x:c>
      <x:c r="B348" s="5" t="str">
        <x:v>CU-0174</x:v>
      </x:c>
      <x:c r="C348" s="5" t="str">
        <x:v>Учебный центр по подготовке и повышению квалификации кадров БМЗ</x:v>
      </x:c>
      <x:c r="D348" s="5" t="str">
        <x:v>main_200</x:v>
      </x:c>
      <x:c r="E348" s="5" t="str">
        <x:v>news</x:v>
      </x:c>
      <x:c r="F348" s="5" t="str">
        <x:v>https://belsteel.com/press/novosti.php?id=1761</x:v>
      </x:c>
      <x:c r="G348" s="5" t="str">
        <x:v>Пример корпоративного обучения в функциональной области — персональные данные.</x:v>
      </x:c>
      <x:c r="H348" s="5" t="str">
        <x:v>search_index</x:v>
      </x:c>
      <x:c r="I348" s="5" t="str">
        <x:v>https://belsteel.com/press/novosti.php?id=1761</x:v>
      </x:c>
      <x:c r="J348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48" s="5" t="str">
        <x:v>URL найден в официальном поисковом индексе; автоматический сбор не протестирован.</x:v>
      </x:c>
      <x:c r="L348" s="5" t="str"/>
    </x:row>
    <x:row r="349" ht="42.75" customHeight="1">
      <x:c r="A349" s="5" t="str">
        <x:v>CU-SRC-0344</x:v>
      </x:c>
      <x:c r="B349" s="5" t="str">
        <x:v>CU-0175</x:v>
      </x:c>
      <x:c r="C349" s="5" t="str">
        <x:v>Учебный центр Национального банка Республики Беларусь</x:v>
      </x:c>
      <x:c r="D349" s="5" t="str">
        <x:v>main_200</x:v>
      </x:c>
      <x:c r="E349" s="5" t="str">
        <x:v>university_site</x:v>
      </x:c>
      <x:c r="F349" s="5" t="str">
        <x:v>https://www.nbrb.by/branches/educenter</x:v>
      </x:c>
      <x:c r="G349" s="5" t="str">
        <x:v>Изменения программ, состава подразделения, партнерств и порядка привлечения внешних экспертов.</x:v>
      </x:c>
      <x:c r="H349" s="5" t="str">
        <x:v>search_index</x:v>
      </x:c>
      <x:c r="I349" s="5" t="str">
        <x:v>https://www.nbrb.by/branches/educenter</x:v>
      </x:c>
      <x:c r="J349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49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49" s="5" t="str"/>
    </x:row>
    <x:row r="350" ht="31.5" customHeight="1">
      <x:c r="A350" s="5" t="str">
        <x:v>CU-SRC-0345</x:v>
      </x:c>
      <x:c r="B350" s="5" t="str">
        <x:v>CU-0175</x:v>
      </x:c>
      <x:c r="C350" s="5" t="str">
        <x:v>Учебный центр Национального банка Республики Беларусь</x:v>
      </x:c>
      <x:c r="D350" s="5" t="str">
        <x:v>main_200</x:v>
      </x:c>
      <x:c r="E350" s="5" t="str">
        <x:v>expert_application</x:v>
      </x:c>
      <x:c r="F350" s="5" t="str">
        <x:v>https://www.nbrb.by/info/education</x:v>
      </x:c>
      <x:c r="G350" s="5" t="str">
        <x:v>Приглашения на организацию обучения работников: темы, дедлайны, требования и способ подачи.</x:v>
      </x:c>
      <x:c r="H350" s="5" t="str">
        <x:v>search_index</x:v>
      </x:c>
      <x:c r="I350" s="5" t="str">
        <x:v>https://www.nbrb.by/info/education</x:v>
      </x:c>
      <x:c r="J350" s="5" t="str">
        <x:v>Проверять дважды в неделю; извлекать предмет, срок, требования и ссылку на первичный документ. Архив хранить отдельно от активных приглашений.</x:v>
      </x:c>
      <x:c r="K350" s="5" t="str">
        <x:v>URL найден в официальном поисковом индексе; автоматический сбор не протестирован.</x:v>
      </x:c>
      <x:c r="L350" s="5" t="str"/>
    </x:row>
    <x:row r="351" ht="42.75" customHeight="1">
      <x:c r="A351" s="5" t="str">
        <x:v>CU-SRC-0346</x:v>
      </x:c>
      <x:c r="B351" s="5" t="str">
        <x:v>CU-0176</x:v>
      </x:c>
      <x:c r="C351" s="5" t="str">
        <x:v>Учебный центр по техническому и сервисному обслуживанию МТЗ</x:v>
      </x:c>
      <x:c r="D351" s="5" t="str">
        <x:v>main_200</x:v>
      </x:c>
      <x:c r="E351" s="5" t="str">
        <x:v>university_site</x:v>
      </x:c>
      <x:c r="F351" s="5" t="str">
        <x:v>https://www.mtz-td.ru/educatcenter</x:v>
      </x:c>
      <x:c r="G351" s="5" t="str">
        <x:v>Изменения программ, состава подразделения, партнерств и порядка привлечения внешних экспертов.</x:v>
      </x:c>
      <x:c r="H351" s="5" t="str">
        <x:v>search_index</x:v>
      </x:c>
      <x:c r="I351" s="5" t="str">
        <x:v>https://www.mtz-td.ru/educatcenter</x:v>
      </x:c>
      <x:c r="J351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51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51" s="5" t="str"/>
    </x:row>
    <x:row r="352" ht="31.5" customHeight="1">
      <x:c r="A352" s="5" t="str">
        <x:v>CU-SRC-0347</x:v>
      </x:c>
      <x:c r="B352" s="5" t="str">
        <x:v>CU-0176</x:v>
      </x:c>
      <x:c r="C352" s="5" t="str">
        <x:v>Учебный центр по техническому и сервисному обслуживанию МТЗ</x:v>
      </x:c>
      <x:c r="D352" s="5" t="str">
        <x:v>main_200</x:v>
      </x:c>
      <x:c r="E352" s="5" t="str">
        <x:v>university_site</x:v>
      </x:c>
      <x:c r="F352" s="5" t="str">
        <x:v>https://belarus-tractor.com/mtz/company/servis/</x:v>
      </x:c>
      <x:c r="G352" s="5" t="str">
        <x:v>Информация производителя о сервисе и подготовке специалистов.</x:v>
      </x:c>
      <x:c r="H352" s="5" t="str">
        <x:v>search_index</x:v>
      </x:c>
      <x:c r="I352" s="5" t="str">
        <x:v>https://belarus-tractor.com/mtz/company/servis/</x:v>
      </x:c>
      <x:c r="J352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52" s="5" t="str">
        <x:v>URL найден в официальном поисковом индексе; автоматический сбор не протестирован.</x:v>
      </x:c>
      <x:c r="L352" s="5" t="str"/>
    </x:row>
    <x:row r="353" ht="42.75" customHeight="1">
      <x:c r="A353" s="5" t="str">
        <x:v>CU-SRC-0348</x:v>
      </x:c>
      <x:c r="B353" s="5" t="str">
        <x:v>CU-0177</x:v>
      </x:c>
      <x:c r="C353" s="5" t="str">
        <x:v>Учреждение образования «УЦ БелТЮФ»</x:v>
      </x:c>
      <x:c r="D353" s="5" t="str">
        <x:v>main_200</x:v>
      </x:c>
      <x:c r="E353" s="5" t="str">
        <x:v>university_site</x:v>
      </x:c>
      <x:c r="F353" s="5" t="str">
        <x:v>https://beltuv.by/uc/</x:v>
      </x:c>
      <x:c r="G353" s="5" t="str">
        <x:v>Изменения программ, состава подразделения, партнерств и порядка привлечения внешних экспертов.</x:v>
      </x:c>
      <x:c r="H353" s="5" t="str">
        <x:v>search_index</x:v>
      </x:c>
      <x:c r="I353" s="5" t="str">
        <x:v>https://beltuv.by/</x:v>
      </x:c>
      <x:c r="J353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53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53" s="5" t="str"/>
    </x:row>
    <x:row r="354" ht="31.5" customHeight="1">
      <x:c r="A354" s="5" t="str">
        <x:v>CU-SRC-0349</x:v>
      </x:c>
      <x:c r="B354" s="5" t="str">
        <x:v>CU-0177</x:v>
      </x:c>
      <x:c r="C354" s="5" t="str">
        <x:v>Учреждение образования «УЦ БелТЮФ»</x:v>
      </x:c>
      <x:c r="D354" s="5" t="str">
        <x:v>main_200</x:v>
      </x:c>
      <x:c r="E354" s="5" t="str">
        <x:v>careers</x:v>
      </x:c>
      <x:c r="F354" s="5" t="str">
        <x:v>https://beltuv.by/vakansii</x:v>
      </x:c>
      <x:c r="G354" s="5" t="str">
        <x:v>Набор преподавателей и учебно-методических специалистов.</x:v>
      </x:c>
      <x:c r="H354" s="5" t="str">
        <x:v>search_index</x:v>
      </x:c>
      <x:c r="I354" s="5" t="str">
        <x:v>https://beltuv.by/vakansii</x:v>
      </x:c>
      <x:c r="J354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54" s="5" t="str">
        <x:v>URL найден в официальном поисковом индексе; автоматический сбор не протестирован.</x:v>
      </x:c>
      <x:c r="L354" s="5" t="str"/>
    </x:row>
    <x:row r="355" ht="31.5" customHeight="1">
      <x:c r="A355" s="5" t="str">
        <x:v>CU-SRC-0350</x:v>
      </x:c>
      <x:c r="B355" s="5" t="str">
        <x:v>CU-0177</x:v>
      </x:c>
      <x:c r="C355" s="5" t="str">
        <x:v>Учреждение образования «УЦ БелТЮФ»</x:v>
      </x:c>
      <x:c r="D355" s="5" t="str">
        <x:v>main_200</x:v>
      </x:c>
      <x:c r="E355" s="5" t="str">
        <x:v>programs</x:v>
      </x:c>
      <x:c r="F355" s="5" t="str">
        <x:v>https://beltuv.by/uc/obuchayushhie-kursy</x:v>
      </x:c>
      <x:c r="G355" s="5" t="str">
        <x:v>Изменения учебных направлений и наборов.</x:v>
      </x:c>
      <x:c r="H355" s="5" t="str">
        <x:v>search_index</x:v>
      </x:c>
      <x:c r="I355" s="5" t="str">
        <x:v>https://beltuv.by/uc/obuchayushhie-kursy</x:v>
      </x:c>
      <x:c r="J355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55" s="5" t="str">
        <x:v>URL найден в официальном поисковом индексе; автоматический сбор не протестирован.</x:v>
      </x:c>
      <x:c r="L355" s="5" t="str"/>
    </x:row>
    <x:row r="356" ht="42.75" customHeight="1">
      <x:c r="A356" s="5" t="str">
        <x:v>CU-SRC-0351</x:v>
      </x:c>
      <x:c r="B356" s="5" t="str">
        <x:v>CU-0178</x:v>
      </x:c>
      <x:c r="C356" s="5" t="str">
        <x:v>Учебный центр авиационной безопасности ИКАО Национального аэропорта Минск</x:v>
      </x:c>
      <x:c r="D356" s="5" t="str">
        <x:v>main_200</x:v>
      </x:c>
      <x:c r="E356" s="5" t="str">
        <x:v>university_site</x:v>
      </x:c>
      <x:c r="F356" s="5" t="str">
        <x:v>https://icao.airport.by/</x:v>
      </x:c>
      <x:c r="G356" s="5" t="str">
        <x:v>Изменения программ, состава подразделения, партнерств и порядка привлечения внешних экспертов.</x:v>
      </x:c>
      <x:c r="H356" s="5" t="str">
        <x:v>search_index</x:v>
      </x:c>
      <x:c r="I356" s="5" t="str">
        <x:v>https://icao.airport.by/about</x:v>
      </x:c>
      <x:c r="J356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56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56" s="5" t="str"/>
    </x:row>
    <x:row r="357" ht="31.5" customHeight="1">
      <x:c r="A357" s="5" t="str">
        <x:v>CU-SRC-0352</x:v>
      </x:c>
      <x:c r="B357" s="5" t="str">
        <x:v>CU-0178</x:v>
      </x:c>
      <x:c r="C357" s="5" t="str">
        <x:v>Учебный центр авиационной безопасности ИКАО Национального аэропорта Минск</x:v>
      </x:c>
      <x:c r="D357" s="5" t="str">
        <x:v>main_200</x:v>
      </x:c>
      <x:c r="E357" s="5" t="str">
        <x:v>programs</x:v>
      </x:c>
      <x:c r="F357" s="5" t="str">
        <x:v>https://icao.airport.by/schedule</x:v>
      </x:c>
      <x:c r="G357" s="5" t="str">
        <x:v>Расписание, партнерские программы и новые темы.</x:v>
      </x:c>
      <x:c r="H357" s="5" t="str">
        <x:v>search_index</x:v>
      </x:c>
      <x:c r="I357" s="5" t="str">
        <x:v>https://icao.airport.by/schedule</x:v>
      </x:c>
      <x:c r="J357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57" s="5" t="str">
        <x:v>URL найден в официальном поисковом индексе; автоматический сбор не протестирован.</x:v>
      </x:c>
      <x:c r="L357" s="5" t="str"/>
    </x:row>
    <x:row r="358" ht="31.5" customHeight="1">
      <x:c r="A358" s="5" t="str">
        <x:v>CU-SRC-0353</x:v>
      </x:c>
      <x:c r="B358" s="5" t="str">
        <x:v>CU-0178</x:v>
      </x:c>
      <x:c r="C358" s="5" t="str">
        <x:v>Учебный центр авиационной безопасности ИКАО Национального аэропорта Минск</x:v>
      </x:c>
      <x:c r="D358" s="5" t="str">
        <x:v>main_200</x:v>
      </x:c>
      <x:c r="E358" s="5" t="str">
        <x:v>contacts</x:v>
      </x:c>
      <x:c r="F358" s="5" t="str">
        <x:v>https://icao.airport.by/contacts</x:v>
      </x:c>
      <x:c r="G358" s="5" t="str">
        <x:v>Рабочие контакты учебного подразделения.</x:v>
      </x:c>
      <x:c r="H358" s="5" t="str">
        <x:v>search_index</x:v>
      </x:c>
      <x:c r="I358" s="5" t="str">
        <x:v>https://icao.airport.by/contacts</x:v>
      </x:c>
      <x:c r="J358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58" s="5" t="str">
        <x:v>URL найден в официальном поисковом индексе; автоматический сбор не протестирован.</x:v>
      </x:c>
      <x:c r="L358" s="5" t="str"/>
    </x:row>
    <x:row r="359" ht="42.75" customHeight="1">
      <x:c r="A359" s="5" t="str">
        <x:v>CU-SRC-0354</x:v>
      </x:c>
      <x:c r="B359" s="5" t="str">
        <x:v>CU-0179</x:v>
      </x:c>
      <x:c r="C359" s="5" t="str">
        <x:v>Учебно-тренировочный центр Белорусской АЭС</x:v>
      </x:c>
      <x:c r="D359" s="5" t="str">
        <x:v>main_200</x:v>
      </x:c>
      <x:c r="E359" s="5" t="str">
        <x:v>university_site</x:v>
      </x:c>
      <x:c r="F359" s="5" t="str">
        <x:v>https://belaes.by/ru/obrazovatelnaya-deyatelnost.html</x:v>
      </x:c>
      <x:c r="G359" s="5" t="str">
        <x:v>Изменения программ, состава подразделения, партнерств и порядка привлечения внешних экспертов.</x:v>
      </x:c>
      <x:c r="H359" s="5" t="str">
        <x:v>search_index</x:v>
      </x:c>
      <x:c r="I359" s="5" t="str">
        <x:v>https://belaes.by/ru/obrazovatelnaya-deyatelnost.html</x:v>
      </x:c>
      <x:c r="J359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K359" s="5" t="str">
        <x:v>Подтверждено поисковой индексацией; прямой доступ, актуальность и пригодность для регулярного сбора перепроверить.</x:v>
      </x:c>
      <x:c r="L359" s="5" t="str"/>
    </x:row>
    <x:row r="360" ht="31.5" customHeight="1">
      <x:c r="A360" s="5" t="str">
        <x:v>CU-SRC-0355</x:v>
      </x:c>
      <x:c r="B360" s="5" t="str">
        <x:v>CU-0179</x:v>
      </x:c>
      <x:c r="C360" s="5" t="str">
        <x:v>Учебно-тренировочный центр Белорусской АЭС</x:v>
      </x:c>
      <x:c r="D360" s="5" t="str">
        <x:v>main_200</x:v>
      </x:c>
      <x:c r="E360" s="5" t="str">
        <x:v>contacts</x:v>
      </x:c>
      <x:c r="F360" s="5" t="str">
        <x:v>https://belaes.by/ru/obrazovatelnaya-deyatelnost/kontakty-utts.html</x:v>
      </x:c>
      <x:c r="G360" s="5" t="str">
        <x:v>Контакты руководства и организации обучения УТЦ.</x:v>
      </x:c>
      <x:c r="H360" s="5" t="str">
        <x:v>search_index</x:v>
      </x:c>
      <x:c r="I360" s="5" t="str">
        <x:v>https://belaes.by/ru/obrazovatelnaya-deyatelnost/kontakty-utts.html</x:v>
      </x:c>
      <x:c r="J360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K360" s="5" t="str">
        <x:v>URL найден в официальном поисковом индексе; автоматический сбор не протестирован.</x:v>
      </x:c>
      <x:c r="L360" s="5" t="str"/>
    </x:row>
    <x:row r="361" ht="31.5" customHeight="1">
      <x:c r="A361" s="5" t="str">
        <x:v>CU-SRC-0356</x:v>
      </x:c>
      <x:c r="B361" s="5" t="str">
        <x:v>CU-0180</x:v>
      </x:c>
      <x:c r="C361" s="5" t="str">
        <x:v>Учебно-практический центр МАЗ-БНТУ</x:v>
      </x:c>
      <x:c r="D361" s="5" t="str">
        <x:v>reserve</x:v>
      </x:c>
      <x:c r="E361" s="5" t="str">
        <x:v>university_site</x:v>
      </x:c>
      <x:c r="F361" s="5" t="str">
        <x:v>https://maz.by/media/news/2022/04/18/vladimir-semashko-posetil-maz</x:v>
      </x:c>
      <x:c r="G361" s="5" t="str">
        <x:v>Сведения о корпоративной учебной структуре, статусе программы и актуальном заказчике.</x:v>
      </x:c>
      <x:c r="H361" s="5" t="str">
        <x:v>search_index</x:v>
      </x:c>
      <x:c r="I361" s="5" t="str">
        <x:v>https://maz.by/media/news/2022/04/18/vladimir-semashko-posetil-maz</x:v>
      </x:c>
      <x:c r="J361" s="5" t="str">
        <x:v>Повторно прочитать первичный документ; найти свежую корпоративную страницу и доказательство принадлежности.</x:v>
      </x:c>
      <x:c r="K361" s="5" t="str">
        <x:v>URL обнаружен в публичном поисковом индексе; доказательство для статуса КУ недостаточно.</x:v>
      </x:c>
      <x:c r="L361" s="5" t="str"/>
    </x:row>
    <x:row r="362" ht="31.5" customHeight="1">
      <x:c r="A362" s="5" t="str">
        <x:v>CU-SRC-0357</x:v>
      </x:c>
      <x:c r="B362" s="5" t="str">
        <x:v>CU-0181</x:v>
      </x:c>
      <x:c r="C362" s="5" t="str">
        <x:v>Учебный центр Нафтан — кандидат</x:v>
      </x:c>
      <x:c r="D362" s="5" t="str">
        <x:v>reserve</x:v>
      </x:c>
      <x:c r="E362" s="5" t="str">
        <x:v>university_site</x:v>
      </x:c>
      <x:c r="F362" s="5" t="str">
        <x:v>https://gazeta.naftan.by/mastera-svoego-dela</x:v>
      </x:c>
      <x:c r="G362" s="5" t="str">
        <x:v>Сведения о корпоративной учебной структуре, статусе программы и актуальном заказчике.</x:v>
      </x:c>
      <x:c r="H362" s="5" t="str">
        <x:v>search_index</x:v>
      </x:c>
      <x:c r="I362" s="5" t="str">
        <x:v>https://gazeta.naftan.by/mastera-svoego-dela</x:v>
      </x:c>
      <x:c r="J362" s="5" t="str">
        <x:v>Повторно прочитать первичный документ; найти свежую корпоративную страницу и доказательство принадлежности.</x:v>
      </x:c>
      <x:c r="K362" s="5" t="str">
        <x:v>URL обнаружен в публичном поисковом индексе; доказательство для статуса КУ недостаточно.</x:v>
      </x:c>
      <x:c r="L362" s="5" t="str"/>
    </x:row>
    <x:row r="363" ht="31.5" customHeight="1">
      <x:c r="A363" s="5" t="str">
        <x:v>CU-SRC-0358</x:v>
      </x:c>
      <x:c r="B363" s="5" t="str">
        <x:v>CU-0182</x:v>
      </x:c>
      <x:c r="C363" s="5" t="str">
        <x:v>Учебный центр Минсктранс — исторический кандидат</x:v>
      </x:c>
      <x:c r="D363" s="5" t="str">
        <x:v>reserve</x:v>
      </x:c>
      <x:c r="E363" s="5" t="str">
        <x:v>university_site</x:v>
      </x:c>
      <x:c r="F363" s="5" t="str">
        <x:v>https://minsktrans.by/wp-content/uploads/2020/11/vypusk-833.pdf</x:v>
      </x:c>
      <x:c r="G363" s="5" t="str">
        <x:v>Сведения о корпоративной учебной структуре, статусе программы и актуальном заказчике.</x:v>
      </x:c>
      <x:c r="H363" s="5" t="str">
        <x:v>search_index</x:v>
      </x:c>
      <x:c r="I363" s="5" t="str">
        <x:v>https://minsktrans.by/wp-content/uploads/2020/11/vypusk-833.pdf</x:v>
      </x:c>
      <x:c r="J363" s="5" t="str">
        <x:v>Повторно прочитать первичный документ; найти свежую корпоративную страницу и доказательство принадлежности.</x:v>
      </x:c>
      <x:c r="K363" s="5" t="str">
        <x:v>URL обнаружен в публичном поисковом индексе; доказательство для статуса КУ недостаточно.</x:v>
      </x:c>
      <x:c r="L363" s="5" t="str"/>
    </x:row>
    <x:row r="364" ht="31.5" customHeight="1">
      <x:c r="A364" s="5" t="str">
        <x:v>CU-SRC-0359</x:v>
      </x:c>
      <x:c r="B364" s="5" t="str">
        <x:v>CU-0183</x:v>
      </x:c>
      <x:c r="C364" s="5" t="str">
        <x:v>LeverX Learning Hub — Беларусь требует подтверждения</x:v>
      </x:c>
      <x:c r="D364" s="5" t="str">
        <x:v>reserve</x:v>
      </x:c>
      <x:c r="E364" s="5" t="str">
        <x:v>university_site</x:v>
      </x:c>
      <x:c r="F364" s="5" t="str">
        <x:v>https://career.leverx.com/courses</x:v>
      </x:c>
      <x:c r="G364" s="5" t="str">
        <x:v>Сведения о корпоративной учебной структуре, статусе программы и актуальном заказчике.</x:v>
      </x:c>
      <x:c r="H364" s="5" t="str">
        <x:v>search_index</x:v>
      </x:c>
      <x:c r="I364" s="5" t="str">
        <x:v>https://career.leverx.com/courses</x:v>
      </x:c>
      <x:c r="J364" s="5" t="str">
        <x:v>Повторно прочитать первичный документ; найти свежую корпоративную страницу и доказательство принадлежности.</x:v>
      </x:c>
      <x:c r="K364" s="5" t="str">
        <x:v>URL обнаружен в публичном поисковом индексе; доказательство для статуса КУ недостаточно.</x:v>
      </x:c>
      <x:c r="L364" s="5" t="str"/>
    </x:row>
    <x:row r="365" ht="31.5" customHeight="1">
      <x:c r="A365" s="5" t="str">
        <x:v>CU-SRC-0360</x:v>
      </x:c>
      <x:c r="B365" s="5" t="str">
        <x:v>CU-0184</x:v>
      </x:c>
      <x:c r="C365" s="5" t="str">
        <x:v>Andersen Trainee — программа, структура не подтверждена</x:v>
      </x:c>
      <x:c r="D365" s="5" t="str">
        <x:v>reserve</x:v>
      </x:c>
      <x:c r="E365" s="5" t="str">
        <x:v>university_site</x:v>
      </x:c>
      <x:c r="F365" s="5" t="str">
        <x:v>https://people.andersenlab.com/trainee/courses</x:v>
      </x:c>
      <x:c r="G365" s="5" t="str">
        <x:v>Сведения о корпоративной учебной структуре, статусе программы и актуальном заказчике.</x:v>
      </x:c>
      <x:c r="H365" s="5" t="str">
        <x:v>search_index</x:v>
      </x:c>
      <x:c r="I365" s="5" t="str">
        <x:v>https://people.andersenlab.com/trainee/courses</x:v>
      </x:c>
      <x:c r="J365" s="5" t="str">
        <x:v>Повторно прочитать первичный документ; найти свежую корпоративную страницу и доказательство принадлежности.</x:v>
      </x:c>
      <x:c r="K365" s="5" t="str">
        <x:v>URL обнаружен в публичном поисковом индексе; доказательство для статуса КУ недостаточно.</x:v>
      </x:c>
      <x:c r="L365" s="5" t="str"/>
    </x:row>
    <x:row r="366" ht="31.5" customHeight="1">
      <x:c r="A366" s="5" t="str">
        <x:v>CU-SRC-0361</x:v>
      </x:c>
      <x:c r="B366" s="5" t="str">
        <x:v>CU-0185</x:v>
      </x:c>
      <x:c r="C366" s="5" t="str">
        <x:v>Samruk Business Academy (бывший КУ «Самрук-Казына»)</x:v>
      </x:c>
      <x:c r="D366" s="5" t="str">
        <x:v>main_200</x:v>
      </x:c>
      <x:c r="E366" s="5" t="str">
        <x:v>university_site</x:v>
      </x:c>
      <x:c r="F366" s="5" t="str">
        <x:v>https://sba.kz/</x:v>
      </x:c>
      <x:c r="G366" s="5" t="str">
        <x:v>Программы и изменения учебной структуры, объявления о партнёрстве, ссылки на преподавателей и закупки</x:v>
      </x:c>
      <x:c r="H366" s="5" t="str">
        <x:v>search_index</x:v>
      </x:c>
      <x:c r="I366" s="5" t="str">
        <x:v>https://sba.kz/</x:v>
      </x:c>
      <x:c r="J366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66" s="5" t="str">
        <x:v>Открытый адрес найден; работа автоматического сборщика не проверялась.</x:v>
      </x:c>
      <x:c r="L366" s="5" t="str"/>
    </x:row>
    <x:row r="367" ht="31.5" customHeight="1">
      <x:c r="A367" s="5" t="str">
        <x:v>CU-SRC-0362</x:v>
      </x:c>
      <x:c r="B367" s="5" t="str">
        <x:v>CU-0185</x:v>
      </x:c>
      <x:c r="C367" s="5" t="str">
        <x:v>Samruk Business Academy (бывший КУ «Самрук-Казына»)</x:v>
      </x:c>
      <x:c r="D367" s="5" t="str">
        <x:v>main_200</x:v>
      </x:c>
      <x:c r="E367" s="5" t="str">
        <x:v>programs</x:v>
      </x:c>
      <x:c r="F367" s="5" t="str">
        <x:v>https://sba.kz/education?index=1</x:v>
      </x:c>
      <x:c r="G367" s="5" t="str">
        <x:v>Каталог открытых и модульных программ; пройти все вкладки, не ограничивать index=1.</x:v>
      </x:c>
      <x:c r="H367" s="5" t="str">
        <x:v>search_index</x:v>
      </x:c>
      <x:c r="I367" s="5" t="str">
        <x:v>https://sba.kz/education?index=1</x:v>
      </x:c>
      <x:c r="J367" s="5" t="str">
        <x:v>Публичные HTML/PDF, история версий; сохранить raw до квалификации; API не установлен.</x:v>
      </x:c>
      <x:c r="K367" s="5" t="str">
        <x:v>Доступ и полноту автоматического сбора проверить отдельно.</x:v>
      </x:c>
      <x:c r="L367" s="5" t="str">
        <x:v>MISB-436</x:v>
      </x:c>
    </x:row>
    <x:row r="368" ht="31.5" customHeight="1">
      <x:c r="A368" s="5" t="str">
        <x:v>CU-SRC-0363</x:v>
      </x:c>
      <x:c r="B368" s="5" t="str">
        <x:v>CU-0185</x:v>
      </x:c>
      <x:c r="C368" s="5" t="str">
        <x:v>Samruk Business Academy (бывший КУ «Самрук-Казына»)</x:v>
      </x:c>
      <x:c r="D368" s="5" t="str">
        <x:v>main_200</x:v>
      </x:c>
      <x:c r="E368" s="5" t="str">
        <x:v>programs</x:v>
      </x:c>
      <x:c r="F368" s="5" t="str">
        <x:v>https://sba.kz/education?index=3</x:v>
      </x:c>
      <x:c r="G368" s="5" t="str">
        <x:v>Альтернативная вкладка каталога, сохранять как отдельный маршрут.</x:v>
      </x:c>
      <x:c r="H368" s="5" t="str">
        <x:v>search_index</x:v>
      </x:c>
      <x:c r="I368" s="5" t="str">
        <x:v>https://sba.kz/education?index=3</x:v>
      </x:c>
      <x:c r="J368" s="5" t="str">
        <x:v>Публичные HTML/PDF, история версий; сохранить raw до квалификации; API не установлен.</x:v>
      </x:c>
      <x:c r="K368" s="5" t="str">
        <x:v>Доступ и полноту автоматического сбора проверить отдельно.</x:v>
      </x:c>
      <x:c r="L368" s="5" t="str"/>
    </x:row>
    <x:row r="369" ht="31.5" customHeight="1">
      <x:c r="A369" s="5" t="str">
        <x:v>CU-SRC-0364</x:v>
      </x:c>
      <x:c r="B369" s="5" t="str">
        <x:v>CU-0186</x:v>
      </x:c>
      <x:c r="C369" s="5" t="str">
        <x:v>Корпоративный университет ERG</x:v>
      </x:c>
      <x:c r="D369" s="5" t="str">
        <x:v>main_200</x:v>
      </x:c>
      <x:c r="E369" s="5" t="str">
        <x:v>university_site</x:v>
      </x:c>
      <x:c r="F369" s="5" t="str">
        <x:v>https://www.erg.kz/ru/career</x:v>
      </x:c>
      <x:c r="G369" s="5" t="str">
        <x:v>Программы и изменения учебной структуры, объявления о партнёрстве, ссылки на преподавателей и закупки</x:v>
      </x:c>
      <x:c r="H369" s="5" t="str">
        <x:v>content_read</x:v>
      </x:c>
      <x:c r="I369" s="5" t="str">
        <x:v>https://www.erg.kz/ru/career</x:v>
      </x:c>
      <x:c r="J369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69" s="5" t="str">
        <x:v>Открытый адрес найден; работа автоматического сборщика не проверялась.</x:v>
      </x:c>
      <x:c r="L369" s="5" t="str"/>
    </x:row>
    <x:row r="370" ht="31.5" customHeight="1">
      <x:c r="A370" s="5" t="str">
        <x:v>CU-SRC-0365</x:v>
      </x:c>
      <x:c r="B370" s="5" t="str">
        <x:v>CU-0186</x:v>
      </x:c>
      <x:c r="C370" s="5" t="str">
        <x:v>Корпоративный университет ERG</x:v>
      </x:c>
      <x:c r="D370" s="5" t="str">
        <x:v>main_200</x:v>
      </x:c>
      <x:c r="E370" s="5" t="str">
        <x:v>procurement</x:v>
      </x:c>
      <x:c r="F370" s="5" t="str">
        <x:v>https://www.erg.kz/ru/purchases</x:v>
      </x:c>
      <x:c r="G370" s="5" t="str">
        <x:v>Закупки услуг обучения и разработки контента</x:v>
      </x:c>
      <x:c r="H370" s="5" t="str">
        <x:v>content_read</x:v>
      </x:c>
      <x:c r="I370" s="5" t="str">
        <x:v>https://www.erg.kz/ru/purchases</x:v>
      </x:c>
      <x:c r="J370" s="5" t="str">
        <x:v>Публичные HTML/PDF, история версий; сохранить raw до квалификации; API не установлен.</x:v>
      </x:c>
      <x:c r="K370" s="5" t="str">
        <x:v>Доступ и полноту автоматического сбора проверить отдельно.</x:v>
      </x:c>
      <x:c r="L370" s="5" t="str"/>
    </x:row>
    <x:row r="371" ht="31.5" customHeight="1">
      <x:c r="A371" s="5" t="str">
        <x:v>CU-SRC-0366</x:v>
      </x:c>
      <x:c r="B371" s="5" t="str">
        <x:v>CU-0186</x:v>
      </x:c>
      <x:c r="C371" s="5" t="str">
        <x:v>Корпоративный университет ERG</x:v>
      </x:c>
      <x:c r="D371" s="5" t="str">
        <x:v>main_200</x:v>
      </x:c>
      <x:c r="E371" s="5" t="str">
        <x:v>news</x:v>
      </x:c>
      <x:c r="F371" s="5" t="str">
        <x:v>https://www.erg.kz/files/%D0%9E%D0%B1%D0%B7%D0%BE%D1%80_%D0%9A%D0%A3_%D0%93%D0%9C%D0%9A_%D0%92%D0%A1_31.07.2025_RU.pdf</x:v>
      </x:c>
      <x:c r="G371" s="5" t="str">
        <x:v>Обзор КУ ГМК: новые участники, партнёры и практики. Не считать каждым заказом.</x:v>
      </x:c>
      <x:c r="H371" s="5" t="str">
        <x:v>content_read</x:v>
      </x:c>
      <x:c r="I371" s="5" t="str">
        <x:v>https://www.erg.kz/files/%D0%9E%D0%B1%D0%B7%D0%BE%D1%80_%D0%9A%D0%A3_%D0%93%D0%9C%D0%9A_%D0%92%D0%A1_31.07.2025_RU.pdf</x:v>
      </x:c>
      <x:c r="J371" s="5" t="str">
        <x:v>Публичные HTML/PDF, история версий; сохранить raw до квалификации; API не установлен.</x:v>
      </x:c>
      <x:c r="K371" s="5" t="str">
        <x:v>Доступ и полноту автоматического сбора проверить отдельно.</x:v>
      </x:c>
      <x:c r="L371" s="5" t="str"/>
    </x:row>
    <x:row r="372" ht="31.5" customHeight="1">
      <x:c r="A372" s="5" t="str">
        <x:v>CU-SRC-0367</x:v>
      </x:c>
      <x:c r="B372" s="5" t="str">
        <x:v>CU-0187</x:v>
      </x:c>
      <x:c r="C372" s="5" t="str">
        <x:v>BI University</x:v>
      </x:c>
      <x:c r="D372" s="5" t="str">
        <x:v>main_200</x:v>
      </x:c>
      <x:c r="E372" s="5" t="str">
        <x:v>university_site</x:v>
      </x:c>
      <x:c r="F372" s="5" t="str">
        <x:v>https://www.biu.kz/</x:v>
      </x:c>
      <x:c r="G372" s="5" t="str">
        <x:v>Программы и изменения учебной структуры, объявления о партнёрстве, ссылки на преподавателей и закупки</x:v>
      </x:c>
      <x:c r="H372" s="5" t="str">
        <x:v>content_read</x:v>
      </x:c>
      <x:c r="I372" s="5" t="str">
        <x:v>https://biu.kz/us</x:v>
      </x:c>
      <x:c r="J372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72" s="5" t="str">
        <x:v>Открытый адрес найден; работа автоматического сборщика не проверялась.</x:v>
      </x:c>
      <x:c r="L372" s="5" t="str"/>
    </x:row>
    <x:row r="373" ht="31.5" customHeight="1">
      <x:c r="A373" s="5" t="str">
        <x:v>CU-SRC-0368</x:v>
      </x:c>
      <x:c r="B373" s="5" t="str">
        <x:v>CU-0187</x:v>
      </x:c>
      <x:c r="C373" s="5" t="str">
        <x:v>BI University</x:v>
      </x:c>
      <x:c r="D373" s="5" t="str">
        <x:v>main_200</x:v>
      </x:c>
      <x:c r="E373" s="5" t="str">
        <x:v>partners</x:v>
      </x:c>
      <x:c r="F373" s="5" t="str">
        <x:v>https://biu.kz/us</x:v>
      </x:c>
      <x:c r="G373" s="5" t="str">
        <x:v>Модель работы и партнёры программ</x:v>
      </x:c>
      <x:c r="H373" s="5" t="str">
        <x:v>search_index</x:v>
      </x:c>
      <x:c r="I373" s="5" t="str">
        <x:v>https://biu.kz/us</x:v>
      </x:c>
      <x:c r="J373" s="5" t="str">
        <x:v>Публичные HTML/PDF, история версий; сохранить raw до квалификации; API не установлен.</x:v>
      </x:c>
      <x:c r="K373" s="5" t="str">
        <x:v>Доступ и полноту автоматического сбора проверить отдельно.</x:v>
      </x:c>
      <x:c r="L373" s="5" t="str"/>
    </x:row>
    <x:row r="374" ht="31.5" customHeight="1">
      <x:c r="A374" s="5" t="str">
        <x:v>CU-SRC-0369</x:v>
      </x:c>
      <x:c r="B374" s="5" t="str">
        <x:v>CU-0187</x:v>
      </x:c>
      <x:c r="C374" s="5" t="str">
        <x:v>BI University</x:v>
      </x:c>
      <x:c r="D374" s="5" t="str">
        <x:v>main_200</x:v>
      </x:c>
      <x:c r="E374" s="5" t="str">
        <x:v>contacts</x:v>
      </x:c>
      <x:c r="F374" s="5" t="str">
        <x:v>https://www.biu.kz/</x:v>
      </x:c>
      <x:c r="G374" s="5" t="str">
        <x:v>Контакты директора, заместителей и отдела развития; публичные роли перед обращением перепроверить.</x:v>
      </x:c>
      <x:c r="H374" s="5" t="str">
        <x:v>content_read</x:v>
      </x:c>
      <x:c r="I374" s="5" t="str">
        <x:v>https://www.biu.kz/</x:v>
      </x:c>
      <x:c r="J374" s="5" t="str">
        <x:v>Публичные HTML/PDF, история версий; сохранить raw до квалификации; API не установлен.</x:v>
      </x:c>
      <x:c r="K374" s="5" t="str">
        <x:v>Доступ и полноту автоматического сбора проверить отдельно.</x:v>
      </x:c>
      <x:c r="L374" s="5" t="str"/>
    </x:row>
    <x:row r="375" ht="31.5" customHeight="1">
      <x:c r="A375" s="5" t="str">
        <x:v>CU-SRC-0370</x:v>
      </x:c>
      <x:c r="B375" s="5" t="str">
        <x:v>CU-0188</x:v>
      </x:c>
      <x:c r="C375" s="5" t="str">
        <x:v>Корпоративный университет Qarmet</x:v>
      </x:c>
      <x:c r="D375" s="5" t="str">
        <x:v>main_200</x:v>
      </x:c>
      <x:c r="E375" s="5" t="str">
        <x:v>university_site</x:v>
      </x:c>
      <x:c r="F375" s="5" t="str">
        <x:v>https://qarmet.kz/ru/</x:v>
      </x:c>
      <x:c r="G375" s="5" t="str">
        <x:v>Программы и изменения учебной структуры, объявления о партнёрстве, ссылки на преподавателей и закупки</x:v>
      </x:c>
      <x:c r="H375" s="5" t="str">
        <x:v>content_read</x:v>
      </x:c>
      <x:c r="I375" s="5" t="str">
        <x:v>https://qarmet.kz/ru/</x:v>
      </x:c>
      <x:c r="J375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75" s="5" t="str">
        <x:v>Открытый адрес найден; работа автоматического сборщика не проверялась.</x:v>
      </x:c>
      <x:c r="L375" s="5" t="str"/>
    </x:row>
    <x:row r="376" ht="31.5" customHeight="1">
      <x:c r="A376" s="5" t="str">
        <x:v>CU-SRC-0371</x:v>
      </x:c>
      <x:c r="B376" s="5" t="str">
        <x:v>CU-0188</x:v>
      </x:c>
      <x:c r="C376" s="5" t="str">
        <x:v>Корпоративный университет Qarmet</x:v>
      </x:c>
      <x:c r="D376" s="5" t="str">
        <x:v>main_200</x:v>
      </x:c>
      <x:c r="E376" s="5" t="str">
        <x:v>careers</x:v>
      </x:c>
      <x:c r="F376" s="5" t="str">
        <x:v>https://job.qarmet.kz/</x:v>
      </x:c>
      <x:c r="G376" s="5" t="str">
        <x:v>Вакансии методистов, тренеров и L&amp;D как сигналы расширения; ссылка с официального сайта.</x:v>
      </x:c>
      <x:c r="H376" s="5" t="str">
        <x:v>search_index</x:v>
      </x:c>
      <x:c r="I376" s="5" t="str">
        <x:v>https://qarmet.kz/ru/</x:v>
      </x:c>
      <x:c r="J376" s="5" t="str">
        <x:v>Публичные HTML/PDF, история версий; сохранить raw до квалификации; API не установлен.</x:v>
      </x:c>
      <x:c r="K376" s="5" t="str">
        <x:v>Доступ и полноту автоматического сбора проверить отдельно.</x:v>
      </x:c>
      <x:c r="L376" s="5" t="str"/>
    </x:row>
    <x:row r="377" ht="31.5" customHeight="1">
      <x:c r="A377" s="5" t="str">
        <x:v>CU-SRC-0372</x:v>
      </x:c>
      <x:c r="B377" s="5" t="str">
        <x:v>CU-0189</x:v>
      </x:c>
      <x:c r="C377" s="5" t="str">
        <x:v>Корпоративный университет QazTehna</x:v>
      </x:c>
      <x:c r="D377" s="5" t="str">
        <x:v>main_200</x:v>
      </x:c>
      <x:c r="E377" s="5" t="str">
        <x:v>university_site</x:v>
      </x:c>
      <x:c r="F377" s="5" t="str">
        <x:v>https://university.qaztehna.kz/</x:v>
      </x:c>
      <x:c r="G377" s="5" t="str">
        <x:v>Программы и изменения учебной структуры, объявления о партнёрстве, ссылки на преподавателей и закупки</x:v>
      </x:c>
      <x:c r="H377" s="5" t="str">
        <x:v>search_index</x:v>
      </x:c>
      <x:c r="I377" s="5" t="str">
        <x:v>https://university.qaztehna.kz/ob-universitete/</x:v>
      </x:c>
      <x:c r="J377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77" s="5" t="str">
        <x:v>Открытый адрес найден; работа автоматического сборщика не проверялась.</x:v>
      </x:c>
      <x:c r="L377" s="5" t="str"/>
    </x:row>
    <x:row r="378" ht="31.5" customHeight="1">
      <x:c r="A378" s="5" t="str">
        <x:v>CU-SRC-0373</x:v>
      </x:c>
      <x:c r="B378" s="5" t="str">
        <x:v>CU-0189</x:v>
      </x:c>
      <x:c r="C378" s="5" t="str">
        <x:v>Корпоративный университет QazTehna</x:v>
      </x:c>
      <x:c r="D378" s="5" t="str">
        <x:v>main_200</x:v>
      </x:c>
      <x:c r="E378" s="5" t="str">
        <x:v>news</x:v>
      </x:c>
      <x:c r="F378" s="5" t="str">
        <x:v>https://university.qaztehna.kz/</x:v>
      </x:c>
      <x:c r="G378" s="5" t="str">
        <x:v>Новости, образовательные партнёры и новые программы</x:v>
      </x:c>
      <x:c r="H378" s="5" t="str">
        <x:v>search_index</x:v>
      </x:c>
      <x:c r="I378" s="5" t="str">
        <x:v>https://university.qaztehna.kz/</x:v>
      </x:c>
      <x:c r="J378" s="5" t="str">
        <x:v>Публичные HTML/PDF, история версий; сохранить raw до квалификации; API не установлен.</x:v>
      </x:c>
      <x:c r="K378" s="5" t="str">
        <x:v>Доступ и полноту автоматического сбора проверить отдельно.</x:v>
      </x:c>
      <x:c r="L378" s="5" t="str"/>
    </x:row>
    <x:row r="379" ht="31.5" customHeight="1">
      <x:c r="A379" s="5" t="str">
        <x:v>CU-SRC-0374</x:v>
      </x:c>
      <x:c r="B379" s="5" t="str">
        <x:v>CU-0190</x:v>
      </x:c>
      <x:c r="C379" s="5" t="str">
        <x:v>Корпоративный университет АО «КазНИИСА»</x:v>
      </x:c>
      <x:c r="D379" s="5" t="str">
        <x:v>main_200</x:v>
      </x:c>
      <x:c r="E379" s="5" t="str">
        <x:v>university_site</x:v>
      </x:c>
      <x:c r="F379" s="5" t="str">
        <x:v>https://kazniisa.kz/centres/corporate-university</x:v>
      </x:c>
      <x:c r="G379" s="5" t="str">
        <x:v>Программы и изменения учебной структуры, объявления о партнёрстве, ссылки на преподавателей и закупки</x:v>
      </x:c>
      <x:c r="H379" s="5" t="str">
        <x:v>search_index</x:v>
      </x:c>
      <x:c r="I379" s="5" t="str">
        <x:v>https://kazniisa.kz/centres/corporate-university</x:v>
      </x:c>
      <x:c r="J379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79" s="5" t="str">
        <x:v>Открытый адрес найден; работа автоматического сборщика не проверялась.</x:v>
      </x:c>
      <x:c r="L379" s="5" t="str"/>
    </x:row>
    <x:row r="380" ht="31.5" customHeight="1">
      <x:c r="A380" s="5" t="str">
        <x:v>CU-SRC-0375</x:v>
      </x:c>
      <x:c r="B380" s="5" t="str">
        <x:v>CU-0191</x:v>
      </x:c>
      <x:c r="C380" s="5" t="str">
        <x:v>Корпоративный университет АҚҚУ</x:v>
      </x:c>
      <x:c r="D380" s="5" t="str">
        <x:v>main_200</x:v>
      </x:c>
      <x:c r="E380" s="5" t="str">
        <x:v>university_site</x:v>
      </x:c>
      <x:c r="F380" s="5" t="str">
        <x:v>https://alina.kz/akku/</x:v>
      </x:c>
      <x:c r="G380" s="5" t="str">
        <x:v>Программы и изменения учебной структуры, объявления о партнёрстве, ссылки на преподавателей и закупки</x:v>
      </x:c>
      <x:c r="H380" s="5" t="str">
        <x:v>search_index</x:v>
      </x:c>
      <x:c r="I380" s="5" t="str">
        <x:v>https://alina.kz/akku/</x:v>
      </x:c>
      <x:c r="J380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80" s="5" t="str">
        <x:v>Открытый адрес найден; работа автоматического сборщика не проверялась.</x:v>
      </x:c>
      <x:c r="L380" s="5" t="str"/>
    </x:row>
    <x:row r="381" ht="31.5" customHeight="1">
      <x:c r="A381" s="5" t="str">
        <x:v>CU-SRC-0376</x:v>
      </x:c>
      <x:c r="B381" s="5" t="str">
        <x:v>CU-0192</x:v>
      </x:c>
      <x:c r="C381" s="5" t="str">
        <x:v>Казахстанский ядерный университет</x:v>
      </x:c>
      <x:c r="D381" s="5" t="str">
        <x:v>main_200</x:v>
      </x:c>
      <x:c r="E381" s="5" t="str">
        <x:v>university_site</x:v>
      </x:c>
      <x:c r="F381" s="5" t="str">
        <x:v>https://knu.kazatomprom.kz/ru</x:v>
      </x:c>
      <x:c r="G381" s="5" t="str">
        <x:v>Программы и изменения учебной структуры, объявления о партнёрстве, ссылки на преподавателей и закупки</x:v>
      </x:c>
      <x:c r="H381" s="5" t="str">
        <x:v>content_read</x:v>
      </x:c>
      <x:c r="I381" s="5" t="str">
        <x:v>https://iht.kazatomprom.kz/ru/subcontent/kazahstanskiy-yadernyy-universitet-40</x:v>
      </x:c>
      <x:c r="J381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81" s="5" t="str">
        <x:v>Открытый адрес найден; работа автоматического сборщика не проверялась.</x:v>
      </x:c>
      <x:c r="L381" s="5" t="str"/>
    </x:row>
    <x:row r="382" ht="31.5" customHeight="1">
      <x:c r="A382" s="5" t="str">
        <x:v>CU-SRC-0377</x:v>
      </x:c>
      <x:c r="B382" s="5" t="str">
        <x:v>CU-0192</x:v>
      </x:c>
      <x:c r="C382" s="5" t="str">
        <x:v>Казахстанский ядерный университет</x:v>
      </x:c>
      <x:c r="D382" s="5" t="str">
        <x:v>main_200</x:v>
      </x:c>
      <x:c r="E382" s="5" t="str">
        <x:v>procurement</x:v>
      </x:c>
      <x:c r="F382" s="5" t="str">
        <x:v>https://knu.kazatomprom.kz/ru/subsection/postavshchikam</x:v>
      </x:c>
      <x:c r="G382" s="5" t="str">
        <x:v>Раздел поставщикам; на открытой странице список закупок не виден — обнаружить реальный downstream-маршрут.</x:v>
      </x:c>
      <x:c r="H382" s="5" t="str">
        <x:v>content_read</x:v>
      </x:c>
      <x:c r="I382" s="5" t="str">
        <x:v>https://knu.kazatomprom.kz/ru/subsection/postavshchikam</x:v>
      </x:c>
      <x:c r="J382" s="5" t="str">
        <x:v>Публичные HTML/PDF, история версий; сохранить raw до квалификации; API не установлен.</x:v>
      </x:c>
      <x:c r="K382" s="5" t="str">
        <x:v>Доступ и полноту автоматического сбора проверить отдельно.</x:v>
      </x:c>
      <x:c r="L382" s="5" t="str"/>
    </x:row>
    <x:row r="383" ht="31.5" customHeight="1">
      <x:c r="A383" s="5" t="str">
        <x:v>CU-SRC-0378</x:v>
      </x:c>
      <x:c r="B383" s="5" t="str">
        <x:v>CU-0192</x:v>
      </x:c>
      <x:c r="C383" s="5" t="str">
        <x:v>Казахстанский ядерный университет</x:v>
      </x:c>
      <x:c r="D383" s="5" t="str">
        <x:v>main_200</x:v>
      </x:c>
      <x:c r="E383" s="5" t="str">
        <x:v>programs</x:v>
      </x:c>
      <x:c r="F383" s="5" t="str">
        <x:v>https://knu.kazatomprom.kz/ru/subsection/resheniya-dlya-vas</x:v>
      </x:c>
      <x:c r="G383" s="5" t="str">
        <x:v>Функциональные/академические программы и виртуальная школа</x:v>
      </x:c>
      <x:c r="H383" s="5" t="str">
        <x:v>content_read</x:v>
      </x:c>
      <x:c r="I383" s="5" t="str">
        <x:v>https://knu.kazatomprom.kz/ru/subsection/resheniya-dlya-vas</x:v>
      </x:c>
      <x:c r="J383" s="5" t="str">
        <x:v>Публичные HTML/PDF, история версий; сохранить raw до квалификации; API не установлен.</x:v>
      </x:c>
      <x:c r="K383" s="5" t="str">
        <x:v>Доступ и полноту автоматического сбора проверить отдельно.</x:v>
      </x:c>
      <x:c r="L383" s="5" t="str"/>
    </x:row>
    <x:row r="384" ht="31.5" customHeight="1">
      <x:c r="A384" s="5" t="str">
        <x:v>CU-SRC-0379</x:v>
      </x:c>
      <x:c r="B384" s="5" t="str">
        <x:v>CU-0192</x:v>
      </x:c>
      <x:c r="C384" s="5" t="str">
        <x:v>Казахстанский ядерный университет</x:v>
      </x:c>
      <x:c r="D384" s="5" t="str">
        <x:v>main_200</x:v>
      </x:c>
      <x:c r="E384" s="5" t="str">
        <x:v>news</x:v>
      </x:c>
      <x:c r="F384" s="5" t="str">
        <x:v>https://knu.kazatomprom.kz/ru/sub-news</x:v>
      </x:c>
      <x:c r="G384" s="5" t="str">
        <x:v>Новости КЯУ и группы, сохранять даже общекорпоративные публикации</x:v>
      </x:c>
      <x:c r="H384" s="5" t="str">
        <x:v>content_read</x:v>
      </x:c>
      <x:c r="I384" s="5" t="str">
        <x:v>https://knu.kazatomprom.kz/ru/sub-news</x:v>
      </x:c>
      <x:c r="J384" s="5" t="str">
        <x:v>Публичные HTML/PDF, история версий; сохранить raw до квалификации; API не установлен.</x:v>
      </x:c>
      <x:c r="K384" s="5" t="str">
        <x:v>Доступ и полноту автоматического сбора проверить отдельно.</x:v>
      </x:c>
      <x:c r="L384" s="5" t="str"/>
    </x:row>
    <x:row r="385" ht="31.5" customHeight="1">
      <x:c r="A385" s="5" t="str">
        <x:v>CU-SRC-0380</x:v>
      </x:c>
      <x:c r="B385" s="5" t="str">
        <x:v>CU-0193</x:v>
      </x:c>
      <x:c r="C385" s="5" t="str">
        <x:v>Корпоративный университет Управления трудовых ресурсов Казцинк</x:v>
      </x:c>
      <x:c r="D385" s="5" t="str">
        <x:v>main_200</x:v>
      </x:c>
      <x:c r="E385" s="5" t="str">
        <x:v>university_site</x:v>
      </x:c>
      <x:c r="F385" s="5" t="str">
        <x:v>https://www.kazzinc.com/eng/stazhirovka-i-karera</x:v>
      </x:c>
      <x:c r="G385" s="5" t="str">
        <x:v>Программы и изменения учебной структуры, объявления о партнёрстве, ссылки на преподавателей и закупки</x:v>
      </x:c>
      <x:c r="H385" s="5" t="str">
        <x:v>content_read</x:v>
      </x:c>
      <x:c r="I385" s="5" t="str">
        <x:v>https://www.erg.kz/files/%D0%9E%D0%B1%D0%B7%D0%BE%D1%80_%D0%9A%D0%A3_%D0%93%D0%9C%D0%9A_%D0%92%D0%A1_31.07.2025_RU.pdf</x:v>
      </x:c>
      <x:c r="J385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85" s="5" t="str">
        <x:v>Открытый адрес найден; работа автоматического сборщика не проверялась.</x:v>
      </x:c>
      <x:c r="L385" s="5" t="str"/>
    </x:row>
    <x:row r="386" ht="31.5" customHeight="1">
      <x:c r="A386" s="5" t="str">
        <x:v>CU-SRC-0381</x:v>
      </x:c>
      <x:c r="B386" s="5" t="str">
        <x:v>CU-0194</x:v>
      </x:c>
      <x:c r="C386" s="5" t="str">
        <x:v>Отдел обучения и развития персонала Казахмыс (система корпоративного обучения)</x:v>
      </x:c>
      <x:c r="D386" s="5" t="str">
        <x:v>reserve</x:v>
      </x:c>
      <x:c r="E386" s="5" t="str">
        <x:v>university_site</x:v>
      </x:c>
      <x:c r="F386" s="5" t="str">
        <x:v>https://www.kazakhmys.kz/ru</x:v>
      </x:c>
      <x:c r="G386" s="5" t="str">
        <x:v>Программы и изменения учебной структуры, объявления о партнёрстве, ссылки на преподавателей и закупки</x:v>
      </x:c>
      <x:c r="H386" s="5" t="str">
        <x:v>content_read</x:v>
      </x:c>
      <x:c r="I386" s="5" t="str">
        <x:v>https://www.erg.kz/files/%D0%9E%D0%B1%D0%B7%D0%BE%D1%80_%D0%9A%D0%A3_%D0%93%D0%9C%D0%9A_%D0%92%D0%A1_31.07.2025_RU.pdf</x:v>
      </x:c>
      <x:c r="J386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86" s="5" t="str">
        <x:v>Открытый адрес найден; работа автоматического сборщика не проверялась.</x:v>
      </x:c>
      <x:c r="L386" s="5" t="str"/>
    </x:row>
    <x:row r="387" ht="31.5" customHeight="1">
      <x:c r="A387" s="5" t="str">
        <x:v>CU-SRC-0382</x:v>
      </x:c>
      <x:c r="B387" s="5" t="str">
        <x:v>CU-0195</x:v>
      </x:c>
      <x:c r="C387" s="5" t="str">
        <x:v>Учебный центр АО «АК Алтыналмас»</x:v>
      </x:c>
      <x:c r="D387" s="5" t="str">
        <x:v>main_200</x:v>
      </x:c>
      <x:c r="E387" s="5" t="str">
        <x:v>university_site</x:v>
      </x:c>
      <x:c r="F387" s="5" t="str">
        <x:v>https://www.altynalmas.kz/blog/news/73</x:v>
      </x:c>
      <x:c r="G387" s="5" t="str">
        <x:v>Программы и изменения учебной структуры, объявления о партнёрстве, ссылки на преподавателей и закупки</x:v>
      </x:c>
      <x:c r="H387" s="5" t="str">
        <x:v>search_index</x:v>
      </x:c>
      <x:c r="I387" s="5" t="str">
        <x:v>https://www.altynalmas.kz/blog/news/73</x:v>
      </x:c>
      <x:c r="J387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87" s="5" t="str">
        <x:v>Открытый адрес найден; работа автоматического сборщика не проверялась.</x:v>
      </x:c>
      <x:c r="L387" s="5" t="str"/>
    </x:row>
    <x:row r="388" ht="31.5" customHeight="1">
      <x:c r="A388" s="5" t="str">
        <x:v>CU-SRC-0383</x:v>
      </x:c>
      <x:c r="B388" s="5" t="str">
        <x:v>CU-0195</x:v>
      </x:c>
      <x:c r="C388" s="5" t="str">
        <x:v>Учебный центр АО «АК Алтыналмас»</x:v>
      </x:c>
      <x:c r="D388" s="5" t="str">
        <x:v>main_200</x:v>
      </x:c>
      <x:c r="E388" s="5" t="str">
        <x:v>news</x:v>
      </x:c>
      <x:c r="F388" s="5" t="str">
        <x:v>https://www.altynalmas.kz/blog/news/95</x:v>
      </x:c>
      <x:c r="G388" s="5" t="str">
        <x:v>Развитие внутренней системы обучения и промышленной безопасности</x:v>
      </x:c>
      <x:c r="H388" s="5" t="str">
        <x:v>search_index</x:v>
      </x:c>
      <x:c r="I388" s="5" t="str">
        <x:v>https://www.altynalmas.kz/blog/news/95</x:v>
      </x:c>
      <x:c r="J388" s="5" t="str">
        <x:v>Публичные HTML/PDF, история версий; сохранить raw до квалификации; API не установлен.</x:v>
      </x:c>
      <x:c r="K388" s="5" t="str">
        <x:v>Доступ и полноту автоматического сбора проверить отдельно.</x:v>
      </x:c>
      <x:c r="L388" s="5" t="str"/>
    </x:row>
    <x:row r="389" ht="31.5" customHeight="1">
      <x:c r="A389" s="5" t="str">
        <x:v>CU-SRC-0384</x:v>
      </x:c>
      <x:c r="B389" s="5" t="str">
        <x:v>CU-0196</x:v>
      </x:c>
      <x:c r="C389" s="5" t="str">
        <x:v>Центр оценки и развития персонала железнодорожного транспорта ҚТЖ</x:v>
      </x:c>
      <x:c r="D389" s="5" t="str">
        <x:v>main_200</x:v>
      </x:c>
      <x:c r="E389" s="5" t="str">
        <x:v>university_site</x:v>
      </x:c>
      <x:c r="F389" s="5" t="str">
        <x:v>https://edutransport.railways.kz/</x:v>
      </x:c>
      <x:c r="G389" s="5" t="str">
        <x:v>Программы и изменения учебной структуры, объявления о партнёрстве, ссылки на преподавателей и закупки</x:v>
      </x:c>
      <x:c r="H389" s="5" t="str">
        <x:v>content_read</x:v>
      </x:c>
      <x:c r="I389" s="5" t="str">
        <x:v>https://edutransport.railways.kz/</x:v>
      </x:c>
      <x:c r="J389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89" s="5" t="str">
        <x:v>Открытый адрес найден; работа автоматического сборщика не проверялась.</x:v>
      </x:c>
      <x:c r="L389" s="5" t="str"/>
    </x:row>
    <x:row r="390" ht="31.5" customHeight="1">
      <x:c r="A390" s="5" t="str">
        <x:v>CU-SRC-0385</x:v>
      </x:c>
      <x:c r="B390" s="5" t="str">
        <x:v>CU-0196</x:v>
      </x:c>
      <x:c r="C390" s="5" t="str">
        <x:v>Центр оценки и развития персонала железнодорожного транспорта ҚТЖ</x:v>
      </x:c>
      <x:c r="D390" s="5" t="str">
        <x:v>main_200</x:v>
      </x:c>
      <x:c r="E390" s="5" t="str">
        <x:v>programs</x:v>
      </x:c>
      <x:c r="F390" s="5" t="str">
        <x:v>https://edutransport.railways.kz/courses/branch/Taraz/</x:v>
      </x:c>
      <x:c r="G390" s="5" t="str">
        <x:v>Региональные программы Таразского центра; дочерний канал одного источника, не новый КУ.</x:v>
      </x:c>
      <x:c r="H390" s="5" t="str">
        <x:v>search_index</x:v>
      </x:c>
      <x:c r="I390" s="5" t="str">
        <x:v>https://edutransport.railways.kz/courses/branch/Taraz/</x:v>
      </x:c>
      <x:c r="J390" s="5" t="str">
        <x:v>Публичные HTML/PDF, история версий; сохранить raw до квалификации; API не установлен.</x:v>
      </x:c>
      <x:c r="K390" s="5" t="str">
        <x:v>Доступ и полноту автоматического сбора проверить отдельно.</x:v>
      </x:c>
      <x:c r="L390" s="5" t="str"/>
    </x:row>
    <x:row r="391" ht="31.5" customHeight="1">
      <x:c r="A391" s="5" t="str">
        <x:v>CU-SRC-0386</x:v>
      </x:c>
      <x:c r="B391" s="5" t="str">
        <x:v>CU-0196</x:v>
      </x:c>
      <x:c r="C391" s="5" t="str">
        <x:v>Центр оценки и развития персонала железнодорожного транспорта ҚТЖ</x:v>
      </x:c>
      <x:c r="D391" s="5" t="str">
        <x:v>main_200</x:v>
      </x:c>
      <x:c r="E391" s="5" t="str">
        <x:v>programs</x:v>
      </x:c>
      <x:c r="F391" s="5" t="str">
        <x:v>https://edutransport.railways.kz/courses/branch/Karaganda/</x:v>
      </x:c>
      <x:c r="G391" s="5" t="str">
        <x:v>Региональные программы Карагандинского центра; сохранять покрытие всей сети.</x:v>
      </x:c>
      <x:c r="H391" s="5" t="str">
        <x:v>search_index</x:v>
      </x:c>
      <x:c r="I391" s="5" t="str">
        <x:v>https://edutransport.railways.kz/courses/branch/Karaganda/</x:v>
      </x:c>
      <x:c r="J391" s="5" t="str">
        <x:v>Публичные HTML/PDF, история версий; сохранить raw до квалификации; API не установлен.</x:v>
      </x:c>
      <x:c r="K391" s="5" t="str">
        <x:v>Доступ и полноту автоматического сбора проверить отдельно.</x:v>
      </x:c>
      <x:c r="L391" s="5" t="str"/>
    </x:row>
    <x:row r="392" ht="31.5" customHeight="1">
      <x:c r="A392" s="5" t="str">
        <x:v>CU-SRC-0387</x:v>
      </x:c>
      <x:c r="B392" s="5" t="str">
        <x:v>CU-0197</x:v>
      </x:c>
      <x:c r="C392" s="5" t="str">
        <x:v>Корпоративный университет Казахтелеком / Дирекция «Академия инфокоммуникационных технологий»</x:v>
      </x:c>
      <x:c r="D392" s="5" t="str">
        <x:v>main_200</x:v>
      </x:c>
      <x:c r="E392" s="5" t="str">
        <x:v>university_site</x:v>
      </x:c>
      <x:c r="F392" s="5" t="str">
        <x:v>https://telecom.kz/ru/pages/11865/172287</x:v>
      </x:c>
      <x:c r="G392" s="5" t="str">
        <x:v>Программы и изменения учебной структуры, объявления о партнёрстве, ссылки на преподавателей и закупки</x:v>
      </x:c>
      <x:c r="H392" s="5" t="str">
        <x:v>search_index</x:v>
      </x:c>
      <x:c r="I392" s="5" t="str">
        <x:v>https://ar2023.telecom.kz/ru/short-profile.html</x:v>
      </x:c>
      <x:c r="J392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92" s="5" t="str">
        <x:v>Открытый адрес найден; работа автоматического сборщика не проверялась.</x:v>
      </x:c>
      <x:c r="L392" s="5" t="str"/>
    </x:row>
    <x:row r="393" ht="31.5" customHeight="1">
      <x:c r="A393" s="5" t="str">
        <x:v>CU-SRC-0388</x:v>
      </x:c>
      <x:c r="B393" s="5" t="str">
        <x:v>CU-0197</x:v>
      </x:c>
      <x:c r="C393" s="5" t="str">
        <x:v>Корпоративный университет Казахтелеком / Дирекция «Академия инфокоммуникационных технологий»</x:v>
      </x:c>
      <x:c r="D393" s="5" t="str">
        <x:v>main_200</x:v>
      </x:c>
      <x:c r="E393" s="5" t="str">
        <x:v>news</x:v>
      </x:c>
      <x:c r="F393" s="5" t="str">
        <x:v>https://ar2024.telecom.kz/ru/workforce-size-and-structure.html</x:v>
      </x:c>
      <x:c r="G393" s="5" t="str">
        <x:v>Изменения обучения и студенческой площадки</x:v>
      </x:c>
      <x:c r="H393" s="5" t="str">
        <x:v>search_index</x:v>
      </x:c>
      <x:c r="I393" s="5" t="str">
        <x:v>https://ar2024.telecom.kz/ru/workforce-size-and-structure.html</x:v>
      </x:c>
      <x:c r="J393" s="5" t="str">
        <x:v>Публичные HTML/PDF, история версий; сохранить raw до квалификации; API не установлен.</x:v>
      </x:c>
      <x:c r="K393" s="5" t="str">
        <x:v>Доступ и полноту автоматического сбора проверить отдельно.</x:v>
      </x:c>
      <x:c r="L393" s="5" t="str"/>
    </x:row>
    <x:row r="394" ht="31.5" customHeight="1">
      <x:c r="A394" s="5" t="str">
        <x:v>CU-SRC-0389</x:v>
      </x:c>
      <x:c r="B394" s="5" t="str">
        <x:v>CU-0197</x:v>
      </x:c>
      <x:c r="C394" s="5" t="str">
        <x:v>Корпоративный университет Казахтелеком / Дирекция «Академия инфокоммуникационных технологий»</x:v>
      </x:c>
      <x:c r="D394" s="5" t="str">
        <x:v>main_200</x:v>
      </x:c>
      <x:c r="E394" s="5" t="str">
        <x:v>programs</x:v>
      </x:c>
      <x:c r="F394" s="5" t="str">
        <x:v>https://ar2022.telecom.kz/index.php/ru/priority-sustainable-development-goals.html</x:v>
      </x:c>
      <x:c r="G394" s="5" t="str">
        <x:v>Названия функциональных академий как маршруты раскрытия</x:v>
      </x:c>
      <x:c r="H394" s="5" t="str">
        <x:v>search_index</x:v>
      </x:c>
      <x:c r="I394" s="5" t="str">
        <x:v>https://ar2022.telecom.kz/index.php/ru/priority-sustainable-development-goals.html</x:v>
      </x:c>
      <x:c r="J394" s="5" t="str">
        <x:v>Публичные HTML/PDF, история версий; сохранить raw до квалификации; API не установлен.</x:v>
      </x:c>
      <x:c r="K394" s="5" t="str">
        <x:v>Доступ и полноту автоматического сбора проверить отдельно.</x:v>
      </x:c>
      <x:c r="L394" s="5" t="str"/>
    </x:row>
    <x:row r="395" ht="31.5" customHeight="1">
      <x:c r="A395" s="5" t="str">
        <x:v>CU-SRC-0390</x:v>
      </x:c>
      <x:c r="B395" s="5" t="str">
        <x:v>CU-0198</x:v>
      </x:c>
      <x:c r="C395" s="5" t="str">
        <x:v>Учебный центр и направление развития компетенций НТЦ QazaqGaz</x:v>
      </x:c>
      <x:c r="D395" s="5" t="str">
        <x:v>main_200</x:v>
      </x:c>
      <x:c r="E395" s="5" t="str">
        <x:v>university_site</x:v>
      </x:c>
      <x:c r="F395" s="5" t="str">
        <x:v>https://qgrnd.kz/direction/or/</x:v>
      </x:c>
      <x:c r="G395" s="5" t="str">
        <x:v>Программы и изменения учебной структуры, объявления о партнёрстве, ссылки на преподавателей и закупки</x:v>
      </x:c>
      <x:c r="H395" s="5" t="str">
        <x:v>content_read</x:v>
      </x:c>
      <x:c r="I395" s="5" t="str">
        <x:v>https://qgrnd.kz/direction/or/</x:v>
      </x:c>
      <x:c r="J395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95" s="5" t="str">
        <x:v>Открытый адрес найден; работа автоматического сборщика не проверялась.</x:v>
      </x:c>
      <x:c r="L395" s="5" t="str"/>
    </x:row>
    <x:row r="396" ht="31.5" customHeight="1">
      <x:c r="A396" s="5" t="str">
        <x:v>CU-SRC-0391</x:v>
      </x:c>
      <x:c r="B396" s="5" t="str">
        <x:v>CU-0198</x:v>
      </x:c>
      <x:c r="C396" s="5" t="str">
        <x:v>Учебный центр и направление развития компетенций НТЦ QazaqGaz</x:v>
      </x:c>
      <x:c r="D396" s="5" t="str">
        <x:v>main_200</x:v>
      </x:c>
      <x:c r="E396" s="5" t="str">
        <x:v>procurement</x:v>
      </x:c>
      <x:c r="F396" s="5" t="str">
        <x:v>https://qgrnd.kz/purchase/</x:v>
      </x:c>
      <x:c r="G396" s="5" t="str">
        <x:v>Публичные объявления о закупках НТЦ</x:v>
      </x:c>
      <x:c r="H396" s="5" t="str">
        <x:v>content_read</x:v>
      </x:c>
      <x:c r="I396" s="5" t="str">
        <x:v>https://qgrnd.kz/purchase/</x:v>
      </x:c>
      <x:c r="J396" s="5" t="str">
        <x:v>Публичные HTML/PDF, история версий; сохранить raw до квалификации; API не установлен.</x:v>
      </x:c>
      <x:c r="K396" s="5" t="str">
        <x:v>Доступ и полноту автоматического сбора проверить отдельно.</x:v>
      </x:c>
      <x:c r="L396" s="5" t="str"/>
    </x:row>
    <x:row r="397" ht="31.5" customHeight="1">
      <x:c r="A397" s="5" t="str">
        <x:v>CU-SRC-0392</x:v>
      </x:c>
      <x:c r="B397" s="5" t="str">
        <x:v>CU-0198</x:v>
      </x:c>
      <x:c r="C397" s="5" t="str">
        <x:v>Учебный центр и направление развития компетенций НТЦ QazaqGaz</x:v>
      </x:c>
      <x:c r="D397" s="5" t="str">
        <x:v>main_200</x:v>
      </x:c>
      <x:c r="E397" s="5" t="str">
        <x:v>programs</x:v>
      </x:c>
      <x:c r="F397" s="5" t="str">
        <x:v>https://qgrnd.kz/education/</x:v>
      </x:c>
      <x:c r="G397" s="5" t="str">
        <x:v>Образовательные программы и ссылки на LMS</x:v>
      </x:c>
      <x:c r="H397" s="5" t="str">
        <x:v>content_read</x:v>
      </x:c>
      <x:c r="I397" s="5" t="str">
        <x:v>https://qgrnd.kz/education/</x:v>
      </x:c>
      <x:c r="J397" s="5" t="str">
        <x:v>Публичные HTML/PDF, история версий; сохранить raw до квалификации; API не установлен.</x:v>
      </x:c>
      <x:c r="K397" s="5" t="str">
        <x:v>Доступ и полноту автоматического сбора проверить отдельно.</x:v>
      </x:c>
      <x:c r="L397" s="5" t="str"/>
    </x:row>
    <x:row r="398" ht="31.5" customHeight="1">
      <x:c r="A398" s="5" t="str">
        <x:v>CU-SRC-0393</x:v>
      </x:c>
      <x:c r="B398" s="5" t="str">
        <x:v>CU-0199</x:v>
      </x:c>
      <x:c r="C398" s="5" t="str">
        <x:v>Учебно-курсовой комбинат Интергаз Центральная Азия</x:v>
      </x:c>
      <x:c r="D398" s="5" t="str">
        <x:v>main_200</x:v>
      </x:c>
      <x:c r="E398" s="5" t="str">
        <x:v>university_site</x:v>
      </x:c>
      <x:c r="F398" s="5" t="str">
        <x:v>https://intergas.kz/ru/ukk/</x:v>
      </x:c>
      <x:c r="G398" s="5" t="str">
        <x:v>Программы и изменения учебной структуры, объявления о партнёрстве, ссылки на преподавателей и закупки</x:v>
      </x:c>
      <x:c r="H398" s="5" t="str">
        <x:v>search_index</x:v>
      </x:c>
      <x:c r="I398" s="5" t="str">
        <x:v>https://intergas.kz/ru/ukk/</x:v>
      </x:c>
      <x:c r="J398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98" s="5" t="str">
        <x:v>Открытый адрес найден; работа автоматического сборщика не проверялась.</x:v>
      </x:c>
      <x:c r="L398" s="5" t="str"/>
    </x:row>
    <x:row r="399" ht="31.5" customHeight="1">
      <x:c r="A399" s="5" t="str">
        <x:v>CU-SRC-0394</x:v>
      </x:c>
      <x:c r="B399" s="5" t="str">
        <x:v>CU-0200</x:v>
      </x:c>
      <x:c r="C399" s="5" t="str">
        <x:v>Air Astana Training Centre / Flight Training Centre</x:v>
      </x:c>
      <x:c r="D399" s="5" t="str">
        <x:v>main_200</x:v>
      </x:c>
      <x:c r="E399" s="5" t="str">
        <x:v>university_site</x:v>
      </x:c>
      <x:c r="F399" s="5" t="str">
        <x:v>https://ir.airastana.com/en/about-us/company-news/air-astana-commissions-new-flight-training-centre/</x:v>
      </x:c>
      <x:c r="G399" s="5" t="str">
        <x:v>Программы и изменения учебной структуры, объявления о партнёрстве, ссылки на преподавателей и закупки</x:v>
      </x:c>
      <x:c r="H399" s="5" t="str">
        <x:v>search_index</x:v>
      </x:c>
      <x:c r="I399" s="5" t="str">
        <x:v>https://ir.airastana.com/en/about-us/company-news/air-astana-commissions-new-flight-training-centre/</x:v>
      </x:c>
      <x:c r="J399" s="5" t="str">
        <x:v>Публичные HTML/PDF: периодическая загрузка с историей версий; навигационные ссылки раскрыть отдельно. API не подтверждён.</x:v>
      </x:c>
      <x:c r="K399" s="5" t="str">
        <x:v>Открытый адрес найден; работа автоматического сборщика не проверялась.</x:v>
      </x:c>
      <x:c r="L399" s="5" t="str"/>
    </x:row>
    <x:row r="400" ht="31.5" customHeight="1">
      <x:c r="A400" s="5" t="str">
        <x:v>CU-SRC-0395</x:v>
      </x:c>
      <x:c r="B400" s="5" t="str">
        <x:v>CU-0200</x:v>
      </x:c>
      <x:c r="C400" s="5" t="str">
        <x:v>Air Astana Training Centre / Flight Training Centre</x:v>
      </x:c>
      <x:c r="D400" s="5" t="str">
        <x:v>main_200</x:v>
      </x:c>
      <x:c r="E400" s="5" t="str">
        <x:v>news</x:v>
      </x:c>
      <x:c r="F400" s="5" t="str">
        <x:v>https://ir.airastana.com/en/about-us/our-strategy/</x:v>
      </x:c>
      <x:c r="G400" s="5" t="str">
        <x:v>Развитие собственного обучения и корпоративных компетенций</x:v>
      </x:c>
      <x:c r="H400" s="5" t="str">
        <x:v>search_index</x:v>
      </x:c>
      <x:c r="I400" s="5" t="str">
        <x:v>https://ir.airastana.com/en/about-us/our-strategy/</x:v>
      </x:c>
      <x:c r="J400" s="5" t="str">
        <x:v>Публичные HTML/PDF, история версий; сохранить raw до квалификации; API не установлен.</x:v>
      </x:c>
      <x:c r="K400" s="5" t="str">
        <x:v>Доступ и полноту автоматического сбора проверить отдельно.</x:v>
      </x:c>
      <x:c r="L400" s="5" t="str"/>
    </x:row>
    <x:row r="401" ht="31.5" customHeight="1">
      <x:c r="A401" s="5" t="str">
        <x:v>CU-SRC-0396</x:v>
      </x:c>
      <x:c r="B401" s="5" t="str">
        <x:v>CU-0201</x:v>
      </x:c>
      <x:c r="C401" s="5" t="str">
        <x:v>Авиационный учебный центр SCAT</x:v>
      </x:c>
      <x:c r="D401" s="5" t="str">
        <x:v>main_200</x:v>
      </x:c>
      <x:c r="E401" s="5" t="str">
        <x:v>university_site</x:v>
      </x:c>
      <x:c r="F401" s="5" t="str">
        <x:v>https://www.scat.kz/ru/scat-aviation-training-center/</x:v>
      </x:c>
      <x:c r="G401" s="5" t="str">
        <x:v>Программы и изменения учебной структуры, объявления о партнёрстве, ссылки на преподавателей и закупки</x:v>
      </x:c>
      <x:c r="H401" s="5" t="str">
        <x:v>search_index</x:v>
      </x:c>
      <x:c r="I401" s="5" t="str">
        <x:v>https://www.scat.kz/ru/scat-aviation-training-center/</x:v>
      </x:c>
      <x:c r="J401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01" s="5" t="str">
        <x:v>Открытый адрес найден; работа автоматического сборщика не проверялась.</x:v>
      </x:c>
      <x:c r="L401" s="5" t="str"/>
    </x:row>
    <x:row r="402" ht="31.5" customHeight="1">
      <x:c r="A402" s="5" t="str">
        <x:v>CU-SRC-0397</x:v>
      </x:c>
      <x:c r="B402" s="5" t="str">
        <x:v>CU-0202</x:v>
      </x:c>
      <x:c r="C402" s="5" t="str">
        <x:v>Центр профессиональной подготовки Казаэронавигации</x:v>
      </x:c>
      <x:c r="D402" s="5" t="str">
        <x:v>main_200</x:v>
      </x:c>
      <x:c r="E402" s="5" t="str">
        <x:v>university_site</x:v>
      </x:c>
      <x:c r="F402" s="5" t="str">
        <x:v>https://training.ans.kz/</x:v>
      </x:c>
      <x:c r="G402" s="5" t="str">
        <x:v>Программы и изменения учебной структуры, объявления о партнёрстве, ссылки на преподавателей и закупки</x:v>
      </x:c>
      <x:c r="H402" s="5" t="str">
        <x:v>search_index</x:v>
      </x:c>
      <x:c r="I402" s="5" t="str">
        <x:v>https://training.ans.kz/ru/about</x:v>
      </x:c>
      <x:c r="J402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02" s="5" t="str">
        <x:v>Открытый адрес найден; работа автоматического сборщика не проверялась.</x:v>
      </x:c>
      <x:c r="L402" s="5" t="str"/>
    </x:row>
    <x:row r="403" ht="31.5" customHeight="1">
      <x:c r="A403" s="5" t="str">
        <x:v>CU-SRC-0398</x:v>
      </x:c>
      <x:c r="B403" s="5" t="str">
        <x:v>CU-0202</x:v>
      </x:c>
      <x:c r="C403" s="5" t="str">
        <x:v>Центр профессиональной подготовки Казаэронавигации</x:v>
      </x:c>
      <x:c r="D403" s="5" t="str">
        <x:v>main_200</x:v>
      </x:c>
      <x:c r="E403" s="5" t="str">
        <x:v>programs</x:v>
      </x:c>
      <x:c r="F403" s="5" t="str">
        <x:v>https://training.ans.kz/courses</x:v>
      </x:c>
      <x:c r="G403" s="5" t="str">
        <x:v>Каталог включает подготовку инструкторов и методистов</x:v>
      </x:c>
      <x:c r="H403" s="5" t="str">
        <x:v>search_index</x:v>
      </x:c>
      <x:c r="I403" s="5" t="str">
        <x:v>https://training.ans.kz/courses</x:v>
      </x:c>
      <x:c r="J403" s="5" t="str">
        <x:v>Публичные HTML/PDF, история версий; сохранить raw до квалификации; API не установлен.</x:v>
      </x:c>
      <x:c r="K403" s="5" t="str">
        <x:v>Доступ и полноту автоматического сбора проверить отдельно.</x:v>
      </x:c>
      <x:c r="L403" s="5" t="str"/>
    </x:row>
    <x:row r="404" ht="31.5" customHeight="1">
      <x:c r="A404" s="5" t="str">
        <x:v>CU-SRC-0399</x:v>
      </x:c>
      <x:c r="B404" s="5" t="str">
        <x:v>CU-0202</x:v>
      </x:c>
      <x:c r="C404" s="5" t="str">
        <x:v>Центр профессиональной подготовки Казаэронавигации</x:v>
      </x:c>
      <x:c r="D404" s="5" t="str">
        <x:v>main_200</x:v>
      </x:c>
      <x:c r="E404" s="5" t="str">
        <x:v>partners</x:v>
      </x:c>
      <x:c r="F404" s="5" t="str">
        <x:v>https://ans.kz/ru/activities/PTC</x:v>
      </x:c>
      <x:c r="G404" s="5" t="str">
        <x:v>Конференции и партнёрства центра</x:v>
      </x:c>
      <x:c r="H404" s="5" t="str">
        <x:v>search_index</x:v>
      </x:c>
      <x:c r="I404" s="5" t="str">
        <x:v>https://ans.kz/ru/activities/PTC</x:v>
      </x:c>
      <x:c r="J404" s="5" t="str">
        <x:v>Публичные HTML/PDF, история версий; сохранить raw до квалификации; API не установлен.</x:v>
      </x:c>
      <x:c r="K404" s="5" t="str">
        <x:v>Доступ и полноту автоматического сбора проверить отдельно.</x:v>
      </x:c>
      <x:c r="L404" s="5" t="str"/>
    </x:row>
    <x:row r="405" ht="42.75" customHeight="1">
      <x:c r="A405" s="5" t="str">
        <x:v>CU-SRC-0400</x:v>
      </x:c>
      <x:c r="B405" s="5" t="str">
        <x:v>CU-0203</x:v>
      </x:c>
      <x:c r="C405" s="5" t="str">
        <x:v>Airbus Helicopters Training Academy Kazakhstan</x:v>
      </x:c>
      <x:c r="D405" s="5" t="str">
        <x:v>main_200</x:v>
      </x:c>
      <x:c r="E405" s="5" t="str">
        <x:v>university_site</x:v>
      </x:c>
      <x:c r="F405" s="5" t="str">
        <x:v>https://www.airbus.com/en/products-services/helicopters/hcare-services/training-flight-operations/airbus-helicopters-training-academy-kazakhstan</x:v>
      </x:c>
      <x:c r="G405" s="5" t="str">
        <x:v>Программы и изменения учебной структуры, объявления о партнёрстве, ссылки на преподавателей и закупки</x:v>
      </x:c>
      <x:c r="H405" s="5" t="str">
        <x:v>search_index</x:v>
      </x:c>
      <x:c r="I405" s="5" t="str">
        <x:v>https://www.airbus.com/en/products-services/helicopters/hcare-services/training-flight-operations/airbus-helicopters-training-academy-kazakhstan</x:v>
      </x:c>
      <x:c r="J405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05" s="5" t="str">
        <x:v>Открытый адрес найден; работа автоматического сборщика не проверялась.</x:v>
      </x:c>
      <x:c r="L405" s="5" t="str"/>
    </x:row>
    <x:row r="406" ht="31.5" customHeight="1">
      <x:c r="A406" s="5" t="str">
        <x:v>CU-SRC-0401</x:v>
      </x:c>
      <x:c r="B406" s="5" t="str">
        <x:v>CU-0203</x:v>
      </x:c>
      <x:c r="C406" s="5" t="str">
        <x:v>Airbus Helicopters Training Academy Kazakhstan</x:v>
      </x:c>
      <x:c r="D406" s="5" t="str">
        <x:v>main_200</x:v>
      </x:c>
      <x:c r="E406" s="5" t="str">
        <x:v>programs</x:v>
      </x:c>
      <x:c r="F406" s="5" t="str">
        <x:v>https://eurocopterke.ke.kz/ru/company/production/1033/</x:v>
      </x:c>
      <x:c r="G406" s="5" t="str">
        <x:v>Программы местного учебного центра; старый домен сохранён</x:v>
      </x:c>
      <x:c r="H406" s="5" t="str">
        <x:v>search_index</x:v>
      </x:c>
      <x:c r="I406" s="5" t="str">
        <x:v>https://eurocopterke.ke.kz/ru/company/production/1033/</x:v>
      </x:c>
      <x:c r="J406" s="5" t="str">
        <x:v>Публичные HTML/PDF, история версий; сохранить raw до квалификации; API не установлен.</x:v>
      </x:c>
      <x:c r="K406" s="5" t="str">
        <x:v>Доступ и полноту автоматического сбора проверить отдельно.</x:v>
      </x:c>
      <x:c r="L406" s="5" t="str"/>
    </x:row>
    <x:row r="407" ht="31.5" customHeight="1">
      <x:c r="A407" s="5" t="str">
        <x:v>CU-SRC-0402</x:v>
      </x:c>
      <x:c r="B407" s="5" t="str">
        <x:v>CU-0204</x:v>
      </x:c>
      <x:c r="C407" s="5" t="str">
        <x:v>Учебный центр КазТрансОйл в Актау</x:v>
      </x:c>
      <x:c r="D407" s="5" t="str">
        <x:v>main_200</x:v>
      </x:c>
      <x:c r="E407" s="5" t="str">
        <x:v>university_site</x:v>
      </x:c>
      <x:c r="F407" s="5" t="str">
        <x:v>https://kaztransoil.kz/ru/</x:v>
      </x:c>
      <x:c r="G407" s="5" t="str">
        <x:v>Программы и изменения учебной структуры, объявления о партнёрстве, ссылки на преподавателей и закупки</x:v>
      </x:c>
      <x:c r="H407" s="5" t="str">
        <x:v>search_index</x:v>
      </x:c>
      <x:c r="I407" s="5" t="str">
        <x:v>https://www.kmg.kz/ru/press-center/press-releases/300-17-um/</x:v>
      </x:c>
      <x:c r="J407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07" s="5" t="str">
        <x:v>Открытый адрес найден; работа автоматического сборщика не проверялась.</x:v>
      </x:c>
      <x:c r="L407" s="5" t="str"/>
    </x:row>
    <x:row r="408" ht="31.5" customHeight="1">
      <x:c r="A408" s="5" t="str">
        <x:v>CU-SRC-0403</x:v>
      </x:c>
      <x:c r="B408" s="5" t="str">
        <x:v>CU-0205</x:v>
      </x:c>
      <x:c r="C408" s="5" t="str">
        <x:v>Учебный центр KMG Automation</x:v>
      </x:c>
      <x:c r="D408" s="5" t="str">
        <x:v>main_200</x:v>
      </x:c>
      <x:c r="E408" s="5" t="str">
        <x:v>university_site</x:v>
      </x:c>
      <x:c r="F408" s="5" t="str">
        <x:v>https://www.kmga.kz/</x:v>
      </x:c>
      <x:c r="G408" s="5" t="str">
        <x:v>Программы и изменения учебной структуры, объявления о партнёрстве, ссылки на преподавателей и закупки</x:v>
      </x:c>
      <x:c r="H408" s="5" t="str">
        <x:v>content_read</x:v>
      </x:c>
      <x:c r="I408" s="5" t="str">
        <x:v>https://www.kmga.kz/</x:v>
      </x:c>
      <x:c r="J408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08" s="5" t="str">
        <x:v>Открытый адрес найден; работа автоматического сборщика не проверялась.</x:v>
      </x:c>
      <x:c r="L408" s="5" t="str"/>
    </x:row>
    <x:row r="409" ht="31.5" customHeight="1">
      <x:c r="A409" s="5" t="str">
        <x:v>CU-SRC-0404</x:v>
      </x:c>
      <x:c r="B409" s="5" t="str">
        <x:v>CU-0206</x:v>
      </x:c>
      <x:c r="C409" s="5" t="str">
        <x:v>Учебный центр ПНХЗ</x:v>
      </x:c>
      <x:c r="D409" s="5" t="str">
        <x:v>main_200</x:v>
      </x:c>
      <x:c r="E409" s="5" t="str">
        <x:v>university_site</x:v>
      </x:c>
      <x:c r="F409" s="5" t="str">
        <x:v>https://www.pnhz.kz/refinery/human_resources_policy/</x:v>
      </x:c>
      <x:c r="G409" s="5" t="str">
        <x:v>Программы и изменения учебной структуры, объявления о партнёрстве, ссылки на преподавателей и закупки</x:v>
      </x:c>
      <x:c r="H409" s="5" t="str">
        <x:v>search_index</x:v>
      </x:c>
      <x:c r="I409" s="5" t="str">
        <x:v>https://www.pnhz.kz/refinery/human_resources_policy/</x:v>
      </x:c>
      <x:c r="J409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09" s="5" t="str">
        <x:v>Открытый адрес найден; работа автоматического сборщика не проверялась.</x:v>
      </x:c>
      <x:c r="L409" s="5" t="str"/>
    </x:row>
    <x:row r="410" ht="31.5" customHeight="1">
      <x:c r="A410" s="5" t="str">
        <x:v>CU-SRC-0405</x:v>
      </x:c>
      <x:c r="B410" s="5" t="str">
        <x:v>CU-0206</x:v>
      </x:c>
      <x:c r="C410" s="5" t="str">
        <x:v>Учебный центр ПНХЗ</x:v>
      </x:c>
      <x:c r="D410" s="5" t="str">
        <x:v>main_200</x:v>
      </x:c>
      <x:c r="E410" s="5" t="str">
        <x:v>news</x:v>
      </x:c>
      <x:c r="F410" s="5" t="str">
        <x:v>https://www.pnhz.kz/press_center/news/?PAGEN_1=4</x:v>
      </x:c>
      <x:c r="G410" s="5" t="str">
        <x:v>Новости учебного центра; стартовать с первой страницы и сохранять пагинацию, page4 — только найденный seed.</x:v>
      </x:c>
      <x:c r="H410" s="5" t="str">
        <x:v>search_index</x:v>
      </x:c>
      <x:c r="I410" s="5" t="str">
        <x:v>https://www.pnhz.kz/press_center/news/?PAGEN_1=4</x:v>
      </x:c>
      <x:c r="J410" s="5" t="str">
        <x:v>Публичные HTML/PDF, история версий; сохранить raw до квалификации; API не установлен.</x:v>
      </x:c>
      <x:c r="K410" s="5" t="str">
        <x:v>Доступ и полноту автоматического сбора проверить отдельно.</x:v>
      </x:c>
      <x:c r="L410" s="5" t="str"/>
    </x:row>
    <x:row r="411" ht="31.5" customHeight="1">
      <x:c r="A411" s="5" t="str">
        <x:v>CU-SRC-0406</x:v>
      </x:c>
      <x:c r="B411" s="5" t="str">
        <x:v>CU-0207</x:v>
      </x:c>
      <x:c r="C411" s="5" t="str">
        <x:v>Учебный центр Атырауского НПЗ</x:v>
      </x:c>
      <x:c r="D411" s="5" t="str">
        <x:v>main_200</x:v>
      </x:c>
      <x:c r="E411" s="5" t="str">
        <x:v>university_site</x:v>
      </x:c>
      <x:c r="F411" s="5" t="str">
        <x:v>https://www.anpz.kz/social_sphere/training/</x:v>
      </x:c>
      <x:c r="G411" s="5" t="str">
        <x:v>Программы и изменения учебной структуры, объявления о партнёрстве, ссылки на преподавателей и закупки</x:v>
      </x:c>
      <x:c r="H411" s="5" t="str">
        <x:v>search_index</x:v>
      </x:c>
      <x:c r="I411" s="5" t="str">
        <x:v>https://anpz.kz/press_center/news/75937/invitation-to-partnership?PAGEN_1=106</x:v>
      </x:c>
      <x:c r="J411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11" s="5" t="str">
        <x:v>Открытый адрес найден; работа автоматического сборщика не проверялась.</x:v>
      </x:c>
      <x:c r="L411" s="5" t="str"/>
    </x:row>
    <x:row r="412" ht="31.5" customHeight="1">
      <x:c r="A412" s="5" t="str">
        <x:v>CU-SRC-0407</x:v>
      </x:c>
      <x:c r="B412" s="5" t="str">
        <x:v>CU-0208</x:v>
      </x:c>
      <x:c r="C412" s="5" t="str">
        <x:v>Учебный центр Тенгизшевройл</x:v>
      </x:c>
      <x:c r="D412" s="5" t="str">
        <x:v>main_200</x:v>
      </x:c>
      <x:c r="E412" s="5" t="str">
        <x:v>university_site</x:v>
      </x:c>
      <x:c r="F412" s="5" t="str">
        <x:v>https://www.tengizchevroil.com/</x:v>
      </x:c>
      <x:c r="G412" s="5" t="str">
        <x:v>Программы и изменения учебной структуры, объявления о партнёрстве, ссылки на преподавателей и закупки</x:v>
      </x:c>
      <x:c r="H412" s="5" t="str">
        <x:v>search_index</x:v>
      </x:c>
      <x:c r="I412" s="5" t="str">
        <x:v>https://kaztransoil.kz/ru/press-centre/novosti/3109-nefteprovodchiki-otmetili-vsemirnyy-den-ohrany-truda</x:v>
      </x:c>
      <x:c r="J412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12" s="5" t="str">
        <x:v>Открытый адрес найден; работа автоматического сборщика не проверялась.</x:v>
      </x:c>
      <x:c r="L412" s="5" t="str"/>
    </x:row>
    <x:row r="413" ht="42.75" customHeight="1">
      <x:c r="A413" s="5" t="str">
        <x:v>CU-SRC-0408</x:v>
      </x:c>
      <x:c r="B413" s="5" t="str">
        <x:v>CU-0208</x:v>
      </x:c>
      <x:c r="C413" s="5" t="str">
        <x:v>Учебный центр Тенгизшевройл</x:v>
      </x:c>
      <x:c r="D413" s="5" t="str">
        <x:v>main_200</x:v>
      </x:c>
      <x:c r="E413" s="5" t="str">
        <x:v>news</x:v>
      </x:c>
      <x:c r="F413" s="5" t="str">
        <x:v>https://www.tengizchevroil.com/ru/tco-news/detail/2026/05/15/the-results-of-the-training-program-for-unemployed-citizens-supported-by-tengizchevroil-were-summarized</x:v>
      </x:c>
      <x:c r="G413" s="5" t="str">
        <x:v>Обучающие партнёры; социальные программы не смешивать с заказом на корпоративное обучение</x:v>
      </x:c>
      <x:c r="H413" s="5" t="str">
        <x:v>search_index</x:v>
      </x:c>
      <x:c r="I413" s="5" t="str">
        <x:v>https://www.tengizchevroil.com/ru/tco-news/detail/2026/05/15/the-results-of-the-training-program-for-unemployed-citizens-supported-by-tengizchevroil-were-summarized</x:v>
      </x:c>
      <x:c r="J413" s="5" t="str">
        <x:v>Публичные HTML/PDF, история версий; сохранить raw до квалификации; API не установлен.</x:v>
      </x:c>
      <x:c r="K413" s="5" t="str">
        <x:v>Доступ и полноту автоматического сбора проверить отдельно.</x:v>
      </x:c>
      <x:c r="L413" s="5" t="str"/>
    </x:row>
    <x:row r="414" ht="31.5" customHeight="1">
      <x:c r="A414" s="5" t="str">
        <x:v>CU-SRC-0409</x:v>
      </x:c>
      <x:c r="B414" s="5" t="str">
        <x:v>CU-0209</x:v>
      </x:c>
      <x:c r="C414" s="5" t="str">
        <x:v>Учебный центр KPO (Аксай / Aliya Training Centre)</x:v>
      </x:c>
      <x:c r="D414" s="5" t="str">
        <x:v>main_200</x:v>
      </x:c>
      <x:c r="E414" s="5" t="str">
        <x:v>university_site</x:v>
      </x:c>
      <x:c r="F414" s="5" t="str">
        <x:v>https://www.kpo.kz/</x:v>
      </x:c>
      <x:c r="G414" s="5" t="str">
        <x:v>Программы и изменения учебной структуры, объявления о партнёрстве, ссылки на преподавателей и закупки</x:v>
      </x:c>
      <x:c r="H414" s="5" t="str">
        <x:v>search_index</x:v>
      </x:c>
      <x:c r="I414" s="5" t="str">
        <x:v>https://www.kpo.kz/docs/sustainability_report_2023/en/025-energoeffektivnost.php</x:v>
      </x:c>
      <x:c r="J414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14" s="5" t="str">
        <x:v>Открытый адрес найден; работа автоматического сборщика не проверялась.</x:v>
      </x:c>
      <x:c r="L414" s="5" t="str"/>
    </x:row>
    <x:row r="415" ht="31.5" customHeight="1">
      <x:c r="A415" s="5" t="str">
        <x:v>CU-SRC-0410</x:v>
      </x:c>
      <x:c r="B415" s="5" t="str">
        <x:v>CU-0209</x:v>
      </x:c>
      <x:c r="C415" s="5" t="str">
        <x:v>Учебный центр KPO (Аксай / Aliya Training Centre)</x:v>
      </x:c>
      <x:c r="D415" s="5" t="str">
        <x:v>main_200</x:v>
      </x:c>
      <x:c r="E415" s="5" t="str">
        <x:v>careers</x:v>
      </x:c>
      <x:c r="F415" s="5" t="str">
        <x:v>https://hr.kpo.kz/vacancy/586</x:v>
      </x:c>
      <x:c r="G415" s="5" t="str">
        <x:v>Архивная вакансия подтверждает взаимодействие с учебным центром; раскрыть свежие вакансии без признания старой актуальной</x:v>
      </x:c>
      <x:c r="H415" s="5" t="str">
        <x:v>search_index</x:v>
      </x:c>
      <x:c r="I415" s="5" t="str">
        <x:v>https://hr.kpo.kz/vacancy/586</x:v>
      </x:c>
      <x:c r="J415" s="5" t="str">
        <x:v>Публичные HTML/PDF, история версий; сохранить raw до квалификации; API не установлен.</x:v>
      </x:c>
      <x:c r="K415" s="5" t="str">
        <x:v>Доступ и полноту автоматического сбора проверить отдельно.</x:v>
      </x:c>
      <x:c r="L415" s="5" t="str"/>
    </x:row>
    <x:row r="416" ht="31.5" customHeight="1">
      <x:c r="A416" s="5" t="str">
        <x:v>CU-SRC-0411</x:v>
      </x:c>
      <x:c r="B416" s="5" t="str">
        <x:v>CU-0210</x:v>
      </x:c>
      <x:c r="C416" s="5" t="str">
        <x:v>Atyrau Training Centre NCOC</x:v>
      </x:c>
      <x:c r="D416" s="5" t="str">
        <x:v>main_200</x:v>
      </x:c>
      <x:c r="E416" s="5" t="str">
        <x:v>university_site</x:v>
      </x:c>
      <x:c r="F416" s="5" t="str">
        <x:v>https://www.ncoc.kz/public/publications/ncoc/LocalContentBrochureRus.pdf</x:v>
      </x:c>
      <x:c r="G416" s="5" t="str">
        <x:v>Программы и изменения учебной структуры, объявления о партнёрстве, ссылки на преподавателей и закупки</x:v>
      </x:c>
      <x:c r="H416" s="5" t="str">
        <x:v>search_index</x:v>
      </x:c>
      <x:c r="I416" s="5" t="str">
        <x:v>https://www.ncoc.kz/public/publications/ncoc/LocalContentBrochureRus.pdf</x:v>
      </x:c>
      <x:c r="J416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16" s="5" t="str">
        <x:v>Открытый адрес найден; работа автоматического сборщика не проверялась.</x:v>
      </x:c>
      <x:c r="L416" s="5" t="str"/>
    </x:row>
    <x:row r="417" ht="31.5" customHeight="1">
      <x:c r="A417" s="5" t="str">
        <x:v>CU-SRC-0412</x:v>
      </x:c>
      <x:c r="B417" s="5" t="str">
        <x:v>CU-0210</x:v>
      </x:c>
      <x:c r="C417" s="5" t="str">
        <x:v>Atyrau Training Centre NCOC</x:v>
      </x:c>
      <x:c r="D417" s="5" t="str">
        <x:v>main_200</x:v>
      </x:c>
      <x:c r="E417" s="5" t="str">
        <x:v>news</x:v>
      </x:c>
      <x:c r="F417" s="5" t="str">
        <x:v>https://www.ncoc.kz/en/sustainability/2020/reports</x:v>
      </x:c>
      <x:c r="G417" s="5" t="str">
        <x:v>Годовой отчёт также упоминает Atyrau Training Centre; раскрыть более новые отчёты</x:v>
      </x:c>
      <x:c r="H417" s="5" t="str">
        <x:v>search_index</x:v>
      </x:c>
      <x:c r="I417" s="5" t="str">
        <x:v>https://www.ncoc.kz/en/sustainability/2020/reports</x:v>
      </x:c>
      <x:c r="J417" s="5" t="str">
        <x:v>Публичные HTML/PDF, история версий; сохранить raw до квалификации; API не установлен.</x:v>
      </x:c>
      <x:c r="K417" s="5" t="str">
        <x:v>Доступ и полноту автоматического сбора проверить отдельно.</x:v>
      </x:c>
      <x:c r="L417" s="5" t="str"/>
    </x:row>
    <x:row r="418" ht="31.5" customHeight="1">
      <x:c r="A418" s="5" t="str">
        <x:v>CU-SRC-0413</x:v>
      </x:c>
      <x:c r="B418" s="5" t="str">
        <x:v>CU-0210</x:v>
      </x:c>
      <x:c r="C418" s="5" t="str">
        <x:v>Atyrau Training Centre NCOC</x:v>
      </x:c>
      <x:c r="D418" s="5" t="str">
        <x:v>main_200</x:v>
      </x:c>
      <x:c r="E418" s="5" t="str">
        <x:v>news</x:v>
      </x:c>
      <x:c r="F418" s="5" t="str">
        <x:v>https://www.ncoc.kz/en/news/news-799</x:v>
      </x:c>
      <x:c r="G418" s="5" t="str">
        <x:v>Мероприятия и контакты действующего учебного центра; перейти к актуальной ленте.</x:v>
      </x:c>
      <x:c r="H418" s="5" t="str">
        <x:v>search_index</x:v>
      </x:c>
      <x:c r="I418" s="5" t="str">
        <x:v>https://www.ncoc.kz/en/news/news-799</x:v>
      </x:c>
      <x:c r="J418" s="5" t="str">
        <x:v>Публичные HTML/PDF, история версий; сохранить raw до квалификации; API не установлен.</x:v>
      </x:c>
      <x:c r="K418" s="5" t="str">
        <x:v>Доступ и полноту автоматического сбора проверить отдельно.</x:v>
      </x:c>
      <x:c r="L418" s="5" t="str"/>
    </x:row>
    <x:row r="419" ht="42.75" customHeight="1">
      <x:c r="A419" s="5" t="str">
        <x:v>CU-SRC-0414</x:v>
      </x:c>
      <x:c r="B419" s="5" t="str">
        <x:v>CU-0211</x:v>
      </x:c>
      <x:c r="C419" s="5" t="str">
        <x:v>Halyk Academy — корпоративный образовательный проект</x:v>
      </x:c>
      <x:c r="D419" s="5" t="str">
        <x:v>reserve</x:v>
      </x:c>
      <x:c r="E419" s="5" t="str">
        <x:v>university_site</x:v>
      </x:c>
      <x:c r="F419" s="5" t="str">
        <x:v>https://official.satbayev.university/ru/information-telecommunication-technologies/csam/laboratoriya-halyk-academy-satbayev-university</x:v>
      </x:c>
      <x:c r="G419" s="5" t="str">
        <x:v>Программы и изменения учебной структуры, объявления о партнёрстве, ссылки на преподавателей и закупки</x:v>
      </x:c>
      <x:c r="H419" s="5" t="str">
        <x:v>search_index</x:v>
      </x:c>
      <x:c r="I419" s="5" t="str">
        <x:v>https://official.satbayev.university/ru/information-telecommunication-technologies/csam/laboratoriya-halyk-academy-satbayev-university</x:v>
      </x:c>
      <x:c r="J419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19" s="5" t="str">
        <x:v>Открытый адрес найден; работа автоматического сборщика не проверялась.</x:v>
      </x:c>
      <x:c r="L419" s="5" t="str"/>
    </x:row>
    <x:row r="420" ht="31.5" customHeight="1">
      <x:c r="A420" s="5" t="str">
        <x:v>CU-SRC-0415</x:v>
      </x:c>
      <x:c r="B420" s="5" t="str">
        <x:v>CU-0211</x:v>
      </x:c>
      <x:c r="C420" s="5" t="str">
        <x:v>Halyk Academy — корпоративный образовательный проект</x:v>
      </x:c>
      <x:c r="D420" s="5" t="str">
        <x:v>reserve</x:v>
      </x:c>
      <x:c r="E420" s="5" t="str">
        <x:v>careers</x:v>
      </x:c>
      <x:c r="F420" s="5" t="str">
        <x:v>https://halykbank.kz/for-employees</x:v>
      </x:c>
      <x:c r="G420" s="5" t="str">
        <x:v>Корпоративные программы развития и вакансии HR/L&amp;D</x:v>
      </x:c>
      <x:c r="H420" s="5" t="str">
        <x:v>search_index</x:v>
      </x:c>
      <x:c r="I420" s="5" t="str">
        <x:v>https://halykbank.kz/for-employees</x:v>
      </x:c>
      <x:c r="J420" s="5" t="str">
        <x:v>Публичные HTML/PDF, история версий; сохранить raw до квалификации; API не установлен.</x:v>
      </x:c>
      <x:c r="K420" s="5" t="str">
        <x:v>Доступ и полноту автоматического сбора проверить отдельно.</x:v>
      </x:c>
      <x:c r="L420" s="5" t="str"/>
    </x:row>
    <x:row r="421" ht="31.5" customHeight="1">
      <x:c r="A421" s="5" t="str">
        <x:v>CU-SRC-0416</x:v>
      </x:c>
      <x:c r="B421" s="5" t="str">
        <x:v>CU-0212</x:v>
      </x:c>
      <x:c r="C421" s="5" t="str">
        <x:v>Freedom Academy</x:v>
      </x:c>
      <x:c r="D421" s="5" t="str">
        <x:v>main_200</x:v>
      </x:c>
      <x:c r="E421" s="5" t="str">
        <x:v>university_site</x:v>
      </x:c>
      <x:c r="F421" s="5" t="str">
        <x:v>https://freedomacademy.kz/</x:v>
      </x:c>
      <x:c r="G421" s="5" t="str">
        <x:v>Программы и изменения учебной структуры, объявления о партнёрстве, ссылки на преподавателей и закупки</x:v>
      </x:c>
      <x:c r="H421" s="5" t="str">
        <x:v>search_index</x:v>
      </x:c>
      <x:c r="I421" s="5" t="str">
        <x:v>https://fbroker.kz/academy</x:v>
      </x:c>
      <x:c r="J421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21" s="5" t="str">
        <x:v>Открытый адрес найден; работа автоматического сборщика не проверялась.</x:v>
      </x:c>
      <x:c r="L421" s="5" t="str"/>
    </x:row>
    <x:row r="422" ht="31.5" customHeight="1">
      <x:c r="A422" s="5" t="str">
        <x:v>CU-SRC-0417</x:v>
      </x:c>
      <x:c r="B422" s="5" t="str">
        <x:v>CU-0212</x:v>
      </x:c>
      <x:c r="C422" s="5" t="str">
        <x:v>Freedom Academy</x:v>
      </x:c>
      <x:c r="D422" s="5" t="str">
        <x:v>main_200</x:v>
      </x:c>
      <x:c r="E422" s="5" t="str">
        <x:v>programs</x:v>
      </x:c>
      <x:c r="F422" s="5" t="str">
        <x:v>https://freedomacademy.kz/corporate-education</x:v>
      </x:c>
      <x:c r="G422" s="5" t="str">
        <x:v>Корпоративное обучение, форматы и индивидуальные запросы</x:v>
      </x:c>
      <x:c r="H422" s="5" t="str">
        <x:v>search_index</x:v>
      </x:c>
      <x:c r="I422" s="5" t="str">
        <x:v>https://freedomacademy.kz/corporate-education</x:v>
      </x:c>
      <x:c r="J422" s="5" t="str">
        <x:v>Публичные HTML/PDF, история версий; сохранить raw до квалификации; API не установлен.</x:v>
      </x:c>
      <x:c r="K422" s="5" t="str">
        <x:v>Доступ и полноту автоматического сбора проверить отдельно.</x:v>
      </x:c>
      <x:c r="L422" s="5" t="str"/>
    </x:row>
    <x:row r="423" ht="31.5" customHeight="1">
      <x:c r="A423" s="5" t="str">
        <x:v>CU-SRC-0418</x:v>
      </x:c>
      <x:c r="B423" s="5" t="str">
        <x:v>CU-0213</x:v>
      </x:c>
      <x:c r="C423" s="5" t="str">
        <x:v>Kolesa Академия</x:v>
      </x:c>
      <x:c r="D423" s="5" t="str">
        <x:v>reserve</x:v>
      </x:c>
      <x:c r="E423" s="5" t="str">
        <x:v>university_site</x:v>
      </x:c>
      <x:c r="F423" s="5" t="str">
        <x:v>https://kolesa.group/kz/education/academy</x:v>
      </x:c>
      <x:c r="G423" s="5" t="str">
        <x:v>Программы и изменения учебной структуры, объявления о партнёрстве, ссылки на преподавателей и закупки</x:v>
      </x:c>
      <x:c r="H423" s="5" t="str">
        <x:v>search_index</x:v>
      </x:c>
      <x:c r="I423" s="5" t="str">
        <x:v>https://kolesa.group/kz/education/academy</x:v>
      </x:c>
      <x:c r="J423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23" s="5" t="str">
        <x:v>Открытый адрес найден; работа автоматического сборщика не проверялась.</x:v>
      </x:c>
      <x:c r="L423" s="5" t="str"/>
    </x:row>
    <x:row r="424" ht="31.5" customHeight="1">
      <x:c r="A424" s="5" t="str">
        <x:v>CU-SRC-0419</x:v>
      </x:c>
      <x:c r="B424" s="5" t="str">
        <x:v>CU-0214</x:v>
      </x:c>
      <x:c r="C424" s="5" t="str">
        <x:v>Академия дистрибуции Allur</x:v>
      </x:c>
      <x:c r="D424" s="5" t="str">
        <x:v>reserve</x:v>
      </x:c>
      <x:c r="E424" s="5" t="str">
        <x:v>university_site</x:v>
      </x:c>
      <x:c r="F424" s="5" t="str">
        <x:v>https://hh.kz/employer/2374853</x:v>
      </x:c>
      <x:c r="G424" s="5" t="str">
        <x:v>Программы и изменения учебной структуры, объявления о партнёрстве, ссылки на преподавателей и закупки</x:v>
      </x:c>
      <x:c r="H424" s="5" t="str">
        <x:v>search_index</x:v>
      </x:c>
      <x:c r="I424" s="5" t="str">
        <x:v>https://hh.kz/employer/2374853</x:v>
      </x:c>
      <x:c r="J424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24" s="5" t="str">
        <x:v>Открытый адрес найден; работа автоматического сборщика не проверялась.</x:v>
      </x:c>
      <x:c r="L424" s="5" t="str"/>
    </x:row>
    <x:row r="425" ht="31.5" customHeight="1">
      <x:c r="A425" s="5" t="str">
        <x:v>CU-SRC-0420</x:v>
      </x:c>
      <x:c r="B425" s="5" t="str">
        <x:v>CU-0215</x:v>
      </x:c>
      <x:c r="C425" s="5" t="str">
        <x:v>Корпоративный учебный центр Казпочты</x:v>
      </x:c>
      <x:c r="D425" s="5" t="str">
        <x:v>main_200</x:v>
      </x:c>
      <x:c r="E425" s="5" t="str">
        <x:v>university_site</x:v>
      </x:c>
      <x:c r="F425" s="5" t="str">
        <x:v>https://qazpost.kz/ru</x:v>
      </x:c>
      <x:c r="G425" s="5" t="str">
        <x:v>Программы и изменения учебной структуры, объявления о партнёрстве, ссылки на преподавателей и закупки</x:v>
      </x:c>
      <x:c r="H425" s="5" t="str">
        <x:v>search_index</x:v>
      </x:c>
      <x:c r="I425" s="5" t="str">
        <x:v>https://www.gov.kz/memleket/entities/adilet-atr/press/media/details/85334</x:v>
      </x:c>
      <x:c r="J425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25" s="5" t="str">
        <x:v>Открытый адрес найден; работа автоматического сборщика не проверялась.</x:v>
      </x:c>
      <x:c r="L425" s="5" t="str"/>
    </x:row>
    <x:row r="426" ht="42.75" customHeight="1">
      <x:c r="A426" s="5" t="str">
        <x:v>CU-SRC-0421</x:v>
      </x:c>
      <x:c r="B426" s="5" t="str">
        <x:v>CU-0216</x:v>
      </x:c>
      <x:c r="C426" s="5" t="str">
        <x:v>Учебный центр Hyundai Trans Kazakhstan и Satbayev University</x:v>
      </x:c>
      <x:c r="D426" s="5" t="str">
        <x:v>reserve</x:v>
      </x:c>
      <x:c r="E426" s="5" t="str">
        <x:v>university_site</x:v>
      </x:c>
      <x:c r="F426" s="5" t="str">
        <x:v>https://astana-motors.kz/ru/news/satbayev-university-zhane-hyundai-trans-kazakhstan-mashina-zhasau-salasindagi-kasipkoy-kadrlardi-dayindap-zhatir-444</x:v>
      </x:c>
      <x:c r="G426" s="5" t="str">
        <x:v>Программы и изменения учебной структуры, объявления о партнёрстве, ссылки на преподавателей и закупки</x:v>
      </x:c>
      <x:c r="H426" s="5" t="str">
        <x:v>search_index</x:v>
      </x:c>
      <x:c r="I426" s="5" t="str">
        <x:v>https://astana-motors.kz/ru/news/satbayev-university-zhane-hyundai-trans-kazakhstan-mashina-zhasau-salasindagi-kasipkoy-kadrlardi-dayindap-zhatir-444</x:v>
      </x:c>
      <x:c r="J426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26" s="5" t="str">
        <x:v>Открытый адрес найден; работа автоматического сборщика не проверялась.</x:v>
      </x:c>
      <x:c r="L426" s="5" t="str"/>
    </x:row>
    <x:row r="427" ht="31.5" customHeight="1">
      <x:c r="A427" s="5" t="str">
        <x:v>CU-SRC-0422</x:v>
      </x:c>
      <x:c r="B427" s="5" t="str">
        <x:v>CU-0217</x:v>
      </x:c>
      <x:c r="C427" s="5" t="str">
        <x:v>Кентауский политехнический колледж Alageum Electric</x:v>
      </x:c>
      <x:c r="D427" s="5" t="str">
        <x:v>reserve</x:v>
      </x:c>
      <x:c r="E427" s="5" t="str">
        <x:v>university_site</x:v>
      </x:c>
      <x:c r="F427" s="5" t="str">
        <x:v>https://alageum.com/ru/predpriyatiya/ao-ktz</x:v>
      </x:c>
      <x:c r="G427" s="5" t="str">
        <x:v>Программы и изменения учебной структуры, объявления о партнёрстве, ссылки на преподавателей и закупки</x:v>
      </x:c>
      <x:c r="H427" s="5" t="str">
        <x:v>search_index</x:v>
      </x:c>
      <x:c r="I427" s="5" t="str">
        <x:v>https://alageum.com/ru/predpriyatiya/ao-ktz</x:v>
      </x:c>
      <x:c r="J427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27" s="5" t="str">
        <x:v>Открытый адрес найден; работа автоматического сборщика не проверялась.</x:v>
      </x:c>
      <x:c r="L427" s="5" t="str"/>
    </x:row>
    <x:row r="428" ht="31.5" customHeight="1">
      <x:c r="A428" s="5" t="str">
        <x:v>CU-SRC-0423</x:v>
      </x:c>
      <x:c r="B428" s="5" t="str">
        <x:v>CU-0217</x:v>
      </x:c>
      <x:c r="C428" s="5" t="str">
        <x:v>Кентауский политехнический колледж Alageum Electric</x:v>
      </x:c>
      <x:c r="D428" s="5" t="str">
        <x:v>reserve</x:v>
      </x:c>
      <x:c r="E428" s="5" t="str">
        <x:v>news</x:v>
      </x:c>
      <x:c r="F428" s="5" t="str">
        <x:v>https://alageum.com/kz/novosti/kolledzh-ao-ktz-voshel-v-programmu-dorozhnoj-karty</x:v>
      </x:c>
      <x:c r="G428" s="5" t="str">
        <x:v>Развитие программ и образовательные партнёрства</x:v>
      </x:c>
      <x:c r="H428" s="5" t="str">
        <x:v>search_index</x:v>
      </x:c>
      <x:c r="I428" s="5" t="str">
        <x:v>https://alageum.com/kz/novosti/kolledzh-ao-ktz-voshel-v-programmu-dorozhnoj-karty</x:v>
      </x:c>
      <x:c r="J428" s="5" t="str">
        <x:v>Публичные HTML/PDF, история версий; сохранить raw до квалификации; API не установлен.</x:v>
      </x:c>
      <x:c r="K428" s="5" t="str">
        <x:v>Доступ и полноту автоматического сбора проверить отдельно.</x:v>
      </x:c>
      <x:c r="L428" s="5" t="str"/>
    </x:row>
    <x:row r="429" ht="31.5" customHeight="1">
      <x:c r="A429" s="5" t="str">
        <x:v>CU-SRC-0424</x:v>
      </x:c>
      <x:c r="B429" s="5" t="str">
        <x:v>CU-0218</x:v>
      </x:c>
      <x:c r="C429" s="5" t="str">
        <x:v>Отдел обучения / корпоративная учебная база Borusan Cat Казахстан</x:v>
      </x:c>
      <x:c r="D429" s="5" t="str">
        <x:v>reserve</x:v>
      </x:c>
      <x:c r="E429" s="5" t="str">
        <x:v>university_site</x:v>
      </x:c>
      <x:c r="F429" s="5" t="str">
        <x:v>https://www.borusancat.kz/ru/corporate/news/borusan-cat-education</x:v>
      </x:c>
      <x:c r="G429" s="5" t="str">
        <x:v>Программы и изменения учебной структуры, объявления о партнёрстве, ссылки на преподавателей и закупки</x:v>
      </x:c>
      <x:c r="H429" s="5" t="str">
        <x:v>search_index</x:v>
      </x:c>
      <x:c r="I429" s="5" t="str">
        <x:v>https://www.borusancat.kz/ru/corporate/news/borusan-cat-education</x:v>
      </x:c>
      <x:c r="J429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29" s="5" t="str">
        <x:v>Открытый адрес найден; работа автоматического сборщика не проверялась.</x:v>
      </x:c>
      <x:c r="L429" s="5" t="str"/>
    </x:row>
    <x:row r="430" ht="31.5" customHeight="1">
      <x:c r="A430" s="5" t="str">
        <x:v>CU-SRC-0425</x:v>
      </x:c>
      <x:c r="B430" s="5" t="str">
        <x:v>CU-0218</x:v>
      </x:c>
      <x:c r="C430" s="5" t="str">
        <x:v>Отдел обучения / корпоративная учебная база Borusan Cat Казахстан</x:v>
      </x:c>
      <x:c r="D430" s="5" t="str">
        <x:v>reserve</x:v>
      </x:c>
      <x:c r="E430" s="5" t="str">
        <x:v>programs</x:v>
      </x:c>
      <x:c r="F430" s="5" t="str">
        <x:v>https://www.borusancat.kz/ru/service/customer-training</x:v>
      </x:c>
      <x:c r="G430" s="5" t="str">
        <x:v>Клиентские обучающие программы</x:v>
      </x:c>
      <x:c r="H430" s="5" t="str">
        <x:v>search_index</x:v>
      </x:c>
      <x:c r="I430" s="5" t="str">
        <x:v>https://www.borusancat.kz/ru/service/customer-training</x:v>
      </x:c>
      <x:c r="J430" s="5" t="str">
        <x:v>Публичные HTML/PDF, история версий; сохранить raw до квалификации; API не установлен.</x:v>
      </x:c>
      <x:c r="K430" s="5" t="str">
        <x:v>Доступ и полноту автоматического сбора проверить отдельно.</x:v>
      </x:c>
      <x:c r="L430" s="5" t="str"/>
    </x:row>
    <x:row r="431" ht="31.5" customHeight="1">
      <x:c r="A431" s="5" t="str">
        <x:v>CU-SRC-0426</x:v>
      </x:c>
      <x:c r="B431" s="5" t="str">
        <x:v>CU-0218</x:v>
      </x:c>
      <x:c r="C431" s="5" t="str">
        <x:v>Отдел обучения / корпоративная учебная база Borusan Cat Казахстан</x:v>
      </x:c>
      <x:c r="D431" s="5" t="str">
        <x:v>reserve</x:v>
      </x:c>
      <x:c r="E431" s="5" t="str">
        <x:v>news</x:v>
      </x:c>
      <x:c r="F431" s="5" t="str">
        <x:v>https://www.borusancat.kz/ru/corporate/news/nastavnichestvo_2024</x:v>
      </x:c>
      <x:c r="G431" s="5" t="str">
        <x:v>Наставничество и развитие внутренних инструкторов</x:v>
      </x:c>
      <x:c r="H431" s="5" t="str">
        <x:v>search_index</x:v>
      </x:c>
      <x:c r="I431" s="5" t="str">
        <x:v>https://www.borusancat.kz/ru/corporate/news/nastavnichestvo_2024</x:v>
      </x:c>
      <x:c r="J431" s="5" t="str">
        <x:v>Публичные HTML/PDF, история версий; сохранить raw до квалификации; API не установлен.</x:v>
      </x:c>
      <x:c r="K431" s="5" t="str">
        <x:v>Доступ и полноту автоматического сбора проверить отдельно.</x:v>
      </x:c>
      <x:c r="L431" s="5" t="str"/>
    </x:row>
    <x:row r="432" ht="31.5" customHeight="1">
      <x:c r="A432" s="5" t="str">
        <x:v>CU-SRC-0427</x:v>
      </x:c>
      <x:c r="B432" s="5" t="str">
        <x:v>CU-0219</x:v>
      </x:c>
      <x:c r="C432" s="5" t="str">
        <x:v>PwC Академия Казахстан</x:v>
      </x:c>
      <x:c r="D432" s="5" t="str">
        <x:v>main_200</x:v>
      </x:c>
      <x:c r="E432" s="5" t="str">
        <x:v>university_site</x:v>
      </x:c>
      <x:c r="F432" s="5" t="str">
        <x:v>https://www.pwc.com/kz/ru/pwcacademy.html</x:v>
      </x:c>
      <x:c r="G432" s="5" t="str">
        <x:v>Программы и изменения учебной структуры, объявления о партнёрстве, ссылки на преподавателей и закупки</x:v>
      </x:c>
      <x:c r="H432" s="5" t="str">
        <x:v>search_index</x:v>
      </x:c>
      <x:c r="I432" s="5" t="str">
        <x:v>https://www.pwc.com/kz/ru/pwcacademy.html</x:v>
      </x:c>
      <x:c r="J432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32" s="5" t="str">
        <x:v>Открытый адрес найден; работа автоматического сборщика не проверялась.</x:v>
      </x:c>
      <x:c r="L432" s="5" t="str"/>
    </x:row>
    <x:row r="433" ht="31.5" customHeight="1">
      <x:c r="A433" s="5" t="str">
        <x:v>CU-SRC-0428</x:v>
      </x:c>
      <x:c r="B433" s="5" t="str">
        <x:v>CU-0219</x:v>
      </x:c>
      <x:c r="C433" s="5" t="str">
        <x:v>PwC Академия Казахстан</x:v>
      </x:c>
      <x:c r="D433" s="5" t="str">
        <x:v>main_200</x:v>
      </x:c>
      <x:c r="E433" s="5" t="str">
        <x:v>programs</x:v>
      </x:c>
      <x:c r="F433" s="5" t="str">
        <x:v>https://www.pwc.com/kz/ru/pwcacademy/korporativnyj-kouching-dlja-biznesa.html</x:v>
      </x:c>
      <x:c r="G433" s="5" t="str">
        <x:v>Совместные программы коучинга и подготовки менеджеров</x:v>
      </x:c>
      <x:c r="H433" s="5" t="str">
        <x:v>search_index</x:v>
      </x:c>
      <x:c r="I433" s="5" t="str">
        <x:v>https://www.pwc.com/kz/ru/pwcacademy/korporativnyj-kouching-dlja-biznesa.html</x:v>
      </x:c>
      <x:c r="J433" s="5" t="str">
        <x:v>Публичные HTML/PDF, история версий; сохранить raw до квалификации; API не установлен.</x:v>
      </x:c>
      <x:c r="K433" s="5" t="str">
        <x:v>Доступ и полноту автоматического сбора проверить отдельно.</x:v>
      </x:c>
      <x:c r="L433" s="5" t="str"/>
    </x:row>
    <x:row r="434" ht="31.5" customHeight="1">
      <x:c r="A434" s="5" t="str">
        <x:v>CU-SRC-0429</x:v>
      </x:c>
      <x:c r="B434" s="5" t="str">
        <x:v>CU-0219</x:v>
      </x:c>
      <x:c r="C434" s="5" t="str">
        <x:v>PwC Академия Казахстан</x:v>
      </x:c>
      <x:c r="D434" s="5" t="str">
        <x:v>main_200</x:v>
      </x:c>
      <x:c r="E434" s="5" t="str">
        <x:v>news</x:v>
      </x:c>
      <x:c r="F434" s="5" t="str">
        <x:v>https://www.pwc.com/kz/ru/pwc-news/what-new/spring-2024.html</x:v>
      </x:c>
      <x:c r="G434" s="5" t="str">
        <x:v>Архив расписания как образец сигнала; обнаружить текущий календарь</x:v>
      </x:c>
      <x:c r="H434" s="5" t="str">
        <x:v>search_index</x:v>
      </x:c>
      <x:c r="I434" s="5" t="str">
        <x:v>https://www.pwc.com/kz/ru/pwc-news/what-new/spring-2024.html</x:v>
      </x:c>
      <x:c r="J434" s="5" t="str">
        <x:v>Публичные HTML/PDF, история версий; сохранить raw до квалификации; API не установлен.</x:v>
      </x:c>
      <x:c r="K434" s="5" t="str">
        <x:v>Доступ и полноту автоматического сбора проверить отдельно.</x:v>
      </x:c>
      <x:c r="L434" s="5" t="str"/>
    </x:row>
    <x:row r="435" ht="31.5" customHeight="1">
      <x:c r="A435" s="5" t="str">
        <x:v>CU-SRC-0430</x:v>
      </x:c>
      <x:c r="B435" s="5" t="str">
        <x:v>CU-0220</x:v>
      </x:c>
      <x:c r="C435" s="5" t="str">
        <x:v>AIFC Academy — Академия МФЦА</x:v>
      </x:c>
      <x:c r="D435" s="5" t="str">
        <x:v>main_200</x:v>
      </x:c>
      <x:c r="E435" s="5" t="str">
        <x:v>university_site</x:v>
      </x:c>
      <x:c r="F435" s="5" t="str">
        <x:v>https://academy.aifc.kz/?lang=ru</x:v>
      </x:c>
      <x:c r="G435" s="5" t="str">
        <x:v>Программы и изменения учебной структуры, объявления о партнёрстве, ссылки на преподавателей и закупки</x:v>
      </x:c>
      <x:c r="H435" s="5" t="str">
        <x:v>search_index</x:v>
      </x:c>
      <x:c r="I435" s="5" t="str">
        <x:v>https://academy.aifc.kz/en/o-nas/</x:v>
      </x:c>
      <x:c r="J435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35" s="5" t="str">
        <x:v>Открытый адрес найден; работа автоматического сборщика не проверялась.</x:v>
      </x:c>
      <x:c r="L435" s="5" t="str"/>
    </x:row>
    <x:row r="436" ht="31.5" customHeight="1">
      <x:c r="A436" s="5" t="str">
        <x:v>CU-SRC-0431</x:v>
      </x:c>
      <x:c r="B436" s="5" t="str">
        <x:v>CU-0221</x:v>
      </x:c>
      <x:c r="C436" s="5" t="str">
        <x:v>KASE Academy</x:v>
      </x:c>
      <x:c r="D436" s="5" t="str">
        <x:v>reserve</x:v>
      </x:c>
      <x:c r="E436" s="5" t="str">
        <x:v>university_site</x:v>
      </x:c>
      <x:c r="F436" s="5" t="str">
        <x:v>https://kase.kz/ru/investors/kase-academy</x:v>
      </x:c>
      <x:c r="G436" s="5" t="str">
        <x:v>Программы и изменения учебной структуры, объявления о партнёрстве, ссылки на преподавателей и закупки</x:v>
      </x:c>
      <x:c r="H436" s="5" t="str">
        <x:v>search_index</x:v>
      </x:c>
      <x:c r="I436" s="5" t="str">
        <x:v>https://kase.kz/ru/investors/kase-academy</x:v>
      </x:c>
      <x:c r="J436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36" s="5" t="str">
        <x:v>Открытый адрес найден; работа автоматического сборщика не проверялась.</x:v>
      </x:c>
      <x:c r="L436" s="5" t="str"/>
    </x:row>
    <x:row r="437" ht="31.5" customHeight="1">
      <x:c r="A437" s="5" t="str">
        <x:v>CU-SRC-0432</x:v>
      </x:c>
      <x:c r="B437" s="5" t="str">
        <x:v>CU-0221</x:v>
      </x:c>
      <x:c r="C437" s="5" t="str">
        <x:v>KASE Academy</x:v>
      </x:c>
      <x:c r="D437" s="5" t="str">
        <x:v>reserve</x:v>
      </x:c>
      <x:c r="E437" s="5" t="str">
        <x:v>news</x:v>
      </x:c>
      <x:c r="F437" s="5" t="str">
        <x:v>https://kase.kz/ru/media-center/events/khx19sxwo5jg3pdu92f1aw6j</x:v>
      </x:c>
      <x:c r="G437" s="5" t="str">
        <x:v>Запуск LMS и новые образовательные продукты</x:v>
      </x:c>
      <x:c r="H437" s="5" t="str">
        <x:v>search_index</x:v>
      </x:c>
      <x:c r="I437" s="5" t="str">
        <x:v>https://kase.kz/ru/media-center/events/khx19sxwo5jg3pdu92f1aw6j</x:v>
      </x:c>
      <x:c r="J437" s="5" t="str">
        <x:v>Публичные HTML/PDF, история версий; сохранить raw до квалификации; API не установлен.</x:v>
      </x:c>
      <x:c r="K437" s="5" t="str">
        <x:v>Доступ и полноту автоматического сбора проверить отдельно.</x:v>
      </x:c>
      <x:c r="L437" s="5" t="str"/>
    </x:row>
    <x:row r="438" ht="31.5" customHeight="1">
      <x:c r="A438" s="5" t="str">
        <x:v>CU-SRC-0433</x:v>
      </x:c>
      <x:c r="B438" s="5" t="str">
        <x:v>CU-0221</x:v>
      </x:c>
      <x:c r="C438" s="5" t="str">
        <x:v>KASE Academy</x:v>
      </x:c>
      <x:c r="D438" s="5" t="str">
        <x:v>reserve</x:v>
      </x:c>
      <x:c r="E438" s="5" t="str">
        <x:v>programs</x:v>
      </x:c>
      <x:c r="F438" s="5" t="str">
        <x:v>https://kase.kz/en/media-center/events/s3irqw5usdj89lat40h3g2vu</x:v>
      </x:c>
      <x:c r="G438" s="5" t="str">
        <x:v>Пример семинара для бизнеса с независимым экспертом — обнаружить следующие программы</x:v>
      </x:c>
      <x:c r="H438" s="5" t="str">
        <x:v>search_index</x:v>
      </x:c>
      <x:c r="I438" s="5" t="str">
        <x:v>https://kase.kz/en/media-center/events/s3irqw5usdj89lat40h3g2vu</x:v>
      </x:c>
      <x:c r="J438" s="5" t="str">
        <x:v>Публичные HTML/PDF, история версий; сохранить raw до квалификации; API не установлен.</x:v>
      </x:c>
      <x:c r="K438" s="5" t="str">
        <x:v>Доступ и полноту автоматического сбора проверить отдельно.</x:v>
      </x:c>
      <x:c r="L438" s="5" t="str"/>
    </x:row>
    <x:row r="439" ht="31.5" customHeight="1">
      <x:c r="A439" s="5" t="str">
        <x:v>CU-SRC-0434</x:v>
      </x:c>
      <x:c r="B439" s="5" t="str">
        <x:v>CU-0222</x:v>
      </x:c>
      <x:c r="C439" s="5" t="str">
        <x:v>Учебно-методический центр Казфосфат</x:v>
      </x:c>
      <x:c r="D439" s="5" t="str">
        <x:v>main_200</x:v>
      </x:c>
      <x:c r="E439" s="5" t="str">
        <x:v>university_site</x:v>
      </x:c>
      <x:c r="F439" s="5" t="str">
        <x:v>https://www.kpp.kz/ru/about/training-and-teaching-activity?id=9</x:v>
      </x:c>
      <x:c r="G439" s="5" t="str">
        <x:v>Программы и изменения учебной структуры, объявления о партнёрстве, ссылки на преподавателей и закупки</x:v>
      </x:c>
      <x:c r="H439" s="5" t="str">
        <x:v>content_read</x:v>
      </x:c>
      <x:c r="I439" s="5" t="str">
        <x:v>https://www.kpp.kz/ru/about/training-and-teaching-activity?id=9</x:v>
      </x:c>
      <x:c r="J439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39" s="5" t="str">
        <x:v>Открытый адрес найден; работа автоматического сборщика не проверялась.</x:v>
      </x:c>
      <x:c r="L439" s="5" t="str"/>
    </x:row>
    <x:row r="440" ht="31.5" customHeight="1">
      <x:c r="A440" s="5" t="str">
        <x:v>CU-SRC-0435</x:v>
      </x:c>
      <x:c r="B440" s="5" t="str">
        <x:v>CU-0223</x:v>
      </x:c>
      <x:c r="C440" s="5" t="str">
        <x:v>Центр подготовки и переподготовки кадров Технологического колледжа корпорации Казахмыс</x:v>
      </x:c>
      <x:c r="D440" s="5" t="str">
        <x:v>main_200</x:v>
      </x:c>
      <x:c r="E440" s="5" t="str">
        <x:v>university_site</x:v>
      </x:c>
      <x:c r="F440" s="5" t="str">
        <x:v>https://tkksatpaev.edu.kz/tsentr-podgotovki-i-perepodgotovki-kadrov/</x:v>
      </x:c>
      <x:c r="G440" s="5" t="str">
        <x:v>Программы и изменения учебной структуры, объявления о партнёрстве, ссылки на преподавателей и закупки</x:v>
      </x:c>
      <x:c r="H440" s="5" t="str">
        <x:v>search_index</x:v>
      </x:c>
      <x:c r="I440" s="5" t="str">
        <x:v>https://tkksatpaev.edu.kz/tsentr-podgotovki-i-perepodgotovki-kadrov/</x:v>
      </x:c>
      <x:c r="J440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40" s="5" t="str">
        <x:v>Открытый адрес найден; работа автоматического сборщика не проверялась.</x:v>
      </x:c>
      <x:c r="L440" s="5" t="str"/>
    </x:row>
    <x:row r="441" ht="31.5" customHeight="1">
      <x:c r="A441" s="5" t="str">
        <x:v>CU-SRC-0436</x:v>
      </x:c>
      <x:c r="B441" s="5" t="str">
        <x:v>CU-0224</x:v>
      </x:c>
      <x:c r="C441" s="5" t="str">
        <x:v>Центр подготовки и переподготовки кадров Политехнического колледжа корпорации Казахмыс</x:v>
      </x:c>
      <x:c r="D441" s="5" t="str">
        <x:v>main_200</x:v>
      </x:c>
      <x:c r="E441" s="5" t="str">
        <x:v>university_site</x:v>
      </x:c>
      <x:c r="F441" s="5" t="str">
        <x:v>https://ptk-kazakhmys.edu.kz/divisions/</x:v>
      </x:c>
      <x:c r="G441" s="5" t="str">
        <x:v>Программы и изменения учебной структуры, объявления о партнёрстве, ссылки на преподавателей и закупки</x:v>
      </x:c>
      <x:c r="H441" s="5" t="str">
        <x:v>search_index</x:v>
      </x:c>
      <x:c r="I441" s="5" t="str">
        <x:v>https://ptk-kazakhmys.edu.kz/about/</x:v>
      </x:c>
      <x:c r="J441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41" s="5" t="str">
        <x:v>Открытый адрес найден; работа автоматического сборщика не проверялась.</x:v>
      </x:c>
      <x:c r="L441" s="5" t="str"/>
    </x:row>
    <x:row r="442" ht="31.5" customHeight="1">
      <x:c r="A442" s="5" t="str">
        <x:v>CU-SRC-0437</x:v>
      </x:c>
      <x:c r="B442" s="5" t="str">
        <x:v>CU-0224</x:v>
      </x:c>
      <x:c r="C442" s="5" t="str">
        <x:v>Центр подготовки и переподготовки кадров Политехнического колледжа корпорации Казахмыс</x:v>
      </x:c>
      <x:c r="D442" s="5" t="str">
        <x:v>main_200</x:v>
      </x:c>
      <x:c r="E442" s="5" t="str">
        <x:v>programs</x:v>
      </x:c>
      <x:c r="F442" s="5" t="str">
        <x:v>https://ptk-kazakhmys.edu.kz/education/</x:v>
      </x:c>
      <x:c r="G442" s="5" t="str">
        <x:v>Программы, новые компетенции и партнёрские потребности</x:v>
      </x:c>
      <x:c r="H442" s="5" t="str">
        <x:v>search_index</x:v>
      </x:c>
      <x:c r="I442" s="5" t="str">
        <x:v>https://ptk-kazakhmys.edu.kz/education/</x:v>
      </x:c>
      <x:c r="J442" s="5" t="str">
        <x:v>Публичные HTML/PDF, история версий; сохранить raw до квалификации; API не установлен.</x:v>
      </x:c>
      <x:c r="K442" s="5" t="str">
        <x:v>Доступ и полноту автоматического сбора проверить отдельно.</x:v>
      </x:c>
      <x:c r="L442" s="5" t="str"/>
    </x:row>
    <x:row r="443" ht="31.5" customHeight="1">
      <x:c r="A443" s="5" t="str">
        <x:v>CU-SRC-0438</x:v>
      </x:c>
      <x:c r="B443" s="5" t="str">
        <x:v>CU-0225</x:v>
      </x:c>
      <x:c r="C443" s="5" t="str">
        <x:v>Forte Academy — Корпоративная академия ForteBank</x:v>
      </x:c>
      <x:c r="D443" s="5" t="str">
        <x:v>main_200</x:v>
      </x:c>
      <x:c r="E443" s="5" t="str">
        <x:v>university_site</x:v>
      </x:c>
      <x:c r="F443" s="5" t="str">
        <x:v>https://career.forte.kz/ru/humanity</x:v>
      </x:c>
      <x:c r="G443" s="5" t="str">
        <x:v>Программы и изменения учебной структуры, объявления о партнёрстве, ссылки на преподавателей и закупки</x:v>
      </x:c>
      <x:c r="H443" s="5" t="str">
        <x:v>search_index</x:v>
      </x:c>
      <x:c r="I443" s="5" t="str">
        <x:v>https://career.forte.kz/ru/humanity</x:v>
      </x:c>
      <x:c r="J443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43" s="5" t="str">
        <x:v>Открытый адрес найден; работа автоматического сборщика не проверялась.</x:v>
      </x:c>
      <x:c r="L443" s="5" t="str"/>
    </x:row>
    <x:row r="444" ht="31.5" customHeight="1">
      <x:c r="A444" s="5" t="str">
        <x:v>CU-SRC-0439</x:v>
      </x:c>
      <x:c r="B444" s="5" t="str">
        <x:v>CU-0226</x:v>
      </x:c>
      <x:c r="C444" s="5" t="str">
        <x:v>bcc academy</x:v>
      </x:c>
      <x:c r="D444" s="5" t="str">
        <x:v>reserve</x:v>
      </x:c>
      <x:c r="E444" s="5" t="str">
        <x:v>university_site</x:v>
      </x:c>
      <x:c r="F444" s="5" t="str">
        <x:v>https://www.bcc.kz/career/</x:v>
      </x:c>
      <x:c r="G444" s="5" t="str">
        <x:v>Программы и изменения учебной структуры, объявления о партнёрстве, ссылки на преподавателей и закупки</x:v>
      </x:c>
      <x:c r="H444" s="5" t="str">
        <x:v>search_index</x:v>
      </x:c>
      <x:c r="I444" s="5" t="str">
        <x:v>https://www.bcc.kz/career/</x:v>
      </x:c>
      <x:c r="J444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44" s="5" t="str">
        <x:v>Открытый адрес найден; работа автоматического сборщика не проверялась.</x:v>
      </x:c>
      <x:c r="L444" s="5" t="str"/>
    </x:row>
    <x:row r="445" ht="31.5" customHeight="1">
      <x:c r="A445" s="5" t="str">
        <x:v>CU-SRC-0440</x:v>
      </x:c>
      <x:c r="B445" s="5" t="str">
        <x:v>CU-0226</x:v>
      </x:c>
      <x:c r="C445" s="5" t="str">
        <x:v>bcc academy</x:v>
      </x:c>
      <x:c r="D445" s="5" t="str">
        <x:v>reserve</x:v>
      </x:c>
      <x:c r="E445" s="5" t="str">
        <x:v>news</x:v>
      </x:c>
      <x:c r="F445" s="5" t="str">
        <x:v>https://www.bcc.kz/about/press-center/news/bcc-edu-kdif-academy/</x:v>
      </x:c>
      <x:c r="G445" s="5" t="str">
        <x:v>Пример нового внешнего партнёрства в обучении персонала; не путать bcc academy с KDIF Academy.</x:v>
      </x:c>
      <x:c r="H445" s="5" t="str">
        <x:v>search_index</x:v>
      </x:c>
      <x:c r="I445" s="5" t="str">
        <x:v>https://www.bcc.kz/about/press-center/news/bcc-edu-kdif-academy/</x:v>
      </x:c>
      <x:c r="J445" s="5" t="str">
        <x:v>Публичные HTML/PDF, история версий; сохранить raw до квалификации; API не установлен.</x:v>
      </x:c>
      <x:c r="K445" s="5" t="str">
        <x:v>Доступ и полноту автоматического сбора проверить отдельно.</x:v>
      </x:c>
      <x:c r="L445" s="5" t="str"/>
    </x:row>
    <x:row r="446" ht="31.5" customHeight="1">
      <x:c r="A446" s="5" t="str">
        <x:v>CU-SRC-0441</x:v>
      </x:c>
      <x:c r="B446" s="5" t="str">
        <x:v>CU-0227</x:v>
      </x:c>
      <x:c r="C446" s="5" t="str">
        <x:v>Home Credit University Kazakhstan</x:v>
      </x:c>
      <x:c r="D446" s="5" t="str">
        <x:v>reserve</x:v>
      </x:c>
      <x:c r="E446" s="5" t="str">
        <x:v>university_site</x:v>
      </x:c>
      <x:c r="F446" s="5" t="str">
        <x:v>https://home.kz/press-center/news/ithub-novosty</x:v>
      </x:c>
      <x:c r="G446" s="5" t="str">
        <x:v>Программы и изменения учебной структуры, объявления о партнёрстве, ссылки на преподавателей и закупки</x:v>
      </x:c>
      <x:c r="H446" s="5" t="str">
        <x:v>content_read</x:v>
      </x:c>
      <x:c r="I446" s="5" t="str">
        <x:v>https://home.kz/press-center/news/ithub-novosty</x:v>
      </x:c>
      <x:c r="J446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46" s="5" t="str">
        <x:v>Открытый адрес найден; работа автоматического сборщика не проверялась.</x:v>
      </x:c>
      <x:c r="L446" s="5" t="str"/>
    </x:row>
    <x:row r="447" ht="31.5" customHeight="1">
      <x:c r="A447" s="5" t="str">
        <x:v>CU-SRC-0442</x:v>
      </x:c>
      <x:c r="B447" s="5" t="str">
        <x:v>CU-0228</x:v>
      </x:c>
      <x:c r="C447" s="5" t="str">
        <x:v>KMGE School — корпоративная программа подготовки специалистов</x:v>
      </x:c>
      <x:c r="D447" s="5" t="str">
        <x:v>reserve</x:v>
      </x:c>
      <x:c r="E447" s="5" t="str">
        <x:v>university_site</x:v>
      </x:c>
      <x:c r="F447" s="5" t="str">
        <x:v>https://www.kmge.kz/kmge-school/</x:v>
      </x:c>
      <x:c r="G447" s="5" t="str">
        <x:v>Программы и изменения учебной структуры, объявления о партнёрстве, ссылки на преподавателей и закупки</x:v>
      </x:c>
      <x:c r="H447" s="5" t="str">
        <x:v>search_index</x:v>
      </x:c>
      <x:c r="I447" s="5" t="str">
        <x:v>https://ar2025.kmg.kz/ru/strategic-report/ensuring-sustainable-development/social-responsibility</x:v>
      </x:c>
      <x:c r="J447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47" s="5" t="str">
        <x:v>Открытый адрес найден; работа автоматического сборщика не проверялась.</x:v>
      </x:c>
      <x:c r="L447" s="5" t="str"/>
    </x:row>
    <x:row r="448" ht="31.5" customHeight="1">
      <x:c r="A448" s="5" t="str">
        <x:v>CU-SRC-0443</x:v>
      </x:c>
      <x:c r="B448" s="5" t="str">
        <x:v>CU-0229</x:v>
      </x:c>
      <x:c r="C448" s="5" t="str">
        <x:v>Halyk Training Center — исторический корпоративный учебный центр</x:v>
      </x:c>
      <x:c r="D448" s="5" t="str">
        <x:v>reserve</x:v>
      </x:c>
      <x:c r="E448" s="5" t="str">
        <x:v>university_site</x:v>
      </x:c>
      <x:c r="F448" s="5" t="str">
        <x:v>https://halykbank.kz/for-employees</x:v>
      </x:c>
      <x:c r="G448" s="5" t="str">
        <x:v>Программы и изменения учебной структуры, объявления о партнёрстве, ссылки на преподавателей и закупки</x:v>
      </x:c>
      <x:c r="H448" s="5" t="str">
        <x:v>search_index</x:v>
      </x:c>
      <x:c r="I448" s="5" t="str">
        <x:v>https://www.pmclub.kz/halykcenter</x:v>
      </x:c>
      <x:c r="J448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48" s="5" t="str">
        <x:v>Открытый адрес найден; работа автоматического сборщика не проверялась.</x:v>
      </x:c>
      <x:c r="L448" s="5" t="str"/>
    </x:row>
    <x:row r="449" ht="31.5" customHeight="1">
      <x:c r="A449" s="5" t="str">
        <x:v>CU-SRC-0444</x:v>
      </x:c>
      <x:c r="B449" s="5" t="str">
        <x:v>CU-0230</x:v>
      </x:c>
      <x:c r="C449" s="5" t="str">
        <x:v>KDIF Academy — отраслевая программа Фонда гарантирования депозитов</x:v>
      </x:c>
      <x:c r="D449" s="5" t="str">
        <x:v>reserve</x:v>
      </x:c>
      <x:c r="E449" s="5" t="str">
        <x:v>university_site</x:v>
      </x:c>
      <x:c r="F449" s="5" t="str">
        <x:v>https://kdif.kz/press-tsentr/press-relizy/kdif-academy-x-bcc</x:v>
      </x:c>
      <x:c r="G449" s="5" t="str">
        <x:v>Программы и изменения учебной структуры, объявления о партнёрстве, ссылки на преподавателей и закупки</x:v>
      </x:c>
      <x:c r="H449" s="5" t="str">
        <x:v>search_index</x:v>
      </x:c>
      <x:c r="I449" s="5" t="str">
        <x:v>https://kdif.kz/press-tsentr/press-relizy/kdif-academy-x-bcc</x:v>
      </x:c>
      <x:c r="J449" s="5" t="str">
        <x:v>Публичные HTML/PDF: периодическая загрузка с историей версий; навигационные ссылки раскрыть отдельно. API не подтверждён.</x:v>
      </x:c>
      <x:c r="K449" s="5" t="str">
        <x:v>Открытый адрес найден; работа автоматического сборщика не проверялась.</x:v>
      </x:c>
      <x:c r="L449" s="5" t="str"/>
    </x:row>
    <x:row r="450" ht="31.5" customHeight="1">
      <x:c r="A450" s="5" t="str">
        <x:v>CU-SRC-0445</x:v>
      </x:c>
      <x:c r="B450" s="5" t="str">
        <x:v>CU-0231</x:v>
      </x:c>
      <x:c r="C450" s="5" t="str">
        <x:v>Корпоративный университет Группы «Эталон»</x:v>
      </x:c>
      <x:c r="D450" s="5" t="str">
        <x:v>main_200</x:v>
      </x:c>
      <x:c r="E450" s="5" t="str">
        <x:v>news</x:v>
      </x:c>
      <x:c r="F450" s="5" t="str">
        <x:v>https://projects.1prime.ru/vpered/natalia_tanaeva/</x:v>
      </x:c>
      <x:c r="G450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50" s="5" t="str">
        <x:v>content_read</x:v>
      </x:c>
      <x:c r="I450" s="5" t="str">
        <x:v>https://projects.1prime.ru/vpered/natalia_tanaeva/</x:v>
      </x:c>
      <x:c r="J45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50" s="5" t="str">
        <x:v>Публичный информационный маршрут; работоспособность автоматического сборщика не проверялась.</x:v>
      </x:c>
      <x:c r="L450" s="5" t="str"/>
    </x:row>
    <x:row r="451" ht="31.5" customHeight="1">
      <x:c r="A451" s="5" t="str">
        <x:v>CU-SRC-0446</x:v>
      </x:c>
      <x:c r="B451" s="5" t="str">
        <x:v>CU-0231</x:v>
      </x:c>
      <x:c r="C451" s="5" t="str">
        <x:v>Корпоративный университет Группы «Эталон»</x:v>
      </x:c>
      <x:c r="D451" s="5" t="str">
        <x:v>main_200</x:v>
      </x:c>
      <x:c r="E451" s="5" t="str">
        <x:v>contacts</x:v>
      </x:c>
      <x:c r="F451" s="5" t="str">
        <x:v>https://www.etalongroup.com/contacts/</x:v>
      </x:c>
      <x:c r="G451" s="5" t="str">
        <x:v>Официальные точки входа компании; поиск ответственного за корпоративное обучение.</x:v>
      </x:c>
      <x:c r="H451" s="5" t="str">
        <x:v>search_index</x:v>
      </x:c>
      <x:c r="I451" s="5" t="str">
        <x:v>https://www.etalongroup.com/contacts/</x:v>
      </x:c>
      <x:c r="J45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51" s="5" t="str">
        <x:v>Публичный маршрут; автоматический сбор не испытан.</x:v>
      </x:c>
      <x:c r="L451" s="5" t="str"/>
    </x:row>
    <x:row r="452" ht="31.5" customHeight="1">
      <x:c r="A452" s="5" t="str">
        <x:v>CU-SRC-0447</x:v>
      </x:c>
      <x:c r="B452" s="5" t="str">
        <x:v>CU-0232</x:v>
      </x:c>
      <x:c r="C452" s="5" t="str">
        <x:v>Корпоративный учебный центр ГК «А101»</x:v>
      </x:c>
      <x:c r="D452" s="5" t="str">
        <x:v>main_200</x:v>
      </x:c>
      <x:c r="E452" s="5" t="str">
        <x:v>news</x:v>
      </x:c>
      <x:c r="F452" s="5" t="str">
        <x:v>https://a101.ru/company/media/news/korporativnoe-obuchenie-v-gk-a101-vyjdet-na-novyj-uroven-so-sberuniversitetom/</x:v>
      </x:c>
      <x:c r="G452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52" s="5" t="str">
        <x:v>content_read</x:v>
      </x:c>
      <x:c r="I452" s="5" t="str">
        <x:v>https://a101.ru/company/media/news/korporativnoe-obuchenie-v-gk-a101-vyjdet-na-novyj-uroven-so-sberuniversitetom/</x:v>
      </x:c>
      <x:c r="J452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52" s="5" t="str">
        <x:v>Публичный информационный маршрут; работоспособность автоматического сборщика не проверялась.</x:v>
      </x:c>
      <x:c r="L452" s="5" t="str"/>
    </x:row>
    <x:row r="453" ht="42.75" customHeight="1">
      <x:c r="A453" s="5" t="str">
        <x:v>CU-SRC-0448</x:v>
      </x:c>
      <x:c r="B453" s="5" t="str">
        <x:v>CU-0232</x:v>
      </x:c>
      <x:c r="C453" s="5" t="str">
        <x:v>Корпоративный учебный центр ГК «А101»</x:v>
      </x:c>
      <x:c r="D453" s="5" t="str">
        <x:v>main_200</x:v>
      </x:c>
      <x:c r="E453" s="5" t="str">
        <x:v>partners</x:v>
      </x:c>
      <x:c r="F453" s="5" t="str">
        <x:v>https://sberuniversity.ru/news/SberUniversitet-i-GK-A101-zaklyuchili-soglashenie-o-strategicheskom-partnerstve-v-sfere-obrazovaniya/</x:v>
      </x:c>
      <x:c r="G453" s="5" t="str">
        <x:v>Образовательные партнёры, новые программы и направления внешнего обучения; действующее партнёрство не равно открытой закупке.</x:v>
      </x:c>
      <x:c r="H453" s="5" t="str">
        <x:v>search_index</x:v>
      </x:c>
      <x:c r="I453" s="5" t="str">
        <x:v>https://sberuniversity.ru/news/SberUniversitet-i-GK-A101-zaklyuchili-soglashenie-o-strategicheskom-partnerstve-v-sfere-obrazovaniya/</x:v>
      </x:c>
      <x:c r="J453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53" s="5" t="str">
        <x:v>Публичный маршрут; автоматический сбор не испытан.</x:v>
      </x:c>
      <x:c r="L453" s="5" t="str"/>
    </x:row>
    <x:row r="454" ht="31.5" customHeight="1">
      <x:c r="A454" s="5" t="str">
        <x:v>CU-SRC-0449</x:v>
      </x:c>
      <x:c r="B454" s="5" t="str">
        <x:v>CU-0233</x:v>
      </x:c>
      <x:c r="C454" s="5" t="str">
        <x:v>Учебный центр АО «Мосводоканал»</x:v>
      </x:c>
      <x:c r="D454" s="5" t="str">
        <x:v>main_200</x:v>
      </x:c>
      <x:c r="E454" s="5" t="str">
        <x:v>news</x:v>
      </x:c>
      <x:c r="F454" s="5" t="str">
        <x:v>https://mosvodokanal.ru/press/news/8824</x:v>
      </x:c>
      <x:c r="G454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54" s="5" t="str">
        <x:v>search_index</x:v>
      </x:c>
      <x:c r="I454" s="5" t="str">
        <x:v>https://mosvodokanal.ru/press/news/8824</x:v>
      </x:c>
      <x:c r="J454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54" s="5" t="str">
        <x:v>Публичный информационный маршрут; работоспособность автоматического сборщика не проверялась.</x:v>
      </x:c>
      <x:c r="L454" s="5" t="str"/>
    </x:row>
    <x:row r="455" ht="31.5" customHeight="1">
      <x:c r="A455" s="5" t="str">
        <x:v>CU-SRC-0450</x:v>
      </x:c>
      <x:c r="B455" s="5" t="str">
        <x:v>CU-0233</x:v>
      </x:c>
      <x:c r="C455" s="5" t="str">
        <x:v>Учебный центр АО «Мосводоканал»</x:v>
      </x:c>
      <x:c r="D455" s="5" t="str">
        <x:v>main_200</x:v>
      </x:c>
      <x:c r="E455" s="5" t="str">
        <x:v>news</x:v>
      </x:c>
      <x:c r="F455" s="5" t="str">
        <x:v>https://www.mosvodokanal.ru/press/video/8825</x:v>
      </x:c>
      <x:c r="G455" s="5" t="str">
        <x:v>Учебная инфраструктура и новые направления; перейти к текущей ленте компании.</x:v>
      </x:c>
      <x:c r="H455" s="5" t="str">
        <x:v>search_index</x:v>
      </x:c>
      <x:c r="I455" s="5" t="str">
        <x:v>https://www.mosvodokanal.ru/press/video/8825</x:v>
      </x:c>
      <x:c r="J455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55" s="5" t="str">
        <x:v>Публичный маршрут; автоматический сбор не испытан.</x:v>
      </x:c>
      <x:c r="L455" s="5" t="str"/>
    </x:row>
    <x:row r="456" ht="31.5" customHeight="1">
      <x:c r="A456" s="5" t="str">
        <x:v>CU-SRC-0451</x:v>
      </x:c>
      <x:c r="B456" s="5" t="str">
        <x:v>CU-0234</x:v>
      </x:c>
      <x:c r="C456" s="5" t="str">
        <x:v>Медицинская академия МЕДСИ</x:v>
      </x:c>
      <x:c r="D456" s="5" t="str">
        <x:v>reserve</x:v>
      </x:c>
      <x:c r="E456" s="5" t="str">
        <x:v>university_site</x:v>
      </x:c>
      <x:c r="F456" s="5" t="str">
        <x:v>https://medsi.ru/academy/</x:v>
      </x:c>
      <x:c r="G456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56" s="5" t="str">
        <x:v>content_read</x:v>
      </x:c>
      <x:c r="I456" s="5" t="str">
        <x:v>https://medsi.ru/academy/</x:v>
      </x:c>
      <x:c r="J456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56" s="5" t="str">
        <x:v>Публичный информационный маршрут; работоспособность автоматического сборщика не проверялась.</x:v>
      </x:c>
      <x:c r="L456" s="5" t="str"/>
    </x:row>
    <x:row r="457" ht="31.5" customHeight="1">
      <x:c r="A457" s="5" t="str">
        <x:v>CU-SRC-0452</x:v>
      </x:c>
      <x:c r="B457" s="5" t="str">
        <x:v>CU-0234</x:v>
      </x:c>
      <x:c r="C457" s="5" t="str">
        <x:v>Медицинская академия МЕДСИ</x:v>
      </x:c>
      <x:c r="D457" s="5" t="str">
        <x:v>reserve</x:v>
      </x:c>
      <x:c r="E457" s="5" t="str">
        <x:v>news</x:v>
      </x:c>
      <x:c r="F457" s="5" t="str">
        <x:v>https://medsi.ru/about/medacademy/</x:v>
      </x:c>
      <x:c r="G457" s="5" t="str">
        <x:v>Календарь мероприятий Академии, организаторы, образовательные партнёры и форматы.</x:v>
      </x:c>
      <x:c r="H457" s="5" t="str">
        <x:v>search_index</x:v>
      </x:c>
      <x:c r="I457" s="5" t="str">
        <x:v>https://medsi.ru/about/medacademy/</x:v>
      </x:c>
      <x:c r="J457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57" s="5" t="str">
        <x:v>Публичный маршрут; автоматический сбор не испытан.</x:v>
      </x:c>
      <x:c r="L457" s="5" t="str"/>
    </x:row>
    <x:row r="458" ht="31.5" customHeight="1">
      <x:c r="A458" s="5" t="str">
        <x:v>CU-SRC-0453</x:v>
      </x:c>
      <x:c r="B458" s="5" t="str">
        <x:v>CU-0235</x:v>
      </x:c>
      <x:c r="C458" s="5" t="str">
        <x:v>Корпоративный учебный центр «СМ-Клиника»</x:v>
      </x:c>
      <x:c r="D458" s="5" t="str">
        <x:v>main_200</x:v>
      </x:c>
      <x:c r="E458" s="5" t="str">
        <x:v>university_site</x:v>
      </x:c>
      <x:c r="F458" s="5" t="str">
        <x:v>https://sm.org.ru/preimushchestva/obuchenie</x:v>
      </x:c>
      <x:c r="G458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58" s="5" t="str">
        <x:v>content_read</x:v>
      </x:c>
      <x:c r="I458" s="5" t="str">
        <x:v>https://sm.org.ru/preimushchestva/obuchenie</x:v>
      </x:c>
      <x:c r="J458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58" s="5" t="str">
        <x:v>Публичный информационный маршрут; работоспособность автоматического сборщика не проверялась.</x:v>
      </x:c>
      <x:c r="L458" s="5" t="str"/>
    </x:row>
    <x:row r="459" ht="31.5" customHeight="1">
      <x:c r="A459" s="5" t="str">
        <x:v>CU-SRC-0454</x:v>
      </x:c>
      <x:c r="B459" s="5" t="str">
        <x:v>CU-0235</x:v>
      </x:c>
      <x:c r="C459" s="5" t="str">
        <x:v>Корпоративный учебный центр «СМ-Клиника»</x:v>
      </x:c>
      <x:c r="D459" s="5" t="str">
        <x:v>main_200</x:v>
      </x:c>
      <x:c r="E459" s="5" t="str">
        <x:v>careers</x:v>
      </x:c>
      <x:c r="F459" s="5" t="str">
        <x:v>https://www.smclinic.ru/about/vakansii/vrach-kdl/</x:v>
      </x:c>
      <x:c r="G459" s="5" t="str">
        <x:v>Официальная вакансия подтверждает корпоративный УЦ; использовать кадровые изменения как косвенный сигнал.</x:v>
      </x:c>
      <x:c r="H459" s="5" t="str">
        <x:v>search_index</x:v>
      </x:c>
      <x:c r="I459" s="5" t="str">
        <x:v>https://www.smclinic.ru/about/vakansii/vrach-kdl/</x:v>
      </x:c>
      <x:c r="J459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59" s="5" t="str">
        <x:v>Публичный маршрут; автоматический сбор не испытан.</x:v>
      </x:c>
      <x:c r="L459" s="5" t="str"/>
    </x:row>
    <x:row r="460" ht="31.5" customHeight="1">
      <x:c r="A460" s="5" t="str">
        <x:v>CU-SRC-0455</x:v>
      </x:c>
      <x:c r="B460" s="5" t="str">
        <x:v>CU-0235</x:v>
      </x:c>
      <x:c r="C460" s="5" t="str">
        <x:v>Корпоративный учебный центр «СМ-Клиника»</x:v>
      </x:c>
      <x:c r="D460" s="5" t="str">
        <x:v>main_200</x:v>
      </x:c>
      <x:c r="E460" s="5" t="str">
        <x:v>programs</x:v>
      </x:c>
      <x:c r="F460" s="5" t="str">
        <x:v>https://vp-smspb.ru/</x:v>
      </x:c>
      <x:c r="G460" s="5" t="str">
        <x:v>Публичная часть внутреннего учебного портала СМ-Клиника Северо-Запад; связанный канал, не отдельный КУ без проверки.</x:v>
      </x:c>
      <x:c r="H460" s="5" t="str">
        <x:v>search_index</x:v>
      </x:c>
      <x:c r="I460" s="5" t="str">
        <x:v>https://vp-smspb.ru/</x:v>
      </x:c>
      <x:c r="J460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60" s="5" t="str">
        <x:v>Публичный маршрут; автоматический сбор не испытан.</x:v>
      </x:c>
      <x:c r="L460" s="5" t="str"/>
    </x:row>
    <x:row r="461" ht="31.5" customHeight="1">
      <x:c r="A461" s="5" t="str">
        <x:v>CU-SRC-0456</x:v>
      </x:c>
      <x:c r="B461" s="5" t="str">
        <x:v>CU-0236</x:v>
      </x:c>
      <x:c r="C461" s="5" t="str">
        <x:v>Высшая медицинская школа (учебный центр ИНВИТРО)</x:v>
      </x:c>
      <x:c r="D461" s="5" t="str">
        <x:v>reserve</x:v>
      </x:c>
      <x:c r="E461" s="5" t="str">
        <x:v>university_site</x:v>
      </x:c>
      <x:c r="F461" s="5" t="str">
        <x:v>https://www.invitro.ru/zhukovka/about/news/13171/</x:v>
      </x:c>
      <x:c r="G461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61" s="5" t="str">
        <x:v>search_index</x:v>
      </x:c>
      <x:c r="I461" s="5" t="str">
        <x:v>https://www.invitro.ru/zhukovka/about/news/13171/</x:v>
      </x:c>
      <x:c r="J461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61" s="5" t="str">
        <x:v>Публичный информационный маршрут; работоспособность автоматического сборщика не проверялась.</x:v>
      </x:c>
      <x:c r="L461" s="5" t="str"/>
    </x:row>
    <x:row r="462" ht="31.5" customHeight="1">
      <x:c r="A462" s="5" t="str">
        <x:v>CU-SRC-0457</x:v>
      </x:c>
      <x:c r="B462" s="5" t="str">
        <x:v>CU-0236</x:v>
      </x:c>
      <x:c r="C462" s="5" t="str">
        <x:v>Высшая медицинская школа (учебный центр ИНВИТРО)</x:v>
      </x:c>
      <x:c r="D462" s="5" t="str">
        <x:v>reserve</x:v>
      </x:c>
      <x:c r="E462" s="5" t="str">
        <x:v>partners</x:v>
      </x:c>
      <x:c r="F462" s="5" t="str">
        <x:v>https://www.invitro.by/medical-institutions/centrvmsh.php</x:v>
      </x:c>
      <x:c r="G462" s="5" t="str">
        <x:v>Связанная официальная страница ИНВИТРО о ВМШ; география канала BY не означает отдельный белорусский КУ.</x:v>
      </x:c>
      <x:c r="H462" s="5" t="str">
        <x:v>search_index</x:v>
      </x:c>
      <x:c r="I462" s="5" t="str">
        <x:v>https://www.invitro.by/medical-institutions/centrvmsh.php</x:v>
      </x:c>
      <x:c r="J462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62" s="5" t="str">
        <x:v>Публичный маршрут; автоматический сбор не испытан.</x:v>
      </x:c>
      <x:c r="L462" s="5" t="str"/>
    </x:row>
    <x:row r="463" ht="42.75" customHeight="1">
      <x:c r="A463" s="5" t="str">
        <x:v>CU-SRC-0458</x:v>
      </x:c>
      <x:c r="B463" s="5" t="str">
        <x:v>CU-0237</x:v>
      </x:c>
      <x:c r="C463" s="5" t="str">
        <x:v>Учебный центр Гемотест</x:v>
      </x:c>
      <x:c r="D463" s="5" t="str">
        <x:v>reserve</x:v>
      </x:c>
      <x:c r="E463" s="5" t="str">
        <x:v>university_site</x:v>
      </x:c>
      <x:c r="F463" s="5" t="str">
        <x:v>https://teachbase.gemotest.ru/login/briliant</x:v>
      </x:c>
      <x:c r="G463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63" s="5" t="str">
        <x:v>content_read</x:v>
      </x:c>
      <x:c r="I463" s="5" t="str">
        <x:v>https://teachbase.gemotest.ru/login/briliant</x:v>
      </x:c>
      <x:c r="J463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63" s="5" t="str">
        <x:v>Наблюдается форма входа. Автоматизация закрытого содержания возможна только через предоставленный разрешённый доступ; публичные новости и закупочные маршруты искать отдельно.</x:v>
      </x:c>
      <x:c r="L463" s="5" t="str"/>
    </x:row>
    <x:row r="464" ht="42.75" customHeight="1">
      <x:c r="A464" s="5" t="str">
        <x:v>CU-SRC-0459</x:v>
      </x:c>
      <x:c r="B464" s="5" t="str">
        <x:v>CU-0238</x:v>
      </x:c>
      <x:c r="C464" s="5" t="str">
        <x:v>«Мать и дитя» — Учебный центр</x:v>
      </x:c>
      <x:c r="D464" s="5" t="str">
        <x:v>reserve</x:v>
      </x:c>
      <x:c r="E464" s="5" t="str">
        <x:v>news</x:v>
      </x:c>
      <x:c r="F464" s="5" t="str">
        <x:v>https://www.mcclinics.ru/upload/news_files/%D0%93%D0%BE%D0%B4%D0%BE%D0%B2%D0%BE%D0%B9%20%D0%BE%D1%82%D1%87%D0%B5%D1%82%202025_%D1%84%D0%B8%D0%BD%D0%B0%D0%BB.pdf</x:v>
      </x:c>
      <x:c r="G464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64" s="5" t="str">
        <x:v>search_index</x:v>
      </x:c>
      <x:c r="I464" s="5" t="str">
        <x:v>https://www.mcclinics.ru/upload/news_files/%D0%93%D0%BE%D0%B4%D0%BE%D0%B2%D0%BE%D0%B9%20%D0%BE%D1%82%D1%87%D0%B5%D1%82%202025_%D1%84%D0%B8%D0%BD%D0%B0%D0%BB.pdf</x:v>
      </x:c>
      <x:c r="J464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64" s="5" t="str">
        <x:v>Публичный информационный маршрут; работоспособность автоматического сборщика не проверялась.</x:v>
      </x:c>
      <x:c r="L464" s="5" t="str"/>
    </x:row>
    <x:row r="465" ht="31.5" customHeight="1">
      <x:c r="A465" s="5" t="str">
        <x:v>CU-SRC-0460</x:v>
      </x:c>
      <x:c r="B465" s="5" t="str">
        <x:v>CU-0239</x:v>
      </x:c>
      <x:c r="C465" s="5" t="str">
        <x:v>Учебный центр ПАО «МОЭК»</x:v>
      </x:c>
      <x:c r="D465" s="5" t="str">
        <x:v>main_200</x:v>
      </x:c>
      <x:c r="E465" s="5" t="str">
        <x:v>university_site</x:v>
      </x:c>
      <x:c r="F465" s="5" t="str">
        <x:v>https://www.moek.ru/career/uchebnyj-tsentr/</x:v>
      </x:c>
      <x:c r="G465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65" s="5" t="str">
        <x:v>content_read</x:v>
      </x:c>
      <x:c r="I465" s="5" t="str">
        <x:v>https://www.moek.ru/career/uchebnyj-tsentr/</x:v>
      </x:c>
      <x:c r="J465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65" s="5" t="str">
        <x:v>Публичный информационный маршрут; работоспособность автоматического сборщика не проверялась.</x:v>
      </x:c>
      <x:c r="L465" s="5" t="str"/>
    </x:row>
    <x:row r="466" ht="31.5" customHeight="1">
      <x:c r="A466" s="5" t="str">
        <x:v>CU-SRC-0461</x:v>
      </x:c>
      <x:c r="B466" s="5" t="str">
        <x:v>CU-0239</x:v>
      </x:c>
      <x:c r="C466" s="5" t="str">
        <x:v>Учебный центр ПАО «МОЭК»</x:v>
      </x:c>
      <x:c r="D466" s="5" t="str">
        <x:v>main_200</x:v>
      </x:c>
      <x:c r="E466" s="5" t="str">
        <x:v>contacts</x:v>
      </x:c>
      <x:c r="F466" s="5" t="str">
        <x:v>https://www.moek.ru/career/uchebnyj-tsentr/struktura-i-organy-upravleniya/</x:v>
      </x:c>
      <x:c r="G466" s="5" t="str">
        <x:v>Руководство и учебно-методическая группа; контактный маршрут образовательного партнёрства.</x:v>
      </x:c>
      <x:c r="H466" s="5" t="str">
        <x:v>search_index</x:v>
      </x:c>
      <x:c r="I466" s="5" t="str">
        <x:v>https://www.moek.ru/career/uchebnyj-tsentr/struktura-i-organy-upravleniya/</x:v>
      </x:c>
      <x:c r="J466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66" s="5" t="str">
        <x:v>Публичный маршрут; автоматический сбор не испытан.</x:v>
      </x:c>
      <x:c r="L466" s="5" t="str"/>
    </x:row>
    <x:row r="467" ht="31.5" customHeight="1">
      <x:c r="A467" s="5" t="str">
        <x:v>CU-SRC-0462</x:v>
      </x:c>
      <x:c r="B467" s="5" t="str">
        <x:v>CU-0239</x:v>
      </x:c>
      <x:c r="C467" s="5" t="str">
        <x:v>Учебный центр ПАО «МОЭК»</x:v>
      </x:c>
      <x:c r="D467" s="5" t="str">
        <x:v>main_200</x:v>
      </x:c>
      <x:c r="E467" s="5" t="str">
        <x:v>programs</x:v>
      </x:c>
      <x:c r="F467" s="5" t="str">
        <x:v>https://www.moek.ru/career/uchebnyj-tsentr/dokumenty/</x:v>
      </x:c>
      <x:c r="G467" s="5" t="str">
        <x:v>Изменения образовательных документов и правил обучения; УЦ обучает собственных работников, продажи слушателям не путать с закупками провайдера.</x:v>
      </x:c>
      <x:c r="H467" s="5" t="str">
        <x:v>search_index</x:v>
      </x:c>
      <x:c r="I467" s="5" t="str">
        <x:v>https://www.moek.ru/career/uchebnyj-tsentr/dokumenty/</x:v>
      </x:c>
      <x:c r="J467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67" s="5" t="str">
        <x:v>Публичный маршрут; автоматический сбор не испытан.</x:v>
      </x:c>
      <x:c r="L467" s="5" t="str"/>
    </x:row>
    <x:row r="468" ht="42.75" customHeight="1">
      <x:c r="A468" s="5" t="str">
        <x:v>CU-SRC-0463</x:v>
      </x:c>
      <x:c r="B468" s="5" t="str">
        <x:v>CU-0239</x:v>
      </x:c>
      <x:c r="C468" s="5" t="str">
        <x:v>Учебный центр ПАО «МОЭК»</x:v>
      </x:c>
      <x:c r="D468" s="5" t="str">
        <x:v>main_200</x:v>
      </x:c>
      <x:c r="E468" s="5" t="str">
        <x:v>procurement</x:v>
      </x:c>
      <x:c r="F468" s="5" t="str">
        <x:v>https://tenders.gazprom.ru/</x:v>
      </x:c>
      <x:c r="G468" s="5" t="str">
        <x:v>Обучение и образовательный контент по названию конкретного общества, старым названиям и всем тематическим синонимам; общегрупповой маршрут, наличие закупок именно этого УЦ не установлено.</x:v>
      </x:c>
      <x:c r="H468" s="5" t="str">
        <x:v>search_index</x:v>
      </x:c>
      <x:c r="I468" s="5" t="str">
        <x:v>https://tenders.gazprom.ru/</x:v>
      </x:c>
      <x:c r="J468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K468" s="5" t="str">
        <x:v>Официальный сайт предупреждает об ограниченном раскрытии закупочной информации. Регистрация может требоваться; нулевой результат не означает отсутствия потребности.</x:v>
      </x:c>
      <x:c r="L468" s="5" t="str">
        <x:v>MISB-045</x:v>
      </x:c>
    </x:row>
    <x:row r="469" ht="31.5" customHeight="1">
      <x:c r="A469" s="5" t="str">
        <x:v>CU-SRC-0464</x:v>
      </x:c>
      <x:c r="B469" s="5" t="str">
        <x:v>CU-0240</x:v>
      </x:c>
      <x:c r="C469" s="5" t="str">
        <x:v>Учебный центр МОСГАЗ</x:v>
      </x:c>
      <x:c r="D469" s="5" t="str">
        <x:v>main_200</x:v>
      </x:c>
      <x:c r="E469" s="5" t="str">
        <x:v>university_site</x:v>
      </x:c>
      <x:c r="F469" s="5" t="str">
        <x:v>https://edu.mos-gaz.ru/about/common</x:v>
      </x:c>
      <x:c r="G469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69" s="5" t="str">
        <x:v>content_read</x:v>
      </x:c>
      <x:c r="I469" s="5" t="str">
        <x:v>https://edu.mos-gaz.ru/about/common</x:v>
      </x:c>
      <x:c r="J469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69" s="5" t="str">
        <x:v>Публичный информационный маршрут; работоспособность автоматического сборщика не проверялась.</x:v>
      </x:c>
      <x:c r="L469" s="5" t="str"/>
    </x:row>
    <x:row r="470" ht="31.5" customHeight="1">
      <x:c r="A470" s="5" t="str">
        <x:v>CU-SRC-0465</x:v>
      </x:c>
      <x:c r="B470" s="5" t="str">
        <x:v>CU-0240</x:v>
      </x:c>
      <x:c r="C470" s="5" t="str">
        <x:v>Учебный центр МОСГАЗ</x:v>
      </x:c>
      <x:c r="D470" s="5" t="str">
        <x:v>main_200</x:v>
      </x:c>
      <x:c r="E470" s="5" t="str">
        <x:v>contacts</x:v>
      </x:c>
      <x:c r="F470" s="5" t="str">
        <x:v>https://edu.mos-gaz.ru/about/structure/</x:v>
      </x:c>
      <x:c r="G470" s="5" t="str">
        <x:v>Руководство и преподавательский состав; возможное методическое/преподавательское партнёрство.</x:v>
      </x:c>
      <x:c r="H470" s="5" t="str">
        <x:v>search_index</x:v>
      </x:c>
      <x:c r="I470" s="5" t="str">
        <x:v>https://edu.mos-gaz.ru/about/structure/</x:v>
      </x:c>
      <x:c r="J470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70" s="5" t="str">
        <x:v>Публичный маршрут; автоматический сбор не испытан.</x:v>
      </x:c>
      <x:c r="L470" s="5" t="str"/>
    </x:row>
    <x:row r="471" ht="31.5" customHeight="1">
      <x:c r="A471" s="5" t="str">
        <x:v>CU-SRC-0466</x:v>
      </x:c>
      <x:c r="B471" s="5" t="str">
        <x:v>CU-0240</x:v>
      </x:c>
      <x:c r="C471" s="5" t="str">
        <x:v>Учебный центр МОСГАЗ</x:v>
      </x:c>
      <x:c r="D471" s="5" t="str">
        <x:v>main_200</x:v>
      </x:c>
      <x:c r="E471" s="5" t="str">
        <x:v>programs</x:v>
      </x:c>
      <x:c r="F471" s="5" t="str">
        <x:v>https://edu.mos-gaz.ru/</x:v>
      </x:c>
      <x:c r="G471" s="5" t="str">
        <x:v>Каталог программ и новые форматы обучения руководителей и специалистов.</x:v>
      </x:c>
      <x:c r="H471" s="5" t="str">
        <x:v>search_index</x:v>
      </x:c>
      <x:c r="I471" s="5" t="str">
        <x:v>https://edu.mos-gaz.ru/</x:v>
      </x:c>
      <x:c r="J47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71" s="5" t="str">
        <x:v>Публичный маршрут; автоматический сбор не испытан.</x:v>
      </x:c>
      <x:c r="L471" s="5" t="str"/>
    </x:row>
    <x:row r="472" ht="31.5" customHeight="1">
      <x:c r="A472" s="5" t="str">
        <x:v>CU-SRC-0467</x:v>
      </x:c>
      <x:c r="B472" s="5" t="str">
        <x:v>CU-0241</x:v>
      </x:c>
      <x:c r="C472" s="5" t="str">
        <x:v>Учебный центр «ЛАНЦЕТЪ» при Институте пластической хирургии и косметологии</x:v>
      </x:c>
      <x:c r="D472" s="5" t="str">
        <x:v>reserve</x:v>
      </x:c>
      <x:c r="E472" s="5" t="str">
        <x:v>university_site</x:v>
      </x:c>
      <x:c r="F472" s="5" t="str">
        <x:v>https://edulancet.com/</x:v>
      </x:c>
      <x:c r="G472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72" s="5" t="str">
        <x:v>content_read</x:v>
      </x:c>
      <x:c r="I472" s="5" t="str">
        <x:v>https://edulancet.com/</x:v>
      </x:c>
      <x:c r="J472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72" s="5" t="str">
        <x:v>Публичный информационный маршрут; работоспособность автоматического сборщика не проверялась.</x:v>
      </x:c>
      <x:c r="L472" s="5" t="str"/>
    </x:row>
    <x:row r="473" ht="31.5" customHeight="1">
      <x:c r="A473" s="5" t="str">
        <x:v>CU-SRC-0468</x:v>
      </x:c>
      <x:c r="B473" s="5" t="str">
        <x:v>CU-0242</x:v>
      </x:c>
      <x:c r="C473" s="5" t="str">
        <x:v>Учебный центр лабораторной службы «Хеликс»</x:v>
      </x:c>
      <x:c r="D473" s="5" t="str">
        <x:v>main_200</x:v>
      </x:c>
      <x:c r="E473" s="5" t="str">
        <x:v>news</x:v>
      </x:c>
      <x:c r="F473" s="5" t="str">
        <x:v>https://expertnw.com/obshchestvo/pravila-igry-v-epokhu-hr/</x:v>
      </x:c>
      <x:c r="G473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73" s="5" t="str">
        <x:v>search_index</x:v>
      </x:c>
      <x:c r="I473" s="5" t="str">
        <x:v>https://expertnw.com/obshchestvo/pravila-igry-v-epokhu-hr/</x:v>
      </x:c>
      <x:c r="J473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73" s="5" t="str">
        <x:v>Публичный информационный маршрут; работоспособность автоматического сборщика не проверялась.</x:v>
      </x:c>
      <x:c r="L473" s="5" t="str"/>
    </x:row>
    <x:row r="474" ht="31.5" customHeight="1">
      <x:c r="A474" s="5" t="str">
        <x:v>CU-SRC-0469</x:v>
      </x:c>
      <x:c r="B474" s="5" t="str">
        <x:v>CU-0242</x:v>
      </x:c>
      <x:c r="C474" s="5" t="str">
        <x:v>Учебный центр лабораторной службы «Хеликс»</x:v>
      </x:c>
      <x:c r="D474" s="5" t="str">
        <x:v>main_200</x:v>
      </x:c>
      <x:c r="E474" s="5" t="str">
        <x:v>social</x:v>
      </x:c>
      <x:c r="F474" s="5" t="str">
        <x:v>https://t.me/UCHELIX</x:v>
      </x:c>
      <x:c r="G474" s="5" t="str">
        <x:v>Анонсы вебинаров для сотрудников и партнёров, управление и сервис.</x:v>
      </x:c>
      <x:c r="H474" s="5" t="str">
        <x:v>candidate</x:v>
      </x:c>
      <x:c r="I474" s="5" t="str">
        <x:v>https://t.me/s/lab2doc?before=258</x:v>
      </x:c>
      <x:c r="J474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K474" s="5" t="str">
        <x:v>Целевое превью не прочитано; подтвердить официальный канал до подключения.</x:v>
      </x:c>
      <x:c r="L474" s="5" t="str"/>
    </x:row>
    <x:row r="475" ht="31.5" customHeight="1">
      <x:c r="A475" s="5" t="str">
        <x:v>CU-SRC-0470</x:v>
      </x:c>
      <x:c r="B475" s="5" t="str">
        <x:v>CU-0243</x:v>
      </x:c>
      <x:c r="C475" s="5" t="str">
        <x:v>Академия Группы «Черкизово» — кандидат на подтверждение действующего канала</x:v>
      </x:c>
      <x:c r="D475" s="5" t="str">
        <x:v>reserve</x:v>
      </x:c>
      <x:c r="E475" s="5" t="str">
        <x:v>partners</x:v>
      </x:c>
      <x:c r="F475" s="5" t="str">
        <x:v>https://id.hse.ru/data/2025/06/30/1992802910/%D0%BA%D0%BE%D1%80%D0%BF_%D1%83%D0%BD_2024_%D1%81%D0%B0%D0%B9%D1%82.pdf</x:v>
      </x:c>
      <x:c r="G475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75" s="5" t="str">
        <x:v>candidate</x:v>
      </x:c>
      <x:c r="I475" s="5" t="str">
        <x:v>https://id.hse.ru/data/2025/06/30/1992802910/%D0%BA%D0%BE%D1%80%D0%BF_%D1%83%D0%BD_2024_%D1%81%D0%B0%D0%B9%D1%82.pdf</x:v>
      </x:c>
      <x:c r="J475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75" s="5" t="str">
        <x:v>Публичный информационный маршрут; работоспособность автоматического сборщика не проверялась.</x:v>
      </x:c>
      <x:c r="L475" s="5" t="str"/>
    </x:row>
    <x:row r="476" ht="31.5" customHeight="1">
      <x:c r="A476" s="5" t="str">
        <x:v>CU-SRC-0471</x:v>
      </x:c>
      <x:c r="B476" s="5" t="str">
        <x:v>CU-0244</x:v>
      </x:c>
      <x:c r="C476" s="5" t="str">
        <x:v>Водная академия Водоканала Санкт-Петербурга — исторический след</x:v>
      </x:c>
      <x:c r="D476" s="5" t="str">
        <x:v>reserve</x:v>
      </x:c>
      <x:c r="E476" s="5" t="str">
        <x:v>news</x:v>
      </x:c>
      <x:c r="F476" s="5" t="str">
        <x:v>https://www.gov.spb.ru/gov/otrasl/ingen/news/89137/</x:v>
      </x:c>
      <x:c r="G476" s="5" t="str">
        <x:v>Новые программы и планы обучения, изменения образовательных направлений, партнёры, приглашения внешних преподавателей, потребность в цифровом контенте.</x:v>
      </x:c>
      <x:c r="H476" s="5" t="str">
        <x:v>candidate</x:v>
      </x:c>
      <x:c r="I476" s="5" t="str">
        <x:v>https://www.gov.spb.ru/gov/otrasl/ingen/news/89137/</x:v>
      </x:c>
      <x:c r="J476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K476" s="5" t="str">
        <x:v>Публичный информационный маршрут; работоспособность автоматического сборщика не проверялась.</x:v>
      </x:c>
      <x:c r="L476" s="5" t="str"/>
    </x:row>
    <x:row r="477" ht="42.75" customHeight="1">
      <x:c r="A477" s="5" t="str">
        <x:v>CU-SRC-0472</x:v>
      </x:c>
      <x:c r="B477" s="5" t="str">
        <x:v>CU-0245</x:v>
      </x:c>
      <x:c r="C477" s="5" t="str">
        <x:v>Эн+ Университет</x:v>
      </x:c>
      <x:c r="D477" s="5" t="str">
        <x:v>main_200</x:v>
      </x:c>
      <x:c r="E477" s="5" t="str">
        <x:v>university_site</x:v>
      </x:c>
      <x:c r="F477" s="5" t="str">
        <x:v>https://univer.enplus.ru/about/information/basic-information/</x:v>
      </x:c>
      <x:c r="G477" s="5" t="str">
        <x:v>Новые программы, корпоративные проекты, запросы на экспертов и разработку контента, образовательные документы, контакты и ссылки на дочерние каналы</x:v>
      </x:c>
      <x:c r="H477" s="5" t="str">
        <x:v>content_read</x:v>
      </x:c>
      <x:c r="I477" s="5" t="str">
        <x:v>https://univer.enplus.ru/about/information/basic-information/</x:v>
      </x:c>
      <x:c r="J477" s="5" t="str">
        <x:v>Периодически проверять публичный HTML и ссылки; сохранять исходные страницы и версии PDF перед классификацией. На этапе обнаружения сохранять все релевантные сигналы, даже вероятные дубли.</x:v>
      </x:c>
      <x:c r="K477" s="5" t="str">
        <x:v>Публичная страница прочитана; работа автоматического сборщика и полнота получения отдельно не проверялись.</x:v>
      </x:c>
      <x:c r="L477" s="5" t="str"/>
    </x:row>
    <x:row r="478" ht="42.75" customHeight="1">
      <x:c r="A478" s="5" t="str">
        <x:v>CU-SRC-0473</x:v>
      </x:c>
      <x:c r="B478" s="5" t="str">
        <x:v>CU-0246</x:v>
      </x:c>
      <x:c r="C478" s="5" t="str">
        <x:v>МИТТУ — корпоративный учебный центр ПАО «КАМАЗ»</x:v>
      </x:c>
      <x:c r="D478" s="5" t="str">
        <x:v>main_200</x:v>
      </x:c>
      <x:c r="E478" s="5" t="str">
        <x:v>university_site</x:v>
      </x:c>
      <x:c r="F478" s="5" t="str">
        <x:v>https://www.mittu.ru/</x:v>
      </x:c>
      <x:c r="G478" s="5" t="str">
        <x:v>Новые программы, корпоративные проекты, запросы на экспертов и разработку контента, образовательные документы, контакты и ссылки на дочерние каналы</x:v>
      </x:c>
      <x:c r="H478" s="5" t="str">
        <x:v>content_read</x:v>
      </x:c>
      <x:c r="I478" s="5" t="str">
        <x:v>https://www.mittu.ru/</x:v>
      </x:c>
      <x:c r="J478" s="5" t="str">
        <x:v>Периодически проверять публичный HTML и ссылки; сохранять исходные страницы и версии PDF перед классификацией. На этапе обнаружения сохранять все релевантные сигналы, даже вероятные дубли.</x:v>
      </x:c>
      <x:c r="K478" s="5" t="str">
        <x:v>Публичная страница прочитана; работа автоматического сборщика и полнота получения отдельно не проверялись.</x:v>
      </x:c>
      <x:c r="L478" s="5" t="str"/>
    </x:row>
    <x:row r="479" ht="42.75" customHeight="1">
      <x:c r="A479" s="5" t="str">
        <x:v>CU-SRC-0474</x:v>
      </x:c>
      <x:c r="B479" s="5" t="str">
        <x:v>CU-0247</x:v>
      </x:c>
      <x:c r="C479" s="5" t="str">
        <x:v>Университет Группы «АВТОВАЗ»</x:v>
      </x:c>
      <x:c r="D479" s="5" t="str">
        <x:v>main_200</x:v>
      </x:c>
      <x:c r="E479" s="5" t="str">
        <x:v>university_site</x:v>
      </x:c>
      <x:c r="F479" s="5" t="str">
        <x:v>https://cu-avtovaz.ru/</x:v>
      </x:c>
      <x:c r="G479" s="5" t="str">
        <x:v>Новые программы, корпоративные проекты, запросы на экспертов и разработку контента, образовательные документы, контакты и ссылки на дочерние каналы</x:v>
      </x:c>
      <x:c r="H479" s="5" t="str">
        <x:v>content_read</x:v>
      </x:c>
      <x:c r="I479" s="5" t="str">
        <x:v>https://cu-avtovaz.ru/</x:v>
      </x:c>
      <x:c r="J479" s="5" t="str">
        <x:v>Периодически проверять публичный HTML и ссылки; сохранять исходные страницы и версии PDF перед классификацией. На этапе обнаружения сохранять все релевантные сигналы, даже вероятные дубли.</x:v>
      </x:c>
      <x:c r="K479" s="5" t="str">
        <x:v>Содержание публичной главной прочитано; повторное открытие вернуло 503. Для автоматизации предусмотреть повторные попытки и сохранение последней удачной версии; сборщик не проверялся.</x:v>
      </x:c>
      <x:c r="L479" s="5" t="str"/>
    </x:row>
  </x:sheetData>
  <x:pageMargins left="0.7" right="0.7" top="0.75" bottom="0.75" header="0.3" footer="0.3"/>
  <x:tableParts count="1">
    <x:tablePart xmlns:r="http://schemas.openxmlformats.org/officeDocument/2006/relationships" r:id="R36ead4d462ae46f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5600004196167" hidden="0" customWidth="1"/>
    <x:col min="2" max="2" width="35.560001373291016" hidden="0" customWidth="1"/>
    <x:col min="3" max="3" width="12.779999732971191" hidden="0" customWidth="1"/>
    <x:col min="4" max="4" width="12.779999732971191" hidden="0" customWidth="1"/>
    <x:col min="5" max="5" width="12.779999732971191" hidden="0" customWidth="1"/>
    <x:col min="6" max="6" width="12.779999732971191" hidden="0" customWidth="1"/>
    <x:col min="7" max="7" width="12.779999732971191" hidden="0" customWidth="1"/>
    <x:col min="8" max="8" width="12.779999732971191" hidden="0" customWidth="1"/>
    <x:col min="9" max="9" width="12.779999732971191" hidden="0" customWidth="1"/>
    <x:col min="10" max="10" width="12.779999732971191" hidden="0" customWidth="1"/>
    <x:col min="11" max="11" width="12.779999732971191" hidden="0" customWidth="1"/>
    <x:col min="12" max="12" width="9.4399995803833" hidden="0" customWidth="1"/>
    <x:col min="13" max="13" width="46.6699981689453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1" customHeight="1">
      <x:c r="A2" s="3" t="str">
        <x:v>Недостающие каналы у основных 200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9.5" customHeight="1">
      <x:c r="A3" s="4" t="str">
        <x:v>0 означает «не найдено в этом исследовании». Это число известных маршрутов, а не полнота рынка или работа сборщика.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1.5" customHeight="1">
      <x:c r="A5" s="9" t="str">
        <x:v>КУ ID</x:v>
      </x:c>
      <x:c r="B5" s="9" t="str">
        <x:v>Структура</x:v>
      </x:c>
      <x:c r="C5" s="9" t="str">
        <x:v>Сайт / описание структуры</x:v>
      </x:c>
      <x:c r="D5" s="9" t="str">
        <x:v>Новости</x:v>
      </x:c>
      <x:c r="E5" s="9" t="str">
        <x:v>Программы</x:v>
      </x:c>
      <x:c r="F5" s="9" t="str">
        <x:v>Закупки</x:v>
      </x:c>
      <x:c r="G5" s="9" t="str">
        <x:v>Приглашение экспертам</x:v>
      </x:c>
      <x:c r="H5" s="9" t="str">
        <x:v>Партнерство</x:v>
      </x:c>
      <x:c r="I5" s="9" t="str">
        <x:v>Контакты</x:v>
      </x:c>
      <x:c r="J5" s="9" t="str">
        <x:v>Соцсеть</x:v>
      </x:c>
      <x:c r="K5" s="9" t="str">
        <x:v>Вакансии</x:v>
      </x:c>
      <x:c r="L5" s="9" t="str">
        <x:v>Всего</x:v>
      </x:c>
      <x:c r="M5" s="9" t="str">
        <x:v>Следующий поиск</x:v>
      </x:c>
    </x:row>
    <x:row r="6" ht="31.5" customHeight="1">
      <x:c r="A6" s="5" t="str">
        <x:v>CU-0157</x:v>
      </x:c>
      <x:c r="B6" s="5" t="str">
        <x:v>Международная Бизнес-Академия «Белоруснефть»</x:v>
      </x:c>
      <x:c r="C6" s="5" t="n">
        <x:f>COUNTIFS('Каналы'!$B$6:$B$479,$A6,'Каналы'!$E$6:$E$479,"university_site")</x:f>
        <x:v>1</x:v>
      </x:c>
      <x:c r="D6" s="5" t="n">
        <x:f>COUNTIFS('Каналы'!$B$6:$B$479,$A6,'Каналы'!$E$6:$E$479,"news")</x:f>
        <x:v>0</x:v>
      </x:c>
      <x:c r="E6" s="5" t="n">
        <x:f>COUNTIFS('Каналы'!$B$6:$B$479,$A6,'Каналы'!$E$6:$E$479,"programs")</x:f>
        <x:v>1</x:v>
      </x:c>
      <x:c r="F6" s="5" t="n">
        <x:f>COUNTIFS('Каналы'!$B$6:$B$479,$A6,'Каналы'!$E$6:$E$479,"procurement")</x:f>
        <x:v>0</x:v>
      </x:c>
      <x:c r="G6" s="5" t="n">
        <x:f>COUNTIFS('Каналы'!$B$6:$B$479,$A6,'Каналы'!$E$6:$E$479,"expert_application")</x:f>
        <x:v>0</x:v>
      </x:c>
      <x:c r="H6" s="5" t="n">
        <x:f>COUNTIFS('Каналы'!$B$6:$B$479,$A6,'Каналы'!$E$6:$E$479,"partners")</x:f>
        <x:v>0</x:v>
      </x:c>
      <x:c r="I6" s="5" t="n">
        <x:f>COUNTIFS('Каналы'!$B$6:$B$479,$A6,'Каналы'!$E$6:$E$479,"contacts")</x:f>
        <x:v>0</x:v>
      </x:c>
      <x:c r="J6" s="5" t="n">
        <x:f>COUNTIFS('Каналы'!$B$6:$B$479,$A6,'Каналы'!$E$6:$E$479,"social")</x:f>
        <x:v>0</x:v>
      </x:c>
      <x:c r="K6" s="5" t="n">
        <x:f>COUNTIFS('Каналы'!$B$6:$B$479,$A6,'Каналы'!$E$6:$E$479,"careers")</x:f>
        <x:v>0</x:v>
      </x:c>
      <x:c r="L6" s="5" t="n">
        <x:f>SUM(C6:K6)</x:f>
        <x:v>2</x:v>
      </x:c>
      <x:c r="M6" s="5" t="str">
        <x:v>Искать каналы с нулём; отдельно проверять действующее юрлицо и прием внешних провайдеров.</x:v>
      </x:c>
    </x:row>
    <x:row r="7" ht="31.5" customHeight="1">
      <x:c r="A7" s="5" t="str">
        <x:v>CU-0165</x:v>
      </x:c>
      <x:c r="B7" s="5" t="str">
        <x:v>ГИПК «ГАЗ-ИНСТИТУТ»</x:v>
      </x:c>
      <x:c r="C7" s="5" t="n">
        <x:f>COUNTIFS('Каналы'!$B$6:$B$479,$A7,'Каналы'!$E$6:$E$479,"university_site")</x:f>
        <x:v>1</x:v>
      </x:c>
      <x:c r="D7" s="5" t="n">
        <x:f>COUNTIFS('Каналы'!$B$6:$B$479,$A7,'Каналы'!$E$6:$E$479,"news")</x:f>
        <x:v>0</x:v>
      </x:c>
      <x:c r="E7" s="5" t="n">
        <x:f>COUNTIFS('Каналы'!$B$6:$B$479,$A7,'Каналы'!$E$6:$E$479,"programs")</x:f>
        <x:v>1</x:v>
      </x:c>
      <x:c r="F7" s="5" t="n">
        <x:f>COUNTIFS('Каналы'!$B$6:$B$479,$A7,'Каналы'!$E$6:$E$479,"procurement")</x:f>
        <x:v>0</x:v>
      </x:c>
      <x:c r="G7" s="5" t="n">
        <x:f>COUNTIFS('Каналы'!$B$6:$B$479,$A7,'Каналы'!$E$6:$E$479,"expert_application")</x:f>
        <x:v>0</x:v>
      </x:c>
      <x:c r="H7" s="5" t="n">
        <x:f>COUNTIFS('Каналы'!$B$6:$B$479,$A7,'Каналы'!$E$6:$E$479,"partners")</x:f>
        <x:v>0</x:v>
      </x:c>
      <x:c r="I7" s="5" t="n">
        <x:f>COUNTIFS('Каналы'!$B$6:$B$479,$A7,'Каналы'!$E$6:$E$479,"contacts")</x:f>
        <x:v>0</x:v>
      </x:c>
      <x:c r="J7" s="5" t="n">
        <x:f>COUNTIFS('Каналы'!$B$6:$B$479,$A7,'Каналы'!$E$6:$E$479,"social")</x:f>
        <x:v>0</x:v>
      </x:c>
      <x:c r="K7" s="5" t="n">
        <x:f>COUNTIFS('Каналы'!$B$6:$B$479,$A7,'Каналы'!$E$6:$E$479,"careers")</x:f>
        <x:v>0</x:v>
      </x:c>
      <x:c r="L7" s="5" t="n">
        <x:f>SUM(C7:K7)</x:f>
        <x:v>2</x:v>
      </x:c>
      <x:c r="M7" s="5" t="str">
        <x:v>Искать каналы с нулём; отдельно проверять действующее юрлицо и прием внешних провайдеров.</x:v>
      </x:c>
    </x:row>
    <x:row r="8" ht="31.5" customHeight="1">
      <x:c r="A8" s="5" t="str">
        <x:v>CU-0167</x:v>
      </x:c>
      <x:c r="B8" s="5" t="str">
        <x:v>Институт ИТ и бизнес-администрирования IBA</x:v>
      </x:c>
      <x:c r="C8" s="5" t="n">
        <x:f>COUNTIFS('Каналы'!$B$6:$B$479,$A8,'Каналы'!$E$6:$E$479,"university_site")</x:f>
        <x:v>1</x:v>
      </x:c>
      <x:c r="D8" s="5" t="n">
        <x:f>COUNTIFS('Каналы'!$B$6:$B$479,$A8,'Каналы'!$E$6:$E$479,"news")</x:f>
        <x:v>0</x:v>
      </x:c>
      <x:c r="E8" s="5" t="n">
        <x:f>COUNTIFS('Каналы'!$B$6:$B$479,$A8,'Каналы'!$E$6:$E$479,"programs")</x:f>
        <x:v>2</x:v>
      </x:c>
      <x:c r="F8" s="5" t="n">
        <x:f>COUNTIFS('Каналы'!$B$6:$B$479,$A8,'Каналы'!$E$6:$E$479,"procurement")</x:f>
        <x:v>0</x:v>
      </x:c>
      <x:c r="G8" s="5" t="n">
        <x:f>COUNTIFS('Каналы'!$B$6:$B$479,$A8,'Каналы'!$E$6:$E$479,"expert_application")</x:f>
        <x:v>0</x:v>
      </x:c>
      <x:c r="H8" s="5" t="n">
        <x:f>COUNTIFS('Каналы'!$B$6:$B$479,$A8,'Каналы'!$E$6:$E$479,"partners")</x:f>
        <x:v>0</x:v>
      </x:c>
      <x:c r="I8" s="5" t="n">
        <x:f>COUNTIFS('Каналы'!$B$6:$B$479,$A8,'Каналы'!$E$6:$E$479,"contacts")</x:f>
        <x:v>0</x:v>
      </x:c>
      <x:c r="J8" s="5" t="n">
        <x:f>COUNTIFS('Каналы'!$B$6:$B$479,$A8,'Каналы'!$E$6:$E$479,"social")</x:f>
        <x:v>0</x:v>
      </x:c>
      <x:c r="K8" s="5" t="n">
        <x:f>COUNTIFS('Каналы'!$B$6:$B$479,$A8,'Каналы'!$E$6:$E$479,"careers")</x:f>
        <x:v>0</x:v>
      </x:c>
      <x:c r="L8" s="5" t="n">
        <x:f>SUM(C8:K8)</x:f>
        <x:v>3</x:v>
      </x:c>
      <x:c r="M8" s="5" t="str">
        <x:v>Искать каналы с нулём; отдельно проверять действующее юрлицо и прием внешних провайдеров.</x:v>
      </x:c>
    </x:row>
    <x:row r="9" ht="31.5" customHeight="1">
      <x:c r="A9" s="5" t="str">
        <x:v>CU-0171</x:v>
      </x:c>
      <x:c r="B9" s="5" t="str">
        <x:v>Академия недвижимости А-100</x:v>
      </x:c>
      <x:c r="C9" s="5" t="n">
        <x:f>COUNTIFS('Каналы'!$B$6:$B$479,$A9,'Каналы'!$E$6:$E$479,"university_site")</x:f>
        <x:v>1</x:v>
      </x:c>
      <x:c r="D9" s="5" t="n">
        <x:f>COUNTIFS('Каналы'!$B$6:$B$479,$A9,'Каналы'!$E$6:$E$479,"news")</x:f>
        <x:v>0</x:v>
      </x:c>
      <x:c r="E9" s="5" t="n">
        <x:f>COUNTIFS('Каналы'!$B$6:$B$479,$A9,'Каналы'!$E$6:$E$479,"programs")</x:f>
        <x:v>0</x:v>
      </x:c>
      <x:c r="F9" s="5" t="n">
        <x:f>COUNTIFS('Каналы'!$B$6:$B$479,$A9,'Каналы'!$E$6:$E$479,"procurement")</x:f>
        <x:v>0</x:v>
      </x:c>
      <x:c r="G9" s="5" t="n">
        <x:f>COUNTIFS('Каналы'!$B$6:$B$479,$A9,'Каналы'!$E$6:$E$479,"expert_application")</x:f>
        <x:v>0</x:v>
      </x:c>
      <x:c r="H9" s="5" t="n">
        <x:f>COUNTIFS('Каналы'!$B$6:$B$479,$A9,'Каналы'!$E$6:$E$479,"partners")</x:f>
        <x:v>0</x:v>
      </x:c>
      <x:c r="I9" s="5" t="n">
        <x:f>COUNTIFS('Каналы'!$B$6:$B$479,$A9,'Каналы'!$E$6:$E$479,"contacts")</x:f>
        <x:v>0</x:v>
      </x:c>
      <x:c r="J9" s="5" t="n">
        <x:f>COUNTIFS('Каналы'!$B$6:$B$479,$A9,'Каналы'!$E$6:$E$479,"social")</x:f>
        <x:v>0</x:v>
      </x:c>
      <x:c r="K9" s="5" t="n">
        <x:f>COUNTIFS('Каналы'!$B$6:$B$479,$A9,'Каналы'!$E$6:$E$479,"careers")</x:f>
        <x:v>0</x:v>
      </x:c>
      <x:c r="L9" s="5" t="n">
        <x:f>SUM(C9:K9)</x:f>
        <x:v>1</x:v>
      </x:c>
      <x:c r="M9" s="5" t="str">
        <x:v>Искать каналы с нулём; отдельно проверять действующее юрлицо и прием внешних провайдеров.</x:v>
      </x:c>
    </x:row>
    <x:row r="10" ht="31.5" customHeight="1">
      <x:c r="A10" s="5" t="str">
        <x:v>CU-0175</x:v>
      </x:c>
      <x:c r="B10" s="5" t="str">
        <x:v>Учебный центр Национального банка Республики Беларусь</x:v>
      </x:c>
      <x:c r="C10" s="5" t="n">
        <x:f>COUNTIFS('Каналы'!$B$6:$B$479,$A10,'Каналы'!$E$6:$E$479,"university_site")</x:f>
        <x:v>1</x:v>
      </x:c>
      <x:c r="D10" s="5" t="n">
        <x:f>COUNTIFS('Каналы'!$B$6:$B$479,$A10,'Каналы'!$E$6:$E$479,"news")</x:f>
        <x:v>0</x:v>
      </x:c>
      <x:c r="E10" s="5" t="n">
        <x:f>COUNTIFS('Каналы'!$B$6:$B$479,$A10,'Каналы'!$E$6:$E$479,"programs")</x:f>
        <x:v>0</x:v>
      </x:c>
      <x:c r="F10" s="5" t="n">
        <x:f>COUNTIFS('Каналы'!$B$6:$B$479,$A10,'Каналы'!$E$6:$E$479,"procurement")</x:f>
        <x:v>0</x:v>
      </x:c>
      <x:c r="G10" s="5" t="n">
        <x:f>COUNTIFS('Каналы'!$B$6:$B$479,$A10,'Каналы'!$E$6:$E$479,"expert_application")</x:f>
        <x:v>1</x:v>
      </x:c>
      <x:c r="H10" s="5" t="n">
        <x:f>COUNTIFS('Каналы'!$B$6:$B$479,$A10,'Каналы'!$E$6:$E$479,"partners")</x:f>
        <x:v>0</x:v>
      </x:c>
      <x:c r="I10" s="5" t="n">
        <x:f>COUNTIFS('Каналы'!$B$6:$B$479,$A10,'Каналы'!$E$6:$E$479,"contacts")</x:f>
        <x:v>0</x:v>
      </x:c>
      <x:c r="J10" s="5" t="n">
        <x:f>COUNTIFS('Каналы'!$B$6:$B$479,$A10,'Каналы'!$E$6:$E$479,"social")</x:f>
        <x:v>0</x:v>
      </x:c>
      <x:c r="K10" s="5" t="n">
        <x:f>COUNTIFS('Каналы'!$B$6:$B$479,$A10,'Каналы'!$E$6:$E$479,"careers")</x:f>
        <x:v>0</x:v>
      </x:c>
      <x:c r="L10" s="5" t="n">
        <x:f>SUM(C10:K10)</x:f>
        <x:v>2</x:v>
      </x:c>
      <x:c r="M10" s="5" t="str">
        <x:v>Искать каналы с нулём; отдельно проверять действующее юрлицо и прием внешних провайдеров.</x:v>
      </x:c>
    </x:row>
    <x:row r="11" ht="31.5" customHeight="1">
      <x:c r="A11" s="5" t="str">
        <x:v>CU-0158</x:v>
      </x:c>
      <x:c r="B11" s="5" t="str">
        <x:v>Центр подготовки, повышения квалификации и переподготовки кадров трубопроводного транспорта</x:v>
      </x:c>
      <x:c r="C11" s="5" t="n">
        <x:f>COUNTIFS('Каналы'!$B$6:$B$479,$A11,'Каналы'!$E$6:$E$479,"university_site")</x:f>
        <x:v>1</x:v>
      </x:c>
      <x:c r="D11" s="5" t="n">
        <x:f>COUNTIFS('Каналы'!$B$6:$B$479,$A11,'Каналы'!$E$6:$E$479,"news")</x:f>
        <x:v>0</x:v>
      </x:c>
      <x:c r="E11" s="5" t="n">
        <x:f>COUNTIFS('Каналы'!$B$6:$B$479,$A11,'Каналы'!$E$6:$E$479,"programs")</x:f>
        <x:v>0</x:v>
      </x:c>
      <x:c r="F11" s="5" t="n">
        <x:f>COUNTIFS('Каналы'!$B$6:$B$479,$A11,'Каналы'!$E$6:$E$479,"procurement")</x:f>
        <x:v>0</x:v>
      </x:c>
      <x:c r="G11" s="5" t="n">
        <x:f>COUNTIFS('Каналы'!$B$6:$B$479,$A11,'Каналы'!$E$6:$E$479,"expert_application")</x:f>
        <x:v>0</x:v>
      </x:c>
      <x:c r="H11" s="5" t="n">
        <x:f>COUNTIFS('Каналы'!$B$6:$B$479,$A11,'Каналы'!$E$6:$E$479,"partners")</x:f>
        <x:v>0</x:v>
      </x:c>
      <x:c r="I11" s="5" t="n">
        <x:f>COUNTIFS('Каналы'!$B$6:$B$479,$A11,'Каналы'!$E$6:$E$479,"contacts")</x:f>
        <x:v>0</x:v>
      </x:c>
      <x:c r="J11" s="5" t="n">
        <x:f>COUNTIFS('Каналы'!$B$6:$B$479,$A11,'Каналы'!$E$6:$E$479,"social")</x:f>
        <x:v>0</x:v>
      </x:c>
      <x:c r="K11" s="5" t="n">
        <x:f>COUNTIFS('Каналы'!$B$6:$B$479,$A11,'Каналы'!$E$6:$E$479,"careers")</x:f>
        <x:v>0</x:v>
      </x:c>
      <x:c r="L11" s="5" t="n">
        <x:f>SUM(C11:K11)</x:f>
        <x:v>1</x:v>
      </x:c>
      <x:c r="M11" s="5" t="str">
        <x:v>Искать каналы с нулём; отдельно проверять действующее юрлицо и прием внешних провайдеров.</x:v>
      </x:c>
    </x:row>
    <x:row r="12" ht="31.5" customHeight="1">
      <x:c r="A12" s="5" t="str">
        <x:v>CU-0159</x:v>
      </x:c>
      <x:c r="B12" s="5" t="str">
        <x:v>Учебный центр подготовки персонала «Энергетик»</x:v>
      </x:c>
      <x:c r="C12" s="5" t="n">
        <x:f>COUNTIFS('Каналы'!$B$6:$B$479,$A12,'Каналы'!$E$6:$E$479,"university_site")</x:f>
        <x:v>1</x:v>
      </x:c>
      <x:c r="D12" s="5" t="n">
        <x:f>COUNTIFS('Каналы'!$B$6:$B$479,$A12,'Каналы'!$E$6:$E$479,"news")</x:f>
        <x:v>0</x:v>
      </x:c>
      <x:c r="E12" s="5" t="n">
        <x:f>COUNTIFS('Каналы'!$B$6:$B$479,$A12,'Каналы'!$E$6:$E$479,"programs")</x:f>
        <x:v>0</x:v>
      </x:c>
      <x:c r="F12" s="5" t="n">
        <x:f>COUNTIFS('Каналы'!$B$6:$B$479,$A12,'Каналы'!$E$6:$E$479,"procurement")</x:f>
        <x:v>0</x:v>
      </x:c>
      <x:c r="G12" s="5" t="n">
        <x:f>COUNTIFS('Каналы'!$B$6:$B$479,$A12,'Каналы'!$E$6:$E$479,"expert_application")</x:f>
        <x:v>0</x:v>
      </x:c>
      <x:c r="H12" s="5" t="n">
        <x:f>COUNTIFS('Каналы'!$B$6:$B$479,$A12,'Каналы'!$E$6:$E$479,"partners")</x:f>
        <x:v>0</x:v>
      </x:c>
      <x:c r="I12" s="5" t="n">
        <x:f>COUNTIFS('Каналы'!$B$6:$B$479,$A12,'Каналы'!$E$6:$E$479,"contacts")</x:f>
        <x:v>0</x:v>
      </x:c>
      <x:c r="J12" s="5" t="n">
        <x:f>COUNTIFS('Каналы'!$B$6:$B$479,$A12,'Каналы'!$E$6:$E$479,"social")</x:f>
        <x:v>0</x:v>
      </x:c>
      <x:c r="K12" s="5" t="n">
        <x:f>COUNTIFS('Каналы'!$B$6:$B$479,$A12,'Каналы'!$E$6:$E$479,"careers")</x:f>
        <x:v>0</x:v>
      </x:c>
      <x:c r="L12" s="5" t="n">
        <x:f>SUM(C12:K12)</x:f>
        <x:v>1</x:v>
      </x:c>
      <x:c r="M12" s="5" t="str">
        <x:v>Искать каналы с нулём; отдельно проверять действующее юрлицо и прием внешних провайдеров.</x:v>
      </x:c>
    </x:row>
    <x:row r="13" ht="31.5" customHeight="1">
      <x:c r="A13" s="5" t="str">
        <x:v>CU-0160</x:v>
      </x:c>
      <x:c r="B13" s="5" t="str">
        <x:v>Филиал «Учебный центр» РУП «Гродноэнерго»</x:v>
      </x:c>
      <x:c r="C13" s="5" t="n">
        <x:f>COUNTIFS('Каналы'!$B$6:$B$479,$A13,'Каналы'!$E$6:$E$479,"university_site")</x:f>
        <x:v>1</x:v>
      </x:c>
      <x:c r="D13" s="5" t="n">
        <x:f>COUNTIFS('Каналы'!$B$6:$B$479,$A13,'Каналы'!$E$6:$E$479,"news")</x:f>
        <x:v>0</x:v>
      </x:c>
      <x:c r="E13" s="5" t="n">
        <x:f>COUNTIFS('Каналы'!$B$6:$B$479,$A13,'Каналы'!$E$6:$E$479,"programs")</x:f>
        <x:v>0</x:v>
      </x:c>
      <x:c r="F13" s="5" t="n">
        <x:f>COUNTIFS('Каналы'!$B$6:$B$479,$A13,'Каналы'!$E$6:$E$479,"procurement")</x:f>
        <x:v>0</x:v>
      </x:c>
      <x:c r="G13" s="5" t="n">
        <x:f>COUNTIFS('Каналы'!$B$6:$B$479,$A13,'Каналы'!$E$6:$E$479,"expert_application")</x:f>
        <x:v>0</x:v>
      </x:c>
      <x:c r="H13" s="5" t="n">
        <x:f>COUNTIFS('Каналы'!$B$6:$B$479,$A13,'Каналы'!$E$6:$E$479,"partners")</x:f>
        <x:v>0</x:v>
      </x:c>
      <x:c r="I13" s="5" t="n">
        <x:f>COUNTIFS('Каналы'!$B$6:$B$479,$A13,'Каналы'!$E$6:$E$479,"contacts")</x:f>
        <x:v>0</x:v>
      </x:c>
      <x:c r="J13" s="5" t="n">
        <x:f>COUNTIFS('Каналы'!$B$6:$B$479,$A13,'Каналы'!$E$6:$E$479,"social")</x:f>
        <x:v>1</x:v>
      </x:c>
      <x:c r="K13" s="5" t="n">
        <x:f>COUNTIFS('Каналы'!$B$6:$B$479,$A13,'Каналы'!$E$6:$E$479,"careers")</x:f>
        <x:v>0</x:v>
      </x:c>
      <x:c r="L13" s="5" t="n">
        <x:f>SUM(C13:K13)</x:f>
        <x:v>2</x:v>
      </x:c>
      <x:c r="M13" s="5" t="str">
        <x:v>Искать каналы с нулём; отдельно проверять действующее юрлицо и прием внешних провайдеров.</x:v>
      </x:c>
    </x:row>
    <x:row r="14" ht="31.5" customHeight="1">
      <x:c r="A14" s="5" t="str">
        <x:v>CU-0161</x:v>
      </x:c>
      <x:c r="B14" s="5" t="str">
        <x:v>Филиал «Учебный центр» РУП «Гомельэнерго»</x:v>
      </x:c>
      <x:c r="C14" s="5" t="n">
        <x:f>COUNTIFS('Каналы'!$B$6:$B$479,$A14,'Каналы'!$E$6:$E$479,"university_site")</x:f>
        <x:v>1</x:v>
      </x:c>
      <x:c r="D14" s="5" t="n">
        <x:f>COUNTIFS('Каналы'!$B$6:$B$479,$A14,'Каналы'!$E$6:$E$479,"news")</x:f>
        <x:v>0</x:v>
      </x:c>
      <x:c r="E14" s="5" t="n">
        <x:f>COUNTIFS('Каналы'!$B$6:$B$479,$A14,'Каналы'!$E$6:$E$479,"programs")</x:f>
        <x:v>0</x:v>
      </x:c>
      <x:c r="F14" s="5" t="n">
        <x:f>COUNTIFS('Каналы'!$B$6:$B$479,$A14,'Каналы'!$E$6:$E$479,"procurement")</x:f>
        <x:v>0</x:v>
      </x:c>
      <x:c r="G14" s="5" t="n">
        <x:f>COUNTIFS('Каналы'!$B$6:$B$479,$A14,'Каналы'!$E$6:$E$479,"expert_application")</x:f>
        <x:v>0</x:v>
      </x:c>
      <x:c r="H14" s="5" t="n">
        <x:f>COUNTIFS('Каналы'!$B$6:$B$479,$A14,'Каналы'!$E$6:$E$479,"partners")</x:f>
        <x:v>0</x:v>
      </x:c>
      <x:c r="I14" s="5" t="n">
        <x:f>COUNTIFS('Каналы'!$B$6:$B$479,$A14,'Каналы'!$E$6:$E$479,"contacts")</x:f>
        <x:v>0</x:v>
      </x:c>
      <x:c r="J14" s="5" t="n">
        <x:f>COUNTIFS('Каналы'!$B$6:$B$479,$A14,'Каналы'!$E$6:$E$479,"social")</x:f>
        <x:v>1</x:v>
      </x:c>
      <x:c r="K14" s="5" t="n">
        <x:f>COUNTIFS('Каналы'!$B$6:$B$479,$A14,'Каналы'!$E$6:$E$479,"careers")</x:f>
        <x:v>0</x:v>
      </x:c>
      <x:c r="L14" s="5" t="n">
        <x:f>SUM(C14:K14)</x:f>
        <x:v>2</x:v>
      </x:c>
      <x:c r="M14" s="5" t="str">
        <x:v>Искать каналы с нулём; отдельно проверять действующее юрлицо и прием внешних провайдеров.</x:v>
      </x:c>
    </x:row>
    <x:row r="15" ht="31.5" customHeight="1">
      <x:c r="A15" s="5" t="str">
        <x:v>CU-0162</x:v>
      </x:c>
      <x:c r="B15" s="5" t="str">
        <x:v>Филиал «Учебный центр» РУП «Витебскэнерго»</x:v>
      </x:c>
      <x:c r="C15" s="5" t="n">
        <x:f>COUNTIFS('Каналы'!$B$6:$B$479,$A15,'Каналы'!$E$6:$E$479,"university_site")</x:f>
        <x:v>1</x:v>
      </x:c>
      <x:c r="D15" s="5" t="n">
        <x:f>COUNTIFS('Каналы'!$B$6:$B$479,$A15,'Каналы'!$E$6:$E$479,"news")</x:f>
        <x:v>0</x:v>
      </x:c>
      <x:c r="E15" s="5" t="n">
        <x:f>COUNTIFS('Каналы'!$B$6:$B$479,$A15,'Каналы'!$E$6:$E$479,"programs")</x:f>
        <x:v>0</x:v>
      </x:c>
      <x:c r="F15" s="5" t="n">
        <x:f>COUNTIFS('Каналы'!$B$6:$B$479,$A15,'Каналы'!$E$6:$E$479,"procurement")</x:f>
        <x:v>1</x:v>
      </x:c>
      <x:c r="G15" s="5" t="n">
        <x:f>COUNTIFS('Каналы'!$B$6:$B$479,$A15,'Каналы'!$E$6:$E$479,"expert_application")</x:f>
        <x:v>0</x:v>
      </x:c>
      <x:c r="H15" s="5" t="n">
        <x:f>COUNTIFS('Каналы'!$B$6:$B$479,$A15,'Каналы'!$E$6:$E$479,"partners")</x:f>
        <x:v>0</x:v>
      </x:c>
      <x:c r="I15" s="5" t="n">
        <x:f>COUNTIFS('Каналы'!$B$6:$B$479,$A15,'Каналы'!$E$6:$E$479,"contacts")</x:f>
        <x:v>0</x:v>
      </x:c>
      <x:c r="J15" s="5" t="n">
        <x:f>COUNTIFS('Каналы'!$B$6:$B$479,$A15,'Каналы'!$E$6:$E$479,"social")</x:f>
        <x:v>0</x:v>
      </x:c>
      <x:c r="K15" s="5" t="n">
        <x:f>COUNTIFS('Каналы'!$B$6:$B$479,$A15,'Каналы'!$E$6:$E$479,"careers")</x:f>
        <x:v>0</x:v>
      </x:c>
      <x:c r="L15" s="5" t="n">
        <x:f>SUM(C15:K15)</x:f>
        <x:v>2</x:v>
      </x:c>
      <x:c r="M15" s="5" t="str">
        <x:v>Искать каналы с нулём; отдельно проверять действующее юрлицо и прием внешних провайдеров.</x:v>
      </x:c>
    </x:row>
    <x:row r="16" ht="31.5" customHeight="1">
      <x:c r="A16" s="5" t="str">
        <x:v>CU-0164</x:v>
      </x:c>
      <x:c r="B16" s="5" t="str">
        <x:v>Учебный центр РУП «Минскэнерго»</x:v>
      </x:c>
      <x:c r="C16" s="5" t="n">
        <x:f>COUNTIFS('Каналы'!$B$6:$B$479,$A16,'Каналы'!$E$6:$E$479,"university_site")</x:f>
        <x:v>1</x:v>
      </x:c>
      <x:c r="D16" s="5" t="n">
        <x:f>COUNTIFS('Каналы'!$B$6:$B$479,$A16,'Каналы'!$E$6:$E$479,"news")</x:f>
        <x:v>0</x:v>
      </x:c>
      <x:c r="E16" s="5" t="n">
        <x:f>COUNTIFS('Каналы'!$B$6:$B$479,$A16,'Каналы'!$E$6:$E$479,"programs")</x:f>
        <x:v>0</x:v>
      </x:c>
      <x:c r="F16" s="5" t="n">
        <x:f>COUNTIFS('Каналы'!$B$6:$B$479,$A16,'Каналы'!$E$6:$E$479,"procurement")</x:f>
        <x:v>1</x:v>
      </x:c>
      <x:c r="G16" s="5" t="n">
        <x:f>COUNTIFS('Каналы'!$B$6:$B$479,$A16,'Каналы'!$E$6:$E$479,"expert_application")</x:f>
        <x:v>0</x:v>
      </x:c>
      <x:c r="H16" s="5" t="n">
        <x:f>COUNTIFS('Каналы'!$B$6:$B$479,$A16,'Каналы'!$E$6:$E$479,"partners")</x:f>
        <x:v>0</x:v>
      </x:c>
      <x:c r="I16" s="5" t="n">
        <x:f>COUNTIFS('Каналы'!$B$6:$B$479,$A16,'Каналы'!$E$6:$E$479,"contacts")</x:f>
        <x:v>0</x:v>
      </x:c>
      <x:c r="J16" s="5" t="n">
        <x:f>COUNTIFS('Каналы'!$B$6:$B$479,$A16,'Каналы'!$E$6:$E$479,"social")</x:f>
        <x:v>0</x:v>
      </x:c>
      <x:c r="K16" s="5" t="n">
        <x:f>COUNTIFS('Каналы'!$B$6:$B$479,$A16,'Каналы'!$E$6:$E$479,"careers")</x:f>
        <x:v>0</x:v>
      </x:c>
      <x:c r="L16" s="5" t="n">
        <x:f>SUM(C16:K16)</x:f>
        <x:v>2</x:v>
      </x:c>
      <x:c r="M16" s="5" t="str">
        <x:v>Искать каналы с нулём; отдельно проверять действующее юрлицо и прием внешних провайдеров.</x:v>
      </x:c>
    </x:row>
    <x:row r="17" ht="31.5" customHeight="1">
      <x:c r="A17" s="5" t="str">
        <x:v>CU-0166</x:v>
      </x:c>
      <x:c r="B17" s="5" t="str">
        <x:v>Дорожный центр по подготовке, переподготовке и повышению квалификации кадров</x:v>
      </x:c>
      <x:c r="C17" s="5" t="n">
        <x:f>COUNTIFS('Каналы'!$B$6:$B$479,$A17,'Каналы'!$E$6:$E$479,"university_site")</x:f>
        <x:v>2</x:v>
      </x:c>
      <x:c r="D17" s="5" t="n">
        <x:f>COUNTIFS('Каналы'!$B$6:$B$479,$A17,'Каналы'!$E$6:$E$479,"news")</x:f>
        <x:v>0</x:v>
      </x:c>
      <x:c r="E17" s="5" t="n">
        <x:f>COUNTIFS('Каналы'!$B$6:$B$479,$A17,'Каналы'!$E$6:$E$479,"programs")</x:f>
        <x:v>0</x:v>
      </x:c>
      <x:c r="F17" s="5" t="n">
        <x:f>COUNTIFS('Каналы'!$B$6:$B$479,$A17,'Каналы'!$E$6:$E$479,"procurement")</x:f>
        <x:v>0</x:v>
      </x:c>
      <x:c r="G17" s="5" t="n">
        <x:f>COUNTIFS('Каналы'!$B$6:$B$479,$A17,'Каналы'!$E$6:$E$479,"expert_application")</x:f>
        <x:v>0</x:v>
      </x:c>
      <x:c r="H17" s="5" t="n">
        <x:f>COUNTIFS('Каналы'!$B$6:$B$479,$A17,'Каналы'!$E$6:$E$479,"partners")</x:f>
        <x:v>0</x:v>
      </x:c>
      <x:c r="I17" s="5" t="n">
        <x:f>COUNTIFS('Каналы'!$B$6:$B$479,$A17,'Каналы'!$E$6:$E$479,"contacts")</x:f>
        <x:v>0</x:v>
      </x:c>
      <x:c r="J17" s="5" t="n">
        <x:f>COUNTIFS('Каналы'!$B$6:$B$479,$A17,'Каналы'!$E$6:$E$479,"social")</x:f>
        <x:v>0</x:v>
      </x:c>
      <x:c r="K17" s="5" t="n">
        <x:f>COUNTIFS('Каналы'!$B$6:$B$479,$A17,'Каналы'!$E$6:$E$479,"careers")</x:f>
        <x:v>0</x:v>
      </x:c>
      <x:c r="L17" s="5" t="n">
        <x:f>SUM(C17:K17)</x:f>
        <x:v>2</x:v>
      </x:c>
      <x:c r="M17" s="5" t="str">
        <x:v>Искать каналы с нулём; отдельно проверять действующее юрлицо и прием внешних провайдеров.</x:v>
      </x:c>
    </x:row>
    <x:row r="18" ht="31.5" customHeight="1">
      <x:c r="A18" s="5" t="str">
        <x:v>CU-0169</x:v>
      </x:c>
      <x:c r="B18" s="5" t="str">
        <x:v>Корпоративный Тренинг-центр ISsoft</x:v>
      </x:c>
      <x:c r="C18" s="5" t="n">
        <x:f>COUNTIFS('Каналы'!$B$6:$B$479,$A18,'Каналы'!$E$6:$E$479,"university_site")</x:f>
        <x:v>1</x:v>
      </x:c>
      <x:c r="D18" s="5" t="n">
        <x:f>COUNTIFS('Каналы'!$B$6:$B$479,$A18,'Каналы'!$E$6:$E$479,"news")</x:f>
        <x:v>0</x:v>
      </x:c>
      <x:c r="E18" s="5" t="n">
        <x:f>COUNTIFS('Каналы'!$B$6:$B$479,$A18,'Каналы'!$E$6:$E$479,"programs")</x:f>
        <x:v>1</x:v>
      </x:c>
      <x:c r="F18" s="5" t="n">
        <x:f>COUNTIFS('Каналы'!$B$6:$B$479,$A18,'Каналы'!$E$6:$E$479,"procurement")</x:f>
        <x:v>0</x:v>
      </x:c>
      <x:c r="G18" s="5" t="n">
        <x:f>COUNTIFS('Каналы'!$B$6:$B$479,$A18,'Каналы'!$E$6:$E$479,"expert_application")</x:f>
        <x:v>0</x:v>
      </x:c>
      <x:c r="H18" s="5" t="n">
        <x:f>COUNTIFS('Каналы'!$B$6:$B$479,$A18,'Каналы'!$E$6:$E$479,"partners")</x:f>
        <x:v>0</x:v>
      </x:c>
      <x:c r="I18" s="5" t="n">
        <x:f>COUNTIFS('Каналы'!$B$6:$B$479,$A18,'Каналы'!$E$6:$E$479,"contacts")</x:f>
        <x:v>0</x:v>
      </x:c>
      <x:c r="J18" s="5" t="n">
        <x:f>COUNTIFS('Каналы'!$B$6:$B$479,$A18,'Каналы'!$E$6:$E$479,"social")</x:f>
        <x:v>0</x:v>
      </x:c>
      <x:c r="K18" s="5" t="n">
        <x:f>COUNTIFS('Каналы'!$B$6:$B$479,$A18,'Каналы'!$E$6:$E$479,"careers")</x:f>
        <x:v>0</x:v>
      </x:c>
      <x:c r="L18" s="5" t="n">
        <x:f>SUM(C18:K18)</x:f>
        <x:v>2</x:v>
      </x:c>
      <x:c r="M18" s="5" t="str">
        <x:v>Искать каналы с нулём; отдельно проверять действующее юрлицо и прием внешних провайдеров.</x:v>
      </x:c>
    </x:row>
    <x:row r="19" ht="31.5" customHeight="1">
      <x:c r="A19" s="5" t="str">
        <x:v>CU-0170</x:v>
      </x:c>
      <x:c r="B19" s="5" t="str">
        <x:v>Корпоративный университет «АЛЮТЕХ»</x:v>
      </x:c>
      <x:c r="C19" s="5" t="n">
        <x:f>COUNTIFS('Каналы'!$B$6:$B$479,$A19,'Каналы'!$E$6:$E$479,"university_site")</x:f>
        <x:v>1</x:v>
      </x:c>
      <x:c r="D19" s="5" t="n">
        <x:f>COUNTIFS('Каналы'!$B$6:$B$479,$A19,'Каналы'!$E$6:$E$479,"news")</x:f>
        <x:v>0</x:v>
      </x:c>
      <x:c r="E19" s="5" t="n">
        <x:f>COUNTIFS('Каналы'!$B$6:$B$479,$A19,'Каналы'!$E$6:$E$479,"programs")</x:f>
        <x:v>1</x:v>
      </x:c>
      <x:c r="F19" s="5" t="n">
        <x:f>COUNTIFS('Каналы'!$B$6:$B$479,$A19,'Каналы'!$E$6:$E$479,"procurement")</x:f>
        <x:v>0</x:v>
      </x:c>
      <x:c r="G19" s="5" t="n">
        <x:f>COUNTIFS('Каналы'!$B$6:$B$479,$A19,'Каналы'!$E$6:$E$479,"expert_application")</x:f>
        <x:v>0</x:v>
      </x:c>
      <x:c r="H19" s="5" t="n">
        <x:f>COUNTIFS('Каналы'!$B$6:$B$479,$A19,'Каналы'!$E$6:$E$479,"partners")</x:f>
        <x:v>0</x:v>
      </x:c>
      <x:c r="I19" s="5" t="n">
        <x:f>COUNTIFS('Каналы'!$B$6:$B$479,$A19,'Каналы'!$E$6:$E$479,"contacts")</x:f>
        <x:v>0</x:v>
      </x:c>
      <x:c r="J19" s="5" t="n">
        <x:f>COUNTIFS('Каналы'!$B$6:$B$479,$A19,'Каналы'!$E$6:$E$479,"social")</x:f>
        <x:v>0</x:v>
      </x:c>
      <x:c r="K19" s="5" t="n">
        <x:f>COUNTIFS('Каналы'!$B$6:$B$479,$A19,'Каналы'!$E$6:$E$479,"careers")</x:f>
        <x:v>0</x:v>
      </x:c>
      <x:c r="L19" s="5" t="n">
        <x:f>SUM(C19:K19)</x:f>
        <x:v>2</x:v>
      </x:c>
      <x:c r="M19" s="5" t="str">
        <x:v>Искать каналы с нулём; отдельно проверять действующее юрлицо и прием внешних провайдеров.</x:v>
      </x:c>
    </x:row>
    <x:row r="20" ht="31.5" customHeight="1">
      <x:c r="A20" s="5" t="str">
        <x:v>CU-0174</x:v>
      </x:c>
      <x:c r="B20" s="5" t="str">
        <x:v>Учебный центр по подготовке и повышению квалификации кадров БМЗ</x:v>
      </x:c>
      <x:c r="C20" s="5" t="n">
        <x:f>COUNTIFS('Каналы'!$B$6:$B$479,$A20,'Каналы'!$E$6:$E$479,"university_site")</x:f>
        <x:v>1</x:v>
      </x:c>
      <x:c r="D20" s="5" t="n">
        <x:f>COUNTIFS('Каналы'!$B$6:$B$479,$A20,'Каналы'!$E$6:$E$479,"news")</x:f>
        <x:v>1</x:v>
      </x:c>
      <x:c r="E20" s="5" t="n">
        <x:f>COUNTIFS('Каналы'!$B$6:$B$479,$A20,'Каналы'!$E$6:$E$479,"programs")</x:f>
        <x:v>0</x:v>
      </x:c>
      <x:c r="F20" s="5" t="n">
        <x:f>COUNTIFS('Каналы'!$B$6:$B$479,$A20,'Каналы'!$E$6:$E$479,"procurement")</x:f>
        <x:v>0</x:v>
      </x:c>
      <x:c r="G20" s="5" t="n">
        <x:f>COUNTIFS('Каналы'!$B$6:$B$479,$A20,'Каналы'!$E$6:$E$479,"expert_application")</x:f>
        <x:v>0</x:v>
      </x:c>
      <x:c r="H20" s="5" t="n">
        <x:f>COUNTIFS('Каналы'!$B$6:$B$479,$A20,'Каналы'!$E$6:$E$479,"partners")</x:f>
        <x:v>0</x:v>
      </x:c>
      <x:c r="I20" s="5" t="n">
        <x:f>COUNTIFS('Каналы'!$B$6:$B$479,$A20,'Каналы'!$E$6:$E$479,"contacts")</x:f>
        <x:v>0</x:v>
      </x:c>
      <x:c r="J20" s="5" t="n">
        <x:f>COUNTIFS('Каналы'!$B$6:$B$479,$A20,'Каналы'!$E$6:$E$479,"social")</x:f>
        <x:v>0</x:v>
      </x:c>
      <x:c r="K20" s="5" t="n">
        <x:f>COUNTIFS('Каналы'!$B$6:$B$479,$A20,'Каналы'!$E$6:$E$479,"careers")</x:f>
        <x:v>0</x:v>
      </x:c>
      <x:c r="L20" s="5" t="n">
        <x:f>SUM(C20:K20)</x:f>
        <x:v>2</x:v>
      </x:c>
      <x:c r="M20" s="5" t="str">
        <x:v>Искать каналы с нулём; отдельно проверять действующее юрлицо и прием внешних провайдеров.</x:v>
      </x:c>
    </x:row>
    <x:row r="21" ht="31.5" customHeight="1">
      <x:c r="A21" s="5" t="str">
        <x:v>CU-0177</x:v>
      </x:c>
      <x:c r="B21" s="5" t="str">
        <x:v>Учреждение образования «УЦ БелТЮФ»</x:v>
      </x:c>
      <x:c r="C21" s="5" t="n">
        <x:f>COUNTIFS('Каналы'!$B$6:$B$479,$A21,'Каналы'!$E$6:$E$479,"university_site")</x:f>
        <x:v>1</x:v>
      </x:c>
      <x:c r="D21" s="5" t="n">
        <x:f>COUNTIFS('Каналы'!$B$6:$B$479,$A21,'Каналы'!$E$6:$E$479,"news")</x:f>
        <x:v>0</x:v>
      </x:c>
      <x:c r="E21" s="5" t="n">
        <x:f>COUNTIFS('Каналы'!$B$6:$B$479,$A21,'Каналы'!$E$6:$E$479,"programs")</x:f>
        <x:v>1</x:v>
      </x:c>
      <x:c r="F21" s="5" t="n">
        <x:f>COUNTIFS('Каналы'!$B$6:$B$479,$A21,'Каналы'!$E$6:$E$479,"procurement")</x:f>
        <x:v>0</x:v>
      </x:c>
      <x:c r="G21" s="5" t="n">
        <x:f>COUNTIFS('Каналы'!$B$6:$B$479,$A21,'Каналы'!$E$6:$E$479,"expert_application")</x:f>
        <x:v>0</x:v>
      </x:c>
      <x:c r="H21" s="5" t="n">
        <x:f>COUNTIFS('Каналы'!$B$6:$B$479,$A21,'Каналы'!$E$6:$E$479,"partners")</x:f>
        <x:v>0</x:v>
      </x:c>
      <x:c r="I21" s="5" t="n">
        <x:f>COUNTIFS('Каналы'!$B$6:$B$479,$A21,'Каналы'!$E$6:$E$479,"contacts")</x:f>
        <x:v>0</x:v>
      </x:c>
      <x:c r="J21" s="5" t="n">
        <x:f>COUNTIFS('Каналы'!$B$6:$B$479,$A21,'Каналы'!$E$6:$E$479,"social")</x:f>
        <x:v>0</x:v>
      </x:c>
      <x:c r="K21" s="5" t="n">
        <x:f>COUNTIFS('Каналы'!$B$6:$B$479,$A21,'Каналы'!$E$6:$E$479,"careers")</x:f>
        <x:v>1</x:v>
      </x:c>
      <x:c r="L21" s="5" t="n">
        <x:f>SUM(C21:K21)</x:f>
        <x:v>3</x:v>
      </x:c>
      <x:c r="M21" s="5" t="str">
        <x:v>Искать каналы с нулём; отдельно проверять действующее юрлицо и прием внешних провайдеров.</x:v>
      </x:c>
    </x:row>
    <x:row r="22" ht="31.5" customHeight="1">
      <x:c r="A22" s="5" t="str">
        <x:v>CU-0178</x:v>
      </x:c>
      <x:c r="B22" s="5" t="str">
        <x:v>Учебный центр авиационной безопасности ИКАО Национального аэропорта Минск</x:v>
      </x:c>
      <x:c r="C22" s="5" t="n">
        <x:f>COUNTIFS('Каналы'!$B$6:$B$479,$A22,'Каналы'!$E$6:$E$479,"university_site")</x:f>
        <x:v>1</x:v>
      </x:c>
      <x:c r="D22" s="5" t="n">
        <x:f>COUNTIFS('Каналы'!$B$6:$B$479,$A22,'Каналы'!$E$6:$E$479,"news")</x:f>
        <x:v>0</x:v>
      </x:c>
      <x:c r="E22" s="5" t="n">
        <x:f>COUNTIFS('Каналы'!$B$6:$B$479,$A22,'Каналы'!$E$6:$E$479,"programs")</x:f>
        <x:v>1</x:v>
      </x:c>
      <x:c r="F22" s="5" t="n">
        <x:f>COUNTIFS('Каналы'!$B$6:$B$479,$A22,'Каналы'!$E$6:$E$479,"procurement")</x:f>
        <x:v>0</x:v>
      </x:c>
      <x:c r="G22" s="5" t="n">
        <x:f>COUNTIFS('Каналы'!$B$6:$B$479,$A22,'Каналы'!$E$6:$E$479,"expert_application")</x:f>
        <x:v>0</x:v>
      </x:c>
      <x:c r="H22" s="5" t="n">
        <x:f>COUNTIFS('Каналы'!$B$6:$B$479,$A22,'Каналы'!$E$6:$E$479,"partners")</x:f>
        <x:v>0</x:v>
      </x:c>
      <x:c r="I22" s="5" t="n">
        <x:f>COUNTIFS('Каналы'!$B$6:$B$479,$A22,'Каналы'!$E$6:$E$479,"contacts")</x:f>
        <x:v>1</x:v>
      </x:c>
      <x:c r="J22" s="5" t="n">
        <x:f>COUNTIFS('Каналы'!$B$6:$B$479,$A22,'Каналы'!$E$6:$E$479,"social")</x:f>
        <x:v>0</x:v>
      </x:c>
      <x:c r="K22" s="5" t="n">
        <x:f>COUNTIFS('Каналы'!$B$6:$B$479,$A22,'Каналы'!$E$6:$E$479,"careers")</x:f>
        <x:v>0</x:v>
      </x:c>
      <x:c r="L22" s="5" t="n">
        <x:f>SUM(C22:K22)</x:f>
        <x:v>3</x:v>
      </x:c>
      <x:c r="M22" s="5" t="str">
        <x:v>Искать каналы с нулём; отдельно проверять действующее юрлицо и прием внешних провайдеров.</x:v>
      </x:c>
    </x:row>
    <x:row r="23" ht="31.5" customHeight="1">
      <x:c r="A23" s="5" t="str">
        <x:v>CU-0179</x:v>
      </x:c>
      <x:c r="B23" s="5" t="str">
        <x:v>Учебно-тренировочный центр Белорусской АЭС</x:v>
      </x:c>
      <x:c r="C23" s="5" t="n">
        <x:f>COUNTIFS('Каналы'!$B$6:$B$479,$A23,'Каналы'!$E$6:$E$479,"university_site")</x:f>
        <x:v>1</x:v>
      </x:c>
      <x:c r="D23" s="5" t="n">
        <x:f>COUNTIFS('Каналы'!$B$6:$B$479,$A23,'Каналы'!$E$6:$E$479,"news")</x:f>
        <x:v>0</x:v>
      </x:c>
      <x:c r="E23" s="5" t="n">
        <x:f>COUNTIFS('Каналы'!$B$6:$B$479,$A23,'Каналы'!$E$6:$E$479,"programs")</x:f>
        <x:v>0</x:v>
      </x:c>
      <x:c r="F23" s="5" t="n">
        <x:f>COUNTIFS('Каналы'!$B$6:$B$479,$A23,'Каналы'!$E$6:$E$479,"procurement")</x:f>
        <x:v>0</x:v>
      </x:c>
      <x:c r="G23" s="5" t="n">
        <x:f>COUNTIFS('Каналы'!$B$6:$B$479,$A23,'Каналы'!$E$6:$E$479,"expert_application")</x:f>
        <x:v>0</x:v>
      </x:c>
      <x:c r="H23" s="5" t="n">
        <x:f>COUNTIFS('Каналы'!$B$6:$B$479,$A23,'Каналы'!$E$6:$E$479,"partners")</x:f>
        <x:v>0</x:v>
      </x:c>
      <x:c r="I23" s="5" t="n">
        <x:f>COUNTIFS('Каналы'!$B$6:$B$479,$A23,'Каналы'!$E$6:$E$479,"contacts")</x:f>
        <x:v>1</x:v>
      </x:c>
      <x:c r="J23" s="5" t="n">
        <x:f>COUNTIFS('Каналы'!$B$6:$B$479,$A23,'Каналы'!$E$6:$E$479,"social")</x:f>
        <x:v>0</x:v>
      </x:c>
      <x:c r="K23" s="5" t="n">
        <x:f>COUNTIFS('Каналы'!$B$6:$B$479,$A23,'Каналы'!$E$6:$E$479,"careers")</x:f>
        <x:v>0</x:v>
      </x:c>
      <x:c r="L23" s="5" t="n">
        <x:f>SUM(C23:K23)</x:f>
        <x:v>2</x:v>
      </x:c>
      <x:c r="M23" s="5" t="str">
        <x:v>Искать каналы с нулём; отдельно проверять действующее юрлицо и прием внешних провайдеров.</x:v>
      </x:c>
    </x:row>
    <x:row r="24" ht="31.5" customHeight="1">
      <x:c r="A24" s="5" t="str">
        <x:v>CU-0173</x:v>
      </x:c>
      <x:c r="B24" s="5" t="str">
        <x:v>Учебный центр ОАО «БЕЛАЗ»</x:v>
      </x:c>
      <x:c r="C24" s="5" t="n">
        <x:f>COUNTIFS('Каналы'!$B$6:$B$479,$A24,'Каналы'!$E$6:$E$479,"university_site")</x:f>
        <x:v>1</x:v>
      </x:c>
      <x:c r="D24" s="5" t="n">
        <x:f>COUNTIFS('Каналы'!$B$6:$B$479,$A24,'Каналы'!$E$6:$E$479,"news")</x:f>
        <x:v>0</x:v>
      </x:c>
      <x:c r="E24" s="5" t="n">
        <x:f>COUNTIFS('Каналы'!$B$6:$B$479,$A24,'Каналы'!$E$6:$E$479,"programs")</x:f>
        <x:v>0</x:v>
      </x:c>
      <x:c r="F24" s="5" t="n">
        <x:f>COUNTIFS('Каналы'!$B$6:$B$479,$A24,'Каналы'!$E$6:$E$479,"procurement")</x:f>
        <x:v>0</x:v>
      </x:c>
      <x:c r="G24" s="5" t="n">
        <x:f>COUNTIFS('Каналы'!$B$6:$B$479,$A24,'Каналы'!$E$6:$E$479,"expert_application")</x:f>
        <x:v>0</x:v>
      </x:c>
      <x:c r="H24" s="5" t="n">
        <x:f>COUNTIFS('Каналы'!$B$6:$B$479,$A24,'Каналы'!$E$6:$E$479,"partners")</x:f>
        <x:v>0</x:v>
      </x:c>
      <x:c r="I24" s="5" t="n">
        <x:f>COUNTIFS('Каналы'!$B$6:$B$479,$A24,'Каналы'!$E$6:$E$479,"contacts")</x:f>
        <x:v>0</x:v>
      </x:c>
      <x:c r="J24" s="5" t="n">
        <x:f>COUNTIFS('Каналы'!$B$6:$B$479,$A24,'Каналы'!$E$6:$E$479,"social")</x:f>
        <x:v>0</x:v>
      </x:c>
      <x:c r="K24" s="5" t="n">
        <x:f>COUNTIFS('Каналы'!$B$6:$B$479,$A24,'Каналы'!$E$6:$E$479,"careers")</x:f>
        <x:v>0</x:v>
      </x:c>
      <x:c r="L24" s="5" t="n">
        <x:f>SUM(C24:K24)</x:f>
        <x:v>1</x:v>
      </x:c>
      <x:c r="M24" s="5" t="str">
        <x:v>Искать каналы с нулём; отдельно проверять действующее юрлицо и прием внешних провайдеров.</x:v>
      </x:c>
    </x:row>
    <x:row r="25" ht="31.5" customHeight="1">
      <x:c r="A25" s="5" t="str">
        <x:v>CU-0176</x:v>
      </x:c>
      <x:c r="B25" s="5" t="str">
        <x:v>Учебный центр по техническому и сервисному обслуживанию МТЗ</x:v>
      </x:c>
      <x:c r="C25" s="5" t="n">
        <x:f>COUNTIFS('Каналы'!$B$6:$B$479,$A25,'Каналы'!$E$6:$E$479,"university_site")</x:f>
        <x:v>2</x:v>
      </x:c>
      <x:c r="D25" s="5" t="n">
        <x:f>COUNTIFS('Каналы'!$B$6:$B$479,$A25,'Каналы'!$E$6:$E$479,"news")</x:f>
        <x:v>0</x:v>
      </x:c>
      <x:c r="E25" s="5" t="n">
        <x:f>COUNTIFS('Каналы'!$B$6:$B$479,$A25,'Каналы'!$E$6:$E$479,"programs")</x:f>
        <x:v>0</x:v>
      </x:c>
      <x:c r="F25" s="5" t="n">
        <x:f>COUNTIFS('Каналы'!$B$6:$B$479,$A25,'Каналы'!$E$6:$E$479,"procurement")</x:f>
        <x:v>0</x:v>
      </x:c>
      <x:c r="G25" s="5" t="n">
        <x:f>COUNTIFS('Каналы'!$B$6:$B$479,$A25,'Каналы'!$E$6:$E$479,"expert_application")</x:f>
        <x:v>0</x:v>
      </x:c>
      <x:c r="H25" s="5" t="n">
        <x:f>COUNTIFS('Каналы'!$B$6:$B$479,$A25,'Каналы'!$E$6:$E$479,"partners")</x:f>
        <x:v>0</x:v>
      </x:c>
      <x:c r="I25" s="5" t="n">
        <x:f>COUNTIFS('Каналы'!$B$6:$B$479,$A25,'Каналы'!$E$6:$E$479,"contacts")</x:f>
        <x:v>0</x:v>
      </x:c>
      <x:c r="J25" s="5" t="n">
        <x:f>COUNTIFS('Каналы'!$B$6:$B$479,$A25,'Каналы'!$E$6:$E$479,"social")</x:f>
        <x:v>0</x:v>
      </x:c>
      <x:c r="K25" s="5" t="n">
        <x:f>COUNTIFS('Каналы'!$B$6:$B$479,$A25,'Каналы'!$E$6:$E$479,"careers")</x:f>
        <x:v>0</x:v>
      </x:c>
      <x:c r="L25" s="5" t="n">
        <x:f>SUM(C25:K25)</x:f>
        <x:v>2</x:v>
      </x:c>
      <x:c r="M25" s="5" t="str">
        <x:v>Искать каналы с нулём; отдельно проверять действующее юрлицо и прием внешних провайдеров.</x:v>
      </x:c>
    </x:row>
    <x:row r="26" ht="31.5" customHeight="1">
      <x:c r="A26" s="5" t="str">
        <x:v>CU-0185</x:v>
      </x:c>
      <x:c r="B26" s="5" t="str">
        <x:v>Samruk Business Academy (бывший КУ «Самрук-Казына»)</x:v>
      </x:c>
      <x:c r="C26" s="5" t="n">
        <x:f>COUNTIFS('Каналы'!$B$6:$B$479,$A26,'Каналы'!$E$6:$E$479,"university_site")</x:f>
        <x:v>1</x:v>
      </x:c>
      <x:c r="D26" s="5" t="n">
        <x:f>COUNTIFS('Каналы'!$B$6:$B$479,$A26,'Каналы'!$E$6:$E$479,"news")</x:f>
        <x:v>0</x:v>
      </x:c>
      <x:c r="E26" s="5" t="n">
        <x:f>COUNTIFS('Каналы'!$B$6:$B$479,$A26,'Каналы'!$E$6:$E$479,"programs")</x:f>
        <x:v>2</x:v>
      </x:c>
      <x:c r="F26" s="5" t="n">
        <x:f>COUNTIFS('Каналы'!$B$6:$B$479,$A26,'Каналы'!$E$6:$E$479,"procurement")</x:f>
        <x:v>0</x:v>
      </x:c>
      <x:c r="G26" s="5" t="n">
        <x:f>COUNTIFS('Каналы'!$B$6:$B$479,$A26,'Каналы'!$E$6:$E$479,"expert_application")</x:f>
        <x:v>0</x:v>
      </x:c>
      <x:c r="H26" s="5" t="n">
        <x:f>COUNTIFS('Каналы'!$B$6:$B$479,$A26,'Каналы'!$E$6:$E$479,"partners")</x:f>
        <x:v>0</x:v>
      </x:c>
      <x:c r="I26" s="5" t="n">
        <x:f>COUNTIFS('Каналы'!$B$6:$B$479,$A26,'Каналы'!$E$6:$E$479,"contacts")</x:f>
        <x:v>0</x:v>
      </x:c>
      <x:c r="J26" s="5" t="n">
        <x:f>COUNTIFS('Каналы'!$B$6:$B$479,$A26,'Каналы'!$E$6:$E$479,"social")</x:f>
        <x:v>0</x:v>
      </x:c>
      <x:c r="K26" s="5" t="n">
        <x:f>COUNTIFS('Каналы'!$B$6:$B$479,$A26,'Каналы'!$E$6:$E$479,"careers")</x:f>
        <x:v>0</x:v>
      </x:c>
      <x:c r="L26" s="5" t="n">
        <x:f>SUM(C26:K26)</x:f>
        <x:v>3</x:v>
      </x:c>
      <x:c r="M26" s="5" t="str">
        <x:v>Искать каналы с нулём; отдельно проверять действующее юрлицо и прием внешних провайдеров.</x:v>
      </x:c>
    </x:row>
    <x:row r="27" ht="31.5" customHeight="1">
      <x:c r="A27" s="5" t="str">
        <x:v>CU-0186</x:v>
      </x:c>
      <x:c r="B27" s="5" t="str">
        <x:v>Корпоративный университет ERG</x:v>
      </x:c>
      <x:c r="C27" s="5" t="n">
        <x:f>COUNTIFS('Каналы'!$B$6:$B$479,$A27,'Каналы'!$E$6:$E$479,"university_site")</x:f>
        <x:v>1</x:v>
      </x:c>
      <x:c r="D27" s="5" t="n">
        <x:f>COUNTIFS('Каналы'!$B$6:$B$479,$A27,'Каналы'!$E$6:$E$479,"news")</x:f>
        <x:v>1</x:v>
      </x:c>
      <x:c r="E27" s="5" t="n">
        <x:f>COUNTIFS('Каналы'!$B$6:$B$479,$A27,'Каналы'!$E$6:$E$479,"programs")</x:f>
        <x:v>0</x:v>
      </x:c>
      <x:c r="F27" s="5" t="n">
        <x:f>COUNTIFS('Каналы'!$B$6:$B$479,$A27,'Каналы'!$E$6:$E$479,"procurement")</x:f>
        <x:v>1</x:v>
      </x:c>
      <x:c r="G27" s="5" t="n">
        <x:f>COUNTIFS('Каналы'!$B$6:$B$479,$A27,'Каналы'!$E$6:$E$479,"expert_application")</x:f>
        <x:v>0</x:v>
      </x:c>
      <x:c r="H27" s="5" t="n">
        <x:f>COUNTIFS('Каналы'!$B$6:$B$479,$A27,'Каналы'!$E$6:$E$479,"partners")</x:f>
        <x:v>0</x:v>
      </x:c>
      <x:c r="I27" s="5" t="n">
        <x:f>COUNTIFS('Каналы'!$B$6:$B$479,$A27,'Каналы'!$E$6:$E$479,"contacts")</x:f>
        <x:v>0</x:v>
      </x:c>
      <x:c r="J27" s="5" t="n">
        <x:f>COUNTIFS('Каналы'!$B$6:$B$479,$A27,'Каналы'!$E$6:$E$479,"social")</x:f>
        <x:v>0</x:v>
      </x:c>
      <x:c r="K27" s="5" t="n">
        <x:f>COUNTIFS('Каналы'!$B$6:$B$479,$A27,'Каналы'!$E$6:$E$479,"careers")</x:f>
        <x:v>0</x:v>
      </x:c>
      <x:c r="L27" s="5" t="n">
        <x:f>SUM(C27:K27)</x:f>
        <x:v>3</x:v>
      </x:c>
      <x:c r="M27" s="5" t="str">
        <x:v>Искать каналы с нулём; отдельно проверять действующее юрлицо и прием внешних провайдеров.</x:v>
      </x:c>
    </x:row>
    <x:row r="28" ht="31.5" customHeight="1">
      <x:c r="A28" s="5" t="str">
        <x:v>CU-0187</x:v>
      </x:c>
      <x:c r="B28" s="5" t="str">
        <x:v>BI University</x:v>
      </x:c>
      <x:c r="C28" s="5" t="n">
        <x:f>COUNTIFS('Каналы'!$B$6:$B$479,$A28,'Каналы'!$E$6:$E$479,"university_site")</x:f>
        <x:v>1</x:v>
      </x:c>
      <x:c r="D28" s="5" t="n">
        <x:f>COUNTIFS('Каналы'!$B$6:$B$479,$A28,'Каналы'!$E$6:$E$479,"news")</x:f>
        <x:v>0</x:v>
      </x:c>
      <x:c r="E28" s="5" t="n">
        <x:f>COUNTIFS('Каналы'!$B$6:$B$479,$A28,'Каналы'!$E$6:$E$479,"programs")</x:f>
        <x:v>0</x:v>
      </x:c>
      <x:c r="F28" s="5" t="n">
        <x:f>COUNTIFS('Каналы'!$B$6:$B$479,$A28,'Каналы'!$E$6:$E$479,"procurement")</x:f>
        <x:v>0</x:v>
      </x:c>
      <x:c r="G28" s="5" t="n">
        <x:f>COUNTIFS('Каналы'!$B$6:$B$479,$A28,'Каналы'!$E$6:$E$479,"expert_application")</x:f>
        <x:v>0</x:v>
      </x:c>
      <x:c r="H28" s="5" t="n">
        <x:f>COUNTIFS('Каналы'!$B$6:$B$479,$A28,'Каналы'!$E$6:$E$479,"partners")</x:f>
        <x:v>1</x:v>
      </x:c>
      <x:c r="I28" s="5" t="n">
        <x:f>COUNTIFS('Каналы'!$B$6:$B$479,$A28,'Каналы'!$E$6:$E$479,"contacts")</x:f>
        <x:v>1</x:v>
      </x:c>
      <x:c r="J28" s="5" t="n">
        <x:f>COUNTIFS('Каналы'!$B$6:$B$479,$A28,'Каналы'!$E$6:$E$479,"social")</x:f>
        <x:v>0</x:v>
      </x:c>
      <x:c r="K28" s="5" t="n">
        <x:f>COUNTIFS('Каналы'!$B$6:$B$479,$A28,'Каналы'!$E$6:$E$479,"careers")</x:f>
        <x:v>0</x:v>
      </x:c>
      <x:c r="L28" s="5" t="n">
        <x:f>SUM(C28:K28)</x:f>
        <x:v>3</x:v>
      </x:c>
      <x:c r="M28" s="5" t="str">
        <x:v>Искать каналы с нулём; отдельно проверять действующее юрлицо и прием внешних провайдеров.</x:v>
      </x:c>
    </x:row>
    <x:row r="29" ht="31.5" customHeight="1">
      <x:c r="A29" s="5" t="str">
        <x:v>CU-0188</x:v>
      </x:c>
      <x:c r="B29" s="5" t="str">
        <x:v>Корпоративный университет Qarmet</x:v>
      </x:c>
      <x:c r="C29" s="5" t="n">
        <x:f>COUNTIFS('Каналы'!$B$6:$B$479,$A29,'Каналы'!$E$6:$E$479,"university_site")</x:f>
        <x:v>1</x:v>
      </x:c>
      <x:c r="D29" s="5" t="n">
        <x:f>COUNTIFS('Каналы'!$B$6:$B$479,$A29,'Каналы'!$E$6:$E$479,"news")</x:f>
        <x:v>0</x:v>
      </x:c>
      <x:c r="E29" s="5" t="n">
        <x:f>COUNTIFS('Каналы'!$B$6:$B$479,$A29,'Каналы'!$E$6:$E$479,"programs")</x:f>
        <x:v>0</x:v>
      </x:c>
      <x:c r="F29" s="5" t="n">
        <x:f>COUNTIFS('Каналы'!$B$6:$B$479,$A29,'Каналы'!$E$6:$E$479,"procurement")</x:f>
        <x:v>0</x:v>
      </x:c>
      <x:c r="G29" s="5" t="n">
        <x:f>COUNTIFS('Каналы'!$B$6:$B$479,$A29,'Каналы'!$E$6:$E$479,"expert_application")</x:f>
        <x:v>0</x:v>
      </x:c>
      <x:c r="H29" s="5" t="n">
        <x:f>COUNTIFS('Каналы'!$B$6:$B$479,$A29,'Каналы'!$E$6:$E$479,"partners")</x:f>
        <x:v>0</x:v>
      </x:c>
      <x:c r="I29" s="5" t="n">
        <x:f>COUNTIFS('Каналы'!$B$6:$B$479,$A29,'Каналы'!$E$6:$E$479,"contacts")</x:f>
        <x:v>0</x:v>
      </x:c>
      <x:c r="J29" s="5" t="n">
        <x:f>COUNTIFS('Каналы'!$B$6:$B$479,$A29,'Каналы'!$E$6:$E$479,"social")</x:f>
        <x:v>0</x:v>
      </x:c>
      <x:c r="K29" s="5" t="n">
        <x:f>COUNTIFS('Каналы'!$B$6:$B$479,$A29,'Каналы'!$E$6:$E$479,"careers")</x:f>
        <x:v>1</x:v>
      </x:c>
      <x:c r="L29" s="5" t="n">
        <x:f>SUM(C29:K29)</x:f>
        <x:v>2</x:v>
      </x:c>
      <x:c r="M29" s="5" t="str">
        <x:v>Искать каналы с нулём; отдельно проверять действующее юрлицо и прием внешних провайдеров.</x:v>
      </x:c>
    </x:row>
    <x:row r="30" ht="31.5" customHeight="1">
      <x:c r="A30" s="5" t="str">
        <x:v>CU-0189</x:v>
      </x:c>
      <x:c r="B30" s="5" t="str">
        <x:v>Корпоративный университет QazTehna</x:v>
      </x:c>
      <x:c r="C30" s="5" t="n">
        <x:f>COUNTIFS('Каналы'!$B$6:$B$479,$A30,'Каналы'!$E$6:$E$479,"university_site")</x:f>
        <x:v>1</x:v>
      </x:c>
      <x:c r="D30" s="5" t="n">
        <x:f>COUNTIFS('Каналы'!$B$6:$B$479,$A30,'Каналы'!$E$6:$E$479,"news")</x:f>
        <x:v>1</x:v>
      </x:c>
      <x:c r="E30" s="5" t="n">
        <x:f>COUNTIFS('Каналы'!$B$6:$B$479,$A30,'Каналы'!$E$6:$E$479,"programs")</x:f>
        <x:v>0</x:v>
      </x:c>
      <x:c r="F30" s="5" t="n">
        <x:f>COUNTIFS('Каналы'!$B$6:$B$479,$A30,'Каналы'!$E$6:$E$479,"procurement")</x:f>
        <x:v>0</x:v>
      </x:c>
      <x:c r="G30" s="5" t="n">
        <x:f>COUNTIFS('Каналы'!$B$6:$B$479,$A30,'Каналы'!$E$6:$E$479,"expert_application")</x:f>
        <x:v>0</x:v>
      </x:c>
      <x:c r="H30" s="5" t="n">
        <x:f>COUNTIFS('Каналы'!$B$6:$B$479,$A30,'Каналы'!$E$6:$E$479,"partners")</x:f>
        <x:v>0</x:v>
      </x:c>
      <x:c r="I30" s="5" t="n">
        <x:f>COUNTIFS('Каналы'!$B$6:$B$479,$A30,'Каналы'!$E$6:$E$479,"contacts")</x:f>
        <x:v>0</x:v>
      </x:c>
      <x:c r="J30" s="5" t="n">
        <x:f>COUNTIFS('Каналы'!$B$6:$B$479,$A30,'Каналы'!$E$6:$E$479,"social")</x:f>
        <x:v>0</x:v>
      </x:c>
      <x:c r="K30" s="5" t="n">
        <x:f>COUNTIFS('Каналы'!$B$6:$B$479,$A30,'Каналы'!$E$6:$E$479,"careers")</x:f>
        <x:v>0</x:v>
      </x:c>
      <x:c r="L30" s="5" t="n">
        <x:f>SUM(C30:K30)</x:f>
        <x:v>2</x:v>
      </x:c>
      <x:c r="M30" s="5" t="str">
        <x:v>Искать каналы с нулём; отдельно проверять действующее юрлицо и прием внешних провайдеров.</x:v>
      </x:c>
    </x:row>
    <x:row r="31" ht="31.5" customHeight="1">
      <x:c r="A31" s="5" t="str">
        <x:v>CU-0191</x:v>
      </x:c>
      <x:c r="B31" s="5" t="str">
        <x:v>Корпоративный университет АҚҚУ</x:v>
      </x:c>
      <x:c r="C31" s="5" t="n">
        <x:f>COUNTIFS('Каналы'!$B$6:$B$479,$A31,'Каналы'!$E$6:$E$479,"university_site")</x:f>
        <x:v>1</x:v>
      </x:c>
      <x:c r="D31" s="5" t="n">
        <x:f>COUNTIFS('Каналы'!$B$6:$B$479,$A31,'Каналы'!$E$6:$E$479,"news")</x:f>
        <x:v>0</x:v>
      </x:c>
      <x:c r="E31" s="5" t="n">
        <x:f>COUNTIFS('Каналы'!$B$6:$B$479,$A31,'Каналы'!$E$6:$E$479,"programs")</x:f>
        <x:v>0</x:v>
      </x:c>
      <x:c r="F31" s="5" t="n">
        <x:f>COUNTIFS('Каналы'!$B$6:$B$479,$A31,'Каналы'!$E$6:$E$479,"procurement")</x:f>
        <x:v>0</x:v>
      </x:c>
      <x:c r="G31" s="5" t="n">
        <x:f>COUNTIFS('Каналы'!$B$6:$B$479,$A31,'Каналы'!$E$6:$E$479,"expert_application")</x:f>
        <x:v>0</x:v>
      </x:c>
      <x:c r="H31" s="5" t="n">
        <x:f>COUNTIFS('Каналы'!$B$6:$B$479,$A31,'Каналы'!$E$6:$E$479,"partners")</x:f>
        <x:v>0</x:v>
      </x:c>
      <x:c r="I31" s="5" t="n">
        <x:f>COUNTIFS('Каналы'!$B$6:$B$479,$A31,'Каналы'!$E$6:$E$479,"contacts")</x:f>
        <x:v>0</x:v>
      </x:c>
      <x:c r="J31" s="5" t="n">
        <x:f>COUNTIFS('Каналы'!$B$6:$B$479,$A31,'Каналы'!$E$6:$E$479,"social")</x:f>
        <x:v>0</x:v>
      </x:c>
      <x:c r="K31" s="5" t="n">
        <x:f>COUNTIFS('Каналы'!$B$6:$B$479,$A31,'Каналы'!$E$6:$E$479,"careers")</x:f>
        <x:v>0</x:v>
      </x:c>
      <x:c r="L31" s="5" t="n">
        <x:f>SUM(C31:K31)</x:f>
        <x:v>1</x:v>
      </x:c>
      <x:c r="M31" s="5" t="str">
        <x:v>Искать каналы с нулём; отдельно проверять действующее юрлицо и прием внешних провайдеров.</x:v>
      </x:c>
    </x:row>
    <x:row r="32" ht="31.5" customHeight="1">
      <x:c r="A32" s="5" t="str">
        <x:v>CU-0192</x:v>
      </x:c>
      <x:c r="B32" s="5" t="str">
        <x:v>Казахстанский ядерный университет</x:v>
      </x:c>
      <x:c r="C32" s="5" t="n">
        <x:f>COUNTIFS('Каналы'!$B$6:$B$479,$A32,'Каналы'!$E$6:$E$479,"university_site")</x:f>
        <x:v>1</x:v>
      </x:c>
      <x:c r="D32" s="5" t="n">
        <x:f>COUNTIFS('Каналы'!$B$6:$B$479,$A32,'Каналы'!$E$6:$E$479,"news")</x:f>
        <x:v>1</x:v>
      </x:c>
      <x:c r="E32" s="5" t="n">
        <x:f>COUNTIFS('Каналы'!$B$6:$B$479,$A32,'Каналы'!$E$6:$E$479,"programs")</x:f>
        <x:v>1</x:v>
      </x:c>
      <x:c r="F32" s="5" t="n">
        <x:f>COUNTIFS('Каналы'!$B$6:$B$479,$A32,'Каналы'!$E$6:$E$479,"procurement")</x:f>
        <x:v>1</x:v>
      </x:c>
      <x:c r="G32" s="5" t="n">
        <x:f>COUNTIFS('Каналы'!$B$6:$B$479,$A32,'Каналы'!$E$6:$E$479,"expert_application")</x:f>
        <x:v>0</x:v>
      </x:c>
      <x:c r="H32" s="5" t="n">
        <x:f>COUNTIFS('Каналы'!$B$6:$B$479,$A32,'Каналы'!$E$6:$E$479,"partners")</x:f>
        <x:v>0</x:v>
      </x:c>
      <x:c r="I32" s="5" t="n">
        <x:f>COUNTIFS('Каналы'!$B$6:$B$479,$A32,'Каналы'!$E$6:$E$479,"contacts")</x:f>
        <x:v>0</x:v>
      </x:c>
      <x:c r="J32" s="5" t="n">
        <x:f>COUNTIFS('Каналы'!$B$6:$B$479,$A32,'Каналы'!$E$6:$E$479,"social")</x:f>
        <x:v>0</x:v>
      </x:c>
      <x:c r="K32" s="5" t="n">
        <x:f>COUNTIFS('Каналы'!$B$6:$B$479,$A32,'Каналы'!$E$6:$E$479,"careers")</x:f>
        <x:v>0</x:v>
      </x:c>
      <x:c r="L32" s="5" t="n">
        <x:f>SUM(C32:K32)</x:f>
        <x:v>4</x:v>
      </x:c>
      <x:c r="M32" s="5" t="str">
        <x:v>Искать каналы с нулём; отдельно проверять действующее юрлицо и прием внешних провайдеров.</x:v>
      </x:c>
    </x:row>
    <x:row r="33" ht="31.5" customHeight="1">
      <x:c r="A33" s="5" t="str">
        <x:v>CU-0193</x:v>
      </x:c>
      <x:c r="B33" s="5" t="str">
        <x:v>Корпоративный университет Управления трудовых ресурсов Казцинк</x:v>
      </x:c>
      <x:c r="C33" s="5" t="n">
        <x:f>COUNTIFS('Каналы'!$B$6:$B$479,$A33,'Каналы'!$E$6:$E$479,"university_site")</x:f>
        <x:v>1</x:v>
      </x:c>
      <x:c r="D33" s="5" t="n">
        <x:f>COUNTIFS('Каналы'!$B$6:$B$479,$A33,'Каналы'!$E$6:$E$479,"news")</x:f>
        <x:v>0</x:v>
      </x:c>
      <x:c r="E33" s="5" t="n">
        <x:f>COUNTIFS('Каналы'!$B$6:$B$479,$A33,'Каналы'!$E$6:$E$479,"programs")</x:f>
        <x:v>0</x:v>
      </x:c>
      <x:c r="F33" s="5" t="n">
        <x:f>COUNTIFS('Каналы'!$B$6:$B$479,$A33,'Каналы'!$E$6:$E$479,"procurement")</x:f>
        <x:v>0</x:v>
      </x:c>
      <x:c r="G33" s="5" t="n">
        <x:f>COUNTIFS('Каналы'!$B$6:$B$479,$A33,'Каналы'!$E$6:$E$479,"expert_application")</x:f>
        <x:v>0</x:v>
      </x:c>
      <x:c r="H33" s="5" t="n">
        <x:f>COUNTIFS('Каналы'!$B$6:$B$479,$A33,'Каналы'!$E$6:$E$479,"partners")</x:f>
        <x:v>0</x:v>
      </x:c>
      <x:c r="I33" s="5" t="n">
        <x:f>COUNTIFS('Каналы'!$B$6:$B$479,$A33,'Каналы'!$E$6:$E$479,"contacts")</x:f>
        <x:v>0</x:v>
      </x:c>
      <x:c r="J33" s="5" t="n">
        <x:f>COUNTIFS('Каналы'!$B$6:$B$479,$A33,'Каналы'!$E$6:$E$479,"social")</x:f>
        <x:v>0</x:v>
      </x:c>
      <x:c r="K33" s="5" t="n">
        <x:f>COUNTIFS('Каналы'!$B$6:$B$479,$A33,'Каналы'!$E$6:$E$479,"careers")</x:f>
        <x:v>0</x:v>
      </x:c>
      <x:c r="L33" s="5" t="n">
        <x:f>SUM(C33:K33)</x:f>
        <x:v>1</x:v>
      </x:c>
      <x:c r="M33" s="5" t="str">
        <x:v>Искать каналы с нулём; отдельно проверять действующее юрлицо и прием внешних провайдеров.</x:v>
      </x:c>
    </x:row>
    <x:row r="34" ht="31.5" customHeight="1">
      <x:c r="A34" s="5" t="str">
        <x:v>CU-0196</x:v>
      </x:c>
      <x:c r="B34" s="5" t="str">
        <x:v>Центр оценки и развития персонала железнодорожного транспорта ҚТЖ</x:v>
      </x:c>
      <x:c r="C34" s="5" t="n">
        <x:f>COUNTIFS('Каналы'!$B$6:$B$479,$A34,'Каналы'!$E$6:$E$479,"university_site")</x:f>
        <x:v>1</x:v>
      </x:c>
      <x:c r="D34" s="5" t="n">
        <x:f>COUNTIFS('Каналы'!$B$6:$B$479,$A34,'Каналы'!$E$6:$E$479,"news")</x:f>
        <x:v>0</x:v>
      </x:c>
      <x:c r="E34" s="5" t="n">
        <x:f>COUNTIFS('Каналы'!$B$6:$B$479,$A34,'Каналы'!$E$6:$E$479,"programs")</x:f>
        <x:v>2</x:v>
      </x:c>
      <x:c r="F34" s="5" t="n">
        <x:f>COUNTIFS('Каналы'!$B$6:$B$479,$A34,'Каналы'!$E$6:$E$479,"procurement")</x:f>
        <x:v>0</x:v>
      </x:c>
      <x:c r="G34" s="5" t="n">
        <x:f>COUNTIFS('Каналы'!$B$6:$B$479,$A34,'Каналы'!$E$6:$E$479,"expert_application")</x:f>
        <x:v>0</x:v>
      </x:c>
      <x:c r="H34" s="5" t="n">
        <x:f>COUNTIFS('Каналы'!$B$6:$B$479,$A34,'Каналы'!$E$6:$E$479,"partners")</x:f>
        <x:v>0</x:v>
      </x:c>
      <x:c r="I34" s="5" t="n">
        <x:f>COUNTIFS('Каналы'!$B$6:$B$479,$A34,'Каналы'!$E$6:$E$479,"contacts")</x:f>
        <x:v>0</x:v>
      </x:c>
      <x:c r="J34" s="5" t="n">
        <x:f>COUNTIFS('Каналы'!$B$6:$B$479,$A34,'Каналы'!$E$6:$E$479,"social")</x:f>
        <x:v>0</x:v>
      </x:c>
      <x:c r="K34" s="5" t="n">
        <x:f>COUNTIFS('Каналы'!$B$6:$B$479,$A34,'Каналы'!$E$6:$E$479,"careers")</x:f>
        <x:v>0</x:v>
      </x:c>
      <x:c r="L34" s="5" t="n">
        <x:f>SUM(C34:K34)</x:f>
        <x:v>3</x:v>
      </x:c>
      <x:c r="M34" s="5" t="str">
        <x:v>Искать каналы с нулём; отдельно проверять действующее юрлицо и прием внешних провайдеров.</x:v>
      </x:c>
    </x:row>
    <x:row r="35" ht="31.5" customHeight="1">
      <x:c r="A35" s="5" t="str">
        <x:v>CU-0197</x:v>
      </x:c>
      <x:c r="B35" s="5" t="str">
        <x:v>Корпоративный университет Казахтелеком / Дирекция «Академия инфокоммуникационных технологий»</x:v>
      </x:c>
      <x:c r="C35" s="5" t="n">
        <x:f>COUNTIFS('Каналы'!$B$6:$B$479,$A35,'Каналы'!$E$6:$E$479,"university_site")</x:f>
        <x:v>1</x:v>
      </x:c>
      <x:c r="D35" s="5" t="n">
        <x:f>COUNTIFS('Каналы'!$B$6:$B$479,$A35,'Каналы'!$E$6:$E$479,"news")</x:f>
        <x:v>1</x:v>
      </x:c>
      <x:c r="E35" s="5" t="n">
        <x:f>COUNTIFS('Каналы'!$B$6:$B$479,$A35,'Каналы'!$E$6:$E$479,"programs")</x:f>
        <x:v>1</x:v>
      </x:c>
      <x:c r="F35" s="5" t="n">
        <x:f>COUNTIFS('Каналы'!$B$6:$B$479,$A35,'Каналы'!$E$6:$E$479,"procurement")</x:f>
        <x:v>0</x:v>
      </x:c>
      <x:c r="G35" s="5" t="n">
        <x:f>COUNTIFS('Каналы'!$B$6:$B$479,$A35,'Каналы'!$E$6:$E$479,"expert_application")</x:f>
        <x:v>0</x:v>
      </x:c>
      <x:c r="H35" s="5" t="n">
        <x:f>COUNTIFS('Каналы'!$B$6:$B$479,$A35,'Каналы'!$E$6:$E$479,"partners")</x:f>
        <x:v>0</x:v>
      </x:c>
      <x:c r="I35" s="5" t="n">
        <x:f>COUNTIFS('Каналы'!$B$6:$B$479,$A35,'Каналы'!$E$6:$E$479,"contacts")</x:f>
        <x:v>0</x:v>
      </x:c>
      <x:c r="J35" s="5" t="n">
        <x:f>COUNTIFS('Каналы'!$B$6:$B$479,$A35,'Каналы'!$E$6:$E$479,"social")</x:f>
        <x:v>0</x:v>
      </x:c>
      <x:c r="K35" s="5" t="n">
        <x:f>COUNTIFS('Каналы'!$B$6:$B$479,$A35,'Каналы'!$E$6:$E$479,"careers")</x:f>
        <x:v>0</x:v>
      </x:c>
      <x:c r="L35" s="5" t="n">
        <x:f>SUM(C35:K35)</x:f>
        <x:v>3</x:v>
      </x:c>
      <x:c r="M35" s="5" t="str">
        <x:v>Искать каналы с нулём; отдельно проверять действующее юрлицо и прием внешних провайдеров.</x:v>
      </x:c>
    </x:row>
    <x:row r="36" ht="31.5" customHeight="1">
      <x:c r="A36" s="5" t="str">
        <x:v>CU-0198</x:v>
      </x:c>
      <x:c r="B36" s="5" t="str">
        <x:v>Учебный центр и направление развития компетенций НТЦ QazaqGaz</x:v>
      </x:c>
      <x:c r="C36" s="5" t="n">
        <x:f>COUNTIFS('Каналы'!$B$6:$B$479,$A36,'Каналы'!$E$6:$E$479,"university_site")</x:f>
        <x:v>1</x:v>
      </x:c>
      <x:c r="D36" s="5" t="n">
        <x:f>COUNTIFS('Каналы'!$B$6:$B$479,$A36,'Каналы'!$E$6:$E$479,"news")</x:f>
        <x:v>0</x:v>
      </x:c>
      <x:c r="E36" s="5" t="n">
        <x:f>COUNTIFS('Каналы'!$B$6:$B$479,$A36,'Каналы'!$E$6:$E$479,"programs")</x:f>
        <x:v>1</x:v>
      </x:c>
      <x:c r="F36" s="5" t="n">
        <x:f>COUNTIFS('Каналы'!$B$6:$B$479,$A36,'Каналы'!$E$6:$E$479,"procurement")</x:f>
        <x:v>1</x:v>
      </x:c>
      <x:c r="G36" s="5" t="n">
        <x:f>COUNTIFS('Каналы'!$B$6:$B$479,$A36,'Каналы'!$E$6:$E$479,"expert_application")</x:f>
        <x:v>0</x:v>
      </x:c>
      <x:c r="H36" s="5" t="n">
        <x:f>COUNTIFS('Каналы'!$B$6:$B$479,$A36,'Каналы'!$E$6:$E$479,"partners")</x:f>
        <x:v>0</x:v>
      </x:c>
      <x:c r="I36" s="5" t="n">
        <x:f>COUNTIFS('Каналы'!$B$6:$B$479,$A36,'Каналы'!$E$6:$E$479,"contacts")</x:f>
        <x:v>0</x:v>
      </x:c>
      <x:c r="J36" s="5" t="n">
        <x:f>COUNTIFS('Каналы'!$B$6:$B$479,$A36,'Каналы'!$E$6:$E$479,"social")</x:f>
        <x:v>0</x:v>
      </x:c>
      <x:c r="K36" s="5" t="n">
        <x:f>COUNTIFS('Каналы'!$B$6:$B$479,$A36,'Каналы'!$E$6:$E$479,"careers")</x:f>
        <x:v>0</x:v>
      </x:c>
      <x:c r="L36" s="5" t="n">
        <x:f>SUM(C36:K36)</x:f>
        <x:v>3</x:v>
      </x:c>
      <x:c r="M36" s="5" t="str">
        <x:v>Искать каналы с нулём; отдельно проверять действующее юрлицо и прием внешних провайдеров.</x:v>
      </x:c>
    </x:row>
    <x:row r="37" ht="31.5" customHeight="1">
      <x:c r="A37" s="5" t="str">
        <x:v>CU-0212</x:v>
      </x:c>
      <x:c r="B37" s="5" t="str">
        <x:v>Freedom Academy</x:v>
      </x:c>
      <x:c r="C37" s="5" t="n">
        <x:f>COUNTIFS('Каналы'!$B$6:$B$479,$A37,'Каналы'!$E$6:$E$479,"university_site")</x:f>
        <x:v>1</x:v>
      </x:c>
      <x:c r="D37" s="5" t="n">
        <x:f>COUNTIFS('Каналы'!$B$6:$B$479,$A37,'Каналы'!$E$6:$E$479,"news")</x:f>
        <x:v>0</x:v>
      </x:c>
      <x:c r="E37" s="5" t="n">
        <x:f>COUNTIFS('Каналы'!$B$6:$B$479,$A37,'Каналы'!$E$6:$E$479,"programs")</x:f>
        <x:v>1</x:v>
      </x:c>
      <x:c r="F37" s="5" t="n">
        <x:f>COUNTIFS('Каналы'!$B$6:$B$479,$A37,'Каналы'!$E$6:$E$479,"procurement")</x:f>
        <x:v>0</x:v>
      </x:c>
      <x:c r="G37" s="5" t="n">
        <x:f>COUNTIFS('Каналы'!$B$6:$B$479,$A37,'Каналы'!$E$6:$E$479,"expert_application")</x:f>
        <x:v>0</x:v>
      </x:c>
      <x:c r="H37" s="5" t="n">
        <x:f>COUNTIFS('Каналы'!$B$6:$B$479,$A37,'Каналы'!$E$6:$E$479,"partners")</x:f>
        <x:v>0</x:v>
      </x:c>
      <x:c r="I37" s="5" t="n">
        <x:f>COUNTIFS('Каналы'!$B$6:$B$479,$A37,'Каналы'!$E$6:$E$479,"contacts")</x:f>
        <x:v>0</x:v>
      </x:c>
      <x:c r="J37" s="5" t="n">
        <x:f>COUNTIFS('Каналы'!$B$6:$B$479,$A37,'Каналы'!$E$6:$E$479,"social")</x:f>
        <x:v>0</x:v>
      </x:c>
      <x:c r="K37" s="5" t="n">
        <x:f>COUNTIFS('Каналы'!$B$6:$B$479,$A37,'Каналы'!$E$6:$E$479,"careers")</x:f>
        <x:v>0</x:v>
      </x:c>
      <x:c r="L37" s="5" t="n">
        <x:f>SUM(C37:K37)</x:f>
        <x:v>2</x:v>
      </x:c>
      <x:c r="M37" s="5" t="str">
        <x:v>Искать каналы с нулём; отдельно проверять действующее юрлицо и прием внешних провайдеров.</x:v>
      </x:c>
    </x:row>
    <x:row r="38" ht="31.5" customHeight="1">
      <x:c r="A38" s="5" t="str">
        <x:v>CU-0215</x:v>
      </x:c>
      <x:c r="B38" s="5" t="str">
        <x:v>Корпоративный учебный центр Казпочты</x:v>
      </x:c>
      <x:c r="C38" s="5" t="n">
        <x:f>COUNTIFS('Каналы'!$B$6:$B$479,$A38,'Каналы'!$E$6:$E$479,"university_site")</x:f>
        <x:v>1</x:v>
      </x:c>
      <x:c r="D38" s="5" t="n">
        <x:f>COUNTIFS('Каналы'!$B$6:$B$479,$A38,'Каналы'!$E$6:$E$479,"news")</x:f>
        <x:v>0</x:v>
      </x:c>
      <x:c r="E38" s="5" t="n">
        <x:f>COUNTIFS('Каналы'!$B$6:$B$479,$A38,'Каналы'!$E$6:$E$479,"programs")</x:f>
        <x:v>0</x:v>
      </x:c>
      <x:c r="F38" s="5" t="n">
        <x:f>COUNTIFS('Каналы'!$B$6:$B$479,$A38,'Каналы'!$E$6:$E$479,"procurement")</x:f>
        <x:v>0</x:v>
      </x:c>
      <x:c r="G38" s="5" t="n">
        <x:f>COUNTIFS('Каналы'!$B$6:$B$479,$A38,'Каналы'!$E$6:$E$479,"expert_application")</x:f>
        <x:v>0</x:v>
      </x:c>
      <x:c r="H38" s="5" t="n">
        <x:f>COUNTIFS('Каналы'!$B$6:$B$479,$A38,'Каналы'!$E$6:$E$479,"partners")</x:f>
        <x:v>0</x:v>
      </x:c>
      <x:c r="I38" s="5" t="n">
        <x:f>COUNTIFS('Каналы'!$B$6:$B$479,$A38,'Каналы'!$E$6:$E$479,"contacts")</x:f>
        <x:v>0</x:v>
      </x:c>
      <x:c r="J38" s="5" t="n">
        <x:f>COUNTIFS('Каналы'!$B$6:$B$479,$A38,'Каналы'!$E$6:$E$479,"social")</x:f>
        <x:v>0</x:v>
      </x:c>
      <x:c r="K38" s="5" t="n">
        <x:f>COUNTIFS('Каналы'!$B$6:$B$479,$A38,'Каналы'!$E$6:$E$479,"careers")</x:f>
        <x:v>0</x:v>
      </x:c>
      <x:c r="L38" s="5" t="n">
        <x:f>SUM(C38:K38)</x:f>
        <x:v>1</x:v>
      </x:c>
      <x:c r="M38" s="5" t="str">
        <x:v>Искать каналы с нулём; отдельно проверять действующее юрлицо и прием внешних провайдеров.</x:v>
      </x:c>
    </x:row>
    <x:row r="39" ht="31.5" customHeight="1">
      <x:c r="A39" s="5" t="str">
        <x:v>CU-0219</x:v>
      </x:c>
      <x:c r="B39" s="5" t="str">
        <x:v>PwC Академия Казахстан</x:v>
      </x:c>
      <x:c r="C39" s="5" t="n">
        <x:f>COUNTIFS('Каналы'!$B$6:$B$479,$A39,'Каналы'!$E$6:$E$479,"university_site")</x:f>
        <x:v>1</x:v>
      </x:c>
      <x:c r="D39" s="5" t="n">
        <x:f>COUNTIFS('Каналы'!$B$6:$B$479,$A39,'Каналы'!$E$6:$E$479,"news")</x:f>
        <x:v>1</x:v>
      </x:c>
      <x:c r="E39" s="5" t="n">
        <x:f>COUNTIFS('Каналы'!$B$6:$B$479,$A39,'Каналы'!$E$6:$E$479,"programs")</x:f>
        <x:v>1</x:v>
      </x:c>
      <x:c r="F39" s="5" t="n">
        <x:f>COUNTIFS('Каналы'!$B$6:$B$479,$A39,'Каналы'!$E$6:$E$479,"procurement")</x:f>
        <x:v>0</x:v>
      </x:c>
      <x:c r="G39" s="5" t="n">
        <x:f>COUNTIFS('Каналы'!$B$6:$B$479,$A39,'Каналы'!$E$6:$E$479,"expert_application")</x:f>
        <x:v>0</x:v>
      </x:c>
      <x:c r="H39" s="5" t="n">
        <x:f>COUNTIFS('Каналы'!$B$6:$B$479,$A39,'Каналы'!$E$6:$E$479,"partners")</x:f>
        <x:v>0</x:v>
      </x:c>
      <x:c r="I39" s="5" t="n">
        <x:f>COUNTIFS('Каналы'!$B$6:$B$479,$A39,'Каналы'!$E$6:$E$479,"contacts")</x:f>
        <x:v>0</x:v>
      </x:c>
      <x:c r="J39" s="5" t="n">
        <x:f>COUNTIFS('Каналы'!$B$6:$B$479,$A39,'Каналы'!$E$6:$E$479,"social")</x:f>
        <x:v>0</x:v>
      </x:c>
      <x:c r="K39" s="5" t="n">
        <x:f>COUNTIFS('Каналы'!$B$6:$B$479,$A39,'Каналы'!$E$6:$E$479,"careers")</x:f>
        <x:v>0</x:v>
      </x:c>
      <x:c r="L39" s="5" t="n">
        <x:f>SUM(C39:K39)</x:f>
        <x:v>3</x:v>
      </x:c>
      <x:c r="M39" s="5" t="str">
        <x:v>Искать каналы с нулём; отдельно проверять действующее юрлицо и прием внешних провайдеров.</x:v>
      </x:c>
    </x:row>
    <x:row r="40" ht="31.5" customHeight="1">
      <x:c r="A40" s="5" t="str">
        <x:v>CU-0220</x:v>
      </x:c>
      <x:c r="B40" s="5" t="str">
        <x:v>AIFC Academy — Академия МФЦА</x:v>
      </x:c>
      <x:c r="C40" s="5" t="n">
        <x:f>COUNTIFS('Каналы'!$B$6:$B$479,$A40,'Каналы'!$E$6:$E$479,"university_site")</x:f>
        <x:v>1</x:v>
      </x:c>
      <x:c r="D40" s="5" t="n">
        <x:f>COUNTIFS('Каналы'!$B$6:$B$479,$A40,'Каналы'!$E$6:$E$479,"news")</x:f>
        <x:v>0</x:v>
      </x:c>
      <x:c r="E40" s="5" t="n">
        <x:f>COUNTIFS('Каналы'!$B$6:$B$479,$A40,'Каналы'!$E$6:$E$479,"programs")</x:f>
        <x:v>0</x:v>
      </x:c>
      <x:c r="F40" s="5" t="n">
        <x:f>COUNTIFS('Каналы'!$B$6:$B$479,$A40,'Каналы'!$E$6:$E$479,"procurement")</x:f>
        <x:v>0</x:v>
      </x:c>
      <x:c r="G40" s="5" t="n">
        <x:f>COUNTIFS('Каналы'!$B$6:$B$479,$A40,'Каналы'!$E$6:$E$479,"expert_application")</x:f>
        <x:v>0</x:v>
      </x:c>
      <x:c r="H40" s="5" t="n">
        <x:f>COUNTIFS('Каналы'!$B$6:$B$479,$A40,'Каналы'!$E$6:$E$479,"partners")</x:f>
        <x:v>0</x:v>
      </x:c>
      <x:c r="I40" s="5" t="n">
        <x:f>COUNTIFS('Каналы'!$B$6:$B$479,$A40,'Каналы'!$E$6:$E$479,"contacts")</x:f>
        <x:v>0</x:v>
      </x:c>
      <x:c r="J40" s="5" t="n">
        <x:f>COUNTIFS('Каналы'!$B$6:$B$479,$A40,'Каналы'!$E$6:$E$479,"social")</x:f>
        <x:v>0</x:v>
      </x:c>
      <x:c r="K40" s="5" t="n">
        <x:f>COUNTIFS('Каналы'!$B$6:$B$479,$A40,'Каналы'!$E$6:$E$479,"careers")</x:f>
        <x:v>0</x:v>
      </x:c>
      <x:c r="L40" s="5" t="n">
        <x:f>SUM(C40:K40)</x:f>
        <x:v>1</x:v>
      </x:c>
      <x:c r="M40" s="5" t="str">
        <x:v>Искать каналы с нулём; отдельно проверять действующее юрлицо и прием внешних провайдеров.</x:v>
      </x:c>
    </x:row>
    <x:row r="41" ht="31.5" customHeight="1">
      <x:c r="A41" s="5" t="str">
        <x:v>CU-0225</x:v>
      </x:c>
      <x:c r="B41" s="5" t="str">
        <x:v>Forte Academy — Корпоративная академия ForteBank</x:v>
      </x:c>
      <x:c r="C41" s="5" t="n">
        <x:f>COUNTIFS('Каналы'!$B$6:$B$479,$A41,'Каналы'!$E$6:$E$479,"university_site")</x:f>
        <x:v>1</x:v>
      </x:c>
      <x:c r="D41" s="5" t="n">
        <x:f>COUNTIFS('Каналы'!$B$6:$B$479,$A41,'Каналы'!$E$6:$E$479,"news")</x:f>
        <x:v>0</x:v>
      </x:c>
      <x:c r="E41" s="5" t="n">
        <x:f>COUNTIFS('Каналы'!$B$6:$B$479,$A41,'Каналы'!$E$6:$E$479,"programs")</x:f>
        <x:v>0</x:v>
      </x:c>
      <x:c r="F41" s="5" t="n">
        <x:f>COUNTIFS('Каналы'!$B$6:$B$479,$A41,'Каналы'!$E$6:$E$479,"procurement")</x:f>
        <x:v>0</x:v>
      </x:c>
      <x:c r="G41" s="5" t="n">
        <x:f>COUNTIFS('Каналы'!$B$6:$B$479,$A41,'Каналы'!$E$6:$E$479,"expert_application")</x:f>
        <x:v>0</x:v>
      </x:c>
      <x:c r="H41" s="5" t="n">
        <x:f>COUNTIFS('Каналы'!$B$6:$B$479,$A41,'Каналы'!$E$6:$E$479,"partners")</x:f>
        <x:v>0</x:v>
      </x:c>
      <x:c r="I41" s="5" t="n">
        <x:f>COUNTIFS('Каналы'!$B$6:$B$479,$A41,'Каналы'!$E$6:$E$479,"contacts")</x:f>
        <x:v>0</x:v>
      </x:c>
      <x:c r="J41" s="5" t="n">
        <x:f>COUNTIFS('Каналы'!$B$6:$B$479,$A41,'Каналы'!$E$6:$E$479,"social")</x:f>
        <x:v>0</x:v>
      </x:c>
      <x:c r="K41" s="5" t="n">
        <x:f>COUNTIFS('Каналы'!$B$6:$B$479,$A41,'Каналы'!$E$6:$E$479,"careers")</x:f>
        <x:v>0</x:v>
      </x:c>
      <x:c r="L41" s="5" t="n">
        <x:f>SUM(C41:K41)</x:f>
        <x:v>1</x:v>
      </x:c>
      <x:c r="M41" s="5" t="str">
        <x:v>Искать каналы с нулём; отдельно проверять действующее юрлицо и прием внешних провайдеров.</x:v>
      </x:c>
    </x:row>
    <x:row r="42" ht="31.5" customHeight="1">
      <x:c r="A42" s="5" t="str">
        <x:v>CU-0190</x:v>
      </x:c>
      <x:c r="B42" s="5" t="str">
        <x:v>Корпоративный университет АО «КазНИИСА»</x:v>
      </x:c>
      <x:c r="C42" s="5" t="n">
        <x:f>COUNTIFS('Каналы'!$B$6:$B$479,$A42,'Каналы'!$E$6:$E$479,"university_site")</x:f>
        <x:v>1</x:v>
      </x:c>
      <x:c r="D42" s="5" t="n">
        <x:f>COUNTIFS('Каналы'!$B$6:$B$479,$A42,'Каналы'!$E$6:$E$479,"news")</x:f>
        <x:v>0</x:v>
      </x:c>
      <x:c r="E42" s="5" t="n">
        <x:f>COUNTIFS('Каналы'!$B$6:$B$479,$A42,'Каналы'!$E$6:$E$479,"programs")</x:f>
        <x:v>0</x:v>
      </x:c>
      <x:c r="F42" s="5" t="n">
        <x:f>COUNTIFS('Каналы'!$B$6:$B$479,$A42,'Каналы'!$E$6:$E$479,"procurement")</x:f>
        <x:v>0</x:v>
      </x:c>
      <x:c r="G42" s="5" t="n">
        <x:f>COUNTIFS('Каналы'!$B$6:$B$479,$A42,'Каналы'!$E$6:$E$479,"expert_application")</x:f>
        <x:v>0</x:v>
      </x:c>
      <x:c r="H42" s="5" t="n">
        <x:f>COUNTIFS('Каналы'!$B$6:$B$479,$A42,'Каналы'!$E$6:$E$479,"partners")</x:f>
        <x:v>0</x:v>
      </x:c>
      <x:c r="I42" s="5" t="n">
        <x:f>COUNTIFS('Каналы'!$B$6:$B$479,$A42,'Каналы'!$E$6:$E$479,"contacts")</x:f>
        <x:v>0</x:v>
      </x:c>
      <x:c r="J42" s="5" t="n">
        <x:f>COUNTIFS('Каналы'!$B$6:$B$479,$A42,'Каналы'!$E$6:$E$479,"social")</x:f>
        <x:v>0</x:v>
      </x:c>
      <x:c r="K42" s="5" t="n">
        <x:f>COUNTIFS('Каналы'!$B$6:$B$479,$A42,'Каналы'!$E$6:$E$479,"careers")</x:f>
        <x:v>0</x:v>
      </x:c>
      <x:c r="L42" s="5" t="n">
        <x:f>SUM(C42:K42)</x:f>
        <x:v>1</x:v>
      </x:c>
      <x:c r="M42" s="5" t="str">
        <x:v>Искать каналы с нулём; отдельно проверять действующее юрлицо и прием внешних провайдеров.</x:v>
      </x:c>
    </x:row>
    <x:row r="43" ht="31.5" customHeight="1">
      <x:c r="A43" s="5" t="str">
        <x:v>CU-0195</x:v>
      </x:c>
      <x:c r="B43" s="5" t="str">
        <x:v>Учебный центр АО «АК Алтыналмас»</x:v>
      </x:c>
      <x:c r="C43" s="5" t="n">
        <x:f>COUNTIFS('Каналы'!$B$6:$B$479,$A43,'Каналы'!$E$6:$E$479,"university_site")</x:f>
        <x:v>1</x:v>
      </x:c>
      <x:c r="D43" s="5" t="n">
        <x:f>COUNTIFS('Каналы'!$B$6:$B$479,$A43,'Каналы'!$E$6:$E$479,"news")</x:f>
        <x:v>1</x:v>
      </x:c>
      <x:c r="E43" s="5" t="n">
        <x:f>COUNTIFS('Каналы'!$B$6:$B$479,$A43,'Каналы'!$E$6:$E$479,"programs")</x:f>
        <x:v>0</x:v>
      </x:c>
      <x:c r="F43" s="5" t="n">
        <x:f>COUNTIFS('Каналы'!$B$6:$B$479,$A43,'Каналы'!$E$6:$E$479,"procurement")</x:f>
        <x:v>0</x:v>
      </x:c>
      <x:c r="G43" s="5" t="n">
        <x:f>COUNTIFS('Каналы'!$B$6:$B$479,$A43,'Каналы'!$E$6:$E$479,"expert_application")</x:f>
        <x:v>0</x:v>
      </x:c>
      <x:c r="H43" s="5" t="n">
        <x:f>COUNTIFS('Каналы'!$B$6:$B$479,$A43,'Каналы'!$E$6:$E$479,"partners")</x:f>
        <x:v>0</x:v>
      </x:c>
      <x:c r="I43" s="5" t="n">
        <x:f>COUNTIFS('Каналы'!$B$6:$B$479,$A43,'Каналы'!$E$6:$E$479,"contacts")</x:f>
        <x:v>0</x:v>
      </x:c>
      <x:c r="J43" s="5" t="n">
        <x:f>COUNTIFS('Каналы'!$B$6:$B$479,$A43,'Каналы'!$E$6:$E$479,"social")</x:f>
        <x:v>0</x:v>
      </x:c>
      <x:c r="K43" s="5" t="n">
        <x:f>COUNTIFS('Каналы'!$B$6:$B$479,$A43,'Каналы'!$E$6:$E$479,"careers")</x:f>
        <x:v>0</x:v>
      </x:c>
      <x:c r="L43" s="5" t="n">
        <x:f>SUM(C43:K43)</x:f>
        <x:v>2</x:v>
      </x:c>
      <x:c r="M43" s="5" t="str">
        <x:v>Искать каналы с нулём; отдельно проверять действующее юрлицо и прием внешних провайдеров.</x:v>
      </x:c>
    </x:row>
    <x:row r="44" ht="31.5" customHeight="1">
      <x:c r="A44" s="5" t="str">
        <x:v>CU-0199</x:v>
      </x:c>
      <x:c r="B44" s="5" t="str">
        <x:v>Учебно-курсовой комбинат Интергаз Центральная Азия</x:v>
      </x:c>
      <x:c r="C44" s="5" t="n">
        <x:f>COUNTIFS('Каналы'!$B$6:$B$479,$A44,'Каналы'!$E$6:$E$479,"university_site")</x:f>
        <x:v>1</x:v>
      </x:c>
      <x:c r="D44" s="5" t="n">
        <x:f>COUNTIFS('Каналы'!$B$6:$B$479,$A44,'Каналы'!$E$6:$E$479,"news")</x:f>
        <x:v>0</x:v>
      </x:c>
      <x:c r="E44" s="5" t="n">
        <x:f>COUNTIFS('Каналы'!$B$6:$B$479,$A44,'Каналы'!$E$6:$E$479,"programs")</x:f>
        <x:v>0</x:v>
      </x:c>
      <x:c r="F44" s="5" t="n">
        <x:f>COUNTIFS('Каналы'!$B$6:$B$479,$A44,'Каналы'!$E$6:$E$479,"procurement")</x:f>
        <x:v>0</x:v>
      </x:c>
      <x:c r="G44" s="5" t="n">
        <x:f>COUNTIFS('Каналы'!$B$6:$B$479,$A44,'Каналы'!$E$6:$E$479,"expert_application")</x:f>
        <x:v>0</x:v>
      </x:c>
      <x:c r="H44" s="5" t="n">
        <x:f>COUNTIFS('Каналы'!$B$6:$B$479,$A44,'Каналы'!$E$6:$E$479,"partners")</x:f>
        <x:v>0</x:v>
      </x:c>
      <x:c r="I44" s="5" t="n">
        <x:f>COUNTIFS('Каналы'!$B$6:$B$479,$A44,'Каналы'!$E$6:$E$479,"contacts")</x:f>
        <x:v>0</x:v>
      </x:c>
      <x:c r="J44" s="5" t="n">
        <x:f>COUNTIFS('Каналы'!$B$6:$B$479,$A44,'Каналы'!$E$6:$E$479,"social")</x:f>
        <x:v>0</x:v>
      </x:c>
      <x:c r="K44" s="5" t="n">
        <x:f>COUNTIFS('Каналы'!$B$6:$B$479,$A44,'Каналы'!$E$6:$E$479,"careers")</x:f>
        <x:v>0</x:v>
      </x:c>
      <x:c r="L44" s="5" t="n">
        <x:f>SUM(C44:K44)</x:f>
        <x:v>1</x:v>
      </x:c>
      <x:c r="M44" s="5" t="str">
        <x:v>Искать каналы с нулём; отдельно проверять действующее юрлицо и прием внешних провайдеров.</x:v>
      </x:c>
    </x:row>
    <x:row r="45" ht="31.5" customHeight="1">
      <x:c r="A45" s="5" t="str">
        <x:v>CU-0200</x:v>
      </x:c>
      <x:c r="B45" s="5" t="str">
        <x:v>Air Astana Training Centre / Flight Training Centre</x:v>
      </x:c>
      <x:c r="C45" s="5" t="n">
        <x:f>COUNTIFS('Каналы'!$B$6:$B$479,$A45,'Каналы'!$E$6:$E$479,"university_site")</x:f>
        <x:v>1</x:v>
      </x:c>
      <x:c r="D45" s="5" t="n">
        <x:f>COUNTIFS('Каналы'!$B$6:$B$479,$A45,'Каналы'!$E$6:$E$479,"news")</x:f>
        <x:v>1</x:v>
      </x:c>
      <x:c r="E45" s="5" t="n">
        <x:f>COUNTIFS('Каналы'!$B$6:$B$479,$A45,'Каналы'!$E$6:$E$479,"programs")</x:f>
        <x:v>0</x:v>
      </x:c>
      <x:c r="F45" s="5" t="n">
        <x:f>COUNTIFS('Каналы'!$B$6:$B$479,$A45,'Каналы'!$E$6:$E$479,"procurement")</x:f>
        <x:v>0</x:v>
      </x:c>
      <x:c r="G45" s="5" t="n">
        <x:f>COUNTIFS('Каналы'!$B$6:$B$479,$A45,'Каналы'!$E$6:$E$479,"expert_application")</x:f>
        <x:v>0</x:v>
      </x:c>
      <x:c r="H45" s="5" t="n">
        <x:f>COUNTIFS('Каналы'!$B$6:$B$479,$A45,'Каналы'!$E$6:$E$479,"partners")</x:f>
        <x:v>0</x:v>
      </x:c>
      <x:c r="I45" s="5" t="n">
        <x:f>COUNTIFS('Каналы'!$B$6:$B$479,$A45,'Каналы'!$E$6:$E$479,"contacts")</x:f>
        <x:v>0</x:v>
      </x:c>
      <x:c r="J45" s="5" t="n">
        <x:f>COUNTIFS('Каналы'!$B$6:$B$479,$A45,'Каналы'!$E$6:$E$479,"social")</x:f>
        <x:v>0</x:v>
      </x:c>
      <x:c r="K45" s="5" t="n">
        <x:f>COUNTIFS('Каналы'!$B$6:$B$479,$A45,'Каналы'!$E$6:$E$479,"careers")</x:f>
        <x:v>0</x:v>
      </x:c>
      <x:c r="L45" s="5" t="n">
        <x:f>SUM(C45:K45)</x:f>
        <x:v>2</x:v>
      </x:c>
      <x:c r="M45" s="5" t="str">
        <x:v>Искать каналы с нулём; отдельно проверять действующее юрлицо и прием внешних провайдеров.</x:v>
      </x:c>
    </x:row>
    <x:row r="46" ht="31.5" customHeight="1">
      <x:c r="A46" s="5" t="str">
        <x:v>CU-0201</x:v>
      </x:c>
      <x:c r="B46" s="5" t="str">
        <x:v>Авиационный учебный центр SCAT</x:v>
      </x:c>
      <x:c r="C46" s="5" t="n">
        <x:f>COUNTIFS('Каналы'!$B$6:$B$479,$A46,'Каналы'!$E$6:$E$479,"university_site")</x:f>
        <x:v>1</x:v>
      </x:c>
      <x:c r="D46" s="5" t="n">
        <x:f>COUNTIFS('Каналы'!$B$6:$B$479,$A46,'Каналы'!$E$6:$E$479,"news")</x:f>
        <x:v>0</x:v>
      </x:c>
      <x:c r="E46" s="5" t="n">
        <x:f>COUNTIFS('Каналы'!$B$6:$B$479,$A46,'Каналы'!$E$6:$E$479,"programs")</x:f>
        <x:v>0</x:v>
      </x:c>
      <x:c r="F46" s="5" t="n">
        <x:f>COUNTIFS('Каналы'!$B$6:$B$479,$A46,'Каналы'!$E$6:$E$479,"procurement")</x:f>
        <x:v>0</x:v>
      </x:c>
      <x:c r="G46" s="5" t="n">
        <x:f>COUNTIFS('Каналы'!$B$6:$B$479,$A46,'Каналы'!$E$6:$E$479,"expert_application")</x:f>
        <x:v>0</x:v>
      </x:c>
      <x:c r="H46" s="5" t="n">
        <x:f>COUNTIFS('Каналы'!$B$6:$B$479,$A46,'Каналы'!$E$6:$E$479,"partners")</x:f>
        <x:v>0</x:v>
      </x:c>
      <x:c r="I46" s="5" t="n">
        <x:f>COUNTIFS('Каналы'!$B$6:$B$479,$A46,'Каналы'!$E$6:$E$479,"contacts")</x:f>
        <x:v>0</x:v>
      </x:c>
      <x:c r="J46" s="5" t="n">
        <x:f>COUNTIFS('Каналы'!$B$6:$B$479,$A46,'Каналы'!$E$6:$E$479,"social")</x:f>
        <x:v>0</x:v>
      </x:c>
      <x:c r="K46" s="5" t="n">
        <x:f>COUNTIFS('Каналы'!$B$6:$B$479,$A46,'Каналы'!$E$6:$E$479,"careers")</x:f>
        <x:v>0</x:v>
      </x:c>
      <x:c r="L46" s="5" t="n">
        <x:f>SUM(C46:K46)</x:f>
        <x:v>1</x:v>
      </x:c>
      <x:c r="M46" s="5" t="str">
        <x:v>Искать каналы с нулём; отдельно проверять действующее юрлицо и прием внешних провайдеров.</x:v>
      </x:c>
    </x:row>
    <x:row r="47" ht="31.5" customHeight="1">
      <x:c r="A47" s="5" t="str">
        <x:v>CU-0202</x:v>
      </x:c>
      <x:c r="B47" s="5" t="str">
        <x:v>Центр профессиональной подготовки Казаэронавигации</x:v>
      </x:c>
      <x:c r="C47" s="5" t="n">
        <x:f>COUNTIFS('Каналы'!$B$6:$B$479,$A47,'Каналы'!$E$6:$E$479,"university_site")</x:f>
        <x:v>1</x:v>
      </x:c>
      <x:c r="D47" s="5" t="n">
        <x:f>COUNTIFS('Каналы'!$B$6:$B$479,$A47,'Каналы'!$E$6:$E$479,"news")</x:f>
        <x:v>0</x:v>
      </x:c>
      <x:c r="E47" s="5" t="n">
        <x:f>COUNTIFS('Каналы'!$B$6:$B$479,$A47,'Каналы'!$E$6:$E$479,"programs")</x:f>
        <x:v>1</x:v>
      </x:c>
      <x:c r="F47" s="5" t="n">
        <x:f>COUNTIFS('Каналы'!$B$6:$B$479,$A47,'Каналы'!$E$6:$E$479,"procurement")</x:f>
        <x:v>0</x:v>
      </x:c>
      <x:c r="G47" s="5" t="n">
        <x:f>COUNTIFS('Каналы'!$B$6:$B$479,$A47,'Каналы'!$E$6:$E$479,"expert_application")</x:f>
        <x:v>0</x:v>
      </x:c>
      <x:c r="H47" s="5" t="n">
        <x:f>COUNTIFS('Каналы'!$B$6:$B$479,$A47,'Каналы'!$E$6:$E$479,"partners")</x:f>
        <x:v>1</x:v>
      </x:c>
      <x:c r="I47" s="5" t="n">
        <x:f>COUNTIFS('Каналы'!$B$6:$B$479,$A47,'Каналы'!$E$6:$E$479,"contacts")</x:f>
        <x:v>0</x:v>
      </x:c>
      <x:c r="J47" s="5" t="n">
        <x:f>COUNTIFS('Каналы'!$B$6:$B$479,$A47,'Каналы'!$E$6:$E$479,"social")</x:f>
        <x:v>0</x:v>
      </x:c>
      <x:c r="K47" s="5" t="n">
        <x:f>COUNTIFS('Каналы'!$B$6:$B$479,$A47,'Каналы'!$E$6:$E$479,"careers")</x:f>
        <x:v>0</x:v>
      </x:c>
      <x:c r="L47" s="5" t="n">
        <x:f>SUM(C47:K47)</x:f>
        <x:v>3</x:v>
      </x:c>
      <x:c r="M47" s="5" t="str">
        <x:v>Искать каналы с нулём; отдельно проверять действующее юрлицо и прием внешних провайдеров.</x:v>
      </x:c>
    </x:row>
    <x:row r="48" ht="31.5" customHeight="1">
      <x:c r="A48" s="5" t="str">
        <x:v>CU-0203</x:v>
      </x:c>
      <x:c r="B48" s="5" t="str">
        <x:v>Airbus Helicopters Training Academy Kazakhstan</x:v>
      </x:c>
      <x:c r="C48" s="5" t="n">
        <x:f>COUNTIFS('Каналы'!$B$6:$B$479,$A48,'Каналы'!$E$6:$E$479,"university_site")</x:f>
        <x:v>1</x:v>
      </x:c>
      <x:c r="D48" s="5" t="n">
        <x:f>COUNTIFS('Каналы'!$B$6:$B$479,$A48,'Каналы'!$E$6:$E$479,"news")</x:f>
        <x:v>0</x:v>
      </x:c>
      <x:c r="E48" s="5" t="n">
        <x:f>COUNTIFS('Каналы'!$B$6:$B$479,$A48,'Каналы'!$E$6:$E$479,"programs")</x:f>
        <x:v>1</x:v>
      </x:c>
      <x:c r="F48" s="5" t="n">
        <x:f>COUNTIFS('Каналы'!$B$6:$B$479,$A48,'Каналы'!$E$6:$E$479,"procurement")</x:f>
        <x:v>0</x:v>
      </x:c>
      <x:c r="G48" s="5" t="n">
        <x:f>COUNTIFS('Каналы'!$B$6:$B$479,$A48,'Каналы'!$E$6:$E$479,"expert_application")</x:f>
        <x:v>0</x:v>
      </x:c>
      <x:c r="H48" s="5" t="n">
        <x:f>COUNTIFS('Каналы'!$B$6:$B$479,$A48,'Каналы'!$E$6:$E$479,"partners")</x:f>
        <x:v>0</x:v>
      </x:c>
      <x:c r="I48" s="5" t="n">
        <x:f>COUNTIFS('Каналы'!$B$6:$B$479,$A48,'Каналы'!$E$6:$E$479,"contacts")</x:f>
        <x:v>0</x:v>
      </x:c>
      <x:c r="J48" s="5" t="n">
        <x:f>COUNTIFS('Каналы'!$B$6:$B$479,$A48,'Каналы'!$E$6:$E$479,"social")</x:f>
        <x:v>0</x:v>
      </x:c>
      <x:c r="K48" s="5" t="n">
        <x:f>COUNTIFS('Каналы'!$B$6:$B$479,$A48,'Каналы'!$E$6:$E$479,"careers")</x:f>
        <x:v>0</x:v>
      </x:c>
      <x:c r="L48" s="5" t="n">
        <x:f>SUM(C48:K48)</x:f>
        <x:v>2</x:v>
      </x:c>
      <x:c r="M48" s="5" t="str">
        <x:v>Искать каналы с нулём; отдельно проверять действующее юрлицо и прием внешних провайдеров.</x:v>
      </x:c>
    </x:row>
    <x:row r="49" ht="31.5" customHeight="1">
      <x:c r="A49" s="5" t="str">
        <x:v>CU-0204</x:v>
      </x:c>
      <x:c r="B49" s="5" t="str">
        <x:v>Учебный центр КазТрансОйл в Актау</x:v>
      </x:c>
      <x:c r="C49" s="5" t="n">
        <x:f>COUNTIFS('Каналы'!$B$6:$B$479,$A49,'Каналы'!$E$6:$E$479,"university_site")</x:f>
        <x:v>1</x:v>
      </x:c>
      <x:c r="D49" s="5" t="n">
        <x:f>COUNTIFS('Каналы'!$B$6:$B$479,$A49,'Каналы'!$E$6:$E$479,"news")</x:f>
        <x:v>0</x:v>
      </x:c>
      <x:c r="E49" s="5" t="n">
        <x:f>COUNTIFS('Каналы'!$B$6:$B$479,$A49,'Каналы'!$E$6:$E$479,"programs")</x:f>
        <x:v>0</x:v>
      </x:c>
      <x:c r="F49" s="5" t="n">
        <x:f>COUNTIFS('Каналы'!$B$6:$B$479,$A49,'Каналы'!$E$6:$E$479,"procurement")</x:f>
        <x:v>0</x:v>
      </x:c>
      <x:c r="G49" s="5" t="n">
        <x:f>COUNTIFS('Каналы'!$B$6:$B$479,$A49,'Каналы'!$E$6:$E$479,"expert_application")</x:f>
        <x:v>0</x:v>
      </x:c>
      <x:c r="H49" s="5" t="n">
        <x:f>COUNTIFS('Каналы'!$B$6:$B$479,$A49,'Каналы'!$E$6:$E$479,"partners")</x:f>
        <x:v>0</x:v>
      </x:c>
      <x:c r="I49" s="5" t="n">
        <x:f>COUNTIFS('Каналы'!$B$6:$B$479,$A49,'Каналы'!$E$6:$E$479,"contacts")</x:f>
        <x:v>0</x:v>
      </x:c>
      <x:c r="J49" s="5" t="n">
        <x:f>COUNTIFS('Каналы'!$B$6:$B$479,$A49,'Каналы'!$E$6:$E$479,"social")</x:f>
        <x:v>0</x:v>
      </x:c>
      <x:c r="K49" s="5" t="n">
        <x:f>COUNTIFS('Каналы'!$B$6:$B$479,$A49,'Каналы'!$E$6:$E$479,"careers")</x:f>
        <x:v>0</x:v>
      </x:c>
      <x:c r="L49" s="5" t="n">
        <x:f>SUM(C49:K49)</x:f>
        <x:v>1</x:v>
      </x:c>
      <x:c r="M49" s="5" t="str">
        <x:v>Искать каналы с нулём; отдельно проверять действующее юрлицо и прием внешних провайдеров.</x:v>
      </x:c>
    </x:row>
    <x:row r="50" ht="31.5" customHeight="1">
      <x:c r="A50" s="5" t="str">
        <x:v>CU-0205</x:v>
      </x:c>
      <x:c r="B50" s="5" t="str">
        <x:v>Учебный центр KMG Automation</x:v>
      </x:c>
      <x:c r="C50" s="5" t="n">
        <x:f>COUNTIFS('Каналы'!$B$6:$B$479,$A50,'Каналы'!$E$6:$E$479,"university_site")</x:f>
        <x:v>1</x:v>
      </x:c>
      <x:c r="D50" s="5" t="n">
        <x:f>COUNTIFS('Каналы'!$B$6:$B$479,$A50,'Каналы'!$E$6:$E$479,"news")</x:f>
        <x:v>0</x:v>
      </x:c>
      <x:c r="E50" s="5" t="n">
        <x:f>COUNTIFS('Каналы'!$B$6:$B$479,$A50,'Каналы'!$E$6:$E$479,"programs")</x:f>
        <x:v>0</x:v>
      </x:c>
      <x:c r="F50" s="5" t="n">
        <x:f>COUNTIFS('Каналы'!$B$6:$B$479,$A50,'Каналы'!$E$6:$E$479,"procurement")</x:f>
        <x:v>0</x:v>
      </x:c>
      <x:c r="G50" s="5" t="n">
        <x:f>COUNTIFS('Каналы'!$B$6:$B$479,$A50,'Каналы'!$E$6:$E$479,"expert_application")</x:f>
        <x:v>0</x:v>
      </x:c>
      <x:c r="H50" s="5" t="n">
        <x:f>COUNTIFS('Каналы'!$B$6:$B$479,$A50,'Каналы'!$E$6:$E$479,"partners")</x:f>
        <x:v>0</x:v>
      </x:c>
      <x:c r="I50" s="5" t="n">
        <x:f>COUNTIFS('Каналы'!$B$6:$B$479,$A50,'Каналы'!$E$6:$E$479,"contacts")</x:f>
        <x:v>0</x:v>
      </x:c>
      <x:c r="J50" s="5" t="n">
        <x:f>COUNTIFS('Каналы'!$B$6:$B$479,$A50,'Каналы'!$E$6:$E$479,"social")</x:f>
        <x:v>0</x:v>
      </x:c>
      <x:c r="K50" s="5" t="n">
        <x:f>COUNTIFS('Каналы'!$B$6:$B$479,$A50,'Каналы'!$E$6:$E$479,"careers")</x:f>
        <x:v>0</x:v>
      </x:c>
      <x:c r="L50" s="5" t="n">
        <x:f>SUM(C50:K50)</x:f>
        <x:v>1</x:v>
      </x:c>
      <x:c r="M50" s="5" t="str">
        <x:v>Искать каналы с нулём; отдельно проверять действующее юрлицо и прием внешних провайдеров.</x:v>
      </x:c>
    </x:row>
    <x:row r="51" ht="31.5" customHeight="1">
      <x:c r="A51" s="5" t="str">
        <x:v>CU-0206</x:v>
      </x:c>
      <x:c r="B51" s="5" t="str">
        <x:v>Учебный центр ПНХЗ</x:v>
      </x:c>
      <x:c r="C51" s="5" t="n">
        <x:f>COUNTIFS('Каналы'!$B$6:$B$479,$A51,'Каналы'!$E$6:$E$479,"university_site")</x:f>
        <x:v>1</x:v>
      </x:c>
      <x:c r="D51" s="5" t="n">
        <x:f>COUNTIFS('Каналы'!$B$6:$B$479,$A51,'Каналы'!$E$6:$E$479,"news")</x:f>
        <x:v>1</x:v>
      </x:c>
      <x:c r="E51" s="5" t="n">
        <x:f>COUNTIFS('Каналы'!$B$6:$B$479,$A51,'Каналы'!$E$6:$E$479,"programs")</x:f>
        <x:v>0</x:v>
      </x:c>
      <x:c r="F51" s="5" t="n">
        <x:f>COUNTIFS('Каналы'!$B$6:$B$479,$A51,'Каналы'!$E$6:$E$479,"procurement")</x:f>
        <x:v>0</x:v>
      </x:c>
      <x:c r="G51" s="5" t="n">
        <x:f>COUNTIFS('Каналы'!$B$6:$B$479,$A51,'Каналы'!$E$6:$E$479,"expert_application")</x:f>
        <x:v>0</x:v>
      </x:c>
      <x:c r="H51" s="5" t="n">
        <x:f>COUNTIFS('Каналы'!$B$6:$B$479,$A51,'Каналы'!$E$6:$E$479,"partners")</x:f>
        <x:v>0</x:v>
      </x:c>
      <x:c r="I51" s="5" t="n">
        <x:f>COUNTIFS('Каналы'!$B$6:$B$479,$A51,'Каналы'!$E$6:$E$479,"contacts")</x:f>
        <x:v>0</x:v>
      </x:c>
      <x:c r="J51" s="5" t="n">
        <x:f>COUNTIFS('Каналы'!$B$6:$B$479,$A51,'Каналы'!$E$6:$E$479,"social")</x:f>
        <x:v>0</x:v>
      </x:c>
      <x:c r="K51" s="5" t="n">
        <x:f>COUNTIFS('Каналы'!$B$6:$B$479,$A51,'Каналы'!$E$6:$E$479,"careers")</x:f>
        <x:v>0</x:v>
      </x:c>
      <x:c r="L51" s="5" t="n">
        <x:f>SUM(C51:K51)</x:f>
        <x:v>2</x:v>
      </x:c>
      <x:c r="M51" s="5" t="str">
        <x:v>Искать каналы с нулём; отдельно проверять действующее юрлицо и прием внешних провайдеров.</x:v>
      </x:c>
    </x:row>
    <x:row r="52" ht="31.5" customHeight="1">
      <x:c r="A52" s="5" t="str">
        <x:v>CU-0207</x:v>
      </x:c>
      <x:c r="B52" s="5" t="str">
        <x:v>Учебный центр Атырауского НПЗ</x:v>
      </x:c>
      <x:c r="C52" s="5" t="n">
        <x:f>COUNTIFS('Каналы'!$B$6:$B$479,$A52,'Каналы'!$E$6:$E$479,"university_site")</x:f>
        <x:v>1</x:v>
      </x:c>
      <x:c r="D52" s="5" t="n">
        <x:f>COUNTIFS('Каналы'!$B$6:$B$479,$A52,'Каналы'!$E$6:$E$479,"news")</x:f>
        <x:v>0</x:v>
      </x:c>
      <x:c r="E52" s="5" t="n">
        <x:f>COUNTIFS('Каналы'!$B$6:$B$479,$A52,'Каналы'!$E$6:$E$479,"programs")</x:f>
        <x:v>0</x:v>
      </x:c>
      <x:c r="F52" s="5" t="n">
        <x:f>COUNTIFS('Каналы'!$B$6:$B$479,$A52,'Каналы'!$E$6:$E$479,"procurement")</x:f>
        <x:v>0</x:v>
      </x:c>
      <x:c r="G52" s="5" t="n">
        <x:f>COUNTIFS('Каналы'!$B$6:$B$479,$A52,'Каналы'!$E$6:$E$479,"expert_application")</x:f>
        <x:v>0</x:v>
      </x:c>
      <x:c r="H52" s="5" t="n">
        <x:f>COUNTIFS('Каналы'!$B$6:$B$479,$A52,'Каналы'!$E$6:$E$479,"partners")</x:f>
        <x:v>0</x:v>
      </x:c>
      <x:c r="I52" s="5" t="n">
        <x:f>COUNTIFS('Каналы'!$B$6:$B$479,$A52,'Каналы'!$E$6:$E$479,"contacts")</x:f>
        <x:v>0</x:v>
      </x:c>
      <x:c r="J52" s="5" t="n">
        <x:f>COUNTIFS('Каналы'!$B$6:$B$479,$A52,'Каналы'!$E$6:$E$479,"social")</x:f>
        <x:v>0</x:v>
      </x:c>
      <x:c r="K52" s="5" t="n">
        <x:f>COUNTIFS('Каналы'!$B$6:$B$479,$A52,'Каналы'!$E$6:$E$479,"careers")</x:f>
        <x:v>0</x:v>
      </x:c>
      <x:c r="L52" s="5" t="n">
        <x:f>SUM(C52:K52)</x:f>
        <x:v>1</x:v>
      </x:c>
      <x:c r="M52" s="5" t="str">
        <x:v>Искать каналы с нулём; отдельно проверять действующее юрлицо и прием внешних провайдеров.</x:v>
      </x:c>
    </x:row>
    <x:row r="53" ht="31.5" customHeight="1">
      <x:c r="A53" s="5" t="str">
        <x:v>CU-0208</x:v>
      </x:c>
      <x:c r="B53" s="5" t="str">
        <x:v>Учебный центр Тенгизшевройл</x:v>
      </x:c>
      <x:c r="C53" s="5" t="n">
        <x:f>COUNTIFS('Каналы'!$B$6:$B$479,$A53,'Каналы'!$E$6:$E$479,"university_site")</x:f>
        <x:v>1</x:v>
      </x:c>
      <x:c r="D53" s="5" t="n">
        <x:f>COUNTIFS('Каналы'!$B$6:$B$479,$A53,'Каналы'!$E$6:$E$479,"news")</x:f>
        <x:v>1</x:v>
      </x:c>
      <x:c r="E53" s="5" t="n">
        <x:f>COUNTIFS('Каналы'!$B$6:$B$479,$A53,'Каналы'!$E$6:$E$479,"programs")</x:f>
        <x:v>0</x:v>
      </x:c>
      <x:c r="F53" s="5" t="n">
        <x:f>COUNTIFS('Каналы'!$B$6:$B$479,$A53,'Каналы'!$E$6:$E$479,"procurement")</x:f>
        <x:v>0</x:v>
      </x:c>
      <x:c r="G53" s="5" t="n">
        <x:f>COUNTIFS('Каналы'!$B$6:$B$479,$A53,'Каналы'!$E$6:$E$479,"expert_application")</x:f>
        <x:v>0</x:v>
      </x:c>
      <x:c r="H53" s="5" t="n">
        <x:f>COUNTIFS('Каналы'!$B$6:$B$479,$A53,'Каналы'!$E$6:$E$479,"partners")</x:f>
        <x:v>0</x:v>
      </x:c>
      <x:c r="I53" s="5" t="n">
        <x:f>COUNTIFS('Каналы'!$B$6:$B$479,$A53,'Каналы'!$E$6:$E$479,"contacts")</x:f>
        <x:v>0</x:v>
      </x:c>
      <x:c r="J53" s="5" t="n">
        <x:f>COUNTIFS('Каналы'!$B$6:$B$479,$A53,'Каналы'!$E$6:$E$479,"social")</x:f>
        <x:v>0</x:v>
      </x:c>
      <x:c r="K53" s="5" t="n">
        <x:f>COUNTIFS('Каналы'!$B$6:$B$479,$A53,'Каналы'!$E$6:$E$479,"careers")</x:f>
        <x:v>0</x:v>
      </x:c>
      <x:c r="L53" s="5" t="n">
        <x:f>SUM(C53:K53)</x:f>
        <x:v>2</x:v>
      </x:c>
      <x:c r="M53" s="5" t="str">
        <x:v>Искать каналы с нулём; отдельно проверять действующее юрлицо и прием внешних провайдеров.</x:v>
      </x:c>
    </x:row>
    <x:row r="54" ht="31.5" customHeight="1">
      <x:c r="A54" s="5" t="str">
        <x:v>CU-0209</x:v>
      </x:c>
      <x:c r="B54" s="5" t="str">
        <x:v>Учебный центр KPO (Аксай / Aliya Training Centre)</x:v>
      </x:c>
      <x:c r="C54" s="5" t="n">
        <x:f>COUNTIFS('Каналы'!$B$6:$B$479,$A54,'Каналы'!$E$6:$E$479,"university_site")</x:f>
        <x:v>1</x:v>
      </x:c>
      <x:c r="D54" s="5" t="n">
        <x:f>COUNTIFS('Каналы'!$B$6:$B$479,$A54,'Каналы'!$E$6:$E$479,"news")</x:f>
        <x:v>0</x:v>
      </x:c>
      <x:c r="E54" s="5" t="n">
        <x:f>COUNTIFS('Каналы'!$B$6:$B$479,$A54,'Каналы'!$E$6:$E$479,"programs")</x:f>
        <x:v>0</x:v>
      </x:c>
      <x:c r="F54" s="5" t="n">
        <x:f>COUNTIFS('Каналы'!$B$6:$B$479,$A54,'Каналы'!$E$6:$E$479,"procurement")</x:f>
        <x:v>0</x:v>
      </x:c>
      <x:c r="G54" s="5" t="n">
        <x:f>COUNTIFS('Каналы'!$B$6:$B$479,$A54,'Каналы'!$E$6:$E$479,"expert_application")</x:f>
        <x:v>0</x:v>
      </x:c>
      <x:c r="H54" s="5" t="n">
        <x:f>COUNTIFS('Каналы'!$B$6:$B$479,$A54,'Каналы'!$E$6:$E$479,"partners")</x:f>
        <x:v>0</x:v>
      </x:c>
      <x:c r="I54" s="5" t="n">
        <x:f>COUNTIFS('Каналы'!$B$6:$B$479,$A54,'Каналы'!$E$6:$E$479,"contacts")</x:f>
        <x:v>0</x:v>
      </x:c>
      <x:c r="J54" s="5" t="n">
        <x:f>COUNTIFS('Каналы'!$B$6:$B$479,$A54,'Каналы'!$E$6:$E$479,"social")</x:f>
        <x:v>0</x:v>
      </x:c>
      <x:c r="K54" s="5" t="n">
        <x:f>COUNTIFS('Каналы'!$B$6:$B$479,$A54,'Каналы'!$E$6:$E$479,"careers")</x:f>
        <x:v>1</x:v>
      </x:c>
      <x:c r="L54" s="5" t="n">
        <x:f>SUM(C54:K54)</x:f>
        <x:v>2</x:v>
      </x:c>
      <x:c r="M54" s="5" t="str">
        <x:v>Искать каналы с нулём; отдельно проверять действующее юрлицо и прием внешних провайдеров.</x:v>
      </x:c>
    </x:row>
    <x:row r="55" ht="31.5" customHeight="1">
      <x:c r="A55" s="5" t="str">
        <x:v>CU-0210</x:v>
      </x:c>
      <x:c r="B55" s="5" t="str">
        <x:v>Atyrau Training Centre NCOC</x:v>
      </x:c>
      <x:c r="C55" s="5" t="n">
        <x:f>COUNTIFS('Каналы'!$B$6:$B$479,$A55,'Каналы'!$E$6:$E$479,"university_site")</x:f>
        <x:v>1</x:v>
      </x:c>
      <x:c r="D55" s="5" t="n">
        <x:f>COUNTIFS('Каналы'!$B$6:$B$479,$A55,'Каналы'!$E$6:$E$479,"news")</x:f>
        <x:v>2</x:v>
      </x:c>
      <x:c r="E55" s="5" t="n">
        <x:f>COUNTIFS('Каналы'!$B$6:$B$479,$A55,'Каналы'!$E$6:$E$479,"programs")</x:f>
        <x:v>0</x:v>
      </x:c>
      <x:c r="F55" s="5" t="n">
        <x:f>COUNTIFS('Каналы'!$B$6:$B$479,$A55,'Каналы'!$E$6:$E$479,"procurement")</x:f>
        <x:v>0</x:v>
      </x:c>
      <x:c r="G55" s="5" t="n">
        <x:f>COUNTIFS('Каналы'!$B$6:$B$479,$A55,'Каналы'!$E$6:$E$479,"expert_application")</x:f>
        <x:v>0</x:v>
      </x:c>
      <x:c r="H55" s="5" t="n">
        <x:f>COUNTIFS('Каналы'!$B$6:$B$479,$A55,'Каналы'!$E$6:$E$479,"partners")</x:f>
        <x:v>0</x:v>
      </x:c>
      <x:c r="I55" s="5" t="n">
        <x:f>COUNTIFS('Каналы'!$B$6:$B$479,$A55,'Каналы'!$E$6:$E$479,"contacts")</x:f>
        <x:v>0</x:v>
      </x:c>
      <x:c r="J55" s="5" t="n">
        <x:f>COUNTIFS('Каналы'!$B$6:$B$479,$A55,'Каналы'!$E$6:$E$479,"social")</x:f>
        <x:v>0</x:v>
      </x:c>
      <x:c r="K55" s="5" t="n">
        <x:f>COUNTIFS('Каналы'!$B$6:$B$479,$A55,'Каналы'!$E$6:$E$479,"careers")</x:f>
        <x:v>0</x:v>
      </x:c>
      <x:c r="L55" s="5" t="n">
        <x:f>SUM(C55:K55)</x:f>
        <x:v>3</x:v>
      </x:c>
      <x:c r="M55" s="5" t="str">
        <x:v>Искать каналы с нулём; отдельно проверять действующее юрлицо и прием внешних провайдеров.</x:v>
      </x:c>
    </x:row>
    <x:row r="56" ht="31.5" customHeight="1">
      <x:c r="A56" s="5" t="str">
        <x:v>CU-0222</x:v>
      </x:c>
      <x:c r="B56" s="5" t="str">
        <x:v>Учебно-методический центр Казфосфат</x:v>
      </x:c>
      <x:c r="C56" s="5" t="n">
        <x:f>COUNTIFS('Каналы'!$B$6:$B$479,$A56,'Каналы'!$E$6:$E$479,"university_site")</x:f>
        <x:v>1</x:v>
      </x:c>
      <x:c r="D56" s="5" t="n">
        <x:f>COUNTIFS('Каналы'!$B$6:$B$479,$A56,'Каналы'!$E$6:$E$479,"news")</x:f>
        <x:v>0</x:v>
      </x:c>
      <x:c r="E56" s="5" t="n">
        <x:f>COUNTIFS('Каналы'!$B$6:$B$479,$A56,'Каналы'!$E$6:$E$479,"programs")</x:f>
        <x:v>0</x:v>
      </x:c>
      <x:c r="F56" s="5" t="n">
        <x:f>COUNTIFS('Каналы'!$B$6:$B$479,$A56,'Каналы'!$E$6:$E$479,"procurement")</x:f>
        <x:v>0</x:v>
      </x:c>
      <x:c r="G56" s="5" t="n">
        <x:f>COUNTIFS('Каналы'!$B$6:$B$479,$A56,'Каналы'!$E$6:$E$479,"expert_application")</x:f>
        <x:v>0</x:v>
      </x:c>
      <x:c r="H56" s="5" t="n">
        <x:f>COUNTIFS('Каналы'!$B$6:$B$479,$A56,'Каналы'!$E$6:$E$479,"partners")</x:f>
        <x:v>0</x:v>
      </x:c>
      <x:c r="I56" s="5" t="n">
        <x:f>COUNTIFS('Каналы'!$B$6:$B$479,$A56,'Каналы'!$E$6:$E$479,"contacts")</x:f>
        <x:v>0</x:v>
      </x:c>
      <x:c r="J56" s="5" t="n">
        <x:f>COUNTIFS('Каналы'!$B$6:$B$479,$A56,'Каналы'!$E$6:$E$479,"social")</x:f>
        <x:v>0</x:v>
      </x:c>
      <x:c r="K56" s="5" t="n">
        <x:f>COUNTIFS('Каналы'!$B$6:$B$479,$A56,'Каналы'!$E$6:$E$479,"careers")</x:f>
        <x:v>0</x:v>
      </x:c>
      <x:c r="L56" s="5" t="n">
        <x:f>SUM(C56:K56)</x:f>
        <x:v>1</x:v>
      </x:c>
      <x:c r="M56" s="5" t="str">
        <x:v>Искать каналы с нулём; отдельно проверять действующее юрлицо и прием внешних провайдеров.</x:v>
      </x:c>
    </x:row>
    <x:row r="57" ht="31.5" customHeight="1">
      <x:c r="A57" s="5" t="str">
        <x:v>CU-0223</x:v>
      </x:c>
      <x:c r="B57" s="5" t="str">
        <x:v>Центр подготовки и переподготовки кадров Технологического колледжа корпорации Казахмыс</x:v>
      </x:c>
      <x:c r="C57" s="5" t="n">
        <x:f>COUNTIFS('Каналы'!$B$6:$B$479,$A57,'Каналы'!$E$6:$E$479,"university_site")</x:f>
        <x:v>1</x:v>
      </x:c>
      <x:c r="D57" s="5" t="n">
        <x:f>COUNTIFS('Каналы'!$B$6:$B$479,$A57,'Каналы'!$E$6:$E$479,"news")</x:f>
        <x:v>0</x:v>
      </x:c>
      <x:c r="E57" s="5" t="n">
        <x:f>COUNTIFS('Каналы'!$B$6:$B$479,$A57,'Каналы'!$E$6:$E$479,"programs")</x:f>
        <x:v>0</x:v>
      </x:c>
      <x:c r="F57" s="5" t="n">
        <x:f>COUNTIFS('Каналы'!$B$6:$B$479,$A57,'Каналы'!$E$6:$E$479,"procurement")</x:f>
        <x:v>0</x:v>
      </x:c>
      <x:c r="G57" s="5" t="n">
        <x:f>COUNTIFS('Каналы'!$B$6:$B$479,$A57,'Каналы'!$E$6:$E$479,"expert_application")</x:f>
        <x:v>0</x:v>
      </x:c>
      <x:c r="H57" s="5" t="n">
        <x:f>COUNTIFS('Каналы'!$B$6:$B$479,$A57,'Каналы'!$E$6:$E$479,"partners")</x:f>
        <x:v>0</x:v>
      </x:c>
      <x:c r="I57" s="5" t="n">
        <x:f>COUNTIFS('Каналы'!$B$6:$B$479,$A57,'Каналы'!$E$6:$E$479,"contacts")</x:f>
        <x:v>0</x:v>
      </x:c>
      <x:c r="J57" s="5" t="n">
        <x:f>COUNTIFS('Каналы'!$B$6:$B$479,$A57,'Каналы'!$E$6:$E$479,"social")</x:f>
        <x:v>0</x:v>
      </x:c>
      <x:c r="K57" s="5" t="n">
        <x:f>COUNTIFS('Каналы'!$B$6:$B$479,$A57,'Каналы'!$E$6:$E$479,"careers")</x:f>
        <x:v>0</x:v>
      </x:c>
      <x:c r="L57" s="5" t="n">
        <x:f>SUM(C57:K57)</x:f>
        <x:v>1</x:v>
      </x:c>
      <x:c r="M57" s="5" t="str">
        <x:v>Искать каналы с нулём; отдельно проверять действующее юрлицо и прием внешних провайдеров.</x:v>
      </x:c>
    </x:row>
    <x:row r="58" ht="31.5" customHeight="1">
      <x:c r="A58" s="5" t="str">
        <x:v>CU-0224</x:v>
      </x:c>
      <x:c r="B58" s="5" t="str">
        <x:v>Центр подготовки и переподготовки кадров Политехнического колледжа корпорации Казахмыс</x:v>
      </x:c>
      <x:c r="C58" s="5" t="n">
        <x:f>COUNTIFS('Каналы'!$B$6:$B$479,$A58,'Каналы'!$E$6:$E$479,"university_site")</x:f>
        <x:v>1</x:v>
      </x:c>
      <x:c r="D58" s="5" t="n">
        <x:f>COUNTIFS('Каналы'!$B$6:$B$479,$A58,'Каналы'!$E$6:$E$479,"news")</x:f>
        <x:v>0</x:v>
      </x:c>
      <x:c r="E58" s="5" t="n">
        <x:f>COUNTIFS('Каналы'!$B$6:$B$479,$A58,'Каналы'!$E$6:$E$479,"programs")</x:f>
        <x:v>1</x:v>
      </x:c>
      <x:c r="F58" s="5" t="n">
        <x:f>COUNTIFS('Каналы'!$B$6:$B$479,$A58,'Каналы'!$E$6:$E$479,"procurement")</x:f>
        <x:v>0</x:v>
      </x:c>
      <x:c r="G58" s="5" t="n">
        <x:f>COUNTIFS('Каналы'!$B$6:$B$479,$A58,'Каналы'!$E$6:$E$479,"expert_application")</x:f>
        <x:v>0</x:v>
      </x:c>
      <x:c r="H58" s="5" t="n">
        <x:f>COUNTIFS('Каналы'!$B$6:$B$479,$A58,'Каналы'!$E$6:$E$479,"partners")</x:f>
        <x:v>0</x:v>
      </x:c>
      <x:c r="I58" s="5" t="n">
        <x:f>COUNTIFS('Каналы'!$B$6:$B$479,$A58,'Каналы'!$E$6:$E$479,"contacts")</x:f>
        <x:v>0</x:v>
      </x:c>
      <x:c r="J58" s="5" t="n">
        <x:f>COUNTIFS('Каналы'!$B$6:$B$479,$A58,'Каналы'!$E$6:$E$479,"social")</x:f>
        <x:v>0</x:v>
      </x:c>
      <x:c r="K58" s="5" t="n">
        <x:f>COUNTIFS('Каналы'!$B$6:$B$479,$A58,'Каналы'!$E$6:$E$479,"careers")</x:f>
        <x:v>0</x:v>
      </x:c>
      <x:c r="L58" s="5" t="n">
        <x:f>SUM(C58:K58)</x:f>
        <x:v>2</x:v>
      </x:c>
      <x:c r="M58" s="5" t="str">
        <x:v>Искать каналы с нулём; отдельно проверять действующее юрлицо и прием внешних провайдеров.</x:v>
      </x:c>
    </x:row>
    <x:row r="59" ht="31.5" customHeight="1">
      <x:c r="A59" s="5" t="str">
        <x:v>CU-0001</x:v>
      </x:c>
      <x:c r="B59" s="5" t="str">
        <x:v>Газпром университет (бывший Газпром корпоративный институт)</x:v>
      </x:c>
      <x:c r="C59" s="5" t="n">
        <x:f>COUNTIFS('Каналы'!$B$6:$B$479,$A59,'Каналы'!$E$6:$E$479,"university_site")</x:f>
        <x:v>1</x:v>
      </x:c>
      <x:c r="D59" s="5" t="n">
        <x:f>COUNTIFS('Каналы'!$B$6:$B$479,$A59,'Каналы'!$E$6:$E$479,"news")</x:f>
        <x:v>1</x:v>
      </x:c>
      <x:c r="E59" s="5" t="n">
        <x:f>COUNTIFS('Каналы'!$B$6:$B$479,$A59,'Каналы'!$E$6:$E$479,"programs")</x:f>
        <x:v>1</x:v>
      </x:c>
      <x:c r="F59" s="5" t="n">
        <x:f>COUNTIFS('Каналы'!$B$6:$B$479,$A59,'Каналы'!$E$6:$E$479,"procurement")</x:f>
        <x:v>1</x:v>
      </x:c>
      <x:c r="G59" s="5" t="n">
        <x:f>COUNTIFS('Каналы'!$B$6:$B$479,$A59,'Каналы'!$E$6:$E$479,"expert_application")</x:f>
        <x:v>0</x:v>
      </x:c>
      <x:c r="H59" s="5" t="n">
        <x:f>COUNTIFS('Каналы'!$B$6:$B$479,$A59,'Каналы'!$E$6:$E$479,"partners")</x:f>
        <x:v>0</x:v>
      </x:c>
      <x:c r="I59" s="5" t="n">
        <x:f>COUNTIFS('Каналы'!$B$6:$B$479,$A59,'Каналы'!$E$6:$E$479,"contacts")</x:f>
        <x:v>0</x:v>
      </x:c>
      <x:c r="J59" s="5" t="n">
        <x:f>COUNTIFS('Каналы'!$B$6:$B$479,$A59,'Каналы'!$E$6:$E$479,"social")</x:f>
        <x:v>0</x:v>
      </x:c>
      <x:c r="K59" s="5" t="n">
        <x:f>COUNTIFS('Каналы'!$B$6:$B$479,$A59,'Каналы'!$E$6:$E$479,"careers")</x:f>
        <x:v>0</x:v>
      </x:c>
      <x:c r="L59" s="5" t="n">
        <x:f>SUM(C59:K59)</x:f>
        <x:v>4</x:v>
      </x:c>
      <x:c r="M59" s="5" t="str">
        <x:v>Искать каналы с нулём; отдельно проверять действующее юрлицо и прием внешних провайдеров.</x:v>
      </x:c>
    </x:row>
    <x:row r="60" ht="31.5" customHeight="1">
      <x:c r="A60" s="5" t="str">
        <x:v>CU-0003</x:v>
      </x:c>
      <x:c r="B60" s="5" t="str">
        <x:v>Газпром ОНУТЦ — Отраслевой научно-исследовательский учебно-тренажёрный центр</x:v>
      </x:c>
      <x:c r="C60" s="5" t="n">
        <x:f>COUNTIFS('Каналы'!$B$6:$B$479,$A60,'Каналы'!$E$6:$E$479,"university_site")</x:f>
        <x:v>1</x:v>
      </x:c>
      <x:c r="D60" s="5" t="n">
        <x:f>COUNTIFS('Каналы'!$B$6:$B$479,$A60,'Каналы'!$E$6:$E$479,"news")</x:f>
        <x:v>0</x:v>
      </x:c>
      <x:c r="E60" s="5" t="n">
        <x:f>COUNTIFS('Каналы'!$B$6:$B$479,$A60,'Каналы'!$E$6:$E$479,"programs")</x:f>
        <x:v>1</x:v>
      </x:c>
      <x:c r="F60" s="5" t="n">
        <x:f>COUNTIFS('Каналы'!$B$6:$B$479,$A60,'Каналы'!$E$6:$E$479,"procurement")</x:f>
        <x:v>1</x:v>
      </x:c>
      <x:c r="G60" s="5" t="n">
        <x:f>COUNTIFS('Каналы'!$B$6:$B$479,$A60,'Каналы'!$E$6:$E$479,"expert_application")</x:f>
        <x:v>0</x:v>
      </x:c>
      <x:c r="H60" s="5" t="n">
        <x:f>COUNTIFS('Каналы'!$B$6:$B$479,$A60,'Каналы'!$E$6:$E$479,"partners")</x:f>
        <x:v>0</x:v>
      </x:c>
      <x:c r="I60" s="5" t="n">
        <x:f>COUNTIFS('Каналы'!$B$6:$B$479,$A60,'Каналы'!$E$6:$E$479,"contacts")</x:f>
        <x:v>0</x:v>
      </x:c>
      <x:c r="J60" s="5" t="n">
        <x:f>COUNTIFS('Каналы'!$B$6:$B$479,$A60,'Каналы'!$E$6:$E$479,"social")</x:f>
        <x:v>0</x:v>
      </x:c>
      <x:c r="K60" s="5" t="n">
        <x:f>COUNTIFS('Каналы'!$B$6:$B$479,$A60,'Каналы'!$E$6:$E$479,"careers")</x:f>
        <x:v>1</x:v>
      </x:c>
      <x:c r="L60" s="5" t="n">
        <x:f>SUM(C60:K60)</x:f>
        <x:v>4</x:v>
      </x:c>
      <x:c r="M60" s="5" t="str">
        <x:v>Искать каналы с нулём; отдельно проверять действующее юрлицо и прием внешних провайдеров.</x:v>
      </x:c>
    </x:row>
    <x:row r="61" ht="31.5" customHeight="1">
      <x:c r="A61" s="5" t="str">
        <x:v>CU-0004</x:v>
      </x:c>
      <x:c r="B61" s="5" t="str">
        <x:v>Корпоративный институт ООО «Газпром трансгаз Томск»</x:v>
      </x:c>
      <x:c r="C61" s="5" t="n">
        <x:f>COUNTIFS('Каналы'!$B$6:$B$479,$A61,'Каналы'!$E$6:$E$479,"university_site")</x:f>
        <x:v>1</x:v>
      </x:c>
      <x:c r="D61" s="5" t="n">
        <x:f>COUNTIFS('Каналы'!$B$6:$B$479,$A61,'Каналы'!$E$6:$E$479,"news")</x:f>
        <x:v>0</x:v>
      </x:c>
      <x:c r="E61" s="5" t="n">
        <x:f>COUNTIFS('Каналы'!$B$6:$B$479,$A61,'Каналы'!$E$6:$E$479,"programs")</x:f>
        <x:v>0</x:v>
      </x:c>
      <x:c r="F61" s="5" t="n">
        <x:f>COUNTIFS('Каналы'!$B$6:$B$479,$A61,'Каналы'!$E$6:$E$479,"procurement")</x:f>
        <x:v>1</x:v>
      </x:c>
      <x:c r="G61" s="5" t="n">
        <x:f>COUNTIFS('Каналы'!$B$6:$B$479,$A61,'Каналы'!$E$6:$E$479,"expert_application")</x:f>
        <x:v>0</x:v>
      </x:c>
      <x:c r="H61" s="5" t="n">
        <x:f>COUNTIFS('Каналы'!$B$6:$B$479,$A61,'Каналы'!$E$6:$E$479,"partners")</x:f>
        <x:v>0</x:v>
      </x:c>
      <x:c r="I61" s="5" t="n">
        <x:f>COUNTIFS('Каналы'!$B$6:$B$479,$A61,'Каналы'!$E$6:$E$479,"contacts")</x:f>
        <x:v>0</x:v>
      </x:c>
      <x:c r="J61" s="5" t="n">
        <x:f>COUNTIFS('Каналы'!$B$6:$B$479,$A61,'Каналы'!$E$6:$E$479,"social")</x:f>
        <x:v>0</x:v>
      </x:c>
      <x:c r="K61" s="5" t="n">
        <x:f>COUNTIFS('Каналы'!$B$6:$B$479,$A61,'Каналы'!$E$6:$E$479,"careers")</x:f>
        <x:v>0</x:v>
      </x:c>
      <x:c r="L61" s="5" t="n">
        <x:f>SUM(C61:K61)</x:f>
        <x:v>2</x:v>
      </x:c>
      <x:c r="M61" s="5" t="str">
        <x:v>Искать каналы с нулём; отдельно проверять действующее юрлицо и прием внешних провайдеров.</x:v>
      </x:c>
    </x:row>
    <x:row r="62" ht="31.5" customHeight="1">
      <x:c r="A62" s="5" t="str">
        <x:v>CU-0013</x:v>
      </x:c>
      <x:c r="B62" s="5" t="str">
        <x:v>Корпоративный университет ПАО «Татнефть»</x:v>
      </x:c>
      <x:c r="C62" s="5" t="n">
        <x:f>COUNTIFS('Каналы'!$B$6:$B$479,$A62,'Каналы'!$E$6:$E$479,"university_site")</x:f>
        <x:v>1</x:v>
      </x:c>
      <x:c r="D62" s="5" t="n">
        <x:f>COUNTIFS('Каналы'!$B$6:$B$479,$A62,'Каналы'!$E$6:$E$479,"news")</x:f>
        <x:v>0</x:v>
      </x:c>
      <x:c r="E62" s="5" t="n">
        <x:f>COUNTIFS('Каналы'!$B$6:$B$479,$A62,'Каналы'!$E$6:$E$479,"programs")</x:f>
        <x:v>1</x:v>
      </x:c>
      <x:c r="F62" s="5" t="n">
        <x:f>COUNTIFS('Каналы'!$B$6:$B$479,$A62,'Каналы'!$E$6:$E$479,"procurement")</x:f>
        <x:v>0</x:v>
      </x:c>
      <x:c r="G62" s="5" t="n">
        <x:f>COUNTIFS('Каналы'!$B$6:$B$479,$A62,'Каналы'!$E$6:$E$479,"expert_application")</x:f>
        <x:v>0</x:v>
      </x:c>
      <x:c r="H62" s="5" t="n">
        <x:f>COUNTIFS('Каналы'!$B$6:$B$479,$A62,'Каналы'!$E$6:$E$479,"partners")</x:f>
        <x:v>0</x:v>
      </x:c>
      <x:c r="I62" s="5" t="n">
        <x:f>COUNTIFS('Каналы'!$B$6:$B$479,$A62,'Каналы'!$E$6:$E$479,"contacts")</x:f>
        <x:v>1</x:v>
      </x:c>
      <x:c r="J62" s="5" t="n">
        <x:f>COUNTIFS('Каналы'!$B$6:$B$479,$A62,'Каналы'!$E$6:$E$479,"social")</x:f>
        <x:v>0</x:v>
      </x:c>
      <x:c r="K62" s="5" t="n">
        <x:f>COUNTIFS('Каналы'!$B$6:$B$479,$A62,'Каналы'!$E$6:$E$479,"careers")</x:f>
        <x:v>0</x:v>
      </x:c>
      <x:c r="L62" s="5" t="n">
        <x:f>SUM(C62:K62)</x:f>
        <x:v>3</x:v>
      </x:c>
      <x:c r="M62" s="5" t="str">
        <x:v>Искать каналы с нулём; отдельно проверять действующее юрлицо и прием внешних провайдеров.</x:v>
      </x:c>
    </x:row>
    <x:row r="63" ht="31.5" customHeight="1">
      <x:c r="A63" s="5" t="str">
        <x:v>CU-0015</x:v>
      </x:c>
      <x:c r="B63" s="5" t="str">
        <x:v>Корпоративный университет «Газпром нефти»</x:v>
      </x:c>
      <x:c r="C63" s="5" t="n">
        <x:f>COUNTIFS('Каналы'!$B$6:$B$479,$A63,'Каналы'!$E$6:$E$479,"university_site")</x:f>
        <x:v>0</x:v>
      </x:c>
      <x:c r="D63" s="5" t="n">
        <x:f>COUNTIFS('Каналы'!$B$6:$B$479,$A63,'Каналы'!$E$6:$E$479,"news")</x:f>
        <x:v>0</x:v>
      </x:c>
      <x:c r="E63" s="5" t="n">
        <x:f>COUNTIFS('Каналы'!$B$6:$B$479,$A63,'Каналы'!$E$6:$E$479,"programs")</x:f>
        <x:v>0</x:v>
      </x:c>
      <x:c r="F63" s="5" t="n">
        <x:f>COUNTIFS('Каналы'!$B$6:$B$479,$A63,'Каналы'!$E$6:$E$479,"procurement")</x:f>
        <x:v>0</x:v>
      </x:c>
      <x:c r="G63" s="5" t="n">
        <x:f>COUNTIFS('Каналы'!$B$6:$B$479,$A63,'Каналы'!$E$6:$E$479,"expert_application")</x:f>
        <x:v>0</x:v>
      </x:c>
      <x:c r="H63" s="5" t="n">
        <x:f>COUNTIFS('Каналы'!$B$6:$B$479,$A63,'Каналы'!$E$6:$E$479,"partners")</x:f>
        <x:v>2</x:v>
      </x:c>
      <x:c r="I63" s="5" t="n">
        <x:f>COUNTIFS('Каналы'!$B$6:$B$479,$A63,'Каналы'!$E$6:$E$479,"contacts")</x:f>
        <x:v>0</x:v>
      </x:c>
      <x:c r="J63" s="5" t="n">
        <x:f>COUNTIFS('Каналы'!$B$6:$B$479,$A63,'Каналы'!$E$6:$E$479,"social")</x:f>
        <x:v>0</x:v>
      </x:c>
      <x:c r="K63" s="5" t="n">
        <x:f>COUNTIFS('Каналы'!$B$6:$B$479,$A63,'Каналы'!$E$6:$E$479,"careers")</x:f>
        <x:v>0</x:v>
      </x:c>
      <x:c r="L63" s="5" t="n">
        <x:f>SUM(C63:K63)</x:f>
        <x:v>2</x:v>
      </x:c>
      <x:c r="M63" s="5" t="str">
        <x:v>Искать каналы с нулём; отдельно проверять действующее юрлицо и прием внешних провайдеров.</x:v>
      </x:c>
    </x:row>
    <x:row r="64" ht="31.5" customHeight="1">
      <x:c r="A64" s="5" t="str">
        <x:v>CU-0019</x:v>
      </x:c>
      <x:c r="B64" s="5" t="str">
        <x:v>Корпоративная Академия Росатома</x:v>
      </x:c>
      <x:c r="C64" s="5" t="n">
        <x:f>COUNTIFS('Каналы'!$B$6:$B$479,$A64,'Каналы'!$E$6:$E$479,"university_site")</x:f>
        <x:v>1</x:v>
      </x:c>
      <x:c r="D64" s="5" t="n">
        <x:f>COUNTIFS('Каналы'!$B$6:$B$479,$A64,'Каналы'!$E$6:$E$479,"news")</x:f>
        <x:v>0</x:v>
      </x:c>
      <x:c r="E64" s="5" t="n">
        <x:f>COUNTIFS('Каналы'!$B$6:$B$479,$A64,'Каналы'!$E$6:$E$479,"programs")</x:f>
        <x:v>1</x:v>
      </x:c>
      <x:c r="F64" s="5" t="n">
        <x:f>COUNTIFS('Каналы'!$B$6:$B$479,$A64,'Каналы'!$E$6:$E$479,"procurement")</x:f>
        <x:v>1</x:v>
      </x:c>
      <x:c r="G64" s="5" t="n">
        <x:f>COUNTIFS('Каналы'!$B$6:$B$479,$A64,'Каналы'!$E$6:$E$479,"expert_application")</x:f>
        <x:v>0</x:v>
      </x:c>
      <x:c r="H64" s="5" t="n">
        <x:f>COUNTIFS('Каналы'!$B$6:$B$479,$A64,'Каналы'!$E$6:$E$479,"partners")</x:f>
        <x:v>0</x:v>
      </x:c>
      <x:c r="I64" s="5" t="n">
        <x:f>COUNTIFS('Каналы'!$B$6:$B$479,$A64,'Каналы'!$E$6:$E$479,"contacts")</x:f>
        <x:v>1</x:v>
      </x:c>
      <x:c r="J64" s="5" t="n">
        <x:f>COUNTIFS('Каналы'!$B$6:$B$479,$A64,'Каналы'!$E$6:$E$479,"social")</x:f>
        <x:v>0</x:v>
      </x:c>
      <x:c r="K64" s="5" t="n">
        <x:f>COUNTIFS('Каналы'!$B$6:$B$479,$A64,'Каналы'!$E$6:$E$479,"careers")</x:f>
        <x:v>0</x:v>
      </x:c>
      <x:c r="L64" s="5" t="n">
        <x:f>SUM(C64:K64)</x:f>
        <x:v>4</x:v>
      </x:c>
      <x:c r="M64" s="5" t="str">
        <x:v>Искать каналы с нулём; отдельно проверять действующее юрлицо и прием внешних провайдеров.</x:v>
      </x:c>
    </x:row>
    <x:row r="65" ht="31.5" customHeight="1">
      <x:c r="A65" s="5" t="str">
        <x:v>CU-0020</x:v>
      </x:c>
      <x:c r="B65" s="5" t="str">
        <x:v>Техническая академия Росатома</x:v>
      </x:c>
      <x:c r="C65" s="5" t="n">
        <x:f>COUNTIFS('Каналы'!$B$6:$B$479,$A65,'Каналы'!$E$6:$E$479,"university_site")</x:f>
        <x:v>1</x:v>
      </x:c>
      <x:c r="D65" s="5" t="n">
        <x:f>COUNTIFS('Каналы'!$B$6:$B$479,$A65,'Каналы'!$E$6:$E$479,"news")</x:f>
        <x:v>0</x:v>
      </x:c>
      <x:c r="E65" s="5" t="n">
        <x:f>COUNTIFS('Каналы'!$B$6:$B$479,$A65,'Каналы'!$E$6:$E$479,"programs")</x:f>
        <x:v>1</x:v>
      </x:c>
      <x:c r="F65" s="5" t="n">
        <x:f>COUNTIFS('Каналы'!$B$6:$B$479,$A65,'Каналы'!$E$6:$E$479,"procurement")</x:f>
        <x:v>1</x:v>
      </x:c>
      <x:c r="G65" s="5" t="n">
        <x:f>COUNTIFS('Каналы'!$B$6:$B$479,$A65,'Каналы'!$E$6:$E$479,"expert_application")</x:f>
        <x:v>0</x:v>
      </x:c>
      <x:c r="H65" s="5" t="n">
        <x:f>COUNTIFS('Каналы'!$B$6:$B$479,$A65,'Каналы'!$E$6:$E$479,"partners")</x:f>
        <x:v>0</x:v>
      </x:c>
      <x:c r="I65" s="5" t="n">
        <x:f>COUNTIFS('Каналы'!$B$6:$B$479,$A65,'Каналы'!$E$6:$E$479,"contacts")</x:f>
        <x:v>1</x:v>
      </x:c>
      <x:c r="J65" s="5" t="n">
        <x:f>COUNTIFS('Каналы'!$B$6:$B$479,$A65,'Каналы'!$E$6:$E$479,"social")</x:f>
        <x:v>0</x:v>
      </x:c>
      <x:c r="K65" s="5" t="n">
        <x:f>COUNTIFS('Каналы'!$B$6:$B$479,$A65,'Каналы'!$E$6:$E$479,"careers")</x:f>
        <x:v>0</x:v>
      </x:c>
      <x:c r="L65" s="5" t="n">
        <x:f>SUM(C65:K65)</x:f>
        <x:v>4</x:v>
      </x:c>
      <x:c r="M65" s="5" t="str">
        <x:v>Искать каналы с нулём; отдельно проверять действующее юрлицо и прием внешних провайдеров.</x:v>
      </x:c>
    </x:row>
    <x:row r="66" ht="31.5" customHeight="1">
      <x:c r="A66" s="5" t="str">
        <x:v>CU-0021</x:v>
      </x:c>
      <x:c r="B66" s="5" t="str">
        <x:v>Интер РАО — Корпоративный университет</x:v>
      </x:c>
      <x:c r="C66" s="5" t="n">
        <x:f>COUNTIFS('Каналы'!$B$6:$B$479,$A66,'Каналы'!$E$6:$E$479,"university_site")</x:f>
        <x:v>1</x:v>
      </x:c>
      <x:c r="D66" s="5" t="n">
        <x:f>COUNTIFS('Каналы'!$B$6:$B$479,$A66,'Каналы'!$E$6:$E$479,"news")</x:f>
        <x:v>1</x:v>
      </x:c>
      <x:c r="E66" s="5" t="n">
        <x:f>COUNTIFS('Каналы'!$B$6:$B$479,$A66,'Каналы'!$E$6:$E$479,"programs")</x:f>
        <x:v>0</x:v>
      </x:c>
      <x:c r="F66" s="5" t="n">
        <x:f>COUNTIFS('Каналы'!$B$6:$B$479,$A66,'Каналы'!$E$6:$E$479,"procurement")</x:f>
        <x:v>0</x:v>
      </x:c>
      <x:c r="G66" s="5" t="n">
        <x:f>COUNTIFS('Каналы'!$B$6:$B$479,$A66,'Каналы'!$E$6:$E$479,"expert_application")</x:f>
        <x:v>0</x:v>
      </x:c>
      <x:c r="H66" s="5" t="n">
        <x:f>COUNTIFS('Каналы'!$B$6:$B$479,$A66,'Каналы'!$E$6:$E$479,"partners")</x:f>
        <x:v>0</x:v>
      </x:c>
      <x:c r="I66" s="5" t="n">
        <x:f>COUNTIFS('Каналы'!$B$6:$B$479,$A66,'Каналы'!$E$6:$E$479,"contacts")</x:f>
        <x:v>1</x:v>
      </x:c>
      <x:c r="J66" s="5" t="n">
        <x:f>COUNTIFS('Каналы'!$B$6:$B$479,$A66,'Каналы'!$E$6:$E$479,"social")</x:f>
        <x:v>0</x:v>
      </x:c>
      <x:c r="K66" s="5" t="n">
        <x:f>COUNTIFS('Каналы'!$B$6:$B$479,$A66,'Каналы'!$E$6:$E$479,"careers")</x:f>
        <x:v>0</x:v>
      </x:c>
      <x:c r="L66" s="5" t="n">
        <x:f>SUM(C66:K66)</x:f>
        <x:v>3</x:v>
      </x:c>
      <x:c r="M66" s="5" t="str">
        <x:v>Искать каналы с нулём; отдельно проверять действующее юрлицо и прием внешних провайдеров.</x:v>
      </x:c>
    </x:row>
    <x:row r="67" ht="31.5" customHeight="1">
      <x:c r="A67" s="5" t="str">
        <x:v>CU-0022</x:v>
      </x:c>
      <x:c r="B67" s="5" t="str">
        <x:v>Корпоративный университет гидроэнергетики РусГидро (КорУнГ)</x:v>
      </x:c>
      <x:c r="C67" s="5" t="n">
        <x:f>COUNTIFS('Каналы'!$B$6:$B$479,$A67,'Каналы'!$E$6:$E$479,"university_site")</x:f>
        <x:v>1</x:v>
      </x:c>
      <x:c r="D67" s="5" t="n">
        <x:f>COUNTIFS('Каналы'!$B$6:$B$479,$A67,'Каналы'!$E$6:$E$479,"news")</x:f>
        <x:v>1</x:v>
      </x:c>
      <x:c r="E67" s="5" t="n">
        <x:f>COUNTIFS('Каналы'!$B$6:$B$479,$A67,'Каналы'!$E$6:$E$479,"programs")</x:f>
        <x:v>0</x:v>
      </x:c>
      <x:c r="F67" s="5" t="n">
        <x:f>COUNTIFS('Каналы'!$B$6:$B$479,$A67,'Каналы'!$E$6:$E$479,"procurement")</x:f>
        <x:v>0</x:v>
      </x:c>
      <x:c r="G67" s="5" t="n">
        <x:f>COUNTIFS('Каналы'!$B$6:$B$479,$A67,'Каналы'!$E$6:$E$479,"expert_application")</x:f>
        <x:v>0</x:v>
      </x:c>
      <x:c r="H67" s="5" t="n">
        <x:f>COUNTIFS('Каналы'!$B$6:$B$479,$A67,'Каналы'!$E$6:$E$479,"partners")</x:f>
        <x:v>0</x:v>
      </x:c>
      <x:c r="I67" s="5" t="n">
        <x:f>COUNTIFS('Каналы'!$B$6:$B$479,$A67,'Каналы'!$E$6:$E$479,"contacts")</x:f>
        <x:v>0</x:v>
      </x:c>
      <x:c r="J67" s="5" t="n">
        <x:f>COUNTIFS('Каналы'!$B$6:$B$479,$A67,'Каналы'!$E$6:$E$479,"social")</x:f>
        <x:v>2</x:v>
      </x:c>
      <x:c r="K67" s="5" t="n">
        <x:f>COUNTIFS('Каналы'!$B$6:$B$479,$A67,'Каналы'!$E$6:$E$479,"careers")</x:f>
        <x:v>0</x:v>
      </x:c>
      <x:c r="L67" s="5" t="n">
        <x:f>SUM(C67:K67)</x:f>
        <x:v>4</x:v>
      </x:c>
      <x:c r="M67" s="5" t="str">
        <x:v>Искать каналы с нулём; отдельно проверять действующее юрлицо и прием внешних провайдеров.</x:v>
      </x:c>
    </x:row>
    <x:row r="68" ht="31.5" customHeight="1">
      <x:c r="A68" s="5" t="str">
        <x:v>CU-0023</x:v>
      </x:c>
      <x:c r="B68" s="5" t="str">
        <x:v>Корпоративный университет Сибирской генерирующей компании</x:v>
      </x:c>
      <x:c r="C68" s="5" t="n">
        <x:f>COUNTIFS('Каналы'!$B$6:$B$479,$A68,'Каналы'!$E$6:$E$479,"university_site")</x:f>
        <x:v>0</x:v>
      </x:c>
      <x:c r="D68" s="5" t="n">
        <x:f>COUNTIFS('Каналы'!$B$6:$B$479,$A68,'Каналы'!$E$6:$E$479,"news")</x:f>
        <x:v>2</x:v>
      </x:c>
      <x:c r="E68" s="5" t="n">
        <x:f>COUNTIFS('Каналы'!$B$6:$B$479,$A68,'Каналы'!$E$6:$E$479,"programs")</x:f>
        <x:v>0</x:v>
      </x:c>
      <x:c r="F68" s="5" t="n">
        <x:f>COUNTIFS('Каналы'!$B$6:$B$479,$A68,'Каналы'!$E$6:$E$479,"procurement")</x:f>
        <x:v>0</x:v>
      </x:c>
      <x:c r="G68" s="5" t="n">
        <x:f>COUNTIFS('Каналы'!$B$6:$B$479,$A68,'Каналы'!$E$6:$E$479,"expert_application")</x:f>
        <x:v>0</x:v>
      </x:c>
      <x:c r="H68" s="5" t="n">
        <x:f>COUNTIFS('Каналы'!$B$6:$B$479,$A68,'Каналы'!$E$6:$E$479,"partners")</x:f>
        <x:v>0</x:v>
      </x:c>
      <x:c r="I68" s="5" t="n">
        <x:f>COUNTIFS('Каналы'!$B$6:$B$479,$A68,'Каналы'!$E$6:$E$479,"contacts")</x:f>
        <x:v>0</x:v>
      </x:c>
      <x:c r="J68" s="5" t="n">
        <x:f>COUNTIFS('Каналы'!$B$6:$B$479,$A68,'Каналы'!$E$6:$E$479,"social")</x:f>
        <x:v>0</x:v>
      </x:c>
      <x:c r="K68" s="5" t="n">
        <x:f>COUNTIFS('Каналы'!$B$6:$B$479,$A68,'Каналы'!$E$6:$E$479,"careers")</x:f>
        <x:v>0</x:v>
      </x:c>
      <x:c r="L68" s="5" t="n">
        <x:f>SUM(C68:K68)</x:f>
        <x:v>2</x:v>
      </x:c>
      <x:c r="M68" s="5" t="str">
        <x:v>Искать каналы с нулём; отдельно проверять действующее юрлицо и прием внешних провайдеров.</x:v>
      </x:c>
    </x:row>
    <x:row r="69" ht="31.5" customHeight="1">
      <x:c r="A69" s="5" t="str">
        <x:v>CU-0035</x:v>
      </x:c>
      <x:c r="B69" s="5" t="str">
        <x:v>Учебный центр ПАО «Россети Московский регион»</x:v>
      </x:c>
      <x:c r="C69" s="5" t="n">
        <x:f>COUNTIFS('Каналы'!$B$6:$B$479,$A69,'Каналы'!$E$6:$E$479,"university_site")</x:f>
        <x:v>1</x:v>
      </x:c>
      <x:c r="D69" s="5" t="n">
        <x:f>COUNTIFS('Каналы'!$B$6:$B$479,$A69,'Каналы'!$E$6:$E$479,"news")</x:f>
        <x:v>0</x:v>
      </x:c>
      <x:c r="E69" s="5" t="n">
        <x:f>COUNTIFS('Каналы'!$B$6:$B$479,$A69,'Каналы'!$E$6:$E$479,"programs")</x:f>
        <x:v>0</x:v>
      </x:c>
      <x:c r="F69" s="5" t="n">
        <x:f>COUNTIFS('Каналы'!$B$6:$B$479,$A69,'Каналы'!$E$6:$E$479,"procurement")</x:f>
        <x:v>0</x:v>
      </x:c>
      <x:c r="G69" s="5" t="n">
        <x:f>COUNTIFS('Каналы'!$B$6:$B$479,$A69,'Каналы'!$E$6:$E$479,"expert_application")</x:f>
        <x:v>0</x:v>
      </x:c>
      <x:c r="H69" s="5" t="n">
        <x:f>COUNTIFS('Каналы'!$B$6:$B$479,$A69,'Каналы'!$E$6:$E$479,"partners")</x:f>
        <x:v>0</x:v>
      </x:c>
      <x:c r="I69" s="5" t="n">
        <x:f>COUNTIFS('Каналы'!$B$6:$B$479,$A69,'Каналы'!$E$6:$E$479,"contacts")</x:f>
        <x:v>2</x:v>
      </x:c>
      <x:c r="J69" s="5" t="n">
        <x:f>COUNTIFS('Каналы'!$B$6:$B$479,$A69,'Каналы'!$E$6:$E$479,"social")</x:f>
        <x:v>0</x:v>
      </x:c>
      <x:c r="K69" s="5" t="n">
        <x:f>COUNTIFS('Каналы'!$B$6:$B$479,$A69,'Каналы'!$E$6:$E$479,"careers")</x:f>
        <x:v>0</x:v>
      </x:c>
      <x:c r="L69" s="5" t="n">
        <x:f>SUM(C69:K69)</x:f>
        <x:v>3</x:v>
      </x:c>
      <x:c r="M69" s="5" t="str">
        <x:v>Искать каналы с нулём; отдельно проверять действующее юрлицо и прием внешних провайдеров.</x:v>
      </x:c>
    </x:row>
    <x:row r="70" ht="31.5" customHeight="1">
      <x:c r="A70" s="5" t="str">
        <x:v>CU-0041</x:v>
      </x:c>
      <x:c r="B70" s="5" t="str">
        <x:v>Корпоративный университет «Норникель»</x:v>
      </x:c>
      <x:c r="C70" s="5" t="n">
        <x:f>COUNTIFS('Каналы'!$B$6:$B$479,$A70,'Каналы'!$E$6:$E$479,"university_site")</x:f>
        <x:v>1</x:v>
      </x:c>
      <x:c r="D70" s="5" t="n">
        <x:f>COUNTIFS('Каналы'!$B$6:$B$479,$A70,'Каналы'!$E$6:$E$479,"news")</x:f>
        <x:v>0</x:v>
      </x:c>
      <x:c r="E70" s="5" t="n">
        <x:f>COUNTIFS('Каналы'!$B$6:$B$479,$A70,'Каналы'!$E$6:$E$479,"programs")</x:f>
        <x:v>1</x:v>
      </x:c>
      <x:c r="F70" s="5" t="n">
        <x:f>COUNTIFS('Каналы'!$B$6:$B$479,$A70,'Каналы'!$E$6:$E$479,"procurement")</x:f>
        <x:v>0</x:v>
      </x:c>
      <x:c r="G70" s="5" t="n">
        <x:f>COUNTIFS('Каналы'!$B$6:$B$479,$A70,'Каналы'!$E$6:$E$479,"expert_application")</x:f>
        <x:v>0</x:v>
      </x:c>
      <x:c r="H70" s="5" t="n">
        <x:f>COUNTIFS('Каналы'!$B$6:$B$479,$A70,'Каналы'!$E$6:$E$479,"partners")</x:f>
        <x:v>0</x:v>
      </x:c>
      <x:c r="I70" s="5" t="n">
        <x:f>COUNTIFS('Каналы'!$B$6:$B$479,$A70,'Каналы'!$E$6:$E$479,"contacts")</x:f>
        <x:v>0</x:v>
      </x:c>
      <x:c r="J70" s="5" t="n">
        <x:f>COUNTIFS('Каналы'!$B$6:$B$479,$A70,'Каналы'!$E$6:$E$479,"social")</x:f>
        <x:v>0</x:v>
      </x:c>
      <x:c r="K70" s="5" t="n">
        <x:f>COUNTIFS('Каналы'!$B$6:$B$479,$A70,'Каналы'!$E$6:$E$479,"careers")</x:f>
        <x:v>0</x:v>
      </x:c>
      <x:c r="L70" s="5" t="n">
        <x:f>SUM(C70:K70)</x:f>
        <x:v>2</x:v>
      </x:c>
      <x:c r="M70" s="5" t="str">
        <x:v>Искать каналы с нулём; отдельно проверять действующее юрлицо и прием внешних провайдеров.</x:v>
      </x:c>
    </x:row>
    <x:row r="71" ht="31.5" customHeight="1">
      <x:c r="A71" s="5" t="str">
        <x:v>CU-0042</x:v>
      </x:c>
      <x:c r="B71" s="5" t="str">
        <x:v>Корпоративный университет РУСАЛа</x:v>
      </x:c>
      <x:c r="C71" s="5" t="n">
        <x:f>COUNTIFS('Каналы'!$B$6:$B$479,$A71,'Каналы'!$E$6:$E$479,"university_site")</x:f>
        <x:v>1</x:v>
      </x:c>
      <x:c r="D71" s="5" t="n">
        <x:f>COUNTIFS('Каналы'!$B$6:$B$479,$A71,'Каналы'!$E$6:$E$479,"news")</x:f>
        <x:v>0</x:v>
      </x:c>
      <x:c r="E71" s="5" t="n">
        <x:f>COUNTIFS('Каналы'!$B$6:$B$479,$A71,'Каналы'!$E$6:$E$479,"programs")</x:f>
        <x:v>0</x:v>
      </x:c>
      <x:c r="F71" s="5" t="n">
        <x:f>COUNTIFS('Каналы'!$B$6:$B$479,$A71,'Каналы'!$E$6:$E$479,"procurement")</x:f>
        <x:v>0</x:v>
      </x:c>
      <x:c r="G71" s="5" t="n">
        <x:f>COUNTIFS('Каналы'!$B$6:$B$479,$A71,'Каналы'!$E$6:$E$479,"expert_application")</x:f>
        <x:v>0</x:v>
      </x:c>
      <x:c r="H71" s="5" t="n">
        <x:f>COUNTIFS('Каналы'!$B$6:$B$479,$A71,'Каналы'!$E$6:$E$479,"partners")</x:f>
        <x:v>0</x:v>
      </x:c>
      <x:c r="I71" s="5" t="n">
        <x:f>COUNTIFS('Каналы'!$B$6:$B$479,$A71,'Каналы'!$E$6:$E$479,"contacts")</x:f>
        <x:v>0</x:v>
      </x:c>
      <x:c r="J71" s="5" t="n">
        <x:f>COUNTIFS('Каналы'!$B$6:$B$479,$A71,'Каналы'!$E$6:$E$479,"social")</x:f>
        <x:v>0</x:v>
      </x:c>
      <x:c r="K71" s="5" t="n">
        <x:f>COUNTIFS('Каналы'!$B$6:$B$479,$A71,'Каналы'!$E$6:$E$479,"careers")</x:f>
        <x:v>1</x:v>
      </x:c>
      <x:c r="L71" s="5" t="n">
        <x:f>SUM(C71:K71)</x:f>
        <x:v>2</x:v>
      </x:c>
      <x:c r="M71" s="5" t="str">
        <x:v>Искать каналы с нулём; отдельно проверять действующее юрлицо и прием внешних провайдеров.</x:v>
      </x:c>
    </x:row>
    <x:row r="72" ht="31.5" customHeight="1">
      <x:c r="A72" s="5" t="str">
        <x:v>CU-0043</x:v>
      </x:c>
      <x:c r="B72" s="5" t="str">
        <x:v>Университет НЛМК</x:v>
      </x:c>
      <x:c r="C72" s="5" t="n">
        <x:f>COUNTIFS('Каналы'!$B$6:$B$479,$A72,'Каналы'!$E$6:$E$479,"university_site")</x:f>
        <x:v>1</x:v>
      </x:c>
      <x:c r="D72" s="5" t="n">
        <x:f>COUNTIFS('Каналы'!$B$6:$B$479,$A72,'Каналы'!$E$6:$E$479,"news")</x:f>
        <x:v>1</x:v>
      </x:c>
      <x:c r="E72" s="5" t="n">
        <x:f>COUNTIFS('Каналы'!$B$6:$B$479,$A72,'Каналы'!$E$6:$E$479,"programs")</x:f>
        <x:v>0</x:v>
      </x:c>
      <x:c r="F72" s="5" t="n">
        <x:f>COUNTIFS('Каналы'!$B$6:$B$479,$A72,'Каналы'!$E$6:$E$479,"procurement")</x:f>
        <x:v>0</x:v>
      </x:c>
      <x:c r="G72" s="5" t="n">
        <x:f>COUNTIFS('Каналы'!$B$6:$B$479,$A72,'Каналы'!$E$6:$E$479,"expert_application")</x:f>
        <x:v>0</x:v>
      </x:c>
      <x:c r="H72" s="5" t="n">
        <x:f>COUNTIFS('Каналы'!$B$6:$B$479,$A72,'Каналы'!$E$6:$E$479,"partners")</x:f>
        <x:v>0</x:v>
      </x:c>
      <x:c r="I72" s="5" t="n">
        <x:f>COUNTIFS('Каналы'!$B$6:$B$479,$A72,'Каналы'!$E$6:$E$479,"contacts")</x:f>
        <x:v>1</x:v>
      </x:c>
      <x:c r="J72" s="5" t="n">
        <x:f>COUNTIFS('Каналы'!$B$6:$B$479,$A72,'Каналы'!$E$6:$E$479,"social")</x:f>
        <x:v>0</x:v>
      </x:c>
      <x:c r="K72" s="5" t="n">
        <x:f>COUNTIFS('Каналы'!$B$6:$B$479,$A72,'Каналы'!$E$6:$E$479,"careers")</x:f>
        <x:v>0</x:v>
      </x:c>
      <x:c r="L72" s="5" t="n">
        <x:f>SUM(C72:K72)</x:f>
        <x:v>3</x:v>
      </x:c>
      <x:c r="M72" s="5" t="str">
        <x:v>Искать каналы с нулём; отдельно проверять действующее юрлицо и прием внешних провайдеров.</x:v>
      </x:c>
    </x:row>
    <x:row r="73" ht="31.5" customHeight="1">
      <x:c r="A73" s="5" t="str">
        <x:v>CU-0044</x:v>
      </x:c>
      <x:c r="B73" s="5" t="str">
        <x:v>Корпоративный университет ОМК</x:v>
      </x:c>
      <x:c r="C73" s="5" t="n">
        <x:f>COUNTIFS('Каналы'!$B$6:$B$479,$A73,'Каналы'!$E$6:$E$479,"university_site")</x:f>
        <x:v>1</x:v>
      </x:c>
      <x:c r="D73" s="5" t="n">
        <x:f>COUNTIFS('Каналы'!$B$6:$B$479,$A73,'Каналы'!$E$6:$E$479,"news")</x:f>
        <x:v>0</x:v>
      </x:c>
      <x:c r="E73" s="5" t="n">
        <x:f>COUNTIFS('Каналы'!$B$6:$B$479,$A73,'Каналы'!$E$6:$E$479,"programs")</x:f>
        <x:v>0</x:v>
      </x:c>
      <x:c r="F73" s="5" t="n">
        <x:f>COUNTIFS('Каналы'!$B$6:$B$479,$A73,'Каналы'!$E$6:$E$479,"procurement")</x:f>
        <x:v>0</x:v>
      </x:c>
      <x:c r="G73" s="5" t="n">
        <x:f>COUNTIFS('Каналы'!$B$6:$B$479,$A73,'Каналы'!$E$6:$E$479,"expert_application")</x:f>
        <x:v>0</x:v>
      </x:c>
      <x:c r="H73" s="5" t="n">
        <x:f>COUNTIFS('Каналы'!$B$6:$B$479,$A73,'Каналы'!$E$6:$E$479,"partners")</x:f>
        <x:v>0</x:v>
      </x:c>
      <x:c r="I73" s="5" t="n">
        <x:f>COUNTIFS('Каналы'!$B$6:$B$479,$A73,'Каналы'!$E$6:$E$479,"contacts")</x:f>
        <x:v>0</x:v>
      </x:c>
      <x:c r="J73" s="5" t="n">
        <x:f>COUNTIFS('Каналы'!$B$6:$B$479,$A73,'Каналы'!$E$6:$E$479,"social")</x:f>
        <x:v>0</x:v>
      </x:c>
      <x:c r="K73" s="5" t="n">
        <x:f>COUNTIFS('Каналы'!$B$6:$B$479,$A73,'Каналы'!$E$6:$E$479,"careers")</x:f>
        <x:v>1</x:v>
      </x:c>
      <x:c r="L73" s="5" t="n">
        <x:f>SUM(C73:K73)</x:f>
        <x:v>2</x:v>
      </x:c>
      <x:c r="M73" s="5" t="str">
        <x:v>Искать каналы с нулём; отдельно проверять действующее юрлицо и прием внешних провайдеров.</x:v>
      </x:c>
    </x:row>
    <x:row r="74" ht="31.5" customHeight="1">
      <x:c r="A74" s="5" t="str">
        <x:v>CU-0045</x:v>
      </x:c>
      <x:c r="B74" s="5" t="str">
        <x:v>Корпоративный университет Металлоинвеста</x:v>
      </x:c>
      <x:c r="C74" s="5" t="n">
        <x:f>COUNTIFS('Каналы'!$B$6:$B$479,$A74,'Каналы'!$E$6:$E$479,"university_site")</x:f>
        <x:v>1</x:v>
      </x:c>
      <x:c r="D74" s="5" t="n">
        <x:f>COUNTIFS('Каналы'!$B$6:$B$479,$A74,'Каналы'!$E$6:$E$479,"news")</x:f>
        <x:v>1</x:v>
      </x:c>
      <x:c r="E74" s="5" t="n">
        <x:f>COUNTIFS('Каналы'!$B$6:$B$479,$A74,'Каналы'!$E$6:$E$479,"programs")</x:f>
        <x:v>0</x:v>
      </x:c>
      <x:c r="F74" s="5" t="n">
        <x:f>COUNTIFS('Каналы'!$B$6:$B$479,$A74,'Каналы'!$E$6:$E$479,"procurement")</x:f>
        <x:v>0</x:v>
      </x:c>
      <x:c r="G74" s="5" t="n">
        <x:f>COUNTIFS('Каналы'!$B$6:$B$479,$A74,'Каналы'!$E$6:$E$479,"expert_application")</x:f>
        <x:v>0</x:v>
      </x:c>
      <x:c r="H74" s="5" t="n">
        <x:f>COUNTIFS('Каналы'!$B$6:$B$479,$A74,'Каналы'!$E$6:$E$479,"partners")</x:f>
        <x:v>0</x:v>
      </x:c>
      <x:c r="I74" s="5" t="n">
        <x:f>COUNTIFS('Каналы'!$B$6:$B$479,$A74,'Каналы'!$E$6:$E$479,"contacts")</x:f>
        <x:v>0</x:v>
      </x:c>
      <x:c r="J74" s="5" t="n">
        <x:f>COUNTIFS('Каналы'!$B$6:$B$479,$A74,'Каналы'!$E$6:$E$479,"social")</x:f>
        <x:v>0</x:v>
      </x:c>
      <x:c r="K74" s="5" t="n">
        <x:f>COUNTIFS('Каналы'!$B$6:$B$479,$A74,'Каналы'!$E$6:$E$479,"careers")</x:f>
        <x:v>0</x:v>
      </x:c>
      <x:c r="L74" s="5" t="n">
        <x:f>SUM(C74:K74)</x:f>
        <x:v>2</x:v>
      </x:c>
      <x:c r="M74" s="5" t="str">
        <x:v>Искать каналы с нулём; отдельно проверять действующее юрлицо и прием внешних провайдеров.</x:v>
      </x:c>
    </x:row>
    <x:row r="75" ht="31.5" customHeight="1">
      <x:c r="A75" s="5" t="str">
        <x:v>CU-0046</x:v>
      </x:c>
      <x:c r="B75" s="5" t="str">
        <x:v>Технический университет УГМК</x:v>
      </x:c>
      <x:c r="C75" s="5" t="n">
        <x:f>COUNTIFS('Каналы'!$B$6:$B$479,$A75,'Каналы'!$E$6:$E$479,"university_site")</x:f>
        <x:v>1</x:v>
      </x:c>
      <x:c r="D75" s="5" t="n">
        <x:f>COUNTIFS('Каналы'!$B$6:$B$479,$A75,'Каналы'!$E$6:$E$479,"news")</x:f>
        <x:v>0</x:v>
      </x:c>
      <x:c r="E75" s="5" t="n">
        <x:f>COUNTIFS('Каналы'!$B$6:$B$479,$A75,'Каналы'!$E$6:$E$479,"programs")</x:f>
        <x:v>1</x:v>
      </x:c>
      <x:c r="F75" s="5" t="n">
        <x:f>COUNTIFS('Каналы'!$B$6:$B$479,$A75,'Каналы'!$E$6:$E$479,"procurement")</x:f>
        <x:v>0</x:v>
      </x:c>
      <x:c r="G75" s="5" t="n">
        <x:f>COUNTIFS('Каналы'!$B$6:$B$479,$A75,'Каналы'!$E$6:$E$479,"expert_application")</x:f>
        <x:v>0</x:v>
      </x:c>
      <x:c r="H75" s="5" t="n">
        <x:f>COUNTIFS('Каналы'!$B$6:$B$479,$A75,'Каналы'!$E$6:$E$479,"partners")</x:f>
        <x:v>0</x:v>
      </x:c>
      <x:c r="I75" s="5" t="n">
        <x:f>COUNTIFS('Каналы'!$B$6:$B$479,$A75,'Каналы'!$E$6:$E$479,"contacts")</x:f>
        <x:v>1</x:v>
      </x:c>
      <x:c r="J75" s="5" t="n">
        <x:f>COUNTIFS('Каналы'!$B$6:$B$479,$A75,'Каналы'!$E$6:$E$479,"social")</x:f>
        <x:v>0</x:v>
      </x:c>
      <x:c r="K75" s="5" t="n">
        <x:f>COUNTIFS('Каналы'!$B$6:$B$479,$A75,'Каналы'!$E$6:$E$479,"careers")</x:f>
        <x:v>0</x:v>
      </x:c>
      <x:c r="L75" s="5" t="n">
        <x:f>SUM(C75:K75)</x:f>
        <x:v>3</x:v>
      </x:c>
      <x:c r="M75" s="5" t="str">
        <x:v>Искать каналы с нулём; отдельно проверять действующее юрлицо и прием внешних провайдеров.</x:v>
      </x:c>
    </x:row>
    <x:row r="76" ht="31.5" customHeight="1">
      <x:c r="A76" s="5" t="str">
        <x:v>CU-0047</x:v>
      </x:c>
      <x:c r="B76" s="5" t="str">
        <x:v>Корпоративный университет ТМК2U</x:v>
      </x:c>
      <x:c r="C76" s="5" t="n">
        <x:f>COUNTIFS('Каналы'!$B$6:$B$479,$A76,'Каналы'!$E$6:$E$479,"university_site")</x:f>
        <x:v>1</x:v>
      </x:c>
      <x:c r="D76" s="5" t="n">
        <x:f>COUNTIFS('Каналы'!$B$6:$B$479,$A76,'Каналы'!$E$6:$E$479,"news")</x:f>
        <x:v>0</x:v>
      </x:c>
      <x:c r="E76" s="5" t="n">
        <x:f>COUNTIFS('Каналы'!$B$6:$B$479,$A76,'Каналы'!$E$6:$E$479,"programs")</x:f>
        <x:v>0</x:v>
      </x:c>
      <x:c r="F76" s="5" t="n">
        <x:f>COUNTIFS('Каналы'!$B$6:$B$479,$A76,'Каналы'!$E$6:$E$479,"procurement")</x:f>
        <x:v>0</x:v>
      </x:c>
      <x:c r="G76" s="5" t="n">
        <x:f>COUNTIFS('Каналы'!$B$6:$B$479,$A76,'Каналы'!$E$6:$E$479,"expert_application")</x:f>
        <x:v>0</x:v>
      </x:c>
      <x:c r="H76" s="5" t="n">
        <x:f>COUNTIFS('Каналы'!$B$6:$B$479,$A76,'Каналы'!$E$6:$E$479,"partners")</x:f>
        <x:v>1</x:v>
      </x:c>
      <x:c r="I76" s="5" t="n">
        <x:f>COUNTIFS('Каналы'!$B$6:$B$479,$A76,'Каналы'!$E$6:$E$479,"contacts")</x:f>
        <x:v>0</x:v>
      </x:c>
      <x:c r="J76" s="5" t="n">
        <x:f>COUNTIFS('Каналы'!$B$6:$B$479,$A76,'Каналы'!$E$6:$E$479,"social")</x:f>
        <x:v>0</x:v>
      </x:c>
      <x:c r="K76" s="5" t="n">
        <x:f>COUNTIFS('Каналы'!$B$6:$B$479,$A76,'Каналы'!$E$6:$E$479,"careers")</x:f>
        <x:v>0</x:v>
      </x:c>
      <x:c r="L76" s="5" t="n">
        <x:f>SUM(C76:K76)</x:f>
        <x:v>2</x:v>
      </x:c>
      <x:c r="M76" s="5" t="str">
        <x:v>Искать каналы с нулём; отдельно проверять действующее юрлицо и прием внешних провайдеров.</x:v>
      </x:c>
    </x:row>
    <x:row r="77" ht="31.5" customHeight="1">
      <x:c r="A77" s="5" t="str">
        <x:v>CU-0048</x:v>
      </x:c>
      <x:c r="B77" s="5" t="str">
        <x:v>Корпоративный центр подготовки кадров «Персонал»</x:v>
      </x:c>
      <x:c r="C77" s="5" t="n">
        <x:f>COUNTIFS('Каналы'!$B$6:$B$479,$A77,'Каналы'!$E$6:$E$479,"university_site")</x:f>
        <x:v>1</x:v>
      </x:c>
      <x:c r="D77" s="5" t="n">
        <x:f>COUNTIFS('Каналы'!$B$6:$B$479,$A77,'Каналы'!$E$6:$E$479,"news")</x:f>
        <x:v>0</x:v>
      </x:c>
      <x:c r="E77" s="5" t="n">
        <x:f>COUNTIFS('Каналы'!$B$6:$B$479,$A77,'Каналы'!$E$6:$E$479,"programs")</x:f>
        <x:v>0</x:v>
      </x:c>
      <x:c r="F77" s="5" t="n">
        <x:f>COUNTIFS('Каналы'!$B$6:$B$479,$A77,'Каналы'!$E$6:$E$479,"procurement")</x:f>
        <x:v>0</x:v>
      </x:c>
      <x:c r="G77" s="5" t="n">
        <x:f>COUNTIFS('Каналы'!$B$6:$B$479,$A77,'Каналы'!$E$6:$E$479,"expert_application")</x:f>
        <x:v>0</x:v>
      </x:c>
      <x:c r="H77" s="5" t="n">
        <x:f>COUNTIFS('Каналы'!$B$6:$B$479,$A77,'Каналы'!$E$6:$E$479,"partners")</x:f>
        <x:v>1</x:v>
      </x:c>
      <x:c r="I77" s="5" t="n">
        <x:f>COUNTIFS('Каналы'!$B$6:$B$479,$A77,'Каналы'!$E$6:$E$479,"contacts")</x:f>
        <x:v>0</x:v>
      </x:c>
      <x:c r="J77" s="5" t="n">
        <x:f>COUNTIFS('Каналы'!$B$6:$B$479,$A77,'Каналы'!$E$6:$E$479,"social")</x:f>
        <x:v>0</x:v>
      </x:c>
      <x:c r="K77" s="5" t="n">
        <x:f>COUNTIFS('Каналы'!$B$6:$B$479,$A77,'Каналы'!$E$6:$E$479,"careers")</x:f>
        <x:v>0</x:v>
      </x:c>
      <x:c r="L77" s="5" t="n">
        <x:f>SUM(C77:K77)</x:f>
        <x:v>2</x:v>
      </x:c>
      <x:c r="M77" s="5" t="str">
        <x:v>Искать каналы с нулём; отдельно проверять действующее юрлицо и прием внешних провайдеров.</x:v>
      </x:c>
    </x:row>
    <x:row r="78" ht="31.5" customHeight="1">
      <x:c r="A78" s="5" t="str">
        <x:v>CU-0049</x:v>
      </x:c>
      <x:c r="B78" s="5" t="str">
        <x:v>Корпоративный университет Полюса</x:v>
      </x:c>
      <x:c r="C78" s="5" t="n">
        <x:f>COUNTIFS('Каналы'!$B$6:$B$479,$A78,'Каналы'!$E$6:$E$479,"university_site")</x:f>
        <x:v>1</x:v>
      </x:c>
      <x:c r="D78" s="5" t="n">
        <x:f>COUNTIFS('Каналы'!$B$6:$B$479,$A78,'Каналы'!$E$6:$E$479,"news")</x:f>
        <x:v>0</x:v>
      </x:c>
      <x:c r="E78" s="5" t="n">
        <x:f>COUNTIFS('Каналы'!$B$6:$B$479,$A78,'Каналы'!$E$6:$E$479,"programs")</x:f>
        <x:v>0</x:v>
      </x:c>
      <x:c r="F78" s="5" t="n">
        <x:f>COUNTIFS('Каналы'!$B$6:$B$479,$A78,'Каналы'!$E$6:$E$479,"procurement")</x:f>
        <x:v>0</x:v>
      </x:c>
      <x:c r="G78" s="5" t="n">
        <x:f>COUNTIFS('Каналы'!$B$6:$B$479,$A78,'Каналы'!$E$6:$E$479,"expert_application")</x:f>
        <x:v>0</x:v>
      </x:c>
      <x:c r="H78" s="5" t="n">
        <x:f>COUNTIFS('Каналы'!$B$6:$B$479,$A78,'Каналы'!$E$6:$E$479,"partners")</x:f>
        <x:v>0</x:v>
      </x:c>
      <x:c r="I78" s="5" t="n">
        <x:f>COUNTIFS('Каналы'!$B$6:$B$479,$A78,'Каналы'!$E$6:$E$479,"contacts")</x:f>
        <x:v>0</x:v>
      </x:c>
      <x:c r="J78" s="5" t="n">
        <x:f>COUNTIFS('Каналы'!$B$6:$B$479,$A78,'Каналы'!$E$6:$E$479,"social")</x:f>
        <x:v>0</x:v>
      </x:c>
      <x:c r="K78" s="5" t="n">
        <x:f>COUNTIFS('Каналы'!$B$6:$B$479,$A78,'Каналы'!$E$6:$E$479,"careers")</x:f>
        <x:v>1</x:v>
      </x:c>
      <x:c r="L78" s="5" t="n">
        <x:f>SUM(C78:K78)</x:f>
        <x:v>2</x:v>
      </x:c>
      <x:c r="M78" s="5" t="str">
        <x:v>Искать каналы с нулём; отдельно проверять действующее юрлицо и прием внешних провайдеров.</x:v>
      </x:c>
    </x:row>
    <x:row r="79" ht="31.5" customHeight="1">
      <x:c r="A79" s="5" t="str">
        <x:v>CU-0050</x:v>
      </x:c>
      <x:c r="B79" s="5" t="str">
        <x:v>Корпоративный университет АЛРОСА</x:v>
      </x:c>
      <x:c r="C79" s="5" t="n">
        <x:f>COUNTIFS('Каналы'!$B$6:$B$479,$A79,'Каналы'!$E$6:$E$479,"university_site")</x:f>
        <x:v>1</x:v>
      </x:c>
      <x:c r="D79" s="5" t="n">
        <x:f>COUNTIFS('Каналы'!$B$6:$B$479,$A79,'Каналы'!$E$6:$E$479,"news")</x:f>
        <x:v>1</x:v>
      </x:c>
      <x:c r="E79" s="5" t="n">
        <x:f>COUNTIFS('Каналы'!$B$6:$B$479,$A79,'Каналы'!$E$6:$E$479,"programs")</x:f>
        <x:v>0</x:v>
      </x:c>
      <x:c r="F79" s="5" t="n">
        <x:f>COUNTIFS('Каналы'!$B$6:$B$479,$A79,'Каналы'!$E$6:$E$479,"procurement")</x:f>
        <x:v>0</x:v>
      </x:c>
      <x:c r="G79" s="5" t="n">
        <x:f>COUNTIFS('Каналы'!$B$6:$B$479,$A79,'Каналы'!$E$6:$E$479,"expert_application")</x:f>
        <x:v>0</x:v>
      </x:c>
      <x:c r="H79" s="5" t="n">
        <x:f>COUNTIFS('Каналы'!$B$6:$B$479,$A79,'Каналы'!$E$6:$E$479,"partners")</x:f>
        <x:v>0</x:v>
      </x:c>
      <x:c r="I79" s="5" t="n">
        <x:f>COUNTIFS('Каналы'!$B$6:$B$479,$A79,'Каналы'!$E$6:$E$479,"contacts")</x:f>
        <x:v>0</x:v>
      </x:c>
      <x:c r="J79" s="5" t="n">
        <x:f>COUNTIFS('Каналы'!$B$6:$B$479,$A79,'Каналы'!$E$6:$E$479,"social")</x:f>
        <x:v>0</x:v>
      </x:c>
      <x:c r="K79" s="5" t="n">
        <x:f>COUNTIFS('Каналы'!$B$6:$B$479,$A79,'Каналы'!$E$6:$E$479,"careers")</x:f>
        <x:v>1</x:v>
      </x:c>
      <x:c r="L79" s="5" t="n">
        <x:f>SUM(C79:K79)</x:f>
        <x:v>3</x:v>
      </x:c>
      <x:c r="M79" s="5" t="str">
        <x:v>Искать каналы с нулём; отдельно проверять действующее юрлицо и прием внешних провайдеров.</x:v>
      </x:c>
    </x:row>
    <x:row r="80" ht="31.5" customHeight="1">
      <x:c r="A80" s="5" t="str">
        <x:v>CU-0054</x:v>
      </x:c>
      <x:c r="B80" s="5" t="str">
        <x:v>Корпоративный университет СИБУРа</x:v>
      </x:c>
      <x:c r="C80" s="5" t="n">
        <x:f>COUNTIFS('Каналы'!$B$6:$B$479,$A80,'Каналы'!$E$6:$E$479,"university_site")</x:f>
        <x:v>1</x:v>
      </x:c>
      <x:c r="D80" s="5" t="n">
        <x:f>COUNTIFS('Каналы'!$B$6:$B$479,$A80,'Каналы'!$E$6:$E$479,"news")</x:f>
        <x:v>0</x:v>
      </x:c>
      <x:c r="E80" s="5" t="n">
        <x:f>COUNTIFS('Каналы'!$B$6:$B$479,$A80,'Каналы'!$E$6:$E$479,"programs")</x:f>
        <x:v>0</x:v>
      </x:c>
      <x:c r="F80" s="5" t="n">
        <x:f>COUNTIFS('Каналы'!$B$6:$B$479,$A80,'Каналы'!$E$6:$E$479,"procurement")</x:f>
        <x:v>1</x:v>
      </x:c>
      <x:c r="G80" s="5" t="n">
        <x:f>COUNTIFS('Каналы'!$B$6:$B$479,$A80,'Каналы'!$E$6:$E$479,"expert_application")</x:f>
        <x:v>0</x:v>
      </x:c>
      <x:c r="H80" s="5" t="n">
        <x:f>COUNTIFS('Каналы'!$B$6:$B$479,$A80,'Каналы'!$E$6:$E$479,"partners")</x:f>
        <x:v>1</x:v>
      </x:c>
      <x:c r="I80" s="5" t="n">
        <x:f>COUNTIFS('Каналы'!$B$6:$B$479,$A80,'Каналы'!$E$6:$E$479,"contacts")</x:f>
        <x:v>0</x:v>
      </x:c>
      <x:c r="J80" s="5" t="n">
        <x:f>COUNTIFS('Каналы'!$B$6:$B$479,$A80,'Каналы'!$E$6:$E$479,"social")</x:f>
        <x:v>0</x:v>
      </x:c>
      <x:c r="K80" s="5" t="n">
        <x:f>COUNTIFS('Каналы'!$B$6:$B$479,$A80,'Каналы'!$E$6:$E$479,"careers")</x:f>
        <x:v>0</x:v>
      </x:c>
      <x:c r="L80" s="5" t="n">
        <x:f>SUM(C80:K80)</x:f>
        <x:v>3</x:v>
      </x:c>
      <x:c r="M80" s="5" t="str">
        <x:v>Искать каналы с нулём; отдельно проверять действующее юрлицо и прием внешних провайдеров.</x:v>
      </x:c>
    </x:row>
    <x:row r="81" ht="31.5" customHeight="1">
      <x:c r="A81" s="5" t="str">
        <x:v>CU-0055</x:v>
      </x:c>
      <x:c r="B81" s="5" t="str">
        <x:v>Корпоративный университет Уралкалия</x:v>
      </x:c>
      <x:c r="C81" s="5" t="n">
        <x:f>COUNTIFS('Каналы'!$B$6:$B$479,$A81,'Каналы'!$E$6:$E$479,"university_site")</x:f>
        <x:v>1</x:v>
      </x:c>
      <x:c r="D81" s="5" t="n">
        <x:f>COUNTIFS('Каналы'!$B$6:$B$479,$A81,'Каналы'!$E$6:$E$479,"news")</x:f>
        <x:v>0</x:v>
      </x:c>
      <x:c r="E81" s="5" t="n">
        <x:f>COUNTIFS('Каналы'!$B$6:$B$479,$A81,'Каналы'!$E$6:$E$479,"programs")</x:f>
        <x:v>0</x:v>
      </x:c>
      <x:c r="F81" s="5" t="n">
        <x:f>COUNTIFS('Каналы'!$B$6:$B$479,$A81,'Каналы'!$E$6:$E$479,"procurement")</x:f>
        <x:v>0</x:v>
      </x:c>
      <x:c r="G81" s="5" t="n">
        <x:f>COUNTIFS('Каналы'!$B$6:$B$479,$A81,'Каналы'!$E$6:$E$479,"expert_application")</x:f>
        <x:v>0</x:v>
      </x:c>
      <x:c r="H81" s="5" t="n">
        <x:f>COUNTIFS('Каналы'!$B$6:$B$479,$A81,'Каналы'!$E$6:$E$479,"partners")</x:f>
        <x:v>0</x:v>
      </x:c>
      <x:c r="I81" s="5" t="n">
        <x:f>COUNTIFS('Каналы'!$B$6:$B$479,$A81,'Каналы'!$E$6:$E$479,"contacts")</x:f>
        <x:v>0</x:v>
      </x:c>
      <x:c r="J81" s="5" t="n">
        <x:f>COUNTIFS('Каналы'!$B$6:$B$479,$A81,'Каналы'!$E$6:$E$479,"social")</x:f>
        <x:v>0</x:v>
      </x:c>
      <x:c r="K81" s="5" t="n">
        <x:f>COUNTIFS('Каналы'!$B$6:$B$479,$A81,'Каналы'!$E$6:$E$479,"careers")</x:f>
        <x:v>0</x:v>
      </x:c>
      <x:c r="L81" s="5" t="n">
        <x:f>SUM(C81:K81)</x:f>
        <x:v>1</x:v>
      </x:c>
      <x:c r="M81" s="5" t="str">
        <x:v>Искать каналы с нулём; отдельно проверять действующее юрлицо и прием внешних провайдеров.</x:v>
      </x:c>
    </x:row>
    <x:row r="82" ht="31.5" customHeight="1">
      <x:c r="A82" s="5" t="str">
        <x:v>CU-0056</x:v>
      </x:c>
      <x:c r="B82" s="5" t="str">
        <x:v>Корпоративный университет Уралхима</x:v>
      </x:c>
      <x:c r="C82" s="5" t="n">
        <x:f>COUNTIFS('Каналы'!$B$6:$B$479,$A82,'Каналы'!$E$6:$E$479,"university_site")</x:f>
        <x:v>1</x:v>
      </x:c>
      <x:c r="D82" s="5" t="n">
        <x:f>COUNTIFS('Каналы'!$B$6:$B$479,$A82,'Каналы'!$E$6:$E$479,"news")</x:f>
        <x:v>1</x:v>
      </x:c>
      <x:c r="E82" s="5" t="n">
        <x:f>COUNTIFS('Каналы'!$B$6:$B$479,$A82,'Каналы'!$E$6:$E$479,"programs")</x:f>
        <x:v>0</x:v>
      </x:c>
      <x:c r="F82" s="5" t="n">
        <x:f>COUNTIFS('Каналы'!$B$6:$B$479,$A82,'Каналы'!$E$6:$E$479,"procurement")</x:f>
        <x:v>0</x:v>
      </x:c>
      <x:c r="G82" s="5" t="n">
        <x:f>COUNTIFS('Каналы'!$B$6:$B$479,$A82,'Каналы'!$E$6:$E$479,"expert_application")</x:f>
        <x:v>0</x:v>
      </x:c>
      <x:c r="H82" s="5" t="n">
        <x:f>COUNTIFS('Каналы'!$B$6:$B$479,$A82,'Каналы'!$E$6:$E$479,"partners")</x:f>
        <x:v>0</x:v>
      </x:c>
      <x:c r="I82" s="5" t="n">
        <x:f>COUNTIFS('Каналы'!$B$6:$B$479,$A82,'Каналы'!$E$6:$E$479,"contacts")</x:f>
        <x:v>0</x:v>
      </x:c>
      <x:c r="J82" s="5" t="n">
        <x:f>COUNTIFS('Каналы'!$B$6:$B$479,$A82,'Каналы'!$E$6:$E$479,"social")</x:f>
        <x:v>0</x:v>
      </x:c>
      <x:c r="K82" s="5" t="n">
        <x:f>COUNTIFS('Каналы'!$B$6:$B$479,$A82,'Каналы'!$E$6:$E$479,"careers")</x:f>
        <x:v>0</x:v>
      </x:c>
      <x:c r="L82" s="5" t="n">
        <x:f>SUM(C82:K82)</x:f>
        <x:v>2</x:v>
      </x:c>
      <x:c r="M82" s="5" t="str">
        <x:v>Искать каналы с нулём; отдельно проверять действующее юрлицо и прием внешних провайдеров.</x:v>
      </x:c>
    </x:row>
    <x:row r="83" ht="31.5" customHeight="1">
      <x:c r="A83" s="5" t="str">
        <x:v>CU-0060</x:v>
      </x:c>
      <x:c r="B83" s="5" t="str">
        <x:v>Корпоративный университет Акрон Холдинг</x:v>
      </x:c>
      <x:c r="C83" s="5" t="n">
        <x:f>COUNTIFS('Каналы'!$B$6:$B$479,$A83,'Каналы'!$E$6:$E$479,"university_site")</x:f>
        <x:v>1</x:v>
      </x:c>
      <x:c r="D83" s="5" t="n">
        <x:f>COUNTIFS('Каналы'!$B$6:$B$479,$A83,'Каналы'!$E$6:$E$479,"news")</x:f>
        <x:v>0</x:v>
      </x:c>
      <x:c r="E83" s="5" t="n">
        <x:f>COUNTIFS('Каналы'!$B$6:$B$479,$A83,'Каналы'!$E$6:$E$479,"programs")</x:f>
        <x:v>0</x:v>
      </x:c>
      <x:c r="F83" s="5" t="n">
        <x:f>COUNTIFS('Каналы'!$B$6:$B$479,$A83,'Каналы'!$E$6:$E$479,"procurement")</x:f>
        <x:v>0</x:v>
      </x:c>
      <x:c r="G83" s="5" t="n">
        <x:f>COUNTIFS('Каналы'!$B$6:$B$479,$A83,'Каналы'!$E$6:$E$479,"expert_application")</x:f>
        <x:v>0</x:v>
      </x:c>
      <x:c r="H83" s="5" t="n">
        <x:f>COUNTIFS('Каналы'!$B$6:$B$479,$A83,'Каналы'!$E$6:$E$479,"partners")</x:f>
        <x:v>0</x:v>
      </x:c>
      <x:c r="I83" s="5" t="n">
        <x:f>COUNTIFS('Каналы'!$B$6:$B$479,$A83,'Каналы'!$E$6:$E$479,"contacts")</x:f>
        <x:v>0</x:v>
      </x:c>
      <x:c r="J83" s="5" t="n">
        <x:f>COUNTIFS('Каналы'!$B$6:$B$479,$A83,'Каналы'!$E$6:$E$479,"social")</x:f>
        <x:v>0</x:v>
      </x:c>
      <x:c r="K83" s="5" t="n">
        <x:f>COUNTIFS('Каналы'!$B$6:$B$479,$A83,'Каналы'!$E$6:$E$479,"careers")</x:f>
        <x:v>0</x:v>
      </x:c>
      <x:c r="L83" s="5" t="n">
        <x:f>SUM(C83:K83)</x:f>
        <x:v>1</x:v>
      </x:c>
      <x:c r="M83" s="5" t="str">
        <x:v>Искать каналы с нулём; отдельно проверять действующее юрлицо и прием внешних провайдеров.</x:v>
      </x:c>
    </x:row>
    <x:row r="84" ht="31.5" customHeight="1">
      <x:c r="A84" s="5" t="str">
        <x:v>CU-0061</x:v>
      </x:c>
      <x:c r="B84" s="5" t="str">
        <x:v>Академия Ростеха</x:v>
      </x:c>
      <x:c r="C84" s="5" t="n">
        <x:f>COUNTIFS('Каналы'!$B$6:$B$479,$A84,'Каналы'!$E$6:$E$479,"university_site")</x:f>
        <x:v>1</x:v>
      </x:c>
      <x:c r="D84" s="5" t="n">
        <x:f>COUNTIFS('Каналы'!$B$6:$B$479,$A84,'Каналы'!$E$6:$E$479,"news")</x:f>
        <x:v>0</x:v>
      </x:c>
      <x:c r="E84" s="5" t="n">
        <x:f>COUNTIFS('Каналы'!$B$6:$B$479,$A84,'Каналы'!$E$6:$E$479,"programs")</x:f>
        <x:v>1</x:v>
      </x:c>
      <x:c r="F84" s="5" t="n">
        <x:f>COUNTIFS('Каналы'!$B$6:$B$479,$A84,'Каналы'!$E$6:$E$479,"procurement")</x:f>
        <x:v>0</x:v>
      </x:c>
      <x:c r="G84" s="5" t="n">
        <x:f>COUNTIFS('Каналы'!$B$6:$B$479,$A84,'Каналы'!$E$6:$E$479,"expert_application")</x:f>
        <x:v>0</x:v>
      </x:c>
      <x:c r="H84" s="5" t="n">
        <x:f>COUNTIFS('Каналы'!$B$6:$B$479,$A84,'Каналы'!$E$6:$E$479,"partners")</x:f>
        <x:v>0</x:v>
      </x:c>
      <x:c r="I84" s="5" t="n">
        <x:f>COUNTIFS('Каналы'!$B$6:$B$479,$A84,'Каналы'!$E$6:$E$479,"contacts")</x:f>
        <x:v>0</x:v>
      </x:c>
      <x:c r="J84" s="5" t="n">
        <x:f>COUNTIFS('Каналы'!$B$6:$B$479,$A84,'Каналы'!$E$6:$E$479,"social")</x:f>
        <x:v>0</x:v>
      </x:c>
      <x:c r="K84" s="5" t="n">
        <x:f>COUNTIFS('Каналы'!$B$6:$B$479,$A84,'Каналы'!$E$6:$E$479,"careers")</x:f>
        <x:v>0</x:v>
      </x:c>
      <x:c r="L84" s="5" t="n">
        <x:f>SUM(C84:K84)</x:f>
        <x:v>2</x:v>
      </x:c>
      <x:c r="M84" s="5" t="str">
        <x:v>Искать каналы с нулём; отдельно проверять действующее юрлицо и прием внешних провайдеров.</x:v>
      </x:c>
    </x:row>
    <x:row r="85" ht="31.5" customHeight="1">
      <x:c r="A85" s="5" t="str">
        <x:v>CU-0062</x:v>
      </x:c>
      <x:c r="B85" s="5" t="str">
        <x:v>Корпоративный университет КАМАЗа</x:v>
      </x:c>
      <x:c r="C85" s="5" t="n">
        <x:f>COUNTIFS('Каналы'!$B$6:$B$479,$A85,'Каналы'!$E$6:$E$479,"university_site")</x:f>
        <x:v>1</x:v>
      </x:c>
      <x:c r="D85" s="5" t="n">
        <x:f>COUNTIFS('Каналы'!$B$6:$B$479,$A85,'Каналы'!$E$6:$E$479,"news")</x:f>
        <x:v>0</x:v>
      </x:c>
      <x:c r="E85" s="5" t="n">
        <x:f>COUNTIFS('Каналы'!$B$6:$B$479,$A85,'Каналы'!$E$6:$E$479,"programs")</x:f>
        <x:v>0</x:v>
      </x:c>
      <x:c r="F85" s="5" t="n">
        <x:f>COUNTIFS('Каналы'!$B$6:$B$479,$A85,'Каналы'!$E$6:$E$479,"procurement")</x:f>
        <x:v>2</x:v>
      </x:c>
      <x:c r="G85" s="5" t="n">
        <x:f>COUNTIFS('Каналы'!$B$6:$B$479,$A85,'Каналы'!$E$6:$E$479,"expert_application")</x:f>
        <x:v>0</x:v>
      </x:c>
      <x:c r="H85" s="5" t="n">
        <x:f>COUNTIFS('Каналы'!$B$6:$B$479,$A85,'Каналы'!$E$6:$E$479,"partners")</x:f>
        <x:v>0</x:v>
      </x:c>
      <x:c r="I85" s="5" t="n">
        <x:f>COUNTIFS('Каналы'!$B$6:$B$479,$A85,'Каналы'!$E$6:$E$479,"contacts")</x:f>
        <x:v>0</x:v>
      </x:c>
      <x:c r="J85" s="5" t="n">
        <x:f>COUNTIFS('Каналы'!$B$6:$B$479,$A85,'Каналы'!$E$6:$E$479,"social")</x:f>
        <x:v>0</x:v>
      </x:c>
      <x:c r="K85" s="5" t="n">
        <x:f>COUNTIFS('Каналы'!$B$6:$B$479,$A85,'Каналы'!$E$6:$E$479,"careers")</x:f>
        <x:v>0</x:v>
      </x:c>
      <x:c r="L85" s="5" t="n">
        <x:f>SUM(C85:K85)</x:f>
        <x:v>3</x:v>
      </x:c>
      <x:c r="M85" s="5" t="str">
        <x:v>Искать каналы с нулём; отдельно проверять действующее юрлицо и прием внешних провайдеров.</x:v>
      </x:c>
    </x:row>
    <x:row r="86" ht="31.5" customHeight="1">
      <x:c r="A86" s="5" t="str">
        <x:v>CU-0063</x:v>
      </x:c>
      <x:c r="B86" s="5" t="str">
        <x:v>Корпоративный университет Горьковского автозавода</x:v>
      </x:c>
      <x:c r="C86" s="5" t="n">
        <x:f>COUNTIFS('Каналы'!$B$6:$B$479,$A86,'Каналы'!$E$6:$E$479,"university_site")</x:f>
        <x:v>1</x:v>
      </x:c>
      <x:c r="D86" s="5" t="n">
        <x:f>COUNTIFS('Каналы'!$B$6:$B$479,$A86,'Каналы'!$E$6:$E$479,"news")</x:f>
        <x:v>1</x:v>
      </x:c>
      <x:c r="E86" s="5" t="n">
        <x:f>COUNTIFS('Каналы'!$B$6:$B$479,$A86,'Каналы'!$E$6:$E$479,"programs")</x:f>
        <x:v>0</x:v>
      </x:c>
      <x:c r="F86" s="5" t="n">
        <x:f>COUNTIFS('Каналы'!$B$6:$B$479,$A86,'Каналы'!$E$6:$E$479,"procurement")</x:f>
        <x:v>0</x:v>
      </x:c>
      <x:c r="G86" s="5" t="n">
        <x:f>COUNTIFS('Каналы'!$B$6:$B$479,$A86,'Каналы'!$E$6:$E$479,"expert_application")</x:f>
        <x:v>0</x:v>
      </x:c>
      <x:c r="H86" s="5" t="n">
        <x:f>COUNTIFS('Каналы'!$B$6:$B$479,$A86,'Каналы'!$E$6:$E$479,"partners")</x:f>
        <x:v>0</x:v>
      </x:c>
      <x:c r="I86" s="5" t="n">
        <x:f>COUNTIFS('Каналы'!$B$6:$B$479,$A86,'Каналы'!$E$6:$E$479,"contacts")</x:f>
        <x:v>0</x:v>
      </x:c>
      <x:c r="J86" s="5" t="n">
        <x:f>COUNTIFS('Каналы'!$B$6:$B$479,$A86,'Каналы'!$E$6:$E$479,"social")</x:f>
        <x:v>0</x:v>
      </x:c>
      <x:c r="K86" s="5" t="n">
        <x:f>COUNTIFS('Каналы'!$B$6:$B$479,$A86,'Каналы'!$E$6:$E$479,"careers")</x:f>
        <x:v>0</x:v>
      </x:c>
      <x:c r="L86" s="5" t="n">
        <x:f>SUM(C86:K86)</x:f>
        <x:v>2</x:v>
      </x:c>
      <x:c r="M86" s="5" t="str">
        <x:v>Искать каналы с нулём; отдельно проверять действующее юрлицо и прием внешних провайдеров.</x:v>
      </x:c>
    </x:row>
    <x:row r="87" ht="31.5" customHeight="1">
      <x:c r="A87" s="5" t="str">
        <x:v>CU-0065</x:v>
      </x:c>
      <x:c r="B87" s="5" t="str">
        <x:v>Корпоративная академия Роскосмоса</x:v>
      </x:c>
      <x:c r="C87" s="5" t="n">
        <x:f>COUNTIFS('Каналы'!$B$6:$B$479,$A87,'Каналы'!$E$6:$E$479,"university_site")</x:f>
        <x:v>1</x:v>
      </x:c>
      <x:c r="D87" s="5" t="n">
        <x:f>COUNTIFS('Каналы'!$B$6:$B$479,$A87,'Каналы'!$E$6:$E$479,"news")</x:f>
        <x:v>1</x:v>
      </x:c>
      <x:c r="E87" s="5" t="n">
        <x:f>COUNTIFS('Каналы'!$B$6:$B$479,$A87,'Каналы'!$E$6:$E$479,"programs")</x:f>
        <x:v>0</x:v>
      </x:c>
      <x:c r="F87" s="5" t="n">
        <x:f>COUNTIFS('Каналы'!$B$6:$B$479,$A87,'Каналы'!$E$6:$E$479,"procurement")</x:f>
        <x:v>0</x:v>
      </x:c>
      <x:c r="G87" s="5" t="n">
        <x:f>COUNTIFS('Каналы'!$B$6:$B$479,$A87,'Каналы'!$E$6:$E$479,"expert_application")</x:f>
        <x:v>0</x:v>
      </x:c>
      <x:c r="H87" s="5" t="n">
        <x:f>COUNTIFS('Каналы'!$B$6:$B$479,$A87,'Каналы'!$E$6:$E$479,"partners")</x:f>
        <x:v>0</x:v>
      </x:c>
      <x:c r="I87" s="5" t="n">
        <x:f>COUNTIFS('Каналы'!$B$6:$B$479,$A87,'Каналы'!$E$6:$E$479,"contacts")</x:f>
        <x:v>0</x:v>
      </x:c>
      <x:c r="J87" s="5" t="n">
        <x:f>COUNTIFS('Каналы'!$B$6:$B$479,$A87,'Каналы'!$E$6:$E$479,"social")</x:f>
        <x:v>0</x:v>
      </x:c>
      <x:c r="K87" s="5" t="n">
        <x:f>COUNTIFS('Каналы'!$B$6:$B$479,$A87,'Каналы'!$E$6:$E$479,"careers")</x:f>
        <x:v>0</x:v>
      </x:c>
      <x:c r="L87" s="5" t="n">
        <x:f>SUM(C87:K87)</x:f>
        <x:v>2</x:v>
      </x:c>
      <x:c r="M87" s="5" t="str">
        <x:v>Искать каналы с нулём; отдельно проверять действующее юрлицо и прием внешних провайдеров.</x:v>
      </x:c>
    </x:row>
    <x:row r="88" ht="31.5" customHeight="1">
      <x:c r="A88" s="5" t="str">
        <x:v>CU-0066</x:v>
      </x:c>
      <x:c r="B88" s="5" t="str">
        <x:v>Корпоративный университет ОСК</x:v>
      </x:c>
      <x:c r="C88" s="5" t="n">
        <x:f>COUNTIFS('Каналы'!$B$6:$B$479,$A88,'Каналы'!$E$6:$E$479,"university_site")</x:f>
        <x:v>1</x:v>
      </x:c>
      <x:c r="D88" s="5" t="n">
        <x:f>COUNTIFS('Каналы'!$B$6:$B$479,$A88,'Каналы'!$E$6:$E$479,"news")</x:f>
        <x:v>1</x:v>
      </x:c>
      <x:c r="E88" s="5" t="n">
        <x:f>COUNTIFS('Каналы'!$B$6:$B$479,$A88,'Каналы'!$E$6:$E$479,"programs")</x:f>
        <x:v>0</x:v>
      </x:c>
      <x:c r="F88" s="5" t="n">
        <x:f>COUNTIFS('Каналы'!$B$6:$B$479,$A88,'Каналы'!$E$6:$E$479,"procurement")</x:f>
        <x:v>0</x:v>
      </x:c>
      <x:c r="G88" s="5" t="n">
        <x:f>COUNTIFS('Каналы'!$B$6:$B$479,$A88,'Каналы'!$E$6:$E$479,"expert_application")</x:f>
        <x:v>0</x:v>
      </x:c>
      <x:c r="H88" s="5" t="n">
        <x:f>COUNTIFS('Каналы'!$B$6:$B$479,$A88,'Каналы'!$E$6:$E$479,"partners")</x:f>
        <x:v>0</x:v>
      </x:c>
      <x:c r="I88" s="5" t="n">
        <x:f>COUNTIFS('Каналы'!$B$6:$B$479,$A88,'Каналы'!$E$6:$E$479,"contacts")</x:f>
        <x:v>0</x:v>
      </x:c>
      <x:c r="J88" s="5" t="n">
        <x:f>COUNTIFS('Каналы'!$B$6:$B$479,$A88,'Каналы'!$E$6:$E$479,"social")</x:f>
        <x:v>0</x:v>
      </x:c>
      <x:c r="K88" s="5" t="n">
        <x:f>COUNTIFS('Каналы'!$B$6:$B$479,$A88,'Каналы'!$E$6:$E$479,"careers")</x:f>
        <x:v>0</x:v>
      </x:c>
      <x:c r="L88" s="5" t="n">
        <x:f>SUM(C88:K88)</x:f>
        <x:v>2</x:v>
      </x:c>
      <x:c r="M88" s="5" t="str">
        <x:v>Искать каналы с нулём; отдельно проверять действующее юрлицо и прием внешних провайдеров.</x:v>
      </x:c>
    </x:row>
    <x:row r="89" ht="31.5" customHeight="1">
      <x:c r="A89" s="5" t="str">
        <x:v>CU-0067</x:v>
      </x:c>
      <x:c r="B89" s="5" t="str">
        <x:v>Университет ТМХ</x:v>
      </x:c>
      <x:c r="C89" s="5" t="n">
        <x:f>COUNTIFS('Каналы'!$B$6:$B$479,$A89,'Каналы'!$E$6:$E$479,"university_site")</x:f>
        <x:v>1</x:v>
      </x:c>
      <x:c r="D89" s="5" t="n">
        <x:f>COUNTIFS('Каналы'!$B$6:$B$479,$A89,'Каналы'!$E$6:$E$479,"news")</x:f>
        <x:v>0</x:v>
      </x:c>
      <x:c r="E89" s="5" t="n">
        <x:f>COUNTIFS('Каналы'!$B$6:$B$479,$A89,'Каналы'!$E$6:$E$479,"programs")</x:f>
        <x:v>0</x:v>
      </x:c>
      <x:c r="F89" s="5" t="n">
        <x:f>COUNTIFS('Каналы'!$B$6:$B$479,$A89,'Каналы'!$E$6:$E$479,"procurement")</x:f>
        <x:v>0</x:v>
      </x:c>
      <x:c r="G89" s="5" t="n">
        <x:f>COUNTIFS('Каналы'!$B$6:$B$479,$A89,'Каналы'!$E$6:$E$479,"expert_application")</x:f>
        <x:v>0</x:v>
      </x:c>
      <x:c r="H89" s="5" t="n">
        <x:f>COUNTIFS('Каналы'!$B$6:$B$479,$A89,'Каналы'!$E$6:$E$479,"partners")</x:f>
        <x:v>0</x:v>
      </x:c>
      <x:c r="I89" s="5" t="n">
        <x:f>COUNTIFS('Каналы'!$B$6:$B$479,$A89,'Каналы'!$E$6:$E$479,"contacts")</x:f>
        <x:v>0</x:v>
      </x:c>
      <x:c r="J89" s="5" t="n">
        <x:f>COUNTIFS('Каналы'!$B$6:$B$479,$A89,'Каналы'!$E$6:$E$479,"social")</x:f>
        <x:v>0</x:v>
      </x:c>
      <x:c r="K89" s="5" t="n">
        <x:f>COUNTIFS('Каналы'!$B$6:$B$479,$A89,'Каналы'!$E$6:$E$479,"careers")</x:f>
        <x:v>0</x:v>
      </x:c>
      <x:c r="L89" s="5" t="n">
        <x:f>SUM(C89:K89)</x:f>
        <x:v>1</x:v>
      </x:c>
      <x:c r="M89" s="5" t="str">
        <x:v>Искать каналы с нулём; отдельно проверять действующее юрлицо и прием внешних провайдеров.</x:v>
      </x:c>
    </x:row>
    <x:row r="90" ht="31.5" customHeight="1">
      <x:c r="A90" s="5" t="str">
        <x:v>CU-0068</x:v>
      </x:c>
      <x:c r="B90" s="5" t="str">
        <x:v>Корпоративный университет ОАК</x:v>
      </x:c>
      <x:c r="C90" s="5" t="n">
        <x:f>COUNTIFS('Каналы'!$B$6:$B$479,$A90,'Каналы'!$E$6:$E$479,"university_site")</x:f>
        <x:v>1</x:v>
      </x:c>
      <x:c r="D90" s="5" t="n">
        <x:f>COUNTIFS('Каналы'!$B$6:$B$479,$A90,'Каналы'!$E$6:$E$479,"news")</x:f>
        <x:v>1</x:v>
      </x:c>
      <x:c r="E90" s="5" t="n">
        <x:f>COUNTIFS('Каналы'!$B$6:$B$479,$A90,'Каналы'!$E$6:$E$479,"programs")</x:f>
        <x:v>0</x:v>
      </x:c>
      <x:c r="F90" s="5" t="n">
        <x:f>COUNTIFS('Каналы'!$B$6:$B$479,$A90,'Каналы'!$E$6:$E$479,"procurement")</x:f>
        <x:v>0</x:v>
      </x:c>
      <x:c r="G90" s="5" t="n">
        <x:f>COUNTIFS('Каналы'!$B$6:$B$479,$A90,'Каналы'!$E$6:$E$479,"expert_application")</x:f>
        <x:v>0</x:v>
      </x:c>
      <x:c r="H90" s="5" t="n">
        <x:f>COUNTIFS('Каналы'!$B$6:$B$479,$A90,'Каналы'!$E$6:$E$479,"partners")</x:f>
        <x:v>0</x:v>
      </x:c>
      <x:c r="I90" s="5" t="n">
        <x:f>COUNTIFS('Каналы'!$B$6:$B$479,$A90,'Каналы'!$E$6:$E$479,"contacts")</x:f>
        <x:v>0</x:v>
      </x:c>
      <x:c r="J90" s="5" t="n">
        <x:f>COUNTIFS('Каналы'!$B$6:$B$479,$A90,'Каналы'!$E$6:$E$479,"social")</x:f>
        <x:v>0</x:v>
      </x:c>
      <x:c r="K90" s="5" t="n">
        <x:f>COUNTIFS('Каналы'!$B$6:$B$479,$A90,'Каналы'!$E$6:$E$479,"careers")</x:f>
        <x:v>0</x:v>
      </x:c>
      <x:c r="L90" s="5" t="n">
        <x:f>SUM(C90:K90)</x:f>
        <x:v>2</x:v>
      </x:c>
      <x:c r="M90" s="5" t="str">
        <x:v>Искать каналы с нулём; отдельно проверять действующее юрлицо и прием внешних провайдеров.</x:v>
      </x:c>
    </x:row>
    <x:row r="91" ht="31.5" customHeight="1">
      <x:c r="A91" s="5" t="str">
        <x:v>CU-0071</x:v>
      </x:c>
      <x:c r="B91" s="5" t="str">
        <x:v>Корпоративный университет Группы «Илим»</x:v>
      </x:c>
      <x:c r="C91" s="5" t="n">
        <x:f>COUNTIFS('Каналы'!$B$6:$B$479,$A91,'Каналы'!$E$6:$E$479,"university_site")</x:f>
        <x:v>1</x:v>
      </x:c>
      <x:c r="D91" s="5" t="n">
        <x:f>COUNTIFS('Каналы'!$B$6:$B$479,$A91,'Каналы'!$E$6:$E$479,"news")</x:f>
        <x:v>0</x:v>
      </x:c>
      <x:c r="E91" s="5" t="n">
        <x:f>COUNTIFS('Каналы'!$B$6:$B$479,$A91,'Каналы'!$E$6:$E$479,"programs")</x:f>
        <x:v>0</x:v>
      </x:c>
      <x:c r="F91" s="5" t="n">
        <x:f>COUNTIFS('Каналы'!$B$6:$B$479,$A91,'Каналы'!$E$6:$E$479,"procurement")</x:f>
        <x:v>0</x:v>
      </x:c>
      <x:c r="G91" s="5" t="n">
        <x:f>COUNTIFS('Каналы'!$B$6:$B$479,$A91,'Каналы'!$E$6:$E$479,"expert_application")</x:f>
        <x:v>0</x:v>
      </x:c>
      <x:c r="H91" s="5" t="n">
        <x:f>COUNTIFS('Каналы'!$B$6:$B$479,$A91,'Каналы'!$E$6:$E$479,"partners")</x:f>
        <x:v>0</x:v>
      </x:c>
      <x:c r="I91" s="5" t="n">
        <x:f>COUNTIFS('Каналы'!$B$6:$B$479,$A91,'Каналы'!$E$6:$E$479,"contacts")</x:f>
        <x:v>0</x:v>
      </x:c>
      <x:c r="J91" s="5" t="n">
        <x:f>COUNTIFS('Каналы'!$B$6:$B$479,$A91,'Каналы'!$E$6:$E$479,"social")</x:f>
        <x:v>0</x:v>
      </x:c>
      <x:c r="K91" s="5" t="n">
        <x:f>COUNTIFS('Каналы'!$B$6:$B$479,$A91,'Каналы'!$E$6:$E$479,"careers")</x:f>
        <x:v>1</x:v>
      </x:c>
      <x:c r="L91" s="5" t="n">
        <x:f>SUM(C91:K91)</x:f>
        <x:v>2</x:v>
      </x:c>
      <x:c r="M91" s="5" t="str">
        <x:v>Искать каналы с нулём; отдельно проверять действующее юрлицо и прием внешних провайдеров.</x:v>
      </x:c>
    </x:row>
    <x:row r="92" ht="31.5" customHeight="1">
      <x:c r="A92" s="5" t="str">
        <x:v>CU-0072</x:v>
      </x:c>
      <x:c r="B92" s="5" t="str">
        <x:v>Корпоративный университет Асконы</x:v>
      </x:c>
      <x:c r="C92" s="5" t="n">
        <x:f>COUNTIFS('Каналы'!$B$6:$B$479,$A92,'Каналы'!$E$6:$E$479,"university_site")</x:f>
        <x:v>1</x:v>
      </x:c>
      <x:c r="D92" s="5" t="n">
        <x:f>COUNTIFS('Каналы'!$B$6:$B$479,$A92,'Каналы'!$E$6:$E$479,"news")</x:f>
        <x:v>0</x:v>
      </x:c>
      <x:c r="E92" s="5" t="n">
        <x:f>COUNTIFS('Каналы'!$B$6:$B$479,$A92,'Каналы'!$E$6:$E$479,"programs")</x:f>
        <x:v>0</x:v>
      </x:c>
      <x:c r="F92" s="5" t="n">
        <x:f>COUNTIFS('Каналы'!$B$6:$B$479,$A92,'Каналы'!$E$6:$E$479,"procurement")</x:f>
        <x:v>0</x:v>
      </x:c>
      <x:c r="G92" s="5" t="n">
        <x:f>COUNTIFS('Каналы'!$B$6:$B$479,$A92,'Каналы'!$E$6:$E$479,"expert_application")</x:f>
        <x:v>0</x:v>
      </x:c>
      <x:c r="H92" s="5" t="n">
        <x:f>COUNTIFS('Каналы'!$B$6:$B$479,$A92,'Каналы'!$E$6:$E$479,"partners")</x:f>
        <x:v>0</x:v>
      </x:c>
      <x:c r="I92" s="5" t="n">
        <x:f>COUNTIFS('Каналы'!$B$6:$B$479,$A92,'Каналы'!$E$6:$E$479,"contacts")</x:f>
        <x:v>0</x:v>
      </x:c>
      <x:c r="J92" s="5" t="n">
        <x:f>COUNTIFS('Каналы'!$B$6:$B$479,$A92,'Каналы'!$E$6:$E$479,"social")</x:f>
        <x:v>0</x:v>
      </x:c>
      <x:c r="K92" s="5" t="n">
        <x:f>COUNTIFS('Каналы'!$B$6:$B$479,$A92,'Каналы'!$E$6:$E$479,"careers")</x:f>
        <x:v>0</x:v>
      </x:c>
      <x:c r="L92" s="5" t="n">
        <x:f>SUM(C92:K92)</x:f>
        <x:v>1</x:v>
      </x:c>
      <x:c r="M92" s="5" t="str">
        <x:v>Искать каналы с нулём; отдельно проверять действующее юрлицо и прием внешних провайдеров.</x:v>
      </x:c>
    </x:row>
    <x:row r="93" ht="31.5" customHeight="1">
      <x:c r="A93" s="5" t="str">
        <x:v>CU-0075</x:v>
      </x:c>
      <x:c r="B93" s="5" t="str">
        <x:v>НОЦ ВКО «Алмаз-Антей» им. академика В.П. Ефремова</x:v>
      </x:c>
      <x:c r="C93" s="5" t="n">
        <x:f>COUNTIFS('Каналы'!$B$6:$B$479,$A93,'Каналы'!$E$6:$E$479,"university_site")</x:f>
        <x:v>1</x:v>
      </x:c>
      <x:c r="D93" s="5" t="n">
        <x:f>COUNTIFS('Каналы'!$B$6:$B$479,$A93,'Каналы'!$E$6:$E$479,"news")</x:f>
        <x:v>0</x:v>
      </x:c>
      <x:c r="E93" s="5" t="n">
        <x:f>COUNTIFS('Каналы'!$B$6:$B$479,$A93,'Каналы'!$E$6:$E$479,"programs")</x:f>
        <x:v>1</x:v>
      </x:c>
      <x:c r="F93" s="5" t="n">
        <x:f>COUNTIFS('Каналы'!$B$6:$B$479,$A93,'Каналы'!$E$6:$E$479,"procurement")</x:f>
        <x:v>0</x:v>
      </x:c>
      <x:c r="G93" s="5" t="n">
        <x:f>COUNTIFS('Каналы'!$B$6:$B$479,$A93,'Каналы'!$E$6:$E$479,"expert_application")</x:f>
        <x:v>0</x:v>
      </x:c>
      <x:c r="H93" s="5" t="n">
        <x:f>COUNTIFS('Каналы'!$B$6:$B$479,$A93,'Каналы'!$E$6:$E$479,"partners")</x:f>
        <x:v>0</x:v>
      </x:c>
      <x:c r="I93" s="5" t="n">
        <x:f>COUNTIFS('Каналы'!$B$6:$B$479,$A93,'Каналы'!$E$6:$E$479,"contacts")</x:f>
        <x:v>1</x:v>
      </x:c>
      <x:c r="J93" s="5" t="n">
        <x:f>COUNTIFS('Каналы'!$B$6:$B$479,$A93,'Каналы'!$E$6:$E$479,"social")</x:f>
        <x:v>0</x:v>
      </x:c>
      <x:c r="K93" s="5" t="n">
        <x:f>COUNTIFS('Каналы'!$B$6:$B$479,$A93,'Каналы'!$E$6:$E$479,"careers")</x:f>
        <x:v>0</x:v>
      </x:c>
      <x:c r="L93" s="5" t="n">
        <x:f>SUM(C93:K93)</x:f>
        <x:v>3</x:v>
      </x:c>
      <x:c r="M93" s="5" t="str">
        <x:v>Искать каналы с нулём; отдельно проверять действующее юрлицо и прием внешних провайдеров.</x:v>
      </x:c>
    </x:row>
    <x:row r="94" ht="31.5" customHeight="1">
      <x:c r="A94" s="5" t="str">
        <x:v>CU-0081</x:v>
      </x:c>
      <x:c r="B94" s="5" t="str">
        <x:v>СберУниверситет</x:v>
      </x:c>
      <x:c r="C94" s="5" t="n">
        <x:f>COUNTIFS('Каналы'!$B$6:$B$479,$A94,'Каналы'!$E$6:$E$479,"university_site")</x:f>
        <x:v>1</x:v>
      </x:c>
      <x:c r="D94" s="5" t="n">
        <x:f>COUNTIFS('Каналы'!$B$6:$B$479,$A94,'Каналы'!$E$6:$E$479,"news")</x:f>
        <x:v>1</x:v>
      </x:c>
      <x:c r="E94" s="5" t="n">
        <x:f>COUNTIFS('Каналы'!$B$6:$B$479,$A94,'Каналы'!$E$6:$E$479,"programs")</x:f>
        <x:v>0</x:v>
      </x:c>
      <x:c r="F94" s="5" t="n">
        <x:f>COUNTIFS('Каналы'!$B$6:$B$479,$A94,'Каналы'!$E$6:$E$479,"procurement")</x:f>
        <x:v>0</x:v>
      </x:c>
      <x:c r="G94" s="5" t="n">
        <x:f>COUNTIFS('Каналы'!$B$6:$B$479,$A94,'Каналы'!$E$6:$E$479,"expert_application")</x:f>
        <x:v>0</x:v>
      </x:c>
      <x:c r="H94" s="5" t="n">
        <x:f>COUNTIFS('Каналы'!$B$6:$B$479,$A94,'Каналы'!$E$6:$E$479,"partners")</x:f>
        <x:v>0</x:v>
      </x:c>
      <x:c r="I94" s="5" t="n">
        <x:f>COUNTIFS('Каналы'!$B$6:$B$479,$A94,'Каналы'!$E$6:$E$479,"contacts")</x:f>
        <x:v>0</x:v>
      </x:c>
      <x:c r="J94" s="5" t="n">
        <x:f>COUNTIFS('Каналы'!$B$6:$B$479,$A94,'Каналы'!$E$6:$E$479,"social")</x:f>
        <x:v>0</x:v>
      </x:c>
      <x:c r="K94" s="5" t="n">
        <x:f>COUNTIFS('Каналы'!$B$6:$B$479,$A94,'Каналы'!$E$6:$E$479,"careers")</x:f>
        <x:v>0</x:v>
      </x:c>
      <x:c r="L94" s="5" t="n">
        <x:f>SUM(C94:K94)</x:f>
        <x:v>2</x:v>
      </x:c>
      <x:c r="M94" s="5" t="str">
        <x:v>Искать каналы с нулём; отдельно проверять действующее юрлицо и прием внешних провайдеров.</x:v>
      </x:c>
    </x:row>
    <x:row r="95" ht="31.5" customHeight="1">
      <x:c r="A95" s="5" t="str">
        <x:v>CU-0083</x:v>
      </x:c>
      <x:c r="B95" s="5" t="str">
        <x:v>Альфа-Академия</x:v>
      </x:c>
      <x:c r="C95" s="5" t="n">
        <x:f>COUNTIFS('Каналы'!$B$6:$B$479,$A95,'Каналы'!$E$6:$E$479,"university_site")</x:f>
        <x:v>0</x:v>
      </x:c>
      <x:c r="D95" s="5" t="n">
        <x:f>COUNTIFS('Каналы'!$B$6:$B$479,$A95,'Каналы'!$E$6:$E$479,"news")</x:f>
        <x:v>1</x:v>
      </x:c>
      <x:c r="E95" s="5" t="n">
        <x:f>COUNTIFS('Каналы'!$B$6:$B$479,$A95,'Каналы'!$E$6:$E$479,"programs")</x:f>
        <x:v>0</x:v>
      </x:c>
      <x:c r="F95" s="5" t="n">
        <x:f>COUNTIFS('Каналы'!$B$6:$B$479,$A95,'Каналы'!$E$6:$E$479,"procurement")</x:f>
        <x:v>0</x:v>
      </x:c>
      <x:c r="G95" s="5" t="n">
        <x:f>COUNTIFS('Каналы'!$B$6:$B$479,$A95,'Каналы'!$E$6:$E$479,"expert_application")</x:f>
        <x:v>0</x:v>
      </x:c>
      <x:c r="H95" s="5" t="n">
        <x:f>COUNTIFS('Каналы'!$B$6:$B$479,$A95,'Каналы'!$E$6:$E$479,"partners")</x:f>
        <x:v>0</x:v>
      </x:c>
      <x:c r="I95" s="5" t="n">
        <x:f>COUNTIFS('Каналы'!$B$6:$B$479,$A95,'Каналы'!$E$6:$E$479,"contacts")</x:f>
        <x:v>0</x:v>
      </x:c>
      <x:c r="J95" s="5" t="n">
        <x:f>COUNTIFS('Каналы'!$B$6:$B$479,$A95,'Каналы'!$E$6:$E$479,"social")</x:f>
        <x:v>0</x:v>
      </x:c>
      <x:c r="K95" s="5" t="n">
        <x:f>COUNTIFS('Каналы'!$B$6:$B$479,$A95,'Каналы'!$E$6:$E$479,"careers")</x:f>
        <x:v>0</x:v>
      </x:c>
      <x:c r="L95" s="5" t="n">
        <x:f>SUM(C95:K95)</x:f>
        <x:v>1</x:v>
      </x:c>
      <x:c r="M95" s="5" t="str">
        <x:v>Искать каналы с нулём; отдельно проверять действующее юрлицо и прием внешних провайдеров.</x:v>
      </x:c>
    </x:row>
    <x:row r="96" ht="31.5" customHeight="1">
      <x:c r="A96" s="5" t="str">
        <x:v>CU-0084</x:v>
      </x:c>
      <x:c r="B96" s="5" t="str">
        <x:v>РСХБ-Университет</x:v>
      </x:c>
      <x:c r="C96" s="5" t="n">
        <x:f>COUNTIFS('Каналы'!$B$6:$B$479,$A96,'Каналы'!$E$6:$E$479,"university_site")</x:f>
        <x:v>1</x:v>
      </x:c>
      <x:c r="D96" s="5" t="n">
        <x:f>COUNTIFS('Каналы'!$B$6:$B$479,$A96,'Каналы'!$E$6:$E$479,"news")</x:f>
        <x:v>0</x:v>
      </x:c>
      <x:c r="E96" s="5" t="n">
        <x:f>COUNTIFS('Каналы'!$B$6:$B$479,$A96,'Каналы'!$E$6:$E$479,"programs")</x:f>
        <x:v>0</x:v>
      </x:c>
      <x:c r="F96" s="5" t="n">
        <x:f>COUNTIFS('Каналы'!$B$6:$B$479,$A96,'Каналы'!$E$6:$E$479,"procurement")</x:f>
        <x:v>1</x:v>
      </x:c>
      <x:c r="G96" s="5" t="n">
        <x:f>COUNTIFS('Каналы'!$B$6:$B$479,$A96,'Каналы'!$E$6:$E$479,"expert_application")</x:f>
        <x:v>0</x:v>
      </x:c>
      <x:c r="H96" s="5" t="n">
        <x:f>COUNTIFS('Каналы'!$B$6:$B$479,$A96,'Каналы'!$E$6:$E$479,"partners")</x:f>
        <x:v>0</x:v>
      </x:c>
      <x:c r="I96" s="5" t="n">
        <x:f>COUNTIFS('Каналы'!$B$6:$B$479,$A96,'Каналы'!$E$6:$E$479,"contacts")</x:f>
        <x:v>0</x:v>
      </x:c>
      <x:c r="J96" s="5" t="n">
        <x:f>COUNTIFS('Каналы'!$B$6:$B$479,$A96,'Каналы'!$E$6:$E$479,"social")</x:f>
        <x:v>0</x:v>
      </x:c>
      <x:c r="K96" s="5" t="n">
        <x:f>COUNTIFS('Каналы'!$B$6:$B$479,$A96,'Каналы'!$E$6:$E$479,"careers")</x:f>
        <x:v>0</x:v>
      </x:c>
      <x:c r="L96" s="5" t="n">
        <x:f>SUM(C96:K96)</x:f>
        <x:v>2</x:v>
      </x:c>
      <x:c r="M96" s="5" t="str">
        <x:v>Искать каналы с нулём; отдельно проверять действующее юрлицо и прием внешних провайдеров.</x:v>
      </x:c>
    </x:row>
    <x:row r="97" ht="31.5" customHeight="1">
      <x:c r="A97" s="5" t="str">
        <x:v>CU-0087</x:v>
      </x:c>
      <x:c r="B97" s="5" t="str">
        <x:v>Корпоративный университет Совкомбанка</x:v>
      </x:c>
      <x:c r="C97" s="5" t="n">
        <x:f>COUNTIFS('Каналы'!$B$6:$B$479,$A97,'Каналы'!$E$6:$E$479,"university_site")</x:f>
        <x:v>0</x:v>
      </x:c>
      <x:c r="D97" s="5" t="n">
        <x:f>COUNTIFS('Каналы'!$B$6:$B$479,$A97,'Каналы'!$E$6:$E$479,"news")</x:f>
        <x:v>1</x:v>
      </x:c>
      <x:c r="E97" s="5" t="n">
        <x:f>COUNTIFS('Каналы'!$B$6:$B$479,$A97,'Каналы'!$E$6:$E$479,"programs")</x:f>
        <x:v>0</x:v>
      </x:c>
      <x:c r="F97" s="5" t="n">
        <x:f>COUNTIFS('Каналы'!$B$6:$B$479,$A97,'Каналы'!$E$6:$E$479,"procurement")</x:f>
        <x:v>0</x:v>
      </x:c>
      <x:c r="G97" s="5" t="n">
        <x:f>COUNTIFS('Каналы'!$B$6:$B$479,$A97,'Каналы'!$E$6:$E$479,"expert_application")</x:f>
        <x:v>0</x:v>
      </x:c>
      <x:c r="H97" s="5" t="n">
        <x:f>COUNTIFS('Каналы'!$B$6:$B$479,$A97,'Каналы'!$E$6:$E$479,"partners")</x:f>
        <x:v>0</x:v>
      </x:c>
      <x:c r="I97" s="5" t="n">
        <x:f>COUNTIFS('Каналы'!$B$6:$B$479,$A97,'Каналы'!$E$6:$E$479,"contacts")</x:f>
        <x:v>0</x:v>
      </x:c>
      <x:c r="J97" s="5" t="n">
        <x:f>COUNTIFS('Каналы'!$B$6:$B$479,$A97,'Каналы'!$E$6:$E$479,"social")</x:f>
        <x:v>0</x:v>
      </x:c>
      <x:c r="K97" s="5" t="n">
        <x:f>COUNTIFS('Каналы'!$B$6:$B$479,$A97,'Каналы'!$E$6:$E$479,"careers")</x:f>
        <x:v>0</x:v>
      </x:c>
      <x:c r="L97" s="5" t="n">
        <x:f>SUM(C97:K97)</x:f>
        <x:v>1</x:v>
      </x:c>
      <x:c r="M97" s="5" t="str">
        <x:v>Искать каналы с нулём; отдельно проверять действующее юрлицо и прием внешних провайдеров.</x:v>
      </x:c>
    </x:row>
    <x:row r="98" ht="31.5" customHeight="1">
      <x:c r="A98" s="5" t="str">
        <x:v>CU-0088</x:v>
      </x:c>
      <x:c r="B98" s="5" t="str">
        <x:v>Корпоративный университет Ингосстраха</x:v>
      </x:c>
      <x:c r="C98" s="5" t="n">
        <x:f>COUNTIFS('Каналы'!$B$6:$B$479,$A98,'Каналы'!$E$6:$E$479,"university_site")</x:f>
        <x:v>0</x:v>
      </x:c>
      <x:c r="D98" s="5" t="n">
        <x:f>COUNTIFS('Каналы'!$B$6:$B$479,$A98,'Каналы'!$E$6:$E$479,"news")</x:f>
        <x:v>1</x:v>
      </x:c>
      <x:c r="E98" s="5" t="n">
        <x:f>COUNTIFS('Каналы'!$B$6:$B$479,$A98,'Каналы'!$E$6:$E$479,"programs")</x:f>
        <x:v>0</x:v>
      </x:c>
      <x:c r="F98" s="5" t="n">
        <x:f>COUNTIFS('Каналы'!$B$6:$B$479,$A98,'Каналы'!$E$6:$E$479,"procurement")</x:f>
        <x:v>0</x:v>
      </x:c>
      <x:c r="G98" s="5" t="n">
        <x:f>COUNTIFS('Каналы'!$B$6:$B$479,$A98,'Каналы'!$E$6:$E$479,"expert_application")</x:f>
        <x:v>0</x:v>
      </x:c>
      <x:c r="H98" s="5" t="n">
        <x:f>COUNTIFS('Каналы'!$B$6:$B$479,$A98,'Каналы'!$E$6:$E$479,"partners")</x:f>
        <x:v>0</x:v>
      </x:c>
      <x:c r="I98" s="5" t="n">
        <x:f>COUNTIFS('Каналы'!$B$6:$B$479,$A98,'Каналы'!$E$6:$E$479,"contacts")</x:f>
        <x:v>0</x:v>
      </x:c>
      <x:c r="J98" s="5" t="n">
        <x:f>COUNTIFS('Каналы'!$B$6:$B$479,$A98,'Каналы'!$E$6:$E$479,"social")</x:f>
        <x:v>0</x:v>
      </x:c>
      <x:c r="K98" s="5" t="n">
        <x:f>COUNTIFS('Каналы'!$B$6:$B$479,$A98,'Каналы'!$E$6:$E$479,"careers")</x:f>
        <x:v>0</x:v>
      </x:c>
      <x:c r="L98" s="5" t="n">
        <x:f>SUM(C98:K98)</x:f>
        <x:v>1</x:v>
      </x:c>
      <x:c r="M98" s="5" t="str">
        <x:v>Искать каналы с нулём; отдельно проверять действующее юрлицо и прием внешних провайдеров.</x:v>
      </x:c>
    </x:row>
    <x:row r="99" ht="31.5" customHeight="1">
      <x:c r="A99" s="5" t="str">
        <x:v>CU-0090</x:v>
      </x:c>
      <x:c r="B99" s="5" t="str">
        <x:v>Корпоративный университет АльфаСтрахования</x:v>
      </x:c>
      <x:c r="C99" s="5" t="n">
        <x:f>COUNTIFS('Каналы'!$B$6:$B$479,$A99,'Каналы'!$E$6:$E$479,"university_site")</x:f>
        <x:v>0</x:v>
      </x:c>
      <x:c r="D99" s="5" t="n">
        <x:f>COUNTIFS('Каналы'!$B$6:$B$479,$A99,'Каналы'!$E$6:$E$479,"news")</x:f>
        <x:v>1</x:v>
      </x:c>
      <x:c r="E99" s="5" t="n">
        <x:f>COUNTIFS('Каналы'!$B$6:$B$479,$A99,'Каналы'!$E$6:$E$479,"programs")</x:f>
        <x:v>0</x:v>
      </x:c>
      <x:c r="F99" s="5" t="n">
        <x:f>COUNTIFS('Каналы'!$B$6:$B$479,$A99,'Каналы'!$E$6:$E$479,"procurement")</x:f>
        <x:v>0</x:v>
      </x:c>
      <x:c r="G99" s="5" t="n">
        <x:f>COUNTIFS('Каналы'!$B$6:$B$479,$A99,'Каналы'!$E$6:$E$479,"expert_application")</x:f>
        <x:v>0</x:v>
      </x:c>
      <x:c r="H99" s="5" t="n">
        <x:f>COUNTIFS('Каналы'!$B$6:$B$479,$A99,'Каналы'!$E$6:$E$479,"partners")</x:f>
        <x:v>0</x:v>
      </x:c>
      <x:c r="I99" s="5" t="n">
        <x:f>COUNTIFS('Каналы'!$B$6:$B$479,$A99,'Каналы'!$E$6:$E$479,"contacts")</x:f>
        <x:v>0</x:v>
      </x:c>
      <x:c r="J99" s="5" t="n">
        <x:f>COUNTIFS('Каналы'!$B$6:$B$479,$A99,'Каналы'!$E$6:$E$479,"social")</x:f>
        <x:v>0</x:v>
      </x:c>
      <x:c r="K99" s="5" t="n">
        <x:f>COUNTIFS('Каналы'!$B$6:$B$479,$A99,'Каналы'!$E$6:$E$479,"careers")</x:f>
        <x:v>0</x:v>
      </x:c>
      <x:c r="L99" s="5" t="n">
        <x:f>SUM(C99:K99)</x:f>
        <x:v>1</x:v>
      </x:c>
      <x:c r="M99" s="5" t="str">
        <x:v>Искать каналы с нулём; отдельно проверять действующее юрлицо и прием внешних провайдеров.</x:v>
      </x:c>
    </x:row>
    <x:row r="100" ht="31.5" customHeight="1">
      <x:c r="A100" s="5" t="str">
        <x:v>CU-0092</x:v>
      </x:c>
      <x:c r="B100" s="5" t="str">
        <x:v>Университет Банка России</x:v>
      </x:c>
      <x:c r="C100" s="5" t="n">
        <x:f>COUNTIFS('Каналы'!$B$6:$B$479,$A100,'Каналы'!$E$6:$E$479,"university_site")</x:f>
        <x:v>0</x:v>
      </x:c>
      <x:c r="D100" s="5" t="n">
        <x:f>COUNTIFS('Каналы'!$B$6:$B$479,$A100,'Каналы'!$E$6:$E$479,"news")</x:f>
        <x:v>1</x:v>
      </x:c>
      <x:c r="E100" s="5" t="n">
        <x:f>COUNTIFS('Каналы'!$B$6:$B$479,$A100,'Каналы'!$E$6:$E$479,"programs")</x:f>
        <x:v>1</x:v>
      </x:c>
      <x:c r="F100" s="5" t="n">
        <x:f>COUNTIFS('Каналы'!$B$6:$B$479,$A100,'Каналы'!$E$6:$E$479,"procurement")</x:f>
        <x:v>0</x:v>
      </x:c>
      <x:c r="G100" s="5" t="n">
        <x:f>COUNTIFS('Каналы'!$B$6:$B$479,$A100,'Каналы'!$E$6:$E$479,"expert_application")</x:f>
        <x:v>0</x:v>
      </x:c>
      <x:c r="H100" s="5" t="n">
        <x:f>COUNTIFS('Каналы'!$B$6:$B$479,$A100,'Каналы'!$E$6:$E$479,"partners")</x:f>
        <x:v>0</x:v>
      </x:c>
      <x:c r="I100" s="5" t="n">
        <x:f>COUNTIFS('Каналы'!$B$6:$B$479,$A100,'Каналы'!$E$6:$E$479,"contacts")</x:f>
        <x:v>0</x:v>
      </x:c>
      <x:c r="J100" s="5" t="n">
        <x:f>COUNTIFS('Каналы'!$B$6:$B$479,$A100,'Каналы'!$E$6:$E$479,"social")</x:f>
        <x:v>0</x:v>
      </x:c>
      <x:c r="K100" s="5" t="n">
        <x:f>COUNTIFS('Каналы'!$B$6:$B$479,$A100,'Каналы'!$E$6:$E$479,"careers")</x:f>
        <x:v>0</x:v>
      </x:c>
      <x:c r="L100" s="5" t="n">
        <x:f>SUM(C100:K100)</x:f>
        <x:v>2</x:v>
      </x:c>
      <x:c r="M100" s="5" t="str">
        <x:v>Искать каналы с нулём; отдельно проверять действующее юрлицо и прием внешних провайдеров.</x:v>
      </x:c>
    </x:row>
    <x:row r="101" ht="31.5" customHeight="1">
      <x:c r="A101" s="5" t="str">
        <x:v>CU-0093</x:v>
      </x:c>
      <x:c r="B101" s="5" t="str">
        <x:v>Корпоративный университет МТС</x:v>
      </x:c>
      <x:c r="C101" s="5" t="n">
        <x:f>COUNTIFS('Каналы'!$B$6:$B$479,$A101,'Каналы'!$E$6:$E$479,"university_site")</x:f>
        <x:v>2</x:v>
      </x:c>
      <x:c r="D101" s="5" t="n">
        <x:f>COUNTIFS('Каналы'!$B$6:$B$479,$A101,'Каналы'!$E$6:$E$479,"news")</x:f>
        <x:v>1</x:v>
      </x:c>
      <x:c r="E101" s="5" t="n">
        <x:f>COUNTIFS('Каналы'!$B$6:$B$479,$A101,'Каналы'!$E$6:$E$479,"programs")</x:f>
        <x:v>0</x:v>
      </x:c>
      <x:c r="F101" s="5" t="n">
        <x:f>COUNTIFS('Каналы'!$B$6:$B$479,$A101,'Каналы'!$E$6:$E$479,"procurement")</x:f>
        <x:v>0</x:v>
      </x:c>
      <x:c r="G101" s="5" t="n">
        <x:f>COUNTIFS('Каналы'!$B$6:$B$479,$A101,'Каналы'!$E$6:$E$479,"expert_application")</x:f>
        <x:v>0</x:v>
      </x:c>
      <x:c r="H101" s="5" t="n">
        <x:f>COUNTIFS('Каналы'!$B$6:$B$479,$A101,'Каналы'!$E$6:$E$479,"partners")</x:f>
        <x:v>0</x:v>
      </x:c>
      <x:c r="I101" s="5" t="n">
        <x:f>COUNTIFS('Каналы'!$B$6:$B$479,$A101,'Каналы'!$E$6:$E$479,"contacts")</x:f>
        <x:v>0</x:v>
      </x:c>
      <x:c r="J101" s="5" t="n">
        <x:f>COUNTIFS('Каналы'!$B$6:$B$479,$A101,'Каналы'!$E$6:$E$479,"social")</x:f>
        <x:v>0</x:v>
      </x:c>
      <x:c r="K101" s="5" t="n">
        <x:f>COUNTIFS('Каналы'!$B$6:$B$479,$A101,'Каналы'!$E$6:$E$479,"careers")</x:f>
        <x:v>0</x:v>
      </x:c>
      <x:c r="L101" s="5" t="n">
        <x:f>SUM(C101:K101)</x:f>
        <x:v>3</x:v>
      </x:c>
      <x:c r="M101" s="5" t="str">
        <x:v>Искать каналы с нулём; отдельно проверять действующее юрлицо и прием внешних провайдеров.</x:v>
      </x:c>
    </x:row>
    <x:row r="102" ht="31.5" customHeight="1">
      <x:c r="A102" s="5" t="str">
        <x:v>CU-0094</x:v>
      </x:c>
      <x:c r="B102" s="5" t="str">
        <x:v>билайн университет</x:v>
      </x:c>
      <x:c r="C102" s="5" t="n">
        <x:f>COUNTIFS('Каналы'!$B$6:$B$479,$A102,'Каналы'!$E$6:$E$479,"university_site")</x:f>
        <x:v>0</x:v>
      </x:c>
      <x:c r="D102" s="5" t="n">
        <x:f>COUNTIFS('Каналы'!$B$6:$B$479,$A102,'Каналы'!$E$6:$E$479,"news")</x:f>
        <x:v>1</x:v>
      </x:c>
      <x:c r="E102" s="5" t="n">
        <x:f>COUNTIFS('Каналы'!$B$6:$B$479,$A102,'Каналы'!$E$6:$E$479,"programs")</x:f>
        <x:v>0</x:v>
      </x:c>
      <x:c r="F102" s="5" t="n">
        <x:f>COUNTIFS('Каналы'!$B$6:$B$479,$A102,'Каналы'!$E$6:$E$479,"procurement")</x:f>
        <x:v>0</x:v>
      </x:c>
      <x:c r="G102" s="5" t="n">
        <x:f>COUNTIFS('Каналы'!$B$6:$B$479,$A102,'Каналы'!$E$6:$E$479,"expert_application")</x:f>
        <x:v>0</x:v>
      </x:c>
      <x:c r="H102" s="5" t="n">
        <x:f>COUNTIFS('Каналы'!$B$6:$B$479,$A102,'Каналы'!$E$6:$E$479,"partners")</x:f>
        <x:v>0</x:v>
      </x:c>
      <x:c r="I102" s="5" t="n">
        <x:f>COUNTIFS('Каналы'!$B$6:$B$479,$A102,'Каналы'!$E$6:$E$479,"contacts")</x:f>
        <x:v>0</x:v>
      </x:c>
      <x:c r="J102" s="5" t="n">
        <x:f>COUNTIFS('Каналы'!$B$6:$B$479,$A102,'Каналы'!$E$6:$E$479,"social")</x:f>
        <x:v>0</x:v>
      </x:c>
      <x:c r="K102" s="5" t="n">
        <x:f>COUNTIFS('Каналы'!$B$6:$B$479,$A102,'Каналы'!$E$6:$E$479,"careers")</x:f>
        <x:v>0</x:v>
      </x:c>
      <x:c r="L102" s="5" t="n">
        <x:f>SUM(C102:K102)</x:f>
        <x:v>1</x:v>
      </x:c>
      <x:c r="M102" s="5" t="str">
        <x:v>Искать каналы с нулём; отдельно проверять действующее юрлицо и прием внешних провайдеров.</x:v>
      </x:c>
    </x:row>
    <x:row r="103" ht="31.5" customHeight="1">
      <x:c r="A103" s="5" t="str">
        <x:v>CU-0095</x:v>
      </x:c>
      <x:c r="B103" s="5" t="str">
        <x:v>Корпоративный онлайн-университет Ростелекома</x:v>
      </x:c>
      <x:c r="C103" s="5" t="n">
        <x:f>COUNTIFS('Каналы'!$B$6:$B$479,$A103,'Каналы'!$E$6:$E$479,"university_site")</x:f>
        <x:v>0</x:v>
      </x:c>
      <x:c r="D103" s="5" t="n">
        <x:f>COUNTIFS('Каналы'!$B$6:$B$479,$A103,'Каналы'!$E$6:$E$479,"news")</x:f>
        <x:v>1</x:v>
      </x:c>
      <x:c r="E103" s="5" t="n">
        <x:f>COUNTIFS('Каналы'!$B$6:$B$479,$A103,'Каналы'!$E$6:$E$479,"programs")</x:f>
        <x:v>0</x:v>
      </x:c>
      <x:c r="F103" s="5" t="n">
        <x:f>COUNTIFS('Каналы'!$B$6:$B$479,$A103,'Каналы'!$E$6:$E$479,"procurement")</x:f>
        <x:v>0</x:v>
      </x:c>
      <x:c r="G103" s="5" t="n">
        <x:f>COUNTIFS('Каналы'!$B$6:$B$479,$A103,'Каналы'!$E$6:$E$479,"expert_application")</x:f>
        <x:v>0</x:v>
      </x:c>
      <x:c r="H103" s="5" t="n">
        <x:f>COUNTIFS('Каналы'!$B$6:$B$479,$A103,'Каналы'!$E$6:$E$479,"partners")</x:f>
        <x:v>0</x:v>
      </x:c>
      <x:c r="I103" s="5" t="n">
        <x:f>COUNTIFS('Каналы'!$B$6:$B$479,$A103,'Каналы'!$E$6:$E$479,"contacts")</x:f>
        <x:v>0</x:v>
      </x:c>
      <x:c r="J103" s="5" t="n">
        <x:f>COUNTIFS('Каналы'!$B$6:$B$479,$A103,'Каналы'!$E$6:$E$479,"social")</x:f>
        <x:v>0</x:v>
      </x:c>
      <x:c r="K103" s="5" t="n">
        <x:f>COUNTIFS('Каналы'!$B$6:$B$479,$A103,'Каналы'!$E$6:$E$479,"careers")</x:f>
        <x:v>0</x:v>
      </x:c>
      <x:c r="L103" s="5" t="n">
        <x:f>SUM(C103:K103)</x:f>
        <x:v>1</x:v>
      </x:c>
      <x:c r="M103" s="5" t="str">
        <x:v>Искать каналы с нулём; отдельно проверять действующее юрлицо и прием внешних провайдеров.</x:v>
      </x:c>
    </x:row>
    <x:row r="104" ht="31.5" customHeight="1">
      <x:c r="A104" s="5" t="str">
        <x:v>CU-0097</x:v>
      </x:c>
      <x:c r="B104" s="5" t="str">
        <x:v>Полка X5</x:v>
      </x:c>
      <x:c r="C104" s="5" t="n">
        <x:f>COUNTIFS('Каналы'!$B$6:$B$479,$A104,'Каналы'!$E$6:$E$479,"university_site")</x:f>
        <x:v>0</x:v>
      </x:c>
      <x:c r="D104" s="5" t="n">
        <x:f>COUNTIFS('Каналы'!$B$6:$B$479,$A104,'Каналы'!$E$6:$E$479,"news")</x:f>
        <x:v>1</x:v>
      </x:c>
      <x:c r="E104" s="5" t="n">
        <x:f>COUNTIFS('Каналы'!$B$6:$B$479,$A104,'Каналы'!$E$6:$E$479,"programs")</x:f>
        <x:v>0</x:v>
      </x:c>
      <x:c r="F104" s="5" t="n">
        <x:f>COUNTIFS('Каналы'!$B$6:$B$479,$A104,'Каналы'!$E$6:$E$479,"procurement")</x:f>
        <x:v>2</x:v>
      </x:c>
      <x:c r="G104" s="5" t="n">
        <x:f>COUNTIFS('Каналы'!$B$6:$B$479,$A104,'Каналы'!$E$6:$E$479,"expert_application")</x:f>
        <x:v>0</x:v>
      </x:c>
      <x:c r="H104" s="5" t="n">
        <x:f>COUNTIFS('Каналы'!$B$6:$B$479,$A104,'Каналы'!$E$6:$E$479,"partners")</x:f>
        <x:v>0</x:v>
      </x:c>
      <x:c r="I104" s="5" t="n">
        <x:f>COUNTIFS('Каналы'!$B$6:$B$479,$A104,'Каналы'!$E$6:$E$479,"contacts")</x:f>
        <x:v>0</x:v>
      </x:c>
      <x:c r="J104" s="5" t="n">
        <x:f>COUNTIFS('Каналы'!$B$6:$B$479,$A104,'Каналы'!$E$6:$E$479,"social")</x:f>
        <x:v>0</x:v>
      </x:c>
      <x:c r="K104" s="5" t="n">
        <x:f>COUNTIFS('Каналы'!$B$6:$B$479,$A104,'Каналы'!$E$6:$E$479,"careers")</x:f>
        <x:v>0</x:v>
      </x:c>
      <x:c r="L104" s="5" t="n">
        <x:f>SUM(C104:K104)</x:f>
        <x:v>3</x:v>
      </x:c>
      <x:c r="M104" s="5" t="str">
        <x:v>Искать каналы с нулём; отдельно проверять действующее юрлицо и прием внешних провайдеров.</x:v>
      </x:c>
    </x:row>
    <x:row r="105" ht="31.5" customHeight="1">
      <x:c r="A105" s="5" t="str">
        <x:v>CU-0099</x:v>
      </x:c>
      <x:c r="B105" s="5" t="str">
        <x:v>Корпоративный университет Монетки</x:v>
      </x:c>
      <x:c r="C105" s="5" t="n">
        <x:f>COUNTIFS('Каналы'!$B$6:$B$479,$A105,'Каналы'!$E$6:$E$479,"university_site")</x:f>
        <x:v>0</x:v>
      </x:c>
      <x:c r="D105" s="5" t="n">
        <x:f>COUNTIFS('Каналы'!$B$6:$B$479,$A105,'Каналы'!$E$6:$E$479,"news")</x:f>
        <x:v>1</x:v>
      </x:c>
      <x:c r="E105" s="5" t="n">
        <x:f>COUNTIFS('Каналы'!$B$6:$B$479,$A105,'Каналы'!$E$6:$E$479,"programs")</x:f>
        <x:v>0</x:v>
      </x:c>
      <x:c r="F105" s="5" t="n">
        <x:f>COUNTIFS('Каналы'!$B$6:$B$479,$A105,'Каналы'!$E$6:$E$479,"procurement")</x:f>
        <x:v>0</x:v>
      </x:c>
      <x:c r="G105" s="5" t="n">
        <x:f>COUNTIFS('Каналы'!$B$6:$B$479,$A105,'Каналы'!$E$6:$E$479,"expert_application")</x:f>
        <x:v>0</x:v>
      </x:c>
      <x:c r="H105" s="5" t="n">
        <x:f>COUNTIFS('Каналы'!$B$6:$B$479,$A105,'Каналы'!$E$6:$E$479,"partners")</x:f>
        <x:v>0</x:v>
      </x:c>
      <x:c r="I105" s="5" t="n">
        <x:f>COUNTIFS('Каналы'!$B$6:$B$479,$A105,'Каналы'!$E$6:$E$479,"contacts")</x:f>
        <x:v>0</x:v>
      </x:c>
      <x:c r="J105" s="5" t="n">
        <x:f>COUNTIFS('Каналы'!$B$6:$B$479,$A105,'Каналы'!$E$6:$E$479,"social")</x:f>
        <x:v>0</x:v>
      </x:c>
      <x:c r="K105" s="5" t="n">
        <x:f>COUNTIFS('Каналы'!$B$6:$B$479,$A105,'Каналы'!$E$6:$E$479,"careers")</x:f>
        <x:v>0</x:v>
      </x:c>
      <x:c r="L105" s="5" t="n">
        <x:f>SUM(C105:K105)</x:f>
        <x:v>1</x:v>
      </x:c>
      <x:c r="M105" s="5" t="str">
        <x:v>Искать каналы с нулём; отдельно проверять действующее юрлицо и прием внешних провайдеров.</x:v>
      </x:c>
    </x:row>
    <x:row r="106" ht="31.5" customHeight="1">
      <x:c r="A106" s="5" t="str">
        <x:v>CU-0102</x:v>
      </x:c>
      <x:c r="B106" s="5" t="str">
        <x:v>Корпоративный университет КРОК</x:v>
      </x:c>
      <x:c r="C106" s="5" t="n">
        <x:f>COUNTIFS('Каналы'!$B$6:$B$479,$A106,'Каналы'!$E$6:$E$479,"university_site")</x:f>
        <x:v>0</x:v>
      </x:c>
      <x:c r="D106" s="5" t="n">
        <x:f>COUNTIFS('Каналы'!$B$6:$B$479,$A106,'Каналы'!$E$6:$E$479,"news")</x:f>
        <x:v>1</x:v>
      </x:c>
      <x:c r="E106" s="5" t="n">
        <x:f>COUNTIFS('Каналы'!$B$6:$B$479,$A106,'Каналы'!$E$6:$E$479,"programs")</x:f>
        <x:v>0</x:v>
      </x:c>
      <x:c r="F106" s="5" t="n">
        <x:f>COUNTIFS('Каналы'!$B$6:$B$479,$A106,'Каналы'!$E$6:$E$479,"procurement")</x:f>
        <x:v>0</x:v>
      </x:c>
      <x:c r="G106" s="5" t="n">
        <x:f>COUNTIFS('Каналы'!$B$6:$B$479,$A106,'Каналы'!$E$6:$E$479,"expert_application")</x:f>
        <x:v>0</x:v>
      </x:c>
      <x:c r="H106" s="5" t="n">
        <x:f>COUNTIFS('Каналы'!$B$6:$B$479,$A106,'Каналы'!$E$6:$E$479,"partners")</x:f>
        <x:v>1</x:v>
      </x:c>
      <x:c r="I106" s="5" t="n">
        <x:f>COUNTIFS('Каналы'!$B$6:$B$479,$A106,'Каналы'!$E$6:$E$479,"contacts")</x:f>
        <x:v>0</x:v>
      </x:c>
      <x:c r="J106" s="5" t="n">
        <x:f>COUNTIFS('Каналы'!$B$6:$B$479,$A106,'Каналы'!$E$6:$E$479,"social")</x:f>
        <x:v>0</x:v>
      </x:c>
      <x:c r="K106" s="5" t="n">
        <x:f>COUNTIFS('Каналы'!$B$6:$B$479,$A106,'Каналы'!$E$6:$E$479,"careers")</x:f>
        <x:v>0</x:v>
      </x:c>
      <x:c r="L106" s="5" t="n">
        <x:f>SUM(C106:K106)</x:f>
        <x:v>2</x:v>
      </x:c>
      <x:c r="M106" s="5" t="str">
        <x:v>Искать каналы с нулём; отдельно проверять действующее юрлицо и прием внешних провайдеров.</x:v>
      </x:c>
    </x:row>
    <x:row r="107" ht="31.5" customHeight="1">
      <x:c r="A107" s="5" t="str">
        <x:v>CU-0103</x:v>
      </x:c>
      <x:c r="B107" s="5" t="str">
        <x:v>Корпоративный университет / внутренняя Академия Softline</x:v>
      </x:c>
      <x:c r="C107" s="5" t="n">
        <x:f>COUNTIFS('Каналы'!$B$6:$B$479,$A107,'Каналы'!$E$6:$E$479,"university_site")</x:f>
        <x:v>0</x:v>
      </x:c>
      <x:c r="D107" s="5" t="n">
        <x:f>COUNTIFS('Каналы'!$B$6:$B$479,$A107,'Каналы'!$E$6:$E$479,"news")</x:f>
        <x:v>1</x:v>
      </x:c>
      <x:c r="E107" s="5" t="n">
        <x:f>COUNTIFS('Каналы'!$B$6:$B$479,$A107,'Каналы'!$E$6:$E$479,"programs")</x:f>
        <x:v>0</x:v>
      </x:c>
      <x:c r="F107" s="5" t="n">
        <x:f>COUNTIFS('Каналы'!$B$6:$B$479,$A107,'Каналы'!$E$6:$E$479,"procurement")</x:f>
        <x:v>0</x:v>
      </x:c>
      <x:c r="G107" s="5" t="n">
        <x:f>COUNTIFS('Каналы'!$B$6:$B$479,$A107,'Каналы'!$E$6:$E$479,"expert_application")</x:f>
        <x:v>0</x:v>
      </x:c>
      <x:c r="H107" s="5" t="n">
        <x:f>COUNTIFS('Каналы'!$B$6:$B$479,$A107,'Каналы'!$E$6:$E$479,"partners")</x:f>
        <x:v>1</x:v>
      </x:c>
      <x:c r="I107" s="5" t="n">
        <x:f>COUNTIFS('Каналы'!$B$6:$B$479,$A107,'Каналы'!$E$6:$E$479,"contacts")</x:f>
        <x:v>0</x:v>
      </x:c>
      <x:c r="J107" s="5" t="n">
        <x:f>COUNTIFS('Каналы'!$B$6:$B$479,$A107,'Каналы'!$E$6:$E$479,"social")</x:f>
        <x:v>0</x:v>
      </x:c>
      <x:c r="K107" s="5" t="n">
        <x:f>COUNTIFS('Каналы'!$B$6:$B$479,$A107,'Каналы'!$E$6:$E$479,"careers")</x:f>
        <x:v>0</x:v>
      </x:c>
      <x:c r="L107" s="5" t="n">
        <x:f>SUM(C107:K107)</x:f>
        <x:v>2</x:v>
      </x:c>
      <x:c r="M107" s="5" t="str">
        <x:v>Искать каналы с нулём; отдельно проверять действующее юрлицо и прием внешних провайдеров.</x:v>
      </x:c>
    </x:row>
    <x:row r="108" ht="31.5" customHeight="1">
      <x:c r="A108" s="5" t="str">
        <x:v>CU-0105</x:v>
      </x:c>
      <x:c r="B108" s="5" t="str">
        <x:v>Ozon Универ</x:v>
      </x:c>
      <x:c r="C108" s="5" t="n">
        <x:f>COUNTIFS('Каналы'!$B$6:$B$479,$A108,'Каналы'!$E$6:$E$479,"university_site")</x:f>
        <x:v>0</x:v>
      </x:c>
      <x:c r="D108" s="5" t="n">
        <x:f>COUNTIFS('Каналы'!$B$6:$B$479,$A108,'Каналы'!$E$6:$E$479,"news")</x:f>
        <x:v>2</x:v>
      </x:c>
      <x:c r="E108" s="5" t="n">
        <x:f>COUNTIFS('Каналы'!$B$6:$B$479,$A108,'Каналы'!$E$6:$E$479,"programs")</x:f>
        <x:v>0</x:v>
      </x:c>
      <x:c r="F108" s="5" t="n">
        <x:f>COUNTIFS('Каналы'!$B$6:$B$479,$A108,'Каналы'!$E$6:$E$479,"procurement")</x:f>
        <x:v>0</x:v>
      </x:c>
      <x:c r="G108" s="5" t="n">
        <x:f>COUNTIFS('Каналы'!$B$6:$B$479,$A108,'Каналы'!$E$6:$E$479,"expert_application")</x:f>
        <x:v>0</x:v>
      </x:c>
      <x:c r="H108" s="5" t="n">
        <x:f>COUNTIFS('Каналы'!$B$6:$B$479,$A108,'Каналы'!$E$6:$E$479,"partners")</x:f>
        <x:v>0</x:v>
      </x:c>
      <x:c r="I108" s="5" t="n">
        <x:f>COUNTIFS('Каналы'!$B$6:$B$479,$A108,'Каналы'!$E$6:$E$479,"contacts")</x:f>
        <x:v>0</x:v>
      </x:c>
      <x:c r="J108" s="5" t="n">
        <x:f>COUNTIFS('Каналы'!$B$6:$B$479,$A108,'Каналы'!$E$6:$E$479,"social")</x:f>
        <x:v>0</x:v>
      </x:c>
      <x:c r="K108" s="5" t="n">
        <x:f>COUNTIFS('Каналы'!$B$6:$B$479,$A108,'Каналы'!$E$6:$E$479,"careers")</x:f>
        <x:v>0</x:v>
      </x:c>
      <x:c r="L108" s="5" t="n">
        <x:f>SUM(C108:K108)</x:f>
        <x:v>2</x:v>
      </x:c>
      <x:c r="M108" s="5" t="str">
        <x:v>Искать каналы с нулём; отдельно проверять действующее юрлицо и прием внешних провайдеров.</x:v>
      </x:c>
    </x:row>
    <x:row r="109" ht="31.5" customHeight="1">
      <x:c r="A109" s="5" t="str">
        <x:v>CU-0106</x:v>
      </x:c>
      <x:c r="B109" s="5" t="str">
        <x:v>Корпоративный университет Петровича</x:v>
      </x:c>
      <x:c r="C109" s="5" t="n">
        <x:f>COUNTIFS('Каналы'!$B$6:$B$479,$A109,'Каналы'!$E$6:$E$479,"university_site")</x:f>
        <x:v>0</x:v>
      </x:c>
      <x:c r="D109" s="5" t="n">
        <x:f>COUNTIFS('Каналы'!$B$6:$B$479,$A109,'Каналы'!$E$6:$E$479,"news")</x:f>
        <x:v>1</x:v>
      </x:c>
      <x:c r="E109" s="5" t="n">
        <x:f>COUNTIFS('Каналы'!$B$6:$B$479,$A109,'Каналы'!$E$6:$E$479,"programs")</x:f>
        <x:v>0</x:v>
      </x:c>
      <x:c r="F109" s="5" t="n">
        <x:f>COUNTIFS('Каналы'!$B$6:$B$479,$A109,'Каналы'!$E$6:$E$479,"procurement")</x:f>
        <x:v>0</x:v>
      </x:c>
      <x:c r="G109" s="5" t="n">
        <x:f>COUNTIFS('Каналы'!$B$6:$B$479,$A109,'Каналы'!$E$6:$E$479,"expert_application")</x:f>
        <x:v>0</x:v>
      </x:c>
      <x:c r="H109" s="5" t="n">
        <x:f>COUNTIFS('Каналы'!$B$6:$B$479,$A109,'Каналы'!$E$6:$E$479,"partners")</x:f>
        <x:v>0</x:v>
      </x:c>
      <x:c r="I109" s="5" t="n">
        <x:f>COUNTIFS('Каналы'!$B$6:$B$479,$A109,'Каналы'!$E$6:$E$479,"contacts")</x:f>
        <x:v>0</x:v>
      </x:c>
      <x:c r="J109" s="5" t="n">
        <x:f>COUNTIFS('Каналы'!$B$6:$B$479,$A109,'Каналы'!$E$6:$E$479,"social")</x:f>
        <x:v>0</x:v>
      </x:c>
      <x:c r="K109" s="5" t="n">
        <x:f>COUNTIFS('Каналы'!$B$6:$B$479,$A109,'Каналы'!$E$6:$E$479,"careers")</x:f>
        <x:v>0</x:v>
      </x:c>
      <x:c r="L109" s="5" t="n">
        <x:f>SUM(C109:K109)</x:f>
        <x:v>1</x:v>
      </x:c>
      <x:c r="M109" s="5" t="str">
        <x:v>Искать каналы с нулём; отдельно проверять действующее юрлицо и прием внешних провайдеров.</x:v>
      </x:c>
    </x:row>
    <x:row r="110" ht="31.5" customHeight="1">
      <x:c r="A110" s="5" t="str">
        <x:v>CU-0107</x:v>
      </x:c>
      <x:c r="B110" s="5" t="str">
        <x:v>Корпоративный университет СК Согласие</x:v>
      </x:c>
      <x:c r="C110" s="5" t="n">
        <x:f>COUNTIFS('Каналы'!$B$6:$B$479,$A110,'Каналы'!$E$6:$E$479,"university_site")</x:f>
        <x:v>1</x:v>
      </x:c>
      <x:c r="D110" s="5" t="n">
        <x:f>COUNTIFS('Каналы'!$B$6:$B$479,$A110,'Каналы'!$E$6:$E$479,"news")</x:f>
        <x:v>0</x:v>
      </x:c>
      <x:c r="E110" s="5" t="n">
        <x:f>COUNTIFS('Каналы'!$B$6:$B$479,$A110,'Каналы'!$E$6:$E$479,"programs")</x:f>
        <x:v>0</x:v>
      </x:c>
      <x:c r="F110" s="5" t="n">
        <x:f>COUNTIFS('Каналы'!$B$6:$B$479,$A110,'Каналы'!$E$6:$E$479,"procurement")</x:f>
        <x:v>0</x:v>
      </x:c>
      <x:c r="G110" s="5" t="n">
        <x:f>COUNTIFS('Каналы'!$B$6:$B$479,$A110,'Каналы'!$E$6:$E$479,"expert_application")</x:f>
        <x:v>0</x:v>
      </x:c>
      <x:c r="H110" s="5" t="n">
        <x:f>COUNTIFS('Каналы'!$B$6:$B$479,$A110,'Каналы'!$E$6:$E$479,"partners")</x:f>
        <x:v>0</x:v>
      </x:c>
      <x:c r="I110" s="5" t="n">
        <x:f>COUNTIFS('Каналы'!$B$6:$B$479,$A110,'Каналы'!$E$6:$E$479,"contacts")</x:f>
        <x:v>0</x:v>
      </x:c>
      <x:c r="J110" s="5" t="n">
        <x:f>COUNTIFS('Каналы'!$B$6:$B$479,$A110,'Каналы'!$E$6:$E$479,"social")</x:f>
        <x:v>0</x:v>
      </x:c>
      <x:c r="K110" s="5" t="n">
        <x:f>COUNTIFS('Каналы'!$B$6:$B$479,$A110,'Каналы'!$E$6:$E$479,"careers")</x:f>
        <x:v>0</x:v>
      </x:c>
      <x:c r="L110" s="5" t="n">
        <x:f>SUM(C110:K110)</x:f>
        <x:v>1</x:v>
      </x:c>
      <x:c r="M110" s="5" t="str">
        <x:v>Искать каналы с нулём; отдельно проверять действующее юрлицо и прием внешних провайдеров.</x:v>
      </x:c>
    </x:row>
    <x:row r="111" ht="31.5" customHeight="1">
      <x:c r="A111" s="5" t="str">
        <x:v>CU-0112</x:v>
      </x:c>
      <x:c r="B111" s="5" t="str">
        <x:v>Корпоративный университет СКБ Контур</x:v>
      </x:c>
      <x:c r="C111" s="5" t="n">
        <x:f>COUNTIFS('Каналы'!$B$6:$B$479,$A111,'Каналы'!$E$6:$E$479,"university_site")</x:f>
        <x:v>0</x:v>
      </x:c>
      <x:c r="D111" s="5" t="n">
        <x:f>COUNTIFS('Каналы'!$B$6:$B$479,$A111,'Каналы'!$E$6:$E$479,"news")</x:f>
        <x:v>1</x:v>
      </x:c>
      <x:c r="E111" s="5" t="n">
        <x:f>COUNTIFS('Каналы'!$B$6:$B$479,$A111,'Каналы'!$E$6:$E$479,"programs")</x:f>
        <x:v>0</x:v>
      </x:c>
      <x:c r="F111" s="5" t="n">
        <x:f>COUNTIFS('Каналы'!$B$6:$B$479,$A111,'Каналы'!$E$6:$E$479,"procurement")</x:f>
        <x:v>0</x:v>
      </x:c>
      <x:c r="G111" s="5" t="n">
        <x:f>COUNTIFS('Каналы'!$B$6:$B$479,$A111,'Каналы'!$E$6:$E$479,"expert_application")</x:f>
        <x:v>0</x:v>
      </x:c>
      <x:c r="H111" s="5" t="n">
        <x:f>COUNTIFS('Каналы'!$B$6:$B$479,$A111,'Каналы'!$E$6:$E$479,"partners")</x:f>
        <x:v>0</x:v>
      </x:c>
      <x:c r="I111" s="5" t="n">
        <x:f>COUNTIFS('Каналы'!$B$6:$B$479,$A111,'Каналы'!$E$6:$E$479,"contacts")</x:f>
        <x:v>0</x:v>
      </x:c>
      <x:c r="J111" s="5" t="n">
        <x:f>COUNTIFS('Каналы'!$B$6:$B$479,$A111,'Каналы'!$E$6:$E$479,"social")</x:f>
        <x:v>0</x:v>
      </x:c>
      <x:c r="K111" s="5" t="n">
        <x:f>COUNTIFS('Каналы'!$B$6:$B$479,$A111,'Каналы'!$E$6:$E$479,"careers")</x:f>
        <x:v>0</x:v>
      </x:c>
      <x:c r="L111" s="5" t="n">
        <x:f>SUM(C111:K111)</x:f>
        <x:v>1</x:v>
      </x:c>
      <x:c r="M111" s="5" t="str">
        <x:v>Искать каналы с нулём; отдельно проверять действующее юрлицо и прием внешних провайдеров.</x:v>
      </x:c>
    </x:row>
    <x:row r="112" ht="31.5" customHeight="1">
      <x:c r="A112" s="5" t="str">
        <x:v>CU-0113</x:v>
      </x:c>
      <x:c r="B112" s="5" t="str">
        <x:v>Корпоративный университет Тензора</x:v>
      </x:c>
      <x:c r="C112" s="5" t="n">
        <x:f>COUNTIFS('Каналы'!$B$6:$B$479,$A112,'Каналы'!$E$6:$E$479,"university_site")</x:f>
        <x:v>1</x:v>
      </x:c>
      <x:c r="D112" s="5" t="n">
        <x:f>COUNTIFS('Каналы'!$B$6:$B$479,$A112,'Каналы'!$E$6:$E$479,"news")</x:f>
        <x:v>0</x:v>
      </x:c>
      <x:c r="E112" s="5" t="n">
        <x:f>COUNTIFS('Каналы'!$B$6:$B$479,$A112,'Каналы'!$E$6:$E$479,"programs")</x:f>
        <x:v>0</x:v>
      </x:c>
      <x:c r="F112" s="5" t="n">
        <x:f>COUNTIFS('Каналы'!$B$6:$B$479,$A112,'Каналы'!$E$6:$E$479,"procurement")</x:f>
        <x:v>0</x:v>
      </x:c>
      <x:c r="G112" s="5" t="n">
        <x:f>COUNTIFS('Каналы'!$B$6:$B$479,$A112,'Каналы'!$E$6:$E$479,"expert_application")</x:f>
        <x:v>0</x:v>
      </x:c>
      <x:c r="H112" s="5" t="n">
        <x:f>COUNTIFS('Каналы'!$B$6:$B$479,$A112,'Каналы'!$E$6:$E$479,"partners")</x:f>
        <x:v>0</x:v>
      </x:c>
      <x:c r="I112" s="5" t="n">
        <x:f>COUNTIFS('Каналы'!$B$6:$B$479,$A112,'Каналы'!$E$6:$E$479,"contacts")</x:f>
        <x:v>0</x:v>
      </x:c>
      <x:c r="J112" s="5" t="n">
        <x:f>COUNTIFS('Каналы'!$B$6:$B$479,$A112,'Каналы'!$E$6:$E$479,"social")</x:f>
        <x:v>0</x:v>
      </x:c>
      <x:c r="K112" s="5" t="n">
        <x:f>COUNTIFS('Каналы'!$B$6:$B$479,$A112,'Каналы'!$E$6:$E$479,"careers")</x:f>
        <x:v>0</x:v>
      </x:c>
      <x:c r="L112" s="5" t="n">
        <x:f>SUM(C112:K112)</x:f>
        <x:v>1</x:v>
      </x:c>
      <x:c r="M112" s="5" t="str">
        <x:v>Искать каналы с нулём; отдельно проверять действующее юрлицо и прием внешних провайдеров.</x:v>
      </x:c>
    </x:row>
    <x:row r="113" ht="31.5" customHeight="1">
      <x:c r="A113" s="5" t="str">
        <x:v>CU-0114</x:v>
      </x:c>
      <x:c r="B113" s="5" t="str">
        <x:v>Nexign Academy / корпоративный университет Nexign</x:v>
      </x:c>
      <x:c r="C113" s="5" t="n">
        <x:f>COUNTIFS('Каналы'!$B$6:$B$479,$A113,'Каналы'!$E$6:$E$479,"university_site")</x:f>
        <x:v>0</x:v>
      </x:c>
      <x:c r="D113" s="5" t="n">
        <x:f>COUNTIFS('Каналы'!$B$6:$B$479,$A113,'Каналы'!$E$6:$E$479,"news")</x:f>
        <x:v>2</x:v>
      </x:c>
      <x:c r="E113" s="5" t="n">
        <x:f>COUNTIFS('Каналы'!$B$6:$B$479,$A113,'Каналы'!$E$6:$E$479,"programs")</x:f>
        <x:v>0</x:v>
      </x:c>
      <x:c r="F113" s="5" t="n">
        <x:f>COUNTIFS('Каналы'!$B$6:$B$479,$A113,'Каналы'!$E$6:$E$479,"procurement")</x:f>
        <x:v>0</x:v>
      </x:c>
      <x:c r="G113" s="5" t="n">
        <x:f>COUNTIFS('Каналы'!$B$6:$B$479,$A113,'Каналы'!$E$6:$E$479,"expert_application")</x:f>
        <x:v>0</x:v>
      </x:c>
      <x:c r="H113" s="5" t="n">
        <x:f>COUNTIFS('Каналы'!$B$6:$B$479,$A113,'Каналы'!$E$6:$E$479,"partners")</x:f>
        <x:v>0</x:v>
      </x:c>
      <x:c r="I113" s="5" t="n">
        <x:f>COUNTIFS('Каналы'!$B$6:$B$479,$A113,'Каналы'!$E$6:$E$479,"contacts")</x:f>
        <x:v>0</x:v>
      </x:c>
      <x:c r="J113" s="5" t="n">
        <x:f>COUNTIFS('Каналы'!$B$6:$B$479,$A113,'Каналы'!$E$6:$E$479,"social")</x:f>
        <x:v>0</x:v>
      </x:c>
      <x:c r="K113" s="5" t="n">
        <x:f>COUNTIFS('Каналы'!$B$6:$B$479,$A113,'Каналы'!$E$6:$E$479,"careers")</x:f>
        <x:v>0</x:v>
      </x:c>
      <x:c r="L113" s="5" t="n">
        <x:f>SUM(C113:K113)</x:f>
        <x:v>2</x:v>
      </x:c>
      <x:c r="M113" s="5" t="str">
        <x:v>Искать каналы с нулём; отдельно проверять действующее юрлицо и прием внешних провайдеров.</x:v>
      </x:c>
    </x:row>
    <x:row r="114" ht="31.5" customHeight="1">
      <x:c r="A114" s="5" t="str">
        <x:v>CU-0115</x:v>
      </x:c>
      <x:c r="B114" s="5" t="str">
        <x:v>ВСК Университет</x:v>
      </x:c>
      <x:c r="C114" s="5" t="n">
        <x:f>COUNTIFS('Каналы'!$B$6:$B$479,$A114,'Каналы'!$E$6:$E$479,"university_site")</x:f>
        <x:v>1</x:v>
      </x:c>
      <x:c r="D114" s="5" t="n">
        <x:f>COUNTIFS('Каналы'!$B$6:$B$479,$A114,'Каналы'!$E$6:$E$479,"news")</x:f>
        <x:v>0</x:v>
      </x:c>
      <x:c r="E114" s="5" t="n">
        <x:f>COUNTIFS('Каналы'!$B$6:$B$479,$A114,'Каналы'!$E$6:$E$479,"programs")</x:f>
        <x:v>1</x:v>
      </x:c>
      <x:c r="F114" s="5" t="n">
        <x:f>COUNTIFS('Каналы'!$B$6:$B$479,$A114,'Каналы'!$E$6:$E$479,"procurement")</x:f>
        <x:v>0</x:v>
      </x:c>
      <x:c r="G114" s="5" t="n">
        <x:f>COUNTIFS('Каналы'!$B$6:$B$479,$A114,'Каналы'!$E$6:$E$479,"expert_application")</x:f>
        <x:v>0</x:v>
      </x:c>
      <x:c r="H114" s="5" t="n">
        <x:f>COUNTIFS('Каналы'!$B$6:$B$479,$A114,'Каналы'!$E$6:$E$479,"partners")</x:f>
        <x:v>0</x:v>
      </x:c>
      <x:c r="I114" s="5" t="n">
        <x:f>COUNTIFS('Каналы'!$B$6:$B$479,$A114,'Каналы'!$E$6:$E$479,"contacts")</x:f>
        <x:v>1</x:v>
      </x:c>
      <x:c r="J114" s="5" t="n">
        <x:f>COUNTIFS('Каналы'!$B$6:$B$479,$A114,'Каналы'!$E$6:$E$479,"social")</x:f>
        <x:v>0</x:v>
      </x:c>
      <x:c r="K114" s="5" t="n">
        <x:f>COUNTIFS('Каналы'!$B$6:$B$479,$A114,'Каналы'!$E$6:$E$479,"careers")</x:f>
        <x:v>0</x:v>
      </x:c>
      <x:c r="L114" s="5" t="n">
        <x:f>SUM(C114:K114)</x:f>
        <x:v>3</x:v>
      </x:c>
      <x:c r="M114" s="5" t="str">
        <x:v>Искать каналы с нулём; отдельно проверять действующее юрлицо и прием внешних провайдеров.</x:v>
      </x:c>
    </x:row>
    <x:row r="115" ht="31.5" customHeight="1">
      <x:c r="A115" s="5" t="str">
        <x:v>CU-0116</x:v>
      </x:c>
      <x:c r="B115" s="5" t="str">
        <x:v>Корпоративный университет Ак Барс Банка</x:v>
      </x:c>
      <x:c r="C115" s="5" t="n">
        <x:f>COUNTIFS('Каналы'!$B$6:$B$479,$A115,'Каналы'!$E$6:$E$479,"university_site")</x:f>
        <x:v>1</x:v>
      </x:c>
      <x:c r="D115" s="5" t="n">
        <x:f>COUNTIFS('Каналы'!$B$6:$B$479,$A115,'Каналы'!$E$6:$E$479,"news")</x:f>
        <x:v>1</x:v>
      </x:c>
      <x:c r="E115" s="5" t="n">
        <x:f>COUNTIFS('Каналы'!$B$6:$B$479,$A115,'Каналы'!$E$6:$E$479,"programs")</x:f>
        <x:v>0</x:v>
      </x:c>
      <x:c r="F115" s="5" t="n">
        <x:f>COUNTIFS('Каналы'!$B$6:$B$479,$A115,'Каналы'!$E$6:$E$479,"procurement")</x:f>
        <x:v>0</x:v>
      </x:c>
      <x:c r="G115" s="5" t="n">
        <x:f>COUNTIFS('Каналы'!$B$6:$B$479,$A115,'Каналы'!$E$6:$E$479,"expert_application")</x:f>
        <x:v>0</x:v>
      </x:c>
      <x:c r="H115" s="5" t="n">
        <x:f>COUNTIFS('Каналы'!$B$6:$B$479,$A115,'Каналы'!$E$6:$E$479,"partners")</x:f>
        <x:v>0</x:v>
      </x:c>
      <x:c r="I115" s="5" t="n">
        <x:f>COUNTIFS('Каналы'!$B$6:$B$479,$A115,'Каналы'!$E$6:$E$479,"contacts")</x:f>
        <x:v>0</x:v>
      </x:c>
      <x:c r="J115" s="5" t="n">
        <x:f>COUNTIFS('Каналы'!$B$6:$B$479,$A115,'Каналы'!$E$6:$E$479,"social")</x:f>
        <x:v>0</x:v>
      </x:c>
      <x:c r="K115" s="5" t="n">
        <x:f>COUNTIFS('Каналы'!$B$6:$B$479,$A115,'Каналы'!$E$6:$E$479,"careers")</x:f>
        <x:v>0</x:v>
      </x:c>
      <x:c r="L115" s="5" t="n">
        <x:f>SUM(C115:K115)</x:f>
        <x:v>2</x:v>
      </x:c>
      <x:c r="M115" s="5" t="str">
        <x:v>Искать каналы с нулём; отдельно проверять действующее юрлицо и прием внешних провайдеров.</x:v>
      </x:c>
    </x:row>
    <x:row r="116" ht="31.5" customHeight="1">
      <x:c r="A116" s="5" t="str">
        <x:v>CU-0117</x:v>
      </x:c>
      <x:c r="B116" s="5" t="str">
        <x:v>Корпоративный университет Газпромбанка</x:v>
      </x:c>
      <x:c r="C116" s="5" t="n">
        <x:f>COUNTIFS('Каналы'!$B$6:$B$479,$A116,'Каналы'!$E$6:$E$479,"university_site")</x:f>
        <x:v>0</x:v>
      </x:c>
      <x:c r="D116" s="5" t="n">
        <x:f>COUNTIFS('Каналы'!$B$6:$B$479,$A116,'Каналы'!$E$6:$E$479,"news")</x:f>
        <x:v>2</x:v>
      </x:c>
      <x:c r="E116" s="5" t="n">
        <x:f>COUNTIFS('Каналы'!$B$6:$B$479,$A116,'Каналы'!$E$6:$E$479,"programs")</x:f>
        <x:v>0</x:v>
      </x:c>
      <x:c r="F116" s="5" t="n">
        <x:f>COUNTIFS('Каналы'!$B$6:$B$479,$A116,'Каналы'!$E$6:$E$479,"procurement")</x:f>
        <x:v>0</x:v>
      </x:c>
      <x:c r="G116" s="5" t="n">
        <x:f>COUNTIFS('Каналы'!$B$6:$B$479,$A116,'Каналы'!$E$6:$E$479,"expert_application")</x:f>
        <x:v>0</x:v>
      </x:c>
      <x:c r="H116" s="5" t="n">
        <x:f>COUNTIFS('Каналы'!$B$6:$B$479,$A116,'Каналы'!$E$6:$E$479,"partners")</x:f>
        <x:v>0</x:v>
      </x:c>
      <x:c r="I116" s="5" t="n">
        <x:f>COUNTIFS('Каналы'!$B$6:$B$479,$A116,'Каналы'!$E$6:$E$479,"contacts")</x:f>
        <x:v>0</x:v>
      </x:c>
      <x:c r="J116" s="5" t="n">
        <x:f>COUNTIFS('Каналы'!$B$6:$B$479,$A116,'Каналы'!$E$6:$E$479,"social")</x:f>
        <x:v>0</x:v>
      </x:c>
      <x:c r="K116" s="5" t="n">
        <x:f>COUNTIFS('Каналы'!$B$6:$B$479,$A116,'Каналы'!$E$6:$E$479,"careers")</x:f>
        <x:v>0</x:v>
      </x:c>
      <x:c r="L116" s="5" t="n">
        <x:f>SUM(C116:K116)</x:f>
        <x:v>2</x:v>
      </x:c>
      <x:c r="M116" s="5" t="str">
        <x:v>Искать каналы с нулём; отдельно проверять действующее юрлицо и прием внешних провайдеров.</x:v>
      </x:c>
    </x:row>
    <x:row r="117" ht="31.5" customHeight="1">
      <x:c r="A117" s="5" t="str">
        <x:v>CU-0122</x:v>
      </x:c>
      <x:c r="B117" s="5" t="str">
        <x:v>Корпоративный университет РЖД</x:v>
      </x:c>
      <x:c r="C117" s="5" t="n">
        <x:f>COUNTIFS('Каналы'!$B$6:$B$479,$A117,'Каналы'!$E$6:$E$479,"university_site")</x:f>
        <x:v>1</x:v>
      </x:c>
      <x:c r="D117" s="5" t="n">
        <x:f>COUNTIFS('Каналы'!$B$6:$B$479,$A117,'Каналы'!$E$6:$E$479,"news")</x:f>
        <x:v>0</x:v>
      </x:c>
      <x:c r="E117" s="5" t="n">
        <x:f>COUNTIFS('Каналы'!$B$6:$B$479,$A117,'Каналы'!$E$6:$E$479,"programs")</x:f>
        <x:v>1</x:v>
      </x:c>
      <x:c r="F117" s="5" t="n">
        <x:f>COUNTIFS('Каналы'!$B$6:$B$479,$A117,'Каналы'!$E$6:$E$479,"procurement")</x:f>
        <x:v>0</x:v>
      </x:c>
      <x:c r="G117" s="5" t="n">
        <x:f>COUNTIFS('Каналы'!$B$6:$B$479,$A117,'Каналы'!$E$6:$E$479,"expert_application")</x:f>
        <x:v>0</x:v>
      </x:c>
      <x:c r="H117" s="5" t="n">
        <x:f>COUNTIFS('Каналы'!$B$6:$B$479,$A117,'Каналы'!$E$6:$E$479,"partners")</x:f>
        <x:v>0</x:v>
      </x:c>
      <x:c r="I117" s="5" t="n">
        <x:f>COUNTIFS('Каналы'!$B$6:$B$479,$A117,'Каналы'!$E$6:$E$479,"contacts")</x:f>
        <x:v>1</x:v>
      </x:c>
      <x:c r="J117" s="5" t="n">
        <x:f>COUNTIFS('Каналы'!$B$6:$B$479,$A117,'Каналы'!$E$6:$E$479,"social")</x:f>
        <x:v>0</x:v>
      </x:c>
      <x:c r="K117" s="5" t="n">
        <x:f>COUNTIFS('Каналы'!$B$6:$B$479,$A117,'Каналы'!$E$6:$E$479,"careers")</x:f>
        <x:v>0</x:v>
      </x:c>
      <x:c r="L117" s="5" t="n">
        <x:f>SUM(C117:K117)</x:f>
        <x:v>3</x:v>
      </x:c>
      <x:c r="M117" s="5" t="str">
        <x:v>Искать каналы с нулём; отдельно проверять действующее юрлицо и прием внешних провайдеров.</x:v>
      </x:c>
    </x:row>
    <x:row r="118" ht="31.5" customHeight="1">
      <x:c r="A118" s="5" t="str">
        <x:v>CU-0123</x:v>
      </x:c>
      <x:c r="B118" s="5" t="str">
        <x:v>Корпоративный университет группы «Волга-Днепр»</x:v>
      </x:c>
      <x:c r="C118" s="5" t="n">
        <x:f>COUNTIFS('Каналы'!$B$6:$B$479,$A118,'Каналы'!$E$6:$E$479,"university_site")</x:f>
        <x:v>1</x:v>
      </x:c>
      <x:c r="D118" s="5" t="n">
        <x:f>COUNTIFS('Каналы'!$B$6:$B$479,$A118,'Каналы'!$E$6:$E$479,"news")</x:f>
        <x:v>0</x:v>
      </x:c>
      <x:c r="E118" s="5" t="n">
        <x:f>COUNTIFS('Каналы'!$B$6:$B$479,$A118,'Каналы'!$E$6:$E$479,"programs")</x:f>
        <x:v>0</x:v>
      </x:c>
      <x:c r="F118" s="5" t="n">
        <x:f>COUNTIFS('Каналы'!$B$6:$B$479,$A118,'Каналы'!$E$6:$E$479,"procurement")</x:f>
        <x:v>0</x:v>
      </x:c>
      <x:c r="G118" s="5" t="n">
        <x:f>COUNTIFS('Каналы'!$B$6:$B$479,$A118,'Каналы'!$E$6:$E$479,"expert_application")</x:f>
        <x:v>0</x:v>
      </x:c>
      <x:c r="H118" s="5" t="n">
        <x:f>COUNTIFS('Каналы'!$B$6:$B$479,$A118,'Каналы'!$E$6:$E$479,"partners")</x:f>
        <x:v>0</x:v>
      </x:c>
      <x:c r="I118" s="5" t="n">
        <x:f>COUNTIFS('Каналы'!$B$6:$B$479,$A118,'Каналы'!$E$6:$E$479,"contacts")</x:f>
        <x:v>0</x:v>
      </x:c>
      <x:c r="J118" s="5" t="n">
        <x:f>COUNTIFS('Каналы'!$B$6:$B$479,$A118,'Каналы'!$E$6:$E$479,"social")</x:f>
        <x:v>0</x:v>
      </x:c>
      <x:c r="K118" s="5" t="n">
        <x:f>COUNTIFS('Каналы'!$B$6:$B$479,$A118,'Каналы'!$E$6:$E$479,"careers")</x:f>
        <x:v>0</x:v>
      </x:c>
      <x:c r="L118" s="5" t="n">
        <x:f>SUM(C118:K118)</x:f>
        <x:v>1</x:v>
      </x:c>
      <x:c r="M118" s="5" t="str">
        <x:v>Искать каналы с нулём; отдельно проверять действующее юрлицо и прием внешних провайдеров.</x:v>
      </x:c>
    </x:row>
    <x:row r="119" ht="31.5" customHeight="1">
      <x:c r="A119" s="5" t="str">
        <x:v>CU-0128</x:v>
      </x:c>
      <x:c r="B119" s="5" t="str">
        <x:v>Корпоративный университет Почты России</x:v>
      </x:c>
      <x:c r="C119" s="5" t="n">
        <x:f>COUNTIFS('Каналы'!$B$6:$B$479,$A119,'Каналы'!$E$6:$E$479,"university_site")</x:f>
        <x:v>1</x:v>
      </x:c>
      <x:c r="D119" s="5" t="n">
        <x:f>COUNTIFS('Каналы'!$B$6:$B$479,$A119,'Каналы'!$E$6:$E$479,"news")</x:f>
        <x:v>0</x:v>
      </x:c>
      <x:c r="E119" s="5" t="n">
        <x:f>COUNTIFS('Каналы'!$B$6:$B$479,$A119,'Каналы'!$E$6:$E$479,"programs")</x:f>
        <x:v>0</x:v>
      </x:c>
      <x:c r="F119" s="5" t="n">
        <x:f>COUNTIFS('Каналы'!$B$6:$B$479,$A119,'Каналы'!$E$6:$E$479,"procurement")</x:f>
        <x:v>0</x:v>
      </x:c>
      <x:c r="G119" s="5" t="n">
        <x:f>COUNTIFS('Каналы'!$B$6:$B$479,$A119,'Каналы'!$E$6:$E$479,"expert_application")</x:f>
        <x:v>0</x:v>
      </x:c>
      <x:c r="H119" s="5" t="n">
        <x:f>COUNTIFS('Каналы'!$B$6:$B$479,$A119,'Каналы'!$E$6:$E$479,"partners")</x:f>
        <x:v>0</x:v>
      </x:c>
      <x:c r="I119" s="5" t="n">
        <x:f>COUNTIFS('Каналы'!$B$6:$B$479,$A119,'Каналы'!$E$6:$E$479,"contacts")</x:f>
        <x:v>0</x:v>
      </x:c>
      <x:c r="J119" s="5" t="n">
        <x:f>COUNTIFS('Каналы'!$B$6:$B$479,$A119,'Каналы'!$E$6:$E$479,"social")</x:f>
        <x:v>0</x:v>
      </x:c>
      <x:c r="K119" s="5" t="n">
        <x:f>COUNTIFS('Каналы'!$B$6:$B$479,$A119,'Каналы'!$E$6:$E$479,"careers")</x:f>
        <x:v>0</x:v>
      </x:c>
      <x:c r="L119" s="5" t="n">
        <x:f>SUM(C119:K119)</x:f>
        <x:v>1</x:v>
      </x:c>
      <x:c r="M119" s="5" t="str">
        <x:v>Искать каналы с нулём; отдельно проверять действующее юрлицо и прием внешних провайдеров.</x:v>
      </x:c>
    </x:row>
    <x:row r="120" ht="31.5" customHeight="1">
      <x:c r="A120" s="5" t="str">
        <x:v>CU-0129</x:v>
      </x:c>
      <x:c r="B120" s="5" t="str">
        <x:v>Корпоративный университет Транспортного комплекса Москвы</x:v>
      </x:c>
      <x:c r="C120" s="5" t="n">
        <x:f>COUNTIFS('Каналы'!$B$6:$B$479,$A120,'Каналы'!$E$6:$E$479,"university_site")</x:f>
        <x:v>1</x:v>
      </x:c>
      <x:c r="D120" s="5" t="n">
        <x:f>COUNTIFS('Каналы'!$B$6:$B$479,$A120,'Каналы'!$E$6:$E$479,"news")</x:f>
        <x:v>0</x:v>
      </x:c>
      <x:c r="E120" s="5" t="n">
        <x:f>COUNTIFS('Каналы'!$B$6:$B$479,$A120,'Каналы'!$E$6:$E$479,"programs")</x:f>
        <x:v>0</x:v>
      </x:c>
      <x:c r="F120" s="5" t="n">
        <x:f>COUNTIFS('Каналы'!$B$6:$B$479,$A120,'Каналы'!$E$6:$E$479,"procurement")</x:f>
        <x:v>0</x:v>
      </x:c>
      <x:c r="G120" s="5" t="n">
        <x:f>COUNTIFS('Каналы'!$B$6:$B$479,$A120,'Каналы'!$E$6:$E$479,"expert_application")</x:f>
        <x:v>0</x:v>
      </x:c>
      <x:c r="H120" s="5" t="n">
        <x:f>COUNTIFS('Каналы'!$B$6:$B$479,$A120,'Каналы'!$E$6:$E$479,"partners")</x:f>
        <x:v>0</x:v>
      </x:c>
      <x:c r="I120" s="5" t="n">
        <x:f>COUNTIFS('Каналы'!$B$6:$B$479,$A120,'Каналы'!$E$6:$E$479,"contacts")</x:f>
        <x:v>0</x:v>
      </x:c>
      <x:c r="J120" s="5" t="n">
        <x:f>COUNTIFS('Каналы'!$B$6:$B$479,$A120,'Каналы'!$E$6:$E$479,"social")</x:f>
        <x:v>1</x:v>
      </x:c>
      <x:c r="K120" s="5" t="n">
        <x:f>COUNTIFS('Каналы'!$B$6:$B$479,$A120,'Каналы'!$E$6:$E$479,"careers")</x:f>
        <x:v>0</x:v>
      </x:c>
      <x:c r="L120" s="5" t="n">
        <x:f>SUM(C120:K120)</x:f>
        <x:v>2</x:v>
      </x:c>
      <x:c r="M120" s="5" t="str">
        <x:v>Искать каналы с нулём; отдельно проверять действующее юрлицо и прием внешних провайдеров.</x:v>
      </x:c>
    </x:row>
    <x:row r="121" ht="31.5" customHeight="1">
      <x:c r="A121" s="5" t="str">
        <x:v>CU-0133</x:v>
      </x:c>
      <x:c r="B121" s="5" t="str">
        <x:v>CDEK University / CDEK.Univer</x:v>
      </x:c>
      <x:c r="C121" s="5" t="n">
        <x:f>COUNTIFS('Каналы'!$B$6:$B$479,$A121,'Каналы'!$E$6:$E$479,"university_site")</x:f>
        <x:v>1</x:v>
      </x:c>
      <x:c r="D121" s="5" t="n">
        <x:f>COUNTIFS('Каналы'!$B$6:$B$479,$A121,'Каналы'!$E$6:$E$479,"news")</x:f>
        <x:v>1</x:v>
      </x:c>
      <x:c r="E121" s="5" t="n">
        <x:f>COUNTIFS('Каналы'!$B$6:$B$479,$A121,'Каналы'!$E$6:$E$479,"programs")</x:f>
        <x:v>1</x:v>
      </x:c>
      <x:c r="F121" s="5" t="n">
        <x:f>COUNTIFS('Каналы'!$B$6:$B$479,$A121,'Каналы'!$E$6:$E$479,"procurement")</x:f>
        <x:v>0</x:v>
      </x:c>
      <x:c r="G121" s="5" t="n">
        <x:f>COUNTIFS('Каналы'!$B$6:$B$479,$A121,'Каналы'!$E$6:$E$479,"expert_application")</x:f>
        <x:v>0</x:v>
      </x:c>
      <x:c r="H121" s="5" t="n">
        <x:f>COUNTIFS('Каналы'!$B$6:$B$479,$A121,'Каналы'!$E$6:$E$479,"partners")</x:f>
        <x:v>0</x:v>
      </x:c>
      <x:c r="I121" s="5" t="n">
        <x:f>COUNTIFS('Каналы'!$B$6:$B$479,$A121,'Каналы'!$E$6:$E$479,"contacts")</x:f>
        <x:v>0</x:v>
      </x:c>
      <x:c r="J121" s="5" t="n">
        <x:f>COUNTIFS('Каналы'!$B$6:$B$479,$A121,'Каналы'!$E$6:$E$479,"social")</x:f>
        <x:v>0</x:v>
      </x:c>
      <x:c r="K121" s="5" t="n">
        <x:f>COUNTIFS('Каналы'!$B$6:$B$479,$A121,'Каналы'!$E$6:$E$479,"careers")</x:f>
        <x:v>0</x:v>
      </x:c>
      <x:c r="L121" s="5" t="n">
        <x:f>SUM(C121:K121)</x:f>
        <x:v>3</x:v>
      </x:c>
      <x:c r="M121" s="5" t="str">
        <x:v>Искать каналы с нулём; отдельно проверять действующее юрлицо и прием внешних провайдеров.</x:v>
      </x:c>
    </x:row>
    <x:row r="122" ht="31.5" customHeight="1">
      <x:c r="A122" s="5" t="str">
        <x:v>CU-0135</x:v>
      </x:c>
      <x:c r="B122" s="5" t="str">
        <x:v>Корпоративный университет Самолёт Плюс</x:v>
      </x:c>
      <x:c r="C122" s="5" t="n">
        <x:f>COUNTIFS('Каналы'!$B$6:$B$479,$A122,'Каналы'!$E$6:$E$479,"university_site")</x:f>
        <x:v>1</x:v>
      </x:c>
      <x:c r="D122" s="5" t="n">
        <x:f>COUNTIFS('Каналы'!$B$6:$B$479,$A122,'Каналы'!$E$6:$E$479,"news")</x:f>
        <x:v>1</x:v>
      </x:c>
      <x:c r="E122" s="5" t="n">
        <x:f>COUNTIFS('Каналы'!$B$6:$B$479,$A122,'Каналы'!$E$6:$E$479,"programs")</x:f>
        <x:v>1</x:v>
      </x:c>
      <x:c r="F122" s="5" t="n">
        <x:f>COUNTIFS('Каналы'!$B$6:$B$479,$A122,'Каналы'!$E$6:$E$479,"procurement")</x:f>
        <x:v>0</x:v>
      </x:c>
      <x:c r="G122" s="5" t="n">
        <x:f>COUNTIFS('Каналы'!$B$6:$B$479,$A122,'Каналы'!$E$6:$E$479,"expert_application")</x:f>
        <x:v>0</x:v>
      </x:c>
      <x:c r="H122" s="5" t="n">
        <x:f>COUNTIFS('Каналы'!$B$6:$B$479,$A122,'Каналы'!$E$6:$E$479,"partners")</x:f>
        <x:v>0</x:v>
      </x:c>
      <x:c r="I122" s="5" t="n">
        <x:f>COUNTIFS('Каналы'!$B$6:$B$479,$A122,'Каналы'!$E$6:$E$479,"contacts")</x:f>
        <x:v>0</x:v>
      </x:c>
      <x:c r="J122" s="5" t="n">
        <x:f>COUNTIFS('Каналы'!$B$6:$B$479,$A122,'Каналы'!$E$6:$E$479,"social")</x:f>
        <x:v>0</x:v>
      </x:c>
      <x:c r="K122" s="5" t="n">
        <x:f>COUNTIFS('Каналы'!$B$6:$B$479,$A122,'Каналы'!$E$6:$E$479,"careers")</x:f>
        <x:v>0</x:v>
      </x:c>
      <x:c r="L122" s="5" t="n">
        <x:f>SUM(C122:K122)</x:f>
        <x:v>3</x:v>
      </x:c>
      <x:c r="M122" s="5" t="str">
        <x:v>Искать каналы с нулём; отдельно проверять действующее юрлицо и прием внешних провайдеров.</x:v>
      </x:c>
    </x:row>
    <x:row r="123" ht="31.5" customHeight="1">
      <x:c r="A123" s="5" t="str">
        <x:v>CU-0136</x:v>
      </x:c>
      <x:c r="B123" s="5" t="str">
        <x:v>Корпоративный университет ПЕТОН</x:v>
      </x:c>
      <x:c r="C123" s="5" t="n">
        <x:f>COUNTIFS('Каналы'!$B$6:$B$479,$A123,'Каналы'!$E$6:$E$479,"university_site")</x:f>
        <x:v>1</x:v>
      </x:c>
      <x:c r="D123" s="5" t="n">
        <x:f>COUNTIFS('Каналы'!$B$6:$B$479,$A123,'Каналы'!$E$6:$E$479,"news")</x:f>
        <x:v>0</x:v>
      </x:c>
      <x:c r="E123" s="5" t="n">
        <x:f>COUNTIFS('Каналы'!$B$6:$B$479,$A123,'Каналы'!$E$6:$E$479,"programs")</x:f>
        <x:v>0</x:v>
      </x:c>
      <x:c r="F123" s="5" t="n">
        <x:f>COUNTIFS('Каналы'!$B$6:$B$479,$A123,'Каналы'!$E$6:$E$479,"procurement")</x:f>
        <x:v>0</x:v>
      </x:c>
      <x:c r="G123" s="5" t="n">
        <x:f>COUNTIFS('Каналы'!$B$6:$B$479,$A123,'Каналы'!$E$6:$E$479,"expert_application")</x:f>
        <x:v>0</x:v>
      </x:c>
      <x:c r="H123" s="5" t="n">
        <x:f>COUNTIFS('Каналы'!$B$6:$B$479,$A123,'Каналы'!$E$6:$E$479,"partners")</x:f>
        <x:v>0</x:v>
      </x:c>
      <x:c r="I123" s="5" t="n">
        <x:f>COUNTIFS('Каналы'!$B$6:$B$479,$A123,'Каналы'!$E$6:$E$479,"contacts")</x:f>
        <x:v>0</x:v>
      </x:c>
      <x:c r="J123" s="5" t="n">
        <x:f>COUNTIFS('Каналы'!$B$6:$B$479,$A123,'Каналы'!$E$6:$E$479,"social")</x:f>
        <x:v>0</x:v>
      </x:c>
      <x:c r="K123" s="5" t="n">
        <x:f>COUNTIFS('Каналы'!$B$6:$B$479,$A123,'Каналы'!$E$6:$E$479,"careers")</x:f>
        <x:v>0</x:v>
      </x:c>
      <x:c r="L123" s="5" t="n">
        <x:f>SUM(C123:K123)</x:f>
        <x:v>1</x:v>
      </x:c>
      <x:c r="M123" s="5" t="str">
        <x:v>Искать каналы с нулём; отдельно проверять действующее юрлицо и прием внешних провайдеров.</x:v>
      </x:c>
    </x:row>
    <x:row r="124" ht="31.5" customHeight="1">
      <x:c r="A124" s="5" t="str">
        <x:v>CU-0137</x:v>
      </x:c>
      <x:c r="B124" s="5" t="str">
        <x:v>Корпоративный университет ТЕХНОНИКОЛЬ</x:v>
      </x:c>
      <x:c r="C124" s="5" t="n">
        <x:f>COUNTIFS('Каналы'!$B$6:$B$479,$A124,'Каналы'!$E$6:$E$479,"university_site")</x:f>
        <x:v>1</x:v>
      </x:c>
      <x:c r="D124" s="5" t="n">
        <x:f>COUNTIFS('Каналы'!$B$6:$B$479,$A124,'Каналы'!$E$6:$E$479,"news")</x:f>
        <x:v>0</x:v>
      </x:c>
      <x:c r="E124" s="5" t="n">
        <x:f>COUNTIFS('Каналы'!$B$6:$B$479,$A124,'Каналы'!$E$6:$E$479,"programs")</x:f>
        <x:v>1</x:v>
      </x:c>
      <x:c r="F124" s="5" t="n">
        <x:f>COUNTIFS('Каналы'!$B$6:$B$479,$A124,'Каналы'!$E$6:$E$479,"procurement")</x:f>
        <x:v>0</x:v>
      </x:c>
      <x:c r="G124" s="5" t="n">
        <x:f>COUNTIFS('Каналы'!$B$6:$B$479,$A124,'Каналы'!$E$6:$E$479,"expert_application")</x:f>
        <x:v>0</x:v>
      </x:c>
      <x:c r="H124" s="5" t="n">
        <x:f>COUNTIFS('Каналы'!$B$6:$B$479,$A124,'Каналы'!$E$6:$E$479,"partners")</x:f>
        <x:v>0</x:v>
      </x:c>
      <x:c r="I124" s="5" t="n">
        <x:f>COUNTIFS('Каналы'!$B$6:$B$479,$A124,'Каналы'!$E$6:$E$479,"contacts")</x:f>
        <x:v>0</x:v>
      </x:c>
      <x:c r="J124" s="5" t="n">
        <x:f>COUNTIFS('Каналы'!$B$6:$B$479,$A124,'Каналы'!$E$6:$E$479,"social")</x:f>
        <x:v>0</x:v>
      </x:c>
      <x:c r="K124" s="5" t="n">
        <x:f>COUNTIFS('Каналы'!$B$6:$B$479,$A124,'Каналы'!$E$6:$E$479,"careers")</x:f>
        <x:v>0</x:v>
      </x:c>
      <x:c r="L124" s="5" t="n">
        <x:f>SUM(C124:K124)</x:f>
        <x:v>2</x:v>
      </x:c>
      <x:c r="M124" s="5" t="str">
        <x:v>Искать каналы с нулём; отдельно проверять действующее юрлицо и прием внешних провайдеров.</x:v>
      </x:c>
    </x:row>
    <x:row r="125" ht="31.5" customHeight="1">
      <x:c r="A125" s="5" t="str">
        <x:v>CU-0138</x:v>
      </x:c>
      <x:c r="B125" s="5" t="str">
        <x:v>Корпоративный университет ТСТН — Академия директоров</x:v>
      </x:c>
      <x:c r="C125" s="5" t="n">
        <x:f>COUNTIFS('Каналы'!$B$6:$B$479,$A125,'Каналы'!$E$6:$E$479,"university_site")</x:f>
        <x:v>1</x:v>
      </x:c>
      <x:c r="D125" s="5" t="n">
        <x:f>COUNTIFS('Каналы'!$B$6:$B$479,$A125,'Каналы'!$E$6:$E$479,"news")</x:f>
        <x:v>0</x:v>
      </x:c>
      <x:c r="E125" s="5" t="n">
        <x:f>COUNTIFS('Каналы'!$B$6:$B$479,$A125,'Каналы'!$E$6:$E$479,"programs")</x:f>
        <x:v>0</x:v>
      </x:c>
      <x:c r="F125" s="5" t="n">
        <x:f>COUNTIFS('Каналы'!$B$6:$B$479,$A125,'Каналы'!$E$6:$E$479,"procurement")</x:f>
        <x:v>0</x:v>
      </x:c>
      <x:c r="G125" s="5" t="n">
        <x:f>COUNTIFS('Каналы'!$B$6:$B$479,$A125,'Каналы'!$E$6:$E$479,"expert_application")</x:f>
        <x:v>0</x:v>
      </x:c>
      <x:c r="H125" s="5" t="n">
        <x:f>COUNTIFS('Каналы'!$B$6:$B$479,$A125,'Каналы'!$E$6:$E$479,"partners")</x:f>
        <x:v>0</x:v>
      </x:c>
      <x:c r="I125" s="5" t="n">
        <x:f>COUNTIFS('Каналы'!$B$6:$B$479,$A125,'Каналы'!$E$6:$E$479,"contacts")</x:f>
        <x:v>0</x:v>
      </x:c>
      <x:c r="J125" s="5" t="n">
        <x:f>COUNTIFS('Каналы'!$B$6:$B$479,$A125,'Каналы'!$E$6:$E$479,"social")</x:f>
        <x:v>0</x:v>
      </x:c>
      <x:c r="K125" s="5" t="n">
        <x:f>COUNTIFS('Каналы'!$B$6:$B$479,$A125,'Каналы'!$E$6:$E$479,"careers")</x:f>
        <x:v>0</x:v>
      </x:c>
      <x:c r="L125" s="5" t="n">
        <x:f>SUM(C125:K125)</x:f>
        <x:v>1</x:v>
      </x:c>
      <x:c r="M125" s="5" t="str">
        <x:v>Искать каналы с нулём; отдельно проверять действующее юрлицо и прием внешних провайдеров.</x:v>
      </x:c>
    </x:row>
    <x:row r="126" ht="31.5" customHeight="1">
      <x:c r="A126" s="5" t="str">
        <x:v>CU-0140</x:v>
      </x:c>
      <x:c r="B126" s="5" t="str">
        <x:v>Корпоративный университет «РУСЛАКТО»</x:v>
      </x:c>
      <x:c r="C126" s="5" t="n">
        <x:f>COUNTIFS('Каналы'!$B$6:$B$479,$A126,'Каналы'!$E$6:$E$479,"university_site")</x:f>
        <x:v>1</x:v>
      </x:c>
      <x:c r="D126" s="5" t="n">
        <x:f>COUNTIFS('Каналы'!$B$6:$B$479,$A126,'Каналы'!$E$6:$E$479,"news")</x:f>
        <x:v>0</x:v>
      </x:c>
      <x:c r="E126" s="5" t="n">
        <x:f>COUNTIFS('Каналы'!$B$6:$B$479,$A126,'Каналы'!$E$6:$E$479,"programs")</x:f>
        <x:v>0</x:v>
      </x:c>
      <x:c r="F126" s="5" t="n">
        <x:f>COUNTIFS('Каналы'!$B$6:$B$479,$A126,'Каналы'!$E$6:$E$479,"procurement")</x:f>
        <x:v>0</x:v>
      </x:c>
      <x:c r="G126" s="5" t="n">
        <x:f>COUNTIFS('Каналы'!$B$6:$B$479,$A126,'Каналы'!$E$6:$E$479,"expert_application")</x:f>
        <x:v>0</x:v>
      </x:c>
      <x:c r="H126" s="5" t="n">
        <x:f>COUNTIFS('Каналы'!$B$6:$B$479,$A126,'Каналы'!$E$6:$E$479,"partners")</x:f>
        <x:v>0</x:v>
      </x:c>
      <x:c r="I126" s="5" t="n">
        <x:f>COUNTIFS('Каналы'!$B$6:$B$479,$A126,'Каналы'!$E$6:$E$479,"contacts")</x:f>
        <x:v>0</x:v>
      </x:c>
      <x:c r="J126" s="5" t="n">
        <x:f>COUNTIFS('Каналы'!$B$6:$B$479,$A126,'Каналы'!$E$6:$E$479,"social")</x:f>
        <x:v>0</x:v>
      </x:c>
      <x:c r="K126" s="5" t="n">
        <x:f>COUNTIFS('Каналы'!$B$6:$B$479,$A126,'Каналы'!$E$6:$E$479,"careers")</x:f>
        <x:v>0</x:v>
      </x:c>
      <x:c r="L126" s="5" t="n">
        <x:f>SUM(C126:K126)</x:f>
        <x:v>1</x:v>
      </x:c>
      <x:c r="M126" s="5" t="str">
        <x:v>Искать каналы с нулём; отдельно проверять действующее юрлицо и прием внешних провайдеров.</x:v>
      </x:c>
    </x:row>
    <x:row r="127" ht="31.5" customHeight="1">
      <x:c r="A127" s="5" t="str">
        <x:v>CU-0143</x:v>
      </x:c>
      <x:c r="B127" s="5" t="str">
        <x:v>Научно-образовательный центр «Бирюч» ЭФКО</x:v>
      </x:c>
      <x:c r="C127" s="5" t="n">
        <x:f>COUNTIFS('Каналы'!$B$6:$B$479,$A127,'Каналы'!$E$6:$E$479,"university_site")</x:f>
        <x:v>1</x:v>
      </x:c>
      <x:c r="D127" s="5" t="n">
        <x:f>COUNTIFS('Каналы'!$B$6:$B$479,$A127,'Каналы'!$E$6:$E$479,"news")</x:f>
        <x:v>0</x:v>
      </x:c>
      <x:c r="E127" s="5" t="n">
        <x:f>COUNTIFS('Каналы'!$B$6:$B$479,$A127,'Каналы'!$E$6:$E$479,"programs")</x:f>
        <x:v>1</x:v>
      </x:c>
      <x:c r="F127" s="5" t="n">
        <x:f>COUNTIFS('Каналы'!$B$6:$B$479,$A127,'Каналы'!$E$6:$E$479,"procurement")</x:f>
        <x:v>0</x:v>
      </x:c>
      <x:c r="G127" s="5" t="n">
        <x:f>COUNTIFS('Каналы'!$B$6:$B$479,$A127,'Каналы'!$E$6:$E$479,"expert_application")</x:f>
        <x:v>0</x:v>
      </x:c>
      <x:c r="H127" s="5" t="n">
        <x:f>COUNTIFS('Каналы'!$B$6:$B$479,$A127,'Каналы'!$E$6:$E$479,"partners")</x:f>
        <x:v>1</x:v>
      </x:c>
      <x:c r="I127" s="5" t="n">
        <x:f>COUNTIFS('Каналы'!$B$6:$B$479,$A127,'Каналы'!$E$6:$E$479,"contacts")</x:f>
        <x:v>0</x:v>
      </x:c>
      <x:c r="J127" s="5" t="n">
        <x:f>COUNTIFS('Каналы'!$B$6:$B$479,$A127,'Каналы'!$E$6:$E$479,"social")</x:f>
        <x:v>0</x:v>
      </x:c>
      <x:c r="K127" s="5" t="n">
        <x:f>COUNTIFS('Каналы'!$B$6:$B$479,$A127,'Каналы'!$E$6:$E$479,"careers")</x:f>
        <x:v>0</x:v>
      </x:c>
      <x:c r="L127" s="5" t="n">
        <x:f>SUM(C127:K127)</x:f>
        <x:v>3</x:v>
      </x:c>
      <x:c r="M127" s="5" t="str">
        <x:v>Искать каналы с нулём; отдельно проверять действующее юрлицо и прием внешних провайдеров.</x:v>
      </x:c>
    </x:row>
    <x:row r="128" ht="31.5" customHeight="1">
      <x:c r="A128" s="5" t="str">
        <x:v>CU-0146</x:v>
      </x:c>
      <x:c r="B128" s="5" t="str">
        <x:v>Корпоративный университет BIOCAD</x:v>
      </x:c>
      <x:c r="C128" s="5" t="n">
        <x:f>COUNTIFS('Каналы'!$B$6:$B$479,$A128,'Каналы'!$E$6:$E$479,"university_site")</x:f>
        <x:v>1</x:v>
      </x:c>
      <x:c r="D128" s="5" t="n">
        <x:f>COUNTIFS('Каналы'!$B$6:$B$479,$A128,'Каналы'!$E$6:$E$479,"news")</x:f>
        <x:v>0</x:v>
      </x:c>
      <x:c r="E128" s="5" t="n">
        <x:f>COUNTIFS('Каналы'!$B$6:$B$479,$A128,'Каналы'!$E$6:$E$479,"programs")</x:f>
        <x:v>0</x:v>
      </x:c>
      <x:c r="F128" s="5" t="n">
        <x:f>COUNTIFS('Каналы'!$B$6:$B$479,$A128,'Каналы'!$E$6:$E$479,"procurement")</x:f>
        <x:v>0</x:v>
      </x:c>
      <x:c r="G128" s="5" t="n">
        <x:f>COUNTIFS('Каналы'!$B$6:$B$479,$A128,'Каналы'!$E$6:$E$479,"expert_application")</x:f>
        <x:v>0</x:v>
      </x:c>
      <x:c r="H128" s="5" t="n">
        <x:f>COUNTIFS('Каналы'!$B$6:$B$479,$A128,'Каналы'!$E$6:$E$479,"partners")</x:f>
        <x:v>0</x:v>
      </x:c>
      <x:c r="I128" s="5" t="n">
        <x:f>COUNTIFS('Каналы'!$B$6:$B$479,$A128,'Каналы'!$E$6:$E$479,"contacts")</x:f>
        <x:v>0</x:v>
      </x:c>
      <x:c r="J128" s="5" t="n">
        <x:f>COUNTIFS('Каналы'!$B$6:$B$479,$A128,'Каналы'!$E$6:$E$479,"social")</x:f>
        <x:v>0</x:v>
      </x:c>
      <x:c r="K128" s="5" t="n">
        <x:f>COUNTIFS('Каналы'!$B$6:$B$479,$A128,'Каналы'!$E$6:$E$479,"careers")</x:f>
        <x:v>1</x:v>
      </x:c>
      <x:c r="L128" s="5" t="n">
        <x:f>SUM(C128:K128)</x:f>
        <x:v>2</x:v>
      </x:c>
      <x:c r="M128" s="5" t="str">
        <x:v>Искать каналы с нулём; отдельно проверять действующее юрлицо и прием внешних провайдеров.</x:v>
      </x:c>
    </x:row>
    <x:row r="129" ht="31.5" customHeight="1">
      <x:c r="A129" s="5" t="str">
        <x:v>CU-0147</x:v>
      </x:c>
      <x:c r="B129" s="5" t="str">
        <x:v>Академия Р-Фарм</x:v>
      </x:c>
      <x:c r="C129" s="5" t="n">
        <x:f>COUNTIFS('Каналы'!$B$6:$B$479,$A129,'Каналы'!$E$6:$E$479,"university_site")</x:f>
        <x:v>1</x:v>
      </x:c>
      <x:c r="D129" s="5" t="n">
        <x:f>COUNTIFS('Каналы'!$B$6:$B$479,$A129,'Каналы'!$E$6:$E$479,"news")</x:f>
        <x:v>0</x:v>
      </x:c>
      <x:c r="E129" s="5" t="n">
        <x:f>COUNTIFS('Каналы'!$B$6:$B$479,$A129,'Каналы'!$E$6:$E$479,"programs")</x:f>
        <x:v>0</x:v>
      </x:c>
      <x:c r="F129" s="5" t="n">
        <x:f>COUNTIFS('Каналы'!$B$6:$B$479,$A129,'Каналы'!$E$6:$E$479,"procurement")</x:f>
        <x:v>0</x:v>
      </x:c>
      <x:c r="G129" s="5" t="n">
        <x:f>COUNTIFS('Каналы'!$B$6:$B$479,$A129,'Каналы'!$E$6:$E$479,"expert_application")</x:f>
        <x:v>0</x:v>
      </x:c>
      <x:c r="H129" s="5" t="n">
        <x:f>COUNTIFS('Каналы'!$B$6:$B$479,$A129,'Каналы'!$E$6:$E$479,"partners")</x:f>
        <x:v>0</x:v>
      </x:c>
      <x:c r="I129" s="5" t="n">
        <x:f>COUNTIFS('Каналы'!$B$6:$B$479,$A129,'Каналы'!$E$6:$E$479,"contacts")</x:f>
        <x:v>0</x:v>
      </x:c>
      <x:c r="J129" s="5" t="n">
        <x:f>COUNTIFS('Каналы'!$B$6:$B$479,$A129,'Каналы'!$E$6:$E$479,"social")</x:f>
        <x:v>1</x:v>
      </x:c>
      <x:c r="K129" s="5" t="n">
        <x:f>COUNTIFS('Каналы'!$B$6:$B$479,$A129,'Каналы'!$E$6:$E$479,"careers")</x:f>
        <x:v>0</x:v>
      </x:c>
      <x:c r="L129" s="5" t="n">
        <x:f>SUM(C129:K129)</x:f>
        <x:v>2</x:v>
      </x:c>
      <x:c r="M129" s="5" t="str">
        <x:v>Искать каналы с нулём; отдельно проверять действующее юрлицо и прием внешних провайдеров.</x:v>
      </x:c>
    </x:row>
    <x:row r="130" ht="31.5" customHeight="1">
      <x:c r="A130" s="5" t="str">
        <x:v>CU-0148</x:v>
      </x:c>
      <x:c r="B130" s="5" t="str">
        <x:v>Академия гостеприимства COSMOS</x:v>
      </x:c>
      <x:c r="C130" s="5" t="n">
        <x:f>COUNTIFS('Каналы'!$B$6:$B$479,$A130,'Каналы'!$E$6:$E$479,"university_site")</x:f>
        <x:v>1</x:v>
      </x:c>
      <x:c r="D130" s="5" t="n">
        <x:f>COUNTIFS('Каналы'!$B$6:$B$479,$A130,'Каналы'!$E$6:$E$479,"news")</x:f>
        <x:v>0</x:v>
      </x:c>
      <x:c r="E130" s="5" t="n">
        <x:f>COUNTIFS('Каналы'!$B$6:$B$479,$A130,'Каналы'!$E$6:$E$479,"programs")</x:f>
        <x:v>1</x:v>
      </x:c>
      <x:c r="F130" s="5" t="n">
        <x:f>COUNTIFS('Каналы'!$B$6:$B$479,$A130,'Каналы'!$E$6:$E$479,"procurement")</x:f>
        <x:v>0</x:v>
      </x:c>
      <x:c r="G130" s="5" t="n">
        <x:f>COUNTIFS('Каналы'!$B$6:$B$479,$A130,'Каналы'!$E$6:$E$479,"expert_application")</x:f>
        <x:v>0</x:v>
      </x:c>
      <x:c r="H130" s="5" t="n">
        <x:f>COUNTIFS('Каналы'!$B$6:$B$479,$A130,'Каналы'!$E$6:$E$479,"partners")</x:f>
        <x:v>1</x:v>
      </x:c>
      <x:c r="I130" s="5" t="n">
        <x:f>COUNTIFS('Каналы'!$B$6:$B$479,$A130,'Каналы'!$E$6:$E$479,"contacts")</x:f>
        <x:v>0</x:v>
      </x:c>
      <x:c r="J130" s="5" t="n">
        <x:f>COUNTIFS('Каналы'!$B$6:$B$479,$A130,'Каналы'!$E$6:$E$479,"social")</x:f>
        <x:v>0</x:v>
      </x:c>
      <x:c r="K130" s="5" t="n">
        <x:f>COUNTIFS('Каналы'!$B$6:$B$479,$A130,'Каналы'!$E$6:$E$479,"careers")</x:f>
        <x:v>0</x:v>
      </x:c>
      <x:c r="L130" s="5" t="n">
        <x:f>SUM(C130:K130)</x:f>
        <x:v>3</x:v>
      </x:c>
      <x:c r="M130" s="5" t="str">
        <x:v>Искать каналы с нулём; отдельно проверять действующее юрлицо и прием внешних провайдеров.</x:v>
      </x:c>
    </x:row>
    <x:row r="131" ht="31.5" customHeight="1">
      <x:c r="A131" s="5" t="str">
        <x:v>CU-0149</x:v>
      </x:c>
      <x:c r="B131" s="5" t="str">
        <x:v>Академия гостеприимства курорта «Мрия»</x:v>
      </x:c>
      <x:c r="C131" s="5" t="n">
        <x:f>COUNTIFS('Каналы'!$B$6:$B$479,$A131,'Каналы'!$E$6:$E$479,"university_site")</x:f>
        <x:v>1</x:v>
      </x:c>
      <x:c r="D131" s="5" t="n">
        <x:f>COUNTIFS('Каналы'!$B$6:$B$479,$A131,'Каналы'!$E$6:$E$479,"news")</x:f>
        <x:v>0</x:v>
      </x:c>
      <x:c r="E131" s="5" t="n">
        <x:f>COUNTIFS('Каналы'!$B$6:$B$479,$A131,'Каналы'!$E$6:$E$479,"programs")</x:f>
        <x:v>2</x:v>
      </x:c>
      <x:c r="F131" s="5" t="n">
        <x:f>COUNTIFS('Каналы'!$B$6:$B$479,$A131,'Каналы'!$E$6:$E$479,"procurement")</x:f>
        <x:v>0</x:v>
      </x:c>
      <x:c r="G131" s="5" t="n">
        <x:f>COUNTIFS('Каналы'!$B$6:$B$479,$A131,'Каналы'!$E$6:$E$479,"expert_application")</x:f>
        <x:v>0</x:v>
      </x:c>
      <x:c r="H131" s="5" t="n">
        <x:f>COUNTIFS('Каналы'!$B$6:$B$479,$A131,'Каналы'!$E$6:$E$479,"partners")</x:f>
        <x:v>0</x:v>
      </x:c>
      <x:c r="I131" s="5" t="n">
        <x:f>COUNTIFS('Каналы'!$B$6:$B$479,$A131,'Каналы'!$E$6:$E$479,"contacts")</x:f>
        <x:v>0</x:v>
      </x:c>
      <x:c r="J131" s="5" t="n">
        <x:f>COUNTIFS('Каналы'!$B$6:$B$479,$A131,'Каналы'!$E$6:$E$479,"social")</x:f>
        <x:v>0</x:v>
      </x:c>
      <x:c r="K131" s="5" t="n">
        <x:f>COUNTIFS('Каналы'!$B$6:$B$479,$A131,'Каналы'!$E$6:$E$479,"careers")</x:f>
        <x:v>0</x:v>
      </x:c>
      <x:c r="L131" s="5" t="n">
        <x:f>SUM(C131:K131)</x:f>
        <x:v>3</x:v>
      </x:c>
      <x:c r="M131" s="5" t="str">
        <x:v>Искать каналы с нулём; отдельно проверять действующее юрлицо и прием внешних провайдеров.</x:v>
      </x:c>
    </x:row>
    <x:row r="132" ht="31.5" customHeight="1">
      <x:c r="A132" s="5" t="str">
        <x:v>CU-0151</x:v>
      </x:c>
      <x:c r="B132" s="5" t="str">
        <x:v>Корпоративный университет «Автобан»</x:v>
      </x:c>
      <x:c r="C132" s="5" t="n">
        <x:f>COUNTIFS('Каналы'!$B$6:$B$479,$A132,'Каналы'!$E$6:$E$479,"university_site")</x:f>
        <x:v>1</x:v>
      </x:c>
      <x:c r="D132" s="5" t="n">
        <x:f>COUNTIFS('Каналы'!$B$6:$B$479,$A132,'Каналы'!$E$6:$E$479,"news")</x:f>
        <x:v>1</x:v>
      </x:c>
      <x:c r="E132" s="5" t="n">
        <x:f>COUNTIFS('Каналы'!$B$6:$B$479,$A132,'Каналы'!$E$6:$E$479,"programs")</x:f>
        <x:v>0</x:v>
      </x:c>
      <x:c r="F132" s="5" t="n">
        <x:f>COUNTIFS('Каналы'!$B$6:$B$479,$A132,'Каналы'!$E$6:$E$479,"procurement")</x:f>
        <x:v>1</x:v>
      </x:c>
      <x:c r="G132" s="5" t="n">
        <x:f>COUNTIFS('Каналы'!$B$6:$B$479,$A132,'Каналы'!$E$6:$E$479,"expert_application")</x:f>
        <x:v>0</x:v>
      </x:c>
      <x:c r="H132" s="5" t="n">
        <x:f>COUNTIFS('Каналы'!$B$6:$B$479,$A132,'Каналы'!$E$6:$E$479,"partners")</x:f>
        <x:v>0</x:v>
      </x:c>
      <x:c r="I132" s="5" t="n">
        <x:f>COUNTIFS('Каналы'!$B$6:$B$479,$A132,'Каналы'!$E$6:$E$479,"contacts")</x:f>
        <x:v>0</x:v>
      </x:c>
      <x:c r="J132" s="5" t="n">
        <x:f>COUNTIFS('Каналы'!$B$6:$B$479,$A132,'Каналы'!$E$6:$E$479,"social")</x:f>
        <x:v>0</x:v>
      </x:c>
      <x:c r="K132" s="5" t="n">
        <x:f>COUNTIFS('Каналы'!$B$6:$B$479,$A132,'Каналы'!$E$6:$E$479,"careers")</x:f>
        <x:v>0</x:v>
      </x:c>
      <x:c r="L132" s="5" t="n">
        <x:f>SUM(C132:K132)</x:f>
        <x:v>3</x:v>
      </x:c>
      <x:c r="M132" s="5" t="str">
        <x:v>Искать каналы с нулём; отдельно проверять действующее юрлицо и прием внешних провайдеров.</x:v>
      </x:c>
    </x:row>
    <x:row r="133" ht="31.5" customHeight="1">
      <x:c r="A133" s="5" t="str">
        <x:v>CU-0152</x:v>
      </x:c>
      <x:c r="B133" s="5" t="str">
        <x:v>Корпоративный университет СКФ</x:v>
      </x:c>
      <x:c r="C133" s="5" t="n">
        <x:f>COUNTIFS('Каналы'!$B$6:$B$479,$A133,'Каналы'!$E$6:$E$479,"university_site")</x:f>
        <x:v>2</x:v>
      </x:c>
      <x:c r="D133" s="5" t="n">
        <x:f>COUNTIFS('Каналы'!$B$6:$B$479,$A133,'Каналы'!$E$6:$E$479,"news")</x:f>
        <x:v>0</x:v>
      </x:c>
      <x:c r="E133" s="5" t="n">
        <x:f>COUNTIFS('Каналы'!$B$6:$B$479,$A133,'Каналы'!$E$6:$E$479,"programs")</x:f>
        <x:v>0</x:v>
      </x:c>
      <x:c r="F133" s="5" t="n">
        <x:f>COUNTIFS('Каналы'!$B$6:$B$479,$A133,'Каналы'!$E$6:$E$479,"procurement")</x:f>
        <x:v>0</x:v>
      </x:c>
      <x:c r="G133" s="5" t="n">
        <x:f>COUNTIFS('Каналы'!$B$6:$B$479,$A133,'Каналы'!$E$6:$E$479,"expert_application")</x:f>
        <x:v>0</x:v>
      </x:c>
      <x:c r="H133" s="5" t="n">
        <x:f>COUNTIFS('Каналы'!$B$6:$B$479,$A133,'Каналы'!$E$6:$E$479,"partners")</x:f>
        <x:v>0</x:v>
      </x:c>
      <x:c r="I133" s="5" t="n">
        <x:f>COUNTIFS('Каналы'!$B$6:$B$479,$A133,'Каналы'!$E$6:$E$479,"contacts")</x:f>
        <x:v>0</x:v>
      </x:c>
      <x:c r="J133" s="5" t="n">
        <x:f>COUNTIFS('Каналы'!$B$6:$B$479,$A133,'Каналы'!$E$6:$E$479,"social")</x:f>
        <x:v>0</x:v>
      </x:c>
      <x:c r="K133" s="5" t="n">
        <x:f>COUNTIFS('Каналы'!$B$6:$B$479,$A133,'Каналы'!$E$6:$E$479,"careers")</x:f>
        <x:v>0</x:v>
      </x:c>
      <x:c r="L133" s="5" t="n">
        <x:f>SUM(C133:K133)</x:f>
        <x:v>2</x:v>
      </x:c>
      <x:c r="M133" s="5" t="str">
        <x:v>Искать каналы с нулём; отдельно проверять действующее юрлицо и прием внешних провайдеров.</x:v>
      </x:c>
    </x:row>
    <x:row r="134" ht="31.5" customHeight="1">
      <x:c r="A134" s="5" t="str">
        <x:v>CU-0155</x:v>
      </x:c>
      <x:c r="B134" s="5" t="str">
        <x:v>Корпоративный университет Медскан Hadassah</x:v>
      </x:c>
      <x:c r="C134" s="5" t="n">
        <x:f>COUNTIFS('Каналы'!$B$6:$B$479,$A134,'Каналы'!$E$6:$E$479,"university_site")</x:f>
        <x:v>1</x:v>
      </x:c>
      <x:c r="D134" s="5" t="n">
        <x:f>COUNTIFS('Каналы'!$B$6:$B$479,$A134,'Каналы'!$E$6:$E$479,"news")</x:f>
        <x:v>0</x:v>
      </x:c>
      <x:c r="E134" s="5" t="n">
        <x:f>COUNTIFS('Каналы'!$B$6:$B$479,$A134,'Каналы'!$E$6:$E$479,"programs")</x:f>
        <x:v>1</x:v>
      </x:c>
      <x:c r="F134" s="5" t="n">
        <x:f>COUNTIFS('Каналы'!$B$6:$B$479,$A134,'Каналы'!$E$6:$E$479,"procurement")</x:f>
        <x:v>0</x:v>
      </x:c>
      <x:c r="G134" s="5" t="n">
        <x:f>COUNTIFS('Каналы'!$B$6:$B$479,$A134,'Каналы'!$E$6:$E$479,"expert_application")</x:f>
        <x:v>0</x:v>
      </x:c>
      <x:c r="H134" s="5" t="n">
        <x:f>COUNTIFS('Каналы'!$B$6:$B$479,$A134,'Каналы'!$E$6:$E$479,"partners")</x:f>
        <x:v>0</x:v>
      </x:c>
      <x:c r="I134" s="5" t="n">
        <x:f>COUNTIFS('Каналы'!$B$6:$B$479,$A134,'Каналы'!$E$6:$E$479,"contacts")</x:f>
        <x:v>0</x:v>
      </x:c>
      <x:c r="J134" s="5" t="n">
        <x:f>COUNTIFS('Каналы'!$B$6:$B$479,$A134,'Каналы'!$E$6:$E$479,"social")</x:f>
        <x:v>0</x:v>
      </x:c>
      <x:c r="K134" s="5" t="n">
        <x:f>COUNTIFS('Каналы'!$B$6:$B$479,$A134,'Каналы'!$E$6:$E$479,"careers")</x:f>
        <x:v>0</x:v>
      </x:c>
      <x:c r="L134" s="5" t="n">
        <x:f>SUM(C134:K134)</x:f>
        <x:v>2</x:v>
      </x:c>
      <x:c r="M134" s="5" t="str">
        <x:v>Искать каналы с нулём; отдельно проверять действующее юрлицо и прием внешних провайдеров.</x:v>
      </x:c>
    </x:row>
    <x:row r="135" ht="31.5" customHeight="1">
      <x:c r="A135" s="5" t="str">
        <x:v>CU-0231</x:v>
      </x:c>
      <x:c r="B135" s="5" t="str">
        <x:v>Корпоративный университет Группы «Эталон»</x:v>
      </x:c>
      <x:c r="C135" s="5" t="n">
        <x:f>COUNTIFS('Каналы'!$B$6:$B$479,$A135,'Каналы'!$E$6:$E$479,"university_site")</x:f>
        <x:v>0</x:v>
      </x:c>
      <x:c r="D135" s="5" t="n">
        <x:f>COUNTIFS('Каналы'!$B$6:$B$479,$A135,'Каналы'!$E$6:$E$479,"news")</x:f>
        <x:v>1</x:v>
      </x:c>
      <x:c r="E135" s="5" t="n">
        <x:f>COUNTIFS('Каналы'!$B$6:$B$479,$A135,'Каналы'!$E$6:$E$479,"programs")</x:f>
        <x:v>0</x:v>
      </x:c>
      <x:c r="F135" s="5" t="n">
        <x:f>COUNTIFS('Каналы'!$B$6:$B$479,$A135,'Каналы'!$E$6:$E$479,"procurement")</x:f>
        <x:v>0</x:v>
      </x:c>
      <x:c r="G135" s="5" t="n">
        <x:f>COUNTIFS('Каналы'!$B$6:$B$479,$A135,'Каналы'!$E$6:$E$479,"expert_application")</x:f>
        <x:v>0</x:v>
      </x:c>
      <x:c r="H135" s="5" t="n">
        <x:f>COUNTIFS('Каналы'!$B$6:$B$479,$A135,'Каналы'!$E$6:$E$479,"partners")</x:f>
        <x:v>0</x:v>
      </x:c>
      <x:c r="I135" s="5" t="n">
        <x:f>COUNTIFS('Каналы'!$B$6:$B$479,$A135,'Каналы'!$E$6:$E$479,"contacts")</x:f>
        <x:v>1</x:v>
      </x:c>
      <x:c r="J135" s="5" t="n">
        <x:f>COUNTIFS('Каналы'!$B$6:$B$479,$A135,'Каналы'!$E$6:$E$479,"social")</x:f>
        <x:v>0</x:v>
      </x:c>
      <x:c r="K135" s="5" t="n">
        <x:f>COUNTIFS('Каналы'!$B$6:$B$479,$A135,'Каналы'!$E$6:$E$479,"careers")</x:f>
        <x:v>0</x:v>
      </x:c>
      <x:c r="L135" s="5" t="n">
        <x:f>SUM(C135:K135)</x:f>
        <x:v>2</x:v>
      </x:c>
      <x:c r="M135" s="5" t="str">
        <x:v>Искать каналы с нулём; отдельно проверять действующее юрлицо и прием внешних провайдеров.</x:v>
      </x:c>
    </x:row>
    <x:row r="136" ht="31.5" customHeight="1">
      <x:c r="A136" s="5" t="str">
        <x:v>CU-0232</x:v>
      </x:c>
      <x:c r="B136" s="5" t="str">
        <x:v>Корпоративный учебный центр ГК «А101»</x:v>
      </x:c>
      <x:c r="C136" s="5" t="n">
        <x:f>COUNTIFS('Каналы'!$B$6:$B$479,$A136,'Каналы'!$E$6:$E$479,"university_site")</x:f>
        <x:v>0</x:v>
      </x:c>
      <x:c r="D136" s="5" t="n">
        <x:f>COUNTIFS('Каналы'!$B$6:$B$479,$A136,'Каналы'!$E$6:$E$479,"news")</x:f>
        <x:v>1</x:v>
      </x:c>
      <x:c r="E136" s="5" t="n">
        <x:f>COUNTIFS('Каналы'!$B$6:$B$479,$A136,'Каналы'!$E$6:$E$479,"programs")</x:f>
        <x:v>0</x:v>
      </x:c>
      <x:c r="F136" s="5" t="n">
        <x:f>COUNTIFS('Каналы'!$B$6:$B$479,$A136,'Каналы'!$E$6:$E$479,"procurement")</x:f>
        <x:v>0</x:v>
      </x:c>
      <x:c r="G136" s="5" t="n">
        <x:f>COUNTIFS('Каналы'!$B$6:$B$479,$A136,'Каналы'!$E$6:$E$479,"expert_application")</x:f>
        <x:v>0</x:v>
      </x:c>
      <x:c r="H136" s="5" t="n">
        <x:f>COUNTIFS('Каналы'!$B$6:$B$479,$A136,'Каналы'!$E$6:$E$479,"partners")</x:f>
        <x:v>1</x:v>
      </x:c>
      <x:c r="I136" s="5" t="n">
        <x:f>COUNTIFS('Каналы'!$B$6:$B$479,$A136,'Каналы'!$E$6:$E$479,"contacts")</x:f>
        <x:v>0</x:v>
      </x:c>
      <x:c r="J136" s="5" t="n">
        <x:f>COUNTIFS('Каналы'!$B$6:$B$479,$A136,'Каналы'!$E$6:$E$479,"social")</x:f>
        <x:v>0</x:v>
      </x:c>
      <x:c r="K136" s="5" t="n">
        <x:f>COUNTIFS('Каналы'!$B$6:$B$479,$A136,'Каналы'!$E$6:$E$479,"careers")</x:f>
        <x:v>0</x:v>
      </x:c>
      <x:c r="L136" s="5" t="n">
        <x:f>SUM(C136:K136)</x:f>
        <x:v>2</x:v>
      </x:c>
      <x:c r="M136" s="5" t="str">
        <x:v>Искать каналы с нулём; отдельно проверять действующее юрлицо и прием внешних провайдеров.</x:v>
      </x:c>
    </x:row>
    <x:row r="137" ht="31.5" customHeight="1">
      <x:c r="A137" s="5" t="str">
        <x:v>CU-0239</x:v>
      </x:c>
      <x:c r="B137" s="5" t="str">
        <x:v>Учебный центр ПАО «МОЭК»</x:v>
      </x:c>
      <x:c r="C137" s="5" t="n">
        <x:f>COUNTIFS('Каналы'!$B$6:$B$479,$A137,'Каналы'!$E$6:$E$479,"university_site")</x:f>
        <x:v>1</x:v>
      </x:c>
      <x:c r="D137" s="5" t="n">
        <x:f>COUNTIFS('Каналы'!$B$6:$B$479,$A137,'Каналы'!$E$6:$E$479,"news")</x:f>
        <x:v>0</x:v>
      </x:c>
      <x:c r="E137" s="5" t="n">
        <x:f>COUNTIFS('Каналы'!$B$6:$B$479,$A137,'Каналы'!$E$6:$E$479,"programs")</x:f>
        <x:v>1</x:v>
      </x:c>
      <x:c r="F137" s="5" t="n">
        <x:f>COUNTIFS('Каналы'!$B$6:$B$479,$A137,'Каналы'!$E$6:$E$479,"procurement")</x:f>
        <x:v>1</x:v>
      </x:c>
      <x:c r="G137" s="5" t="n">
        <x:f>COUNTIFS('Каналы'!$B$6:$B$479,$A137,'Каналы'!$E$6:$E$479,"expert_application")</x:f>
        <x:v>0</x:v>
      </x:c>
      <x:c r="H137" s="5" t="n">
        <x:f>COUNTIFS('Каналы'!$B$6:$B$479,$A137,'Каналы'!$E$6:$E$479,"partners")</x:f>
        <x:v>0</x:v>
      </x:c>
      <x:c r="I137" s="5" t="n">
        <x:f>COUNTIFS('Каналы'!$B$6:$B$479,$A137,'Каналы'!$E$6:$E$479,"contacts")</x:f>
        <x:v>1</x:v>
      </x:c>
      <x:c r="J137" s="5" t="n">
        <x:f>COUNTIFS('Каналы'!$B$6:$B$479,$A137,'Каналы'!$E$6:$E$479,"social")</x:f>
        <x:v>0</x:v>
      </x:c>
      <x:c r="K137" s="5" t="n">
        <x:f>COUNTIFS('Каналы'!$B$6:$B$479,$A137,'Каналы'!$E$6:$E$479,"careers")</x:f>
        <x:v>0</x:v>
      </x:c>
      <x:c r="L137" s="5" t="n">
        <x:f>SUM(C137:K137)</x:f>
        <x:v>4</x:v>
      </x:c>
      <x:c r="M137" s="5" t="str">
        <x:v>Искать каналы с нулём; отдельно проверять действующее юрлицо и прием внешних провайдеров.</x:v>
      </x:c>
    </x:row>
    <x:row r="138" ht="31.5" customHeight="1">
      <x:c r="A138" s="5" t="str">
        <x:v>CU-0245</x:v>
      </x:c>
      <x:c r="B138" s="5" t="str">
        <x:v>Эн+ Университет</x:v>
      </x:c>
      <x:c r="C138" s="5" t="n">
        <x:f>COUNTIFS('Каналы'!$B$6:$B$479,$A138,'Каналы'!$E$6:$E$479,"university_site")</x:f>
        <x:v>1</x:v>
      </x:c>
      <x:c r="D138" s="5" t="n">
        <x:f>COUNTIFS('Каналы'!$B$6:$B$479,$A138,'Каналы'!$E$6:$E$479,"news")</x:f>
        <x:v>0</x:v>
      </x:c>
      <x:c r="E138" s="5" t="n">
        <x:f>COUNTIFS('Каналы'!$B$6:$B$479,$A138,'Каналы'!$E$6:$E$479,"programs")</x:f>
        <x:v>0</x:v>
      </x:c>
      <x:c r="F138" s="5" t="n">
        <x:f>COUNTIFS('Каналы'!$B$6:$B$479,$A138,'Каналы'!$E$6:$E$479,"procurement")</x:f>
        <x:v>0</x:v>
      </x:c>
      <x:c r="G138" s="5" t="n">
        <x:f>COUNTIFS('Каналы'!$B$6:$B$479,$A138,'Каналы'!$E$6:$E$479,"expert_application")</x:f>
        <x:v>0</x:v>
      </x:c>
      <x:c r="H138" s="5" t="n">
        <x:f>COUNTIFS('Каналы'!$B$6:$B$479,$A138,'Каналы'!$E$6:$E$479,"partners")</x:f>
        <x:v>0</x:v>
      </x:c>
      <x:c r="I138" s="5" t="n">
        <x:f>COUNTIFS('Каналы'!$B$6:$B$479,$A138,'Каналы'!$E$6:$E$479,"contacts")</x:f>
        <x:v>0</x:v>
      </x:c>
      <x:c r="J138" s="5" t="n">
        <x:f>COUNTIFS('Каналы'!$B$6:$B$479,$A138,'Каналы'!$E$6:$E$479,"social")</x:f>
        <x:v>0</x:v>
      </x:c>
      <x:c r="K138" s="5" t="n">
        <x:f>COUNTIFS('Каналы'!$B$6:$B$479,$A138,'Каналы'!$E$6:$E$479,"careers")</x:f>
        <x:v>0</x:v>
      </x:c>
      <x:c r="L138" s="5" t="n">
        <x:f>SUM(C138:K138)</x:f>
        <x:v>1</x:v>
      </x:c>
      <x:c r="M138" s="5" t="str">
        <x:v>Искать каналы с нулём; отдельно проверять действующее юрлицо и прием внешних провайдеров.</x:v>
      </x:c>
    </x:row>
    <x:row r="139" ht="31.5" customHeight="1">
      <x:c r="A139" s="5" t="str">
        <x:v>CU-0246</x:v>
      </x:c>
      <x:c r="B139" s="5" t="str">
        <x:v>МИТТУ — корпоративный учебный центр ПАО «КАМАЗ»</x:v>
      </x:c>
      <x:c r="C139" s="5" t="n">
        <x:f>COUNTIFS('Каналы'!$B$6:$B$479,$A139,'Каналы'!$E$6:$E$479,"university_site")</x:f>
        <x:v>1</x:v>
      </x:c>
      <x:c r="D139" s="5" t="n">
        <x:f>COUNTIFS('Каналы'!$B$6:$B$479,$A139,'Каналы'!$E$6:$E$479,"news")</x:f>
        <x:v>0</x:v>
      </x:c>
      <x:c r="E139" s="5" t="n">
        <x:f>COUNTIFS('Каналы'!$B$6:$B$479,$A139,'Каналы'!$E$6:$E$479,"programs")</x:f>
        <x:v>0</x:v>
      </x:c>
      <x:c r="F139" s="5" t="n">
        <x:f>COUNTIFS('Каналы'!$B$6:$B$479,$A139,'Каналы'!$E$6:$E$479,"procurement")</x:f>
        <x:v>0</x:v>
      </x:c>
      <x:c r="G139" s="5" t="n">
        <x:f>COUNTIFS('Каналы'!$B$6:$B$479,$A139,'Каналы'!$E$6:$E$479,"expert_application")</x:f>
        <x:v>0</x:v>
      </x:c>
      <x:c r="H139" s="5" t="n">
        <x:f>COUNTIFS('Каналы'!$B$6:$B$479,$A139,'Каналы'!$E$6:$E$479,"partners")</x:f>
        <x:v>0</x:v>
      </x:c>
      <x:c r="I139" s="5" t="n">
        <x:f>COUNTIFS('Каналы'!$B$6:$B$479,$A139,'Каналы'!$E$6:$E$479,"contacts")</x:f>
        <x:v>0</x:v>
      </x:c>
      <x:c r="J139" s="5" t="n">
        <x:f>COUNTIFS('Каналы'!$B$6:$B$479,$A139,'Каналы'!$E$6:$E$479,"social")</x:f>
        <x:v>0</x:v>
      </x:c>
      <x:c r="K139" s="5" t="n">
        <x:f>COUNTIFS('Каналы'!$B$6:$B$479,$A139,'Каналы'!$E$6:$E$479,"careers")</x:f>
        <x:v>0</x:v>
      </x:c>
      <x:c r="L139" s="5" t="n">
        <x:f>SUM(C139:K139)</x:f>
        <x:v>1</x:v>
      </x:c>
      <x:c r="M139" s="5" t="str">
        <x:v>Искать каналы с нулём; отдельно проверять действующее юрлицо и прием внешних провайдеров.</x:v>
      </x:c>
    </x:row>
    <x:row r="140" ht="31.5" customHeight="1">
      <x:c r="A140" s="5" t="str">
        <x:v>CU-0247</x:v>
      </x:c>
      <x:c r="B140" s="5" t="str">
        <x:v>Университет Группы «АВТОВАЗ»</x:v>
      </x:c>
      <x:c r="C140" s="5" t="n">
        <x:f>COUNTIFS('Каналы'!$B$6:$B$479,$A140,'Каналы'!$E$6:$E$479,"university_site")</x:f>
        <x:v>1</x:v>
      </x:c>
      <x:c r="D140" s="5" t="n">
        <x:f>COUNTIFS('Каналы'!$B$6:$B$479,$A140,'Каналы'!$E$6:$E$479,"news")</x:f>
        <x:v>0</x:v>
      </x:c>
      <x:c r="E140" s="5" t="n">
        <x:f>COUNTIFS('Каналы'!$B$6:$B$479,$A140,'Каналы'!$E$6:$E$479,"programs")</x:f>
        <x:v>0</x:v>
      </x:c>
      <x:c r="F140" s="5" t="n">
        <x:f>COUNTIFS('Каналы'!$B$6:$B$479,$A140,'Каналы'!$E$6:$E$479,"procurement")</x:f>
        <x:v>0</x:v>
      </x:c>
      <x:c r="G140" s="5" t="n">
        <x:f>COUNTIFS('Каналы'!$B$6:$B$479,$A140,'Каналы'!$E$6:$E$479,"expert_application")</x:f>
        <x:v>0</x:v>
      </x:c>
      <x:c r="H140" s="5" t="n">
        <x:f>COUNTIFS('Каналы'!$B$6:$B$479,$A140,'Каналы'!$E$6:$E$479,"partners")</x:f>
        <x:v>0</x:v>
      </x:c>
      <x:c r="I140" s="5" t="n">
        <x:f>COUNTIFS('Каналы'!$B$6:$B$479,$A140,'Каналы'!$E$6:$E$479,"contacts")</x:f>
        <x:v>0</x:v>
      </x:c>
      <x:c r="J140" s="5" t="n">
        <x:f>COUNTIFS('Каналы'!$B$6:$B$479,$A140,'Каналы'!$E$6:$E$479,"social")</x:f>
        <x:v>0</x:v>
      </x:c>
      <x:c r="K140" s="5" t="n">
        <x:f>COUNTIFS('Каналы'!$B$6:$B$479,$A140,'Каналы'!$E$6:$E$479,"careers")</x:f>
        <x:v>0</x:v>
      </x:c>
      <x:c r="L140" s="5" t="n">
        <x:f>SUM(C140:K140)</x:f>
        <x:v>1</x:v>
      </x:c>
      <x:c r="M140" s="5" t="str">
        <x:v>Искать каналы с нулём; отдельно проверять действующее юрлицо и прием внешних провайдеров.</x:v>
      </x:c>
    </x:row>
    <x:row r="141" ht="31.5" customHeight="1">
      <x:c r="A141" s="5" t="str">
        <x:v>CU-0002</x:v>
      </x:c>
      <x:c r="B141" s="5" t="str">
        <x:v>Учебный центр ПАО «Газпром»</x:v>
      </x:c>
      <x:c r="C141" s="5" t="n">
        <x:f>COUNTIFS('Каналы'!$B$6:$B$479,$A141,'Каналы'!$E$6:$E$479,"university_site")</x:f>
        <x:v>1</x:v>
      </x:c>
      <x:c r="D141" s="5" t="n">
        <x:f>COUNTIFS('Каналы'!$B$6:$B$479,$A141,'Каналы'!$E$6:$E$479,"news")</x:f>
        <x:v>1</x:v>
      </x:c>
      <x:c r="E141" s="5" t="n">
        <x:f>COUNTIFS('Каналы'!$B$6:$B$479,$A141,'Каналы'!$E$6:$E$479,"programs")</x:f>
        <x:v>0</x:v>
      </x:c>
      <x:c r="F141" s="5" t="n">
        <x:f>COUNTIFS('Каналы'!$B$6:$B$479,$A141,'Каналы'!$E$6:$E$479,"procurement")</x:f>
        <x:v>1</x:v>
      </x:c>
      <x:c r="G141" s="5" t="n">
        <x:f>COUNTIFS('Каналы'!$B$6:$B$479,$A141,'Каналы'!$E$6:$E$479,"expert_application")</x:f>
        <x:v>0</x:v>
      </x:c>
      <x:c r="H141" s="5" t="n">
        <x:f>COUNTIFS('Каналы'!$B$6:$B$479,$A141,'Каналы'!$E$6:$E$479,"partners")</x:f>
        <x:v>0</x:v>
      </x:c>
      <x:c r="I141" s="5" t="n">
        <x:f>COUNTIFS('Каналы'!$B$6:$B$479,$A141,'Каналы'!$E$6:$E$479,"contacts")</x:f>
        <x:v>0</x:v>
      </x:c>
      <x:c r="J141" s="5" t="n">
        <x:f>COUNTIFS('Каналы'!$B$6:$B$479,$A141,'Каналы'!$E$6:$E$479,"social")</x:f>
        <x:v>0</x:v>
      </x:c>
      <x:c r="K141" s="5" t="n">
        <x:f>COUNTIFS('Каналы'!$B$6:$B$479,$A141,'Каналы'!$E$6:$E$479,"careers")</x:f>
        <x:v>0</x:v>
      </x:c>
      <x:c r="L141" s="5" t="n">
        <x:f>SUM(C141:K141)</x:f>
        <x:v>3</x:v>
      </x:c>
      <x:c r="M141" s="5" t="str">
        <x:v>Искать каналы с нулём; отдельно проверять действующее юрлицо и прием внешних провайдеров.</x:v>
      </x:c>
    </x:row>
    <x:row r="142" ht="31.5" customHeight="1">
      <x:c r="A142" s="5" t="str">
        <x:v>CU-0005</x:v>
      </x:c>
      <x:c r="B142" s="5" t="str">
        <x:v>Учебно-производственный центр ООО «Газпром трансгаз Екатеринбург»</x:v>
      </x:c>
      <x:c r="C142" s="5" t="n">
        <x:f>COUNTIFS('Каналы'!$B$6:$B$479,$A142,'Каналы'!$E$6:$E$479,"university_site")</x:f>
        <x:v>1</x:v>
      </x:c>
      <x:c r="D142" s="5" t="n">
        <x:f>COUNTIFS('Каналы'!$B$6:$B$479,$A142,'Каналы'!$E$6:$E$479,"news")</x:f>
        <x:v>0</x:v>
      </x:c>
      <x:c r="E142" s="5" t="n">
        <x:f>COUNTIFS('Каналы'!$B$6:$B$479,$A142,'Каналы'!$E$6:$E$479,"programs")</x:f>
        <x:v>0</x:v>
      </x:c>
      <x:c r="F142" s="5" t="n">
        <x:f>COUNTIFS('Каналы'!$B$6:$B$479,$A142,'Каналы'!$E$6:$E$479,"procurement")</x:f>
        <x:v>1</x:v>
      </x:c>
      <x:c r="G142" s="5" t="n">
        <x:f>COUNTIFS('Каналы'!$B$6:$B$479,$A142,'Каналы'!$E$6:$E$479,"expert_application")</x:f>
        <x:v>0</x:v>
      </x:c>
      <x:c r="H142" s="5" t="n">
        <x:f>COUNTIFS('Каналы'!$B$6:$B$479,$A142,'Каналы'!$E$6:$E$479,"partners")</x:f>
        <x:v>0</x:v>
      </x:c>
      <x:c r="I142" s="5" t="n">
        <x:f>COUNTIFS('Каналы'!$B$6:$B$479,$A142,'Каналы'!$E$6:$E$479,"contacts")</x:f>
        <x:v>0</x:v>
      </x:c>
      <x:c r="J142" s="5" t="n">
        <x:f>COUNTIFS('Каналы'!$B$6:$B$479,$A142,'Каналы'!$E$6:$E$479,"social")</x:f>
        <x:v>0</x:v>
      </x:c>
      <x:c r="K142" s="5" t="n">
        <x:f>COUNTIFS('Каналы'!$B$6:$B$479,$A142,'Каналы'!$E$6:$E$479,"careers")</x:f>
        <x:v>0</x:v>
      </x:c>
      <x:c r="L142" s="5" t="n">
        <x:f>SUM(C142:K142)</x:f>
        <x:v>2</x:v>
      </x:c>
      <x:c r="M142" s="5" t="str">
        <x:v>Искать каналы с нулём; отдельно проверять действующее юрлицо и прием внешних провайдеров.</x:v>
      </x:c>
    </x:row>
    <x:row r="143" ht="31.5" customHeight="1">
      <x:c r="A143" s="5" t="str">
        <x:v>CU-0006</x:v>
      </x:c>
      <x:c r="B143" s="5" t="str">
        <x:v>Учебно-производственный центр ООО «Газпром трансгаз Ухта»</x:v>
      </x:c>
      <x:c r="C143" s="5" t="n">
        <x:f>COUNTIFS('Каналы'!$B$6:$B$479,$A143,'Каналы'!$E$6:$E$479,"university_site")</x:f>
        <x:v>1</x:v>
      </x:c>
      <x:c r="D143" s="5" t="n">
        <x:f>COUNTIFS('Каналы'!$B$6:$B$479,$A143,'Каналы'!$E$6:$E$479,"news")</x:f>
        <x:v>0</x:v>
      </x:c>
      <x:c r="E143" s="5" t="n">
        <x:f>COUNTIFS('Каналы'!$B$6:$B$479,$A143,'Каналы'!$E$6:$E$479,"programs")</x:f>
        <x:v>1</x:v>
      </x:c>
      <x:c r="F143" s="5" t="n">
        <x:f>COUNTIFS('Каналы'!$B$6:$B$479,$A143,'Каналы'!$E$6:$E$479,"procurement")</x:f>
        <x:v>1</x:v>
      </x:c>
      <x:c r="G143" s="5" t="n">
        <x:f>COUNTIFS('Каналы'!$B$6:$B$479,$A143,'Каналы'!$E$6:$E$479,"expert_application")</x:f>
        <x:v>0</x:v>
      </x:c>
      <x:c r="H143" s="5" t="n">
        <x:f>COUNTIFS('Каналы'!$B$6:$B$479,$A143,'Каналы'!$E$6:$E$479,"partners")</x:f>
        <x:v>0</x:v>
      </x:c>
      <x:c r="I143" s="5" t="n">
        <x:f>COUNTIFS('Каналы'!$B$6:$B$479,$A143,'Каналы'!$E$6:$E$479,"contacts")</x:f>
        <x:v>0</x:v>
      </x:c>
      <x:c r="J143" s="5" t="n">
        <x:f>COUNTIFS('Каналы'!$B$6:$B$479,$A143,'Каналы'!$E$6:$E$479,"social")</x:f>
        <x:v>0</x:v>
      </x:c>
      <x:c r="K143" s="5" t="n">
        <x:f>COUNTIFS('Каналы'!$B$6:$B$479,$A143,'Каналы'!$E$6:$E$479,"careers")</x:f>
        <x:v>0</x:v>
      </x:c>
      <x:c r="L143" s="5" t="n">
        <x:f>SUM(C143:K143)</x:f>
        <x:v>3</x:v>
      </x:c>
      <x:c r="M143" s="5" t="str">
        <x:v>Искать каналы с нулём; отдельно проверять действующее юрлицо и прием внешних провайдеров.</x:v>
      </x:c>
    </x:row>
    <x:row r="144" ht="31.5" customHeight="1">
      <x:c r="A144" s="5" t="str">
        <x:v>CU-0007</x:v>
      </x:c>
      <x:c r="B144" s="5" t="str">
        <x:v>Учебно-производственный центр ООО «Газпром трансгаз Москва»</x:v>
      </x:c>
      <x:c r="C144" s="5" t="n">
        <x:f>COUNTIFS('Каналы'!$B$6:$B$479,$A144,'Каналы'!$E$6:$E$479,"university_site")</x:f>
        <x:v>1</x:v>
      </x:c>
      <x:c r="D144" s="5" t="n">
        <x:f>COUNTIFS('Каналы'!$B$6:$B$479,$A144,'Каналы'!$E$6:$E$479,"news")</x:f>
        <x:v>0</x:v>
      </x:c>
      <x:c r="E144" s="5" t="n">
        <x:f>COUNTIFS('Каналы'!$B$6:$B$479,$A144,'Каналы'!$E$6:$E$479,"programs")</x:f>
        <x:v>0</x:v>
      </x:c>
      <x:c r="F144" s="5" t="n">
        <x:f>COUNTIFS('Каналы'!$B$6:$B$479,$A144,'Каналы'!$E$6:$E$479,"procurement")</x:f>
        <x:v>1</x:v>
      </x:c>
      <x:c r="G144" s="5" t="n">
        <x:f>COUNTIFS('Каналы'!$B$6:$B$479,$A144,'Каналы'!$E$6:$E$479,"expert_application")</x:f>
        <x:v>0</x:v>
      </x:c>
      <x:c r="H144" s="5" t="n">
        <x:f>COUNTIFS('Каналы'!$B$6:$B$479,$A144,'Каналы'!$E$6:$E$479,"partners")</x:f>
        <x:v>0</x:v>
      </x:c>
      <x:c r="I144" s="5" t="n">
        <x:f>COUNTIFS('Каналы'!$B$6:$B$479,$A144,'Каналы'!$E$6:$E$479,"contacts")</x:f>
        <x:v>0</x:v>
      </x:c>
      <x:c r="J144" s="5" t="n">
        <x:f>COUNTIFS('Каналы'!$B$6:$B$479,$A144,'Каналы'!$E$6:$E$479,"social")</x:f>
        <x:v>0</x:v>
      </x:c>
      <x:c r="K144" s="5" t="n">
        <x:f>COUNTIFS('Каналы'!$B$6:$B$479,$A144,'Каналы'!$E$6:$E$479,"careers")</x:f>
        <x:v>0</x:v>
      </x:c>
      <x:c r="L144" s="5" t="n">
        <x:f>SUM(C144:K144)</x:f>
        <x:v>2</x:v>
      </x:c>
      <x:c r="M144" s="5" t="str">
        <x:v>Искать каналы с нулём; отдельно проверять действующее юрлицо и прием внешних провайдеров.</x:v>
      </x:c>
    </x:row>
    <x:row r="145" ht="31.5" customHeight="1">
      <x:c r="A145" s="5" t="str">
        <x:v>CU-0008</x:v>
      </x:c>
      <x:c r="B145" s="5" t="str">
        <x:v>Учебно-производственный центр ООО «Газпром трансгаз Югорск»</x:v>
      </x:c>
      <x:c r="C145" s="5" t="n">
        <x:f>COUNTIFS('Каналы'!$B$6:$B$479,$A145,'Каналы'!$E$6:$E$479,"university_site")</x:f>
        <x:v>1</x:v>
      </x:c>
      <x:c r="D145" s="5" t="n">
        <x:f>COUNTIFS('Каналы'!$B$6:$B$479,$A145,'Каналы'!$E$6:$E$479,"news")</x:f>
        <x:v>0</x:v>
      </x:c>
      <x:c r="E145" s="5" t="n">
        <x:f>COUNTIFS('Каналы'!$B$6:$B$479,$A145,'Каналы'!$E$6:$E$479,"programs")</x:f>
        <x:v>0</x:v>
      </x:c>
      <x:c r="F145" s="5" t="n">
        <x:f>COUNTIFS('Каналы'!$B$6:$B$479,$A145,'Каналы'!$E$6:$E$479,"procurement")</x:f>
        <x:v>1</x:v>
      </x:c>
      <x:c r="G145" s="5" t="n">
        <x:f>COUNTIFS('Каналы'!$B$6:$B$479,$A145,'Каналы'!$E$6:$E$479,"expert_application")</x:f>
        <x:v>0</x:v>
      </x:c>
      <x:c r="H145" s="5" t="n">
        <x:f>COUNTIFS('Каналы'!$B$6:$B$479,$A145,'Каналы'!$E$6:$E$479,"partners")</x:f>
        <x:v>0</x:v>
      </x:c>
      <x:c r="I145" s="5" t="n">
        <x:f>COUNTIFS('Каналы'!$B$6:$B$479,$A145,'Каналы'!$E$6:$E$479,"contacts")</x:f>
        <x:v>0</x:v>
      </x:c>
      <x:c r="J145" s="5" t="n">
        <x:f>COUNTIFS('Каналы'!$B$6:$B$479,$A145,'Каналы'!$E$6:$E$479,"social")</x:f>
        <x:v>0</x:v>
      </x:c>
      <x:c r="K145" s="5" t="n">
        <x:f>COUNTIFS('Каналы'!$B$6:$B$479,$A145,'Каналы'!$E$6:$E$479,"careers")</x:f>
        <x:v>0</x:v>
      </x:c>
      <x:c r="L145" s="5" t="n">
        <x:f>SUM(C145:K145)</x:f>
        <x:v>2</x:v>
      </x:c>
      <x:c r="M145" s="5" t="str">
        <x:v>Искать каналы с нулём; отдельно проверять действующее юрлицо и прием внешних провайдеров.</x:v>
      </x:c>
    </x:row>
    <x:row r="146" ht="31.5" customHeight="1">
      <x:c r="A146" s="5" t="str">
        <x:v>CU-0009</x:v>
      </x:c>
      <x:c r="B146" s="5" t="str">
        <x:v>Учебно-производственный центр ООО «Газпром трансгаз Сургут»</x:v>
      </x:c>
      <x:c r="C146" s="5" t="n">
        <x:f>COUNTIFS('Каналы'!$B$6:$B$479,$A146,'Каналы'!$E$6:$E$479,"university_site")</x:f>
        <x:v>1</x:v>
      </x:c>
      <x:c r="D146" s="5" t="n">
        <x:f>COUNTIFS('Каналы'!$B$6:$B$479,$A146,'Каналы'!$E$6:$E$479,"news")</x:f>
        <x:v>0</x:v>
      </x:c>
      <x:c r="E146" s="5" t="n">
        <x:f>COUNTIFS('Каналы'!$B$6:$B$479,$A146,'Каналы'!$E$6:$E$479,"programs")</x:f>
        <x:v>0</x:v>
      </x:c>
      <x:c r="F146" s="5" t="n">
        <x:f>COUNTIFS('Каналы'!$B$6:$B$479,$A146,'Каналы'!$E$6:$E$479,"procurement")</x:f>
        <x:v>1</x:v>
      </x:c>
      <x:c r="G146" s="5" t="n">
        <x:f>COUNTIFS('Каналы'!$B$6:$B$479,$A146,'Каналы'!$E$6:$E$479,"expert_application")</x:f>
        <x:v>0</x:v>
      </x:c>
      <x:c r="H146" s="5" t="n">
        <x:f>COUNTIFS('Каналы'!$B$6:$B$479,$A146,'Каналы'!$E$6:$E$479,"partners")</x:f>
        <x:v>0</x:v>
      </x:c>
      <x:c r="I146" s="5" t="n">
        <x:f>COUNTIFS('Каналы'!$B$6:$B$479,$A146,'Каналы'!$E$6:$E$479,"contacts")</x:f>
        <x:v>0</x:v>
      </x:c>
      <x:c r="J146" s="5" t="n">
        <x:f>COUNTIFS('Каналы'!$B$6:$B$479,$A146,'Каналы'!$E$6:$E$479,"social")</x:f>
        <x:v>0</x:v>
      </x:c>
      <x:c r="K146" s="5" t="n">
        <x:f>COUNTIFS('Каналы'!$B$6:$B$479,$A146,'Каналы'!$E$6:$E$479,"careers")</x:f>
        <x:v>0</x:v>
      </x:c>
      <x:c r="L146" s="5" t="n">
        <x:f>SUM(C146:K146)</x:f>
        <x:v>2</x:v>
      </x:c>
      <x:c r="M146" s="5" t="str">
        <x:v>Искать каналы с нулём; отдельно проверять действующее юрлицо и прием внешних провайдеров.</x:v>
      </x:c>
    </x:row>
    <x:row r="147" ht="31.5" customHeight="1">
      <x:c r="A147" s="5" t="str">
        <x:v>CU-0010</x:v>
      </x:c>
      <x:c r="B147" s="5" t="str">
        <x:v>Учебно-производственный центр ООО «Газпром трансгаз Ставрополь»</x:v>
      </x:c>
      <x:c r="C147" s="5" t="n">
        <x:f>COUNTIFS('Каналы'!$B$6:$B$479,$A147,'Каналы'!$E$6:$E$479,"university_site")</x:f>
        <x:v>1</x:v>
      </x:c>
      <x:c r="D147" s="5" t="n">
        <x:f>COUNTIFS('Каналы'!$B$6:$B$479,$A147,'Каналы'!$E$6:$E$479,"news")</x:f>
        <x:v>0</x:v>
      </x:c>
      <x:c r="E147" s="5" t="n">
        <x:f>COUNTIFS('Каналы'!$B$6:$B$479,$A147,'Каналы'!$E$6:$E$479,"programs")</x:f>
        <x:v>0</x:v>
      </x:c>
      <x:c r="F147" s="5" t="n">
        <x:f>COUNTIFS('Каналы'!$B$6:$B$479,$A147,'Каналы'!$E$6:$E$479,"procurement")</x:f>
        <x:v>1</x:v>
      </x:c>
      <x:c r="G147" s="5" t="n">
        <x:f>COUNTIFS('Каналы'!$B$6:$B$479,$A147,'Каналы'!$E$6:$E$479,"expert_application")</x:f>
        <x:v>0</x:v>
      </x:c>
      <x:c r="H147" s="5" t="n">
        <x:f>COUNTIFS('Каналы'!$B$6:$B$479,$A147,'Каналы'!$E$6:$E$479,"partners")</x:f>
        <x:v>0</x:v>
      </x:c>
      <x:c r="I147" s="5" t="n">
        <x:f>COUNTIFS('Каналы'!$B$6:$B$479,$A147,'Каналы'!$E$6:$E$479,"contacts")</x:f>
        <x:v>0</x:v>
      </x:c>
      <x:c r="J147" s="5" t="n">
        <x:f>COUNTIFS('Каналы'!$B$6:$B$479,$A147,'Каналы'!$E$6:$E$479,"social")</x:f>
        <x:v>0</x:v>
      </x:c>
      <x:c r="K147" s="5" t="n">
        <x:f>COUNTIFS('Каналы'!$B$6:$B$479,$A147,'Каналы'!$E$6:$E$479,"careers")</x:f>
        <x:v>0</x:v>
      </x:c>
      <x:c r="L147" s="5" t="n">
        <x:f>SUM(C147:K147)</x:f>
        <x:v>2</x:v>
      </x:c>
      <x:c r="M147" s="5" t="str">
        <x:v>Искать каналы с нулём; отдельно проверять действующее юрлицо и прием внешних провайдеров.</x:v>
      </x:c>
    </x:row>
    <x:row r="148" ht="31.5" customHeight="1">
      <x:c r="A148" s="5" t="str">
        <x:v>CU-0011</x:v>
      </x:c>
      <x:c r="B148" s="5" t="str">
        <x:v>Учебно-производственный центр ООО «Газпром трансгаз Саратов»</x:v>
      </x:c>
      <x:c r="C148" s="5" t="n">
        <x:f>COUNTIFS('Каналы'!$B$6:$B$479,$A148,'Каналы'!$E$6:$E$479,"university_site")</x:f>
        <x:v>1</x:v>
      </x:c>
      <x:c r="D148" s="5" t="n">
        <x:f>COUNTIFS('Каналы'!$B$6:$B$479,$A148,'Каналы'!$E$6:$E$479,"news")</x:f>
        <x:v>0</x:v>
      </x:c>
      <x:c r="E148" s="5" t="n">
        <x:f>COUNTIFS('Каналы'!$B$6:$B$479,$A148,'Каналы'!$E$6:$E$479,"programs")</x:f>
        <x:v>0</x:v>
      </x:c>
      <x:c r="F148" s="5" t="n">
        <x:f>COUNTIFS('Каналы'!$B$6:$B$479,$A148,'Каналы'!$E$6:$E$479,"procurement")</x:f>
        <x:v>1</x:v>
      </x:c>
      <x:c r="G148" s="5" t="n">
        <x:f>COUNTIFS('Каналы'!$B$6:$B$479,$A148,'Каналы'!$E$6:$E$479,"expert_application")</x:f>
        <x:v>0</x:v>
      </x:c>
      <x:c r="H148" s="5" t="n">
        <x:f>COUNTIFS('Каналы'!$B$6:$B$479,$A148,'Каналы'!$E$6:$E$479,"partners")</x:f>
        <x:v>0</x:v>
      </x:c>
      <x:c r="I148" s="5" t="n">
        <x:f>COUNTIFS('Каналы'!$B$6:$B$479,$A148,'Каналы'!$E$6:$E$479,"contacts")</x:f>
        <x:v>0</x:v>
      </x:c>
      <x:c r="J148" s="5" t="n">
        <x:f>COUNTIFS('Каналы'!$B$6:$B$479,$A148,'Каналы'!$E$6:$E$479,"social")</x:f>
        <x:v>0</x:v>
      </x:c>
      <x:c r="K148" s="5" t="n">
        <x:f>COUNTIFS('Каналы'!$B$6:$B$479,$A148,'Каналы'!$E$6:$E$479,"careers")</x:f>
        <x:v>0</x:v>
      </x:c>
      <x:c r="L148" s="5" t="n">
        <x:f>SUM(C148:K148)</x:f>
        <x:v>2</x:v>
      </x:c>
      <x:c r="M148" s="5" t="str">
        <x:v>Искать каналы с нулём; отдельно проверять действующее юрлицо и прием внешних провайдеров.</x:v>
      </x:c>
    </x:row>
    <x:row r="149" ht="31.5" customHeight="1">
      <x:c r="A149" s="5" t="str">
        <x:v>CU-0012</x:v>
      </x:c>
      <x:c r="B149" s="5" t="str">
        <x:v>Учебно-производственный центр ООО «Газпром трансгаз Санкт-Петербург»</x:v>
      </x:c>
      <x:c r="C149" s="5" t="n">
        <x:f>COUNTIFS('Каналы'!$B$6:$B$479,$A149,'Каналы'!$E$6:$E$479,"university_site")</x:f>
        <x:v>1</x:v>
      </x:c>
      <x:c r="D149" s="5" t="n">
        <x:f>COUNTIFS('Каналы'!$B$6:$B$479,$A149,'Каналы'!$E$6:$E$479,"news")</x:f>
        <x:v>0</x:v>
      </x:c>
      <x:c r="E149" s="5" t="n">
        <x:f>COUNTIFS('Каналы'!$B$6:$B$479,$A149,'Каналы'!$E$6:$E$479,"programs")</x:f>
        <x:v>1</x:v>
      </x:c>
      <x:c r="F149" s="5" t="n">
        <x:f>COUNTIFS('Каналы'!$B$6:$B$479,$A149,'Каналы'!$E$6:$E$479,"procurement")</x:f>
        <x:v>1</x:v>
      </x:c>
      <x:c r="G149" s="5" t="n">
        <x:f>COUNTIFS('Каналы'!$B$6:$B$479,$A149,'Каналы'!$E$6:$E$479,"expert_application")</x:f>
        <x:v>0</x:v>
      </x:c>
      <x:c r="H149" s="5" t="n">
        <x:f>COUNTIFS('Каналы'!$B$6:$B$479,$A149,'Каналы'!$E$6:$E$479,"partners")</x:f>
        <x:v>0</x:v>
      </x:c>
      <x:c r="I149" s="5" t="n">
        <x:f>COUNTIFS('Каналы'!$B$6:$B$479,$A149,'Каналы'!$E$6:$E$479,"contacts")</x:f>
        <x:v>0</x:v>
      </x:c>
      <x:c r="J149" s="5" t="n">
        <x:f>COUNTIFS('Каналы'!$B$6:$B$479,$A149,'Каналы'!$E$6:$E$479,"social")</x:f>
        <x:v>0</x:v>
      </x:c>
      <x:c r="K149" s="5" t="n">
        <x:f>COUNTIFS('Каналы'!$B$6:$B$479,$A149,'Каналы'!$E$6:$E$479,"careers")</x:f>
        <x:v>0</x:v>
      </x:c>
      <x:c r="L149" s="5" t="n">
        <x:f>SUM(C149:K149)</x:f>
        <x:v>3</x:v>
      </x:c>
      <x:c r="M149" s="5" t="str">
        <x:v>Искать каналы с нулём; отдельно проверять действующее юрлицо и прием внешних провайдеров.</x:v>
      </x:c>
    </x:row>
    <x:row r="150" ht="31.5" customHeight="1">
      <x:c r="A150" s="5" t="str">
        <x:v>CU-0014</x:v>
      </x:c>
      <x:c r="B150" s="5" t="str">
        <x:v>Корпоративный учебный центр ЛУКОЙЛ</x:v>
      </x:c>
      <x:c r="C150" s="5" t="n">
        <x:f>COUNTIFS('Каналы'!$B$6:$B$479,$A150,'Каналы'!$E$6:$E$479,"university_site")</x:f>
        <x:v>1</x:v>
      </x:c>
      <x:c r="D150" s="5" t="n">
        <x:f>COUNTIFS('Каналы'!$B$6:$B$479,$A150,'Каналы'!$E$6:$E$479,"news")</x:f>
        <x:v>1</x:v>
      </x:c>
      <x:c r="E150" s="5" t="n">
        <x:f>COUNTIFS('Каналы'!$B$6:$B$479,$A150,'Каналы'!$E$6:$E$479,"programs")</x:f>
        <x:v>0</x:v>
      </x:c>
      <x:c r="F150" s="5" t="n">
        <x:f>COUNTIFS('Каналы'!$B$6:$B$479,$A150,'Каналы'!$E$6:$E$479,"procurement")</x:f>
        <x:v>0</x:v>
      </x:c>
      <x:c r="G150" s="5" t="n">
        <x:f>COUNTIFS('Каналы'!$B$6:$B$479,$A150,'Каналы'!$E$6:$E$479,"expert_application")</x:f>
        <x:v>0</x:v>
      </x:c>
      <x:c r="H150" s="5" t="n">
        <x:f>COUNTIFS('Каналы'!$B$6:$B$479,$A150,'Каналы'!$E$6:$E$479,"partners")</x:f>
        <x:v>0</x:v>
      </x:c>
      <x:c r="I150" s="5" t="n">
        <x:f>COUNTIFS('Каналы'!$B$6:$B$479,$A150,'Каналы'!$E$6:$E$479,"contacts")</x:f>
        <x:v>1</x:v>
      </x:c>
      <x:c r="J150" s="5" t="n">
        <x:f>COUNTIFS('Каналы'!$B$6:$B$479,$A150,'Каналы'!$E$6:$E$479,"social")</x:f>
        <x:v>0</x:v>
      </x:c>
      <x:c r="K150" s="5" t="n">
        <x:f>COUNTIFS('Каналы'!$B$6:$B$479,$A150,'Каналы'!$E$6:$E$479,"careers")</x:f>
        <x:v>0</x:v>
      </x:c>
      <x:c r="L150" s="5" t="n">
        <x:f>SUM(C150:K150)</x:f>
        <x:v>3</x:v>
      </x:c>
      <x:c r="M150" s="5" t="str">
        <x:v>Искать каналы с нулём; отдельно проверять действующее юрлицо и прием внешних провайдеров.</x:v>
      </x:c>
    </x:row>
    <x:row r="151" ht="31.5" customHeight="1">
      <x:c r="A151" s="5" t="str">
        <x:v>CU-0016</x:v>
      </x:c>
      <x:c r="B151" s="5" t="str">
        <x:v>Центр политехнического обучения ПАО «Сургутнефтегаз»</x:v>
      </x:c>
      <x:c r="C151" s="5" t="n">
        <x:f>COUNTIFS('Каналы'!$B$6:$B$479,$A151,'Каналы'!$E$6:$E$479,"university_site")</x:f>
        <x:v>1</x:v>
      </x:c>
      <x:c r="D151" s="5" t="n">
        <x:f>COUNTIFS('Каналы'!$B$6:$B$479,$A151,'Каналы'!$E$6:$E$479,"news")</x:f>
        <x:v>0</x:v>
      </x:c>
      <x:c r="E151" s="5" t="n">
        <x:f>COUNTIFS('Каналы'!$B$6:$B$479,$A151,'Каналы'!$E$6:$E$479,"programs")</x:f>
        <x:v>0</x:v>
      </x:c>
      <x:c r="F151" s="5" t="n">
        <x:f>COUNTIFS('Каналы'!$B$6:$B$479,$A151,'Каналы'!$E$6:$E$479,"procurement")</x:f>
        <x:v>0</x:v>
      </x:c>
      <x:c r="G151" s="5" t="n">
        <x:f>COUNTIFS('Каналы'!$B$6:$B$479,$A151,'Каналы'!$E$6:$E$479,"expert_application")</x:f>
        <x:v>0</x:v>
      </x:c>
      <x:c r="H151" s="5" t="n">
        <x:f>COUNTIFS('Каналы'!$B$6:$B$479,$A151,'Каналы'!$E$6:$E$479,"partners")</x:f>
        <x:v>0</x:v>
      </x:c>
      <x:c r="I151" s="5" t="n">
        <x:f>COUNTIFS('Каналы'!$B$6:$B$479,$A151,'Каналы'!$E$6:$E$479,"contacts")</x:f>
        <x:v>0</x:v>
      </x:c>
      <x:c r="J151" s="5" t="n">
        <x:f>COUNTIFS('Каналы'!$B$6:$B$479,$A151,'Каналы'!$E$6:$E$479,"social")</x:f>
        <x:v>0</x:v>
      </x:c>
      <x:c r="K151" s="5" t="n">
        <x:f>COUNTIFS('Каналы'!$B$6:$B$479,$A151,'Каналы'!$E$6:$E$479,"careers")</x:f>
        <x:v>0</x:v>
      </x:c>
      <x:c r="L151" s="5" t="n">
        <x:f>SUM(C151:K151)</x:f>
        <x:v>1</x:v>
      </x:c>
      <x:c r="M151" s="5" t="str">
        <x:v>Искать каналы с нулём; отдельно проверять действующее юрлицо и прием внешних провайдеров.</x:v>
      </x:c>
    </x:row>
    <x:row r="152" ht="31.5" customHeight="1">
      <x:c r="A152" s="5" t="str">
        <x:v>CU-0017</x:v>
      </x:c>
      <x:c r="B152" s="5" t="str">
        <x:v>Учебный центр ООО «РН-Юганскнефтегаз»</x:v>
      </x:c>
      <x:c r="C152" s="5" t="n">
        <x:f>COUNTIFS('Каналы'!$B$6:$B$479,$A152,'Каналы'!$E$6:$E$479,"university_site")</x:f>
        <x:v>0</x:v>
      </x:c>
      <x:c r="D152" s="5" t="n">
        <x:f>COUNTIFS('Каналы'!$B$6:$B$479,$A152,'Каналы'!$E$6:$E$479,"news")</x:f>
        <x:v>2</x:v>
      </x:c>
      <x:c r="E152" s="5" t="n">
        <x:f>COUNTIFS('Каналы'!$B$6:$B$479,$A152,'Каналы'!$E$6:$E$479,"programs")</x:f>
        <x:v>0</x:v>
      </x:c>
      <x:c r="F152" s="5" t="n">
        <x:f>COUNTIFS('Каналы'!$B$6:$B$479,$A152,'Каналы'!$E$6:$E$479,"procurement")</x:f>
        <x:v>1</x:v>
      </x:c>
      <x:c r="G152" s="5" t="n">
        <x:f>COUNTIFS('Каналы'!$B$6:$B$479,$A152,'Каналы'!$E$6:$E$479,"expert_application")</x:f>
        <x:v>0</x:v>
      </x:c>
      <x:c r="H152" s="5" t="n">
        <x:f>COUNTIFS('Каналы'!$B$6:$B$479,$A152,'Каналы'!$E$6:$E$479,"partners")</x:f>
        <x:v>0</x:v>
      </x:c>
      <x:c r="I152" s="5" t="n">
        <x:f>COUNTIFS('Каналы'!$B$6:$B$479,$A152,'Каналы'!$E$6:$E$479,"contacts")</x:f>
        <x:v>0</x:v>
      </x:c>
      <x:c r="J152" s="5" t="n">
        <x:f>COUNTIFS('Каналы'!$B$6:$B$479,$A152,'Каналы'!$E$6:$E$479,"social")</x:f>
        <x:v>0</x:v>
      </x:c>
      <x:c r="K152" s="5" t="n">
        <x:f>COUNTIFS('Каналы'!$B$6:$B$479,$A152,'Каналы'!$E$6:$E$479,"careers")</x:f>
        <x:v>0</x:v>
      </x:c>
      <x:c r="L152" s="5" t="n">
        <x:f>SUM(C152:K152)</x:f>
        <x:v>3</x:v>
      </x:c>
      <x:c r="M152" s="5" t="str">
        <x:v>Искать каналы с нулём; отдельно проверять действующее юрлицо и прием внешних провайдеров.</x:v>
      </x:c>
    </x:row>
    <x:row r="153" ht="31.5" customHeight="1">
      <x:c r="A153" s="5" t="str">
        <x:v>CU-0024</x:v>
      </x:c>
      <x:c r="B153" s="5" t="str">
        <x:v>Тверской учебно-производственный центр</x:v>
      </x:c>
      <x:c r="C153" s="5" t="n">
        <x:f>COUNTIFS('Каналы'!$B$6:$B$479,$A153,'Каналы'!$E$6:$E$479,"university_site")</x:f>
        <x:v>1</x:v>
      </x:c>
      <x:c r="D153" s="5" t="n">
        <x:f>COUNTIFS('Каналы'!$B$6:$B$479,$A153,'Каналы'!$E$6:$E$479,"news")</x:f>
        <x:v>0</x:v>
      </x:c>
      <x:c r="E153" s="5" t="n">
        <x:f>COUNTIFS('Каналы'!$B$6:$B$479,$A153,'Каналы'!$E$6:$E$479,"programs")</x:f>
        <x:v>0</x:v>
      </x:c>
      <x:c r="F153" s="5" t="n">
        <x:f>COUNTIFS('Каналы'!$B$6:$B$479,$A153,'Каналы'!$E$6:$E$479,"procurement")</x:f>
        <x:v>0</x:v>
      </x:c>
      <x:c r="G153" s="5" t="n">
        <x:f>COUNTIFS('Каналы'!$B$6:$B$479,$A153,'Каналы'!$E$6:$E$479,"expert_application")</x:f>
        <x:v>0</x:v>
      </x:c>
      <x:c r="H153" s="5" t="n">
        <x:f>COUNTIFS('Каналы'!$B$6:$B$479,$A153,'Каналы'!$E$6:$E$479,"partners")</x:f>
        <x:v>1</x:v>
      </x:c>
      <x:c r="I153" s="5" t="n">
        <x:f>COUNTIFS('Каналы'!$B$6:$B$479,$A153,'Каналы'!$E$6:$E$479,"contacts")</x:f>
        <x:v>0</x:v>
      </x:c>
      <x:c r="J153" s="5" t="n">
        <x:f>COUNTIFS('Каналы'!$B$6:$B$479,$A153,'Каналы'!$E$6:$E$479,"social")</x:f>
        <x:v>0</x:v>
      </x:c>
      <x:c r="K153" s="5" t="n">
        <x:f>COUNTIFS('Каналы'!$B$6:$B$479,$A153,'Каналы'!$E$6:$E$479,"careers")</x:f>
        <x:v>0</x:v>
      </x:c>
      <x:c r="L153" s="5" t="n">
        <x:f>SUM(C153:K153)</x:f>
        <x:v>2</x:v>
      </x:c>
      <x:c r="M153" s="5" t="str">
        <x:v>Искать каналы с нулём; отдельно проверять действующее юрлицо и прием внешних провайдеров.</x:v>
      </x:c>
    </x:row>
    <x:row r="154" ht="31.5" customHeight="1">
      <x:c r="A154" s="5" t="str">
        <x:v>CU-0025</x:v>
      </x:c>
      <x:c r="B154" s="5" t="str">
        <x:v>Орловский учебный комбинат</x:v>
      </x:c>
      <x:c r="C154" s="5" t="n">
        <x:f>COUNTIFS('Каналы'!$B$6:$B$479,$A154,'Каналы'!$E$6:$E$479,"university_site")</x:f>
        <x:v>1</x:v>
      </x:c>
      <x:c r="D154" s="5" t="n">
        <x:f>COUNTIFS('Каналы'!$B$6:$B$479,$A154,'Каналы'!$E$6:$E$479,"news")</x:f>
        <x:v>0</x:v>
      </x:c>
      <x:c r="E154" s="5" t="n">
        <x:f>COUNTIFS('Каналы'!$B$6:$B$479,$A154,'Каналы'!$E$6:$E$479,"programs")</x:f>
        <x:v>0</x:v>
      </x:c>
      <x:c r="F154" s="5" t="n">
        <x:f>COUNTIFS('Каналы'!$B$6:$B$479,$A154,'Каналы'!$E$6:$E$479,"procurement")</x:f>
        <x:v>0</x:v>
      </x:c>
      <x:c r="G154" s="5" t="n">
        <x:f>COUNTIFS('Каналы'!$B$6:$B$479,$A154,'Каналы'!$E$6:$E$479,"expert_application")</x:f>
        <x:v>0</x:v>
      </x:c>
      <x:c r="H154" s="5" t="n">
        <x:f>COUNTIFS('Каналы'!$B$6:$B$479,$A154,'Каналы'!$E$6:$E$479,"partners")</x:f>
        <x:v>1</x:v>
      </x:c>
      <x:c r="I154" s="5" t="n">
        <x:f>COUNTIFS('Каналы'!$B$6:$B$479,$A154,'Каналы'!$E$6:$E$479,"contacts")</x:f>
        <x:v>0</x:v>
      </x:c>
      <x:c r="J154" s="5" t="n">
        <x:f>COUNTIFS('Каналы'!$B$6:$B$479,$A154,'Каналы'!$E$6:$E$479,"social")</x:f>
        <x:v>0</x:v>
      </x:c>
      <x:c r="K154" s="5" t="n">
        <x:f>COUNTIFS('Каналы'!$B$6:$B$479,$A154,'Каналы'!$E$6:$E$479,"careers")</x:f>
        <x:v>0</x:v>
      </x:c>
      <x:c r="L154" s="5" t="n">
        <x:f>SUM(C154:K154)</x:f>
        <x:v>2</x:v>
      </x:c>
      <x:c r="M154" s="5" t="str">
        <x:v>Искать каналы с нулём; отдельно проверять действующее юрлицо и прием внешних провайдеров.</x:v>
      </x:c>
    </x:row>
    <x:row r="155" ht="31.5" customHeight="1">
      <x:c r="A155" s="5" t="str">
        <x:v>CU-0026</x:v>
      </x:c>
      <x:c r="B155" s="5" t="str">
        <x:v>Воронежский учебный центр «Энергетик»</x:v>
      </x:c>
      <x:c r="C155" s="5" t="n">
        <x:f>COUNTIFS('Каналы'!$B$6:$B$479,$A155,'Каналы'!$E$6:$E$479,"university_site")</x:f>
        <x:v>1</x:v>
      </x:c>
      <x:c r="D155" s="5" t="n">
        <x:f>COUNTIFS('Каналы'!$B$6:$B$479,$A155,'Каналы'!$E$6:$E$479,"news")</x:f>
        <x:v>0</x:v>
      </x:c>
      <x:c r="E155" s="5" t="n">
        <x:f>COUNTIFS('Каналы'!$B$6:$B$479,$A155,'Каналы'!$E$6:$E$479,"programs")</x:f>
        <x:v>0</x:v>
      </x:c>
      <x:c r="F155" s="5" t="n">
        <x:f>COUNTIFS('Каналы'!$B$6:$B$479,$A155,'Каналы'!$E$6:$E$479,"procurement")</x:f>
        <x:v>0</x:v>
      </x:c>
      <x:c r="G155" s="5" t="n">
        <x:f>COUNTIFS('Каналы'!$B$6:$B$479,$A155,'Каналы'!$E$6:$E$479,"expert_application")</x:f>
        <x:v>0</x:v>
      </x:c>
      <x:c r="H155" s="5" t="n">
        <x:f>COUNTIFS('Каналы'!$B$6:$B$479,$A155,'Каналы'!$E$6:$E$479,"partners")</x:f>
        <x:v>1</x:v>
      </x:c>
      <x:c r="I155" s="5" t="n">
        <x:f>COUNTIFS('Каналы'!$B$6:$B$479,$A155,'Каналы'!$E$6:$E$479,"contacts")</x:f>
        <x:v>0</x:v>
      </x:c>
      <x:c r="J155" s="5" t="n">
        <x:f>COUNTIFS('Каналы'!$B$6:$B$479,$A155,'Каналы'!$E$6:$E$479,"social")</x:f>
        <x:v>0</x:v>
      </x:c>
      <x:c r="K155" s="5" t="n">
        <x:f>COUNTIFS('Каналы'!$B$6:$B$479,$A155,'Каналы'!$E$6:$E$479,"careers")</x:f>
        <x:v>0</x:v>
      </x:c>
      <x:c r="L155" s="5" t="n">
        <x:f>SUM(C155:K155)</x:f>
        <x:v>2</x:v>
      </x:c>
      <x:c r="M155" s="5" t="str">
        <x:v>Искать каналы с нулём; отдельно проверять действующее юрлицо и прием внешних провайдеров.</x:v>
      </x:c>
    </x:row>
    <x:row r="156" ht="31.5" customHeight="1">
      <x:c r="A156" s="5" t="str">
        <x:v>CU-0027</x:v>
      </x:c>
      <x:c r="B156" s="5" t="str">
        <x:v>Владимирский учебный центр «Энергетик»</x:v>
      </x:c>
      <x:c r="C156" s="5" t="n">
        <x:f>COUNTIFS('Каналы'!$B$6:$B$479,$A156,'Каналы'!$E$6:$E$479,"university_site")</x:f>
        <x:v>1</x:v>
      </x:c>
      <x:c r="D156" s="5" t="n">
        <x:f>COUNTIFS('Каналы'!$B$6:$B$479,$A156,'Каналы'!$E$6:$E$479,"news")</x:f>
        <x:v>0</x:v>
      </x:c>
      <x:c r="E156" s="5" t="n">
        <x:f>COUNTIFS('Каналы'!$B$6:$B$479,$A156,'Каналы'!$E$6:$E$479,"programs")</x:f>
        <x:v>0</x:v>
      </x:c>
      <x:c r="F156" s="5" t="n">
        <x:f>COUNTIFS('Каналы'!$B$6:$B$479,$A156,'Каналы'!$E$6:$E$479,"procurement")</x:f>
        <x:v>0</x:v>
      </x:c>
      <x:c r="G156" s="5" t="n">
        <x:f>COUNTIFS('Каналы'!$B$6:$B$479,$A156,'Каналы'!$E$6:$E$479,"expert_application")</x:f>
        <x:v>0</x:v>
      </x:c>
      <x:c r="H156" s="5" t="n">
        <x:f>COUNTIFS('Каналы'!$B$6:$B$479,$A156,'Каналы'!$E$6:$E$479,"partners")</x:f>
        <x:v>1</x:v>
      </x:c>
      <x:c r="I156" s="5" t="n">
        <x:f>COUNTIFS('Каналы'!$B$6:$B$479,$A156,'Каналы'!$E$6:$E$479,"contacts")</x:f>
        <x:v>0</x:v>
      </x:c>
      <x:c r="J156" s="5" t="n">
        <x:f>COUNTIFS('Каналы'!$B$6:$B$479,$A156,'Каналы'!$E$6:$E$479,"social")</x:f>
        <x:v>0</x:v>
      </x:c>
      <x:c r="K156" s="5" t="n">
        <x:f>COUNTIFS('Каналы'!$B$6:$B$479,$A156,'Каналы'!$E$6:$E$479,"careers")</x:f>
        <x:v>0</x:v>
      </x:c>
      <x:c r="L156" s="5" t="n">
        <x:f>SUM(C156:K156)</x:f>
        <x:v>2</x:v>
      </x:c>
      <x:c r="M156" s="5" t="str">
        <x:v>Искать каналы с нулём; отдельно проверять действующее юрлицо и прием внешних провайдеров.</x:v>
      </x:c>
    </x:row>
    <x:row r="157" ht="31.5" customHeight="1">
      <x:c r="A157" s="5" t="str">
        <x:v>CU-0028</x:v>
      </x:c>
      <x:c r="B157" s="5" t="str">
        <x:v>Ивановский учебный центр «Энергетик»</x:v>
      </x:c>
      <x:c r="C157" s="5" t="n">
        <x:f>COUNTIFS('Каналы'!$B$6:$B$479,$A157,'Каналы'!$E$6:$E$479,"university_site")</x:f>
        <x:v>1</x:v>
      </x:c>
      <x:c r="D157" s="5" t="n">
        <x:f>COUNTIFS('Каналы'!$B$6:$B$479,$A157,'Каналы'!$E$6:$E$479,"news")</x:f>
        <x:v>0</x:v>
      </x:c>
      <x:c r="E157" s="5" t="n">
        <x:f>COUNTIFS('Каналы'!$B$6:$B$479,$A157,'Каналы'!$E$6:$E$479,"programs")</x:f>
        <x:v>0</x:v>
      </x:c>
      <x:c r="F157" s="5" t="n">
        <x:f>COUNTIFS('Каналы'!$B$6:$B$479,$A157,'Каналы'!$E$6:$E$479,"procurement")</x:f>
        <x:v>0</x:v>
      </x:c>
      <x:c r="G157" s="5" t="n">
        <x:f>COUNTIFS('Каналы'!$B$6:$B$479,$A157,'Каналы'!$E$6:$E$479,"expert_application")</x:f>
        <x:v>0</x:v>
      </x:c>
      <x:c r="H157" s="5" t="n">
        <x:f>COUNTIFS('Каналы'!$B$6:$B$479,$A157,'Каналы'!$E$6:$E$479,"partners")</x:f>
        <x:v>1</x:v>
      </x:c>
      <x:c r="I157" s="5" t="n">
        <x:f>COUNTIFS('Каналы'!$B$6:$B$479,$A157,'Каналы'!$E$6:$E$479,"contacts")</x:f>
        <x:v>0</x:v>
      </x:c>
      <x:c r="J157" s="5" t="n">
        <x:f>COUNTIFS('Каналы'!$B$6:$B$479,$A157,'Каналы'!$E$6:$E$479,"social")</x:f>
        <x:v>0</x:v>
      </x:c>
      <x:c r="K157" s="5" t="n">
        <x:f>COUNTIFS('Каналы'!$B$6:$B$479,$A157,'Каналы'!$E$6:$E$479,"careers")</x:f>
        <x:v>0</x:v>
      </x:c>
      <x:c r="L157" s="5" t="n">
        <x:f>SUM(C157:K157)</x:f>
        <x:v>2</x:v>
      </x:c>
      <x:c r="M157" s="5" t="str">
        <x:v>Искать каналы с нулём; отдельно проверять действующее юрлицо и прием внешних провайдеров.</x:v>
      </x:c>
    </x:row>
    <x:row r="158" ht="31.5" customHeight="1">
      <x:c r="A158" s="5" t="str">
        <x:v>CU-0029</x:v>
      </x:c>
      <x:c r="B158" s="5" t="str">
        <x:v>Ижевский учебный центр «Энергетик»</x:v>
      </x:c>
      <x:c r="C158" s="5" t="n">
        <x:f>COUNTIFS('Каналы'!$B$6:$B$479,$A158,'Каналы'!$E$6:$E$479,"university_site")</x:f>
        <x:v>1</x:v>
      </x:c>
      <x:c r="D158" s="5" t="n">
        <x:f>COUNTIFS('Каналы'!$B$6:$B$479,$A158,'Каналы'!$E$6:$E$479,"news")</x:f>
        <x:v>0</x:v>
      </x:c>
      <x:c r="E158" s="5" t="n">
        <x:f>COUNTIFS('Каналы'!$B$6:$B$479,$A158,'Каналы'!$E$6:$E$479,"programs")</x:f>
        <x:v>0</x:v>
      </x:c>
      <x:c r="F158" s="5" t="n">
        <x:f>COUNTIFS('Каналы'!$B$6:$B$479,$A158,'Каналы'!$E$6:$E$479,"procurement")</x:f>
        <x:v>0</x:v>
      </x:c>
      <x:c r="G158" s="5" t="n">
        <x:f>COUNTIFS('Каналы'!$B$6:$B$479,$A158,'Каналы'!$E$6:$E$479,"expert_application")</x:f>
        <x:v>0</x:v>
      </x:c>
      <x:c r="H158" s="5" t="n">
        <x:f>COUNTIFS('Каналы'!$B$6:$B$479,$A158,'Каналы'!$E$6:$E$479,"partners")</x:f>
        <x:v>1</x:v>
      </x:c>
      <x:c r="I158" s="5" t="n">
        <x:f>COUNTIFS('Каналы'!$B$6:$B$479,$A158,'Каналы'!$E$6:$E$479,"contacts")</x:f>
        <x:v>0</x:v>
      </x:c>
      <x:c r="J158" s="5" t="n">
        <x:f>COUNTIFS('Каналы'!$B$6:$B$479,$A158,'Каналы'!$E$6:$E$479,"social")</x:f>
        <x:v>0</x:v>
      </x:c>
      <x:c r="K158" s="5" t="n">
        <x:f>COUNTIFS('Каналы'!$B$6:$B$479,$A158,'Каналы'!$E$6:$E$479,"careers")</x:f>
        <x:v>0</x:v>
      </x:c>
      <x:c r="L158" s="5" t="n">
        <x:f>SUM(C158:K158)</x:f>
        <x:v>2</x:v>
      </x:c>
      <x:c r="M158" s="5" t="str">
        <x:v>Искать каналы с нулём; отдельно проверять действующее юрлицо и прием внешних провайдеров.</x:v>
      </x:c>
    </x:row>
    <x:row r="159" ht="31.5" customHeight="1">
      <x:c r="A159" s="5" t="str">
        <x:v>CU-0030</x:v>
      </x:c>
      <x:c r="B159" s="5" t="str">
        <x:v>Калужский учебный центр «Энергетик»</x:v>
      </x:c>
      <x:c r="C159" s="5" t="n">
        <x:f>COUNTIFS('Каналы'!$B$6:$B$479,$A159,'Каналы'!$E$6:$E$479,"university_site")</x:f>
        <x:v>1</x:v>
      </x:c>
      <x:c r="D159" s="5" t="n">
        <x:f>COUNTIFS('Каналы'!$B$6:$B$479,$A159,'Каналы'!$E$6:$E$479,"news")</x:f>
        <x:v>0</x:v>
      </x:c>
      <x:c r="E159" s="5" t="n">
        <x:f>COUNTIFS('Каналы'!$B$6:$B$479,$A159,'Каналы'!$E$6:$E$479,"programs")</x:f>
        <x:v>0</x:v>
      </x:c>
      <x:c r="F159" s="5" t="n">
        <x:f>COUNTIFS('Каналы'!$B$6:$B$479,$A159,'Каналы'!$E$6:$E$479,"procurement")</x:f>
        <x:v>0</x:v>
      </x:c>
      <x:c r="G159" s="5" t="n">
        <x:f>COUNTIFS('Каналы'!$B$6:$B$479,$A159,'Каналы'!$E$6:$E$479,"expert_application")</x:f>
        <x:v>0</x:v>
      </x:c>
      <x:c r="H159" s="5" t="n">
        <x:f>COUNTIFS('Каналы'!$B$6:$B$479,$A159,'Каналы'!$E$6:$E$479,"partners")</x:f>
        <x:v>1</x:v>
      </x:c>
      <x:c r="I159" s="5" t="n">
        <x:f>COUNTIFS('Каналы'!$B$6:$B$479,$A159,'Каналы'!$E$6:$E$479,"contacts")</x:f>
        <x:v>0</x:v>
      </x:c>
      <x:c r="J159" s="5" t="n">
        <x:f>COUNTIFS('Каналы'!$B$6:$B$479,$A159,'Каналы'!$E$6:$E$479,"social")</x:f>
        <x:v>0</x:v>
      </x:c>
      <x:c r="K159" s="5" t="n">
        <x:f>COUNTIFS('Каналы'!$B$6:$B$479,$A159,'Каналы'!$E$6:$E$479,"careers")</x:f>
        <x:v>0</x:v>
      </x:c>
      <x:c r="L159" s="5" t="n">
        <x:f>SUM(C159:K159)</x:f>
        <x:v>2</x:v>
      </x:c>
      <x:c r="M159" s="5" t="str">
        <x:v>Искать каналы с нулём; отдельно проверять действующее юрлицо и прием внешних провайдеров.</x:v>
      </x:c>
    </x:row>
    <x:row r="160" ht="31.5" customHeight="1">
      <x:c r="A160" s="5" t="str">
        <x:v>CU-0031</x:v>
      </x:c>
      <x:c r="B160" s="5" t="str">
        <x:v>Кировский учебный центр «Энергетик»</x:v>
      </x:c>
      <x:c r="C160" s="5" t="n">
        <x:f>COUNTIFS('Каналы'!$B$6:$B$479,$A160,'Каналы'!$E$6:$E$479,"university_site")</x:f>
        <x:v>1</x:v>
      </x:c>
      <x:c r="D160" s="5" t="n">
        <x:f>COUNTIFS('Каналы'!$B$6:$B$479,$A160,'Каналы'!$E$6:$E$479,"news")</x:f>
        <x:v>0</x:v>
      </x:c>
      <x:c r="E160" s="5" t="n">
        <x:f>COUNTIFS('Каналы'!$B$6:$B$479,$A160,'Каналы'!$E$6:$E$479,"programs")</x:f>
        <x:v>0</x:v>
      </x:c>
      <x:c r="F160" s="5" t="n">
        <x:f>COUNTIFS('Каналы'!$B$6:$B$479,$A160,'Каналы'!$E$6:$E$479,"procurement")</x:f>
        <x:v>0</x:v>
      </x:c>
      <x:c r="G160" s="5" t="n">
        <x:f>COUNTIFS('Каналы'!$B$6:$B$479,$A160,'Каналы'!$E$6:$E$479,"expert_application")</x:f>
        <x:v>0</x:v>
      </x:c>
      <x:c r="H160" s="5" t="n">
        <x:f>COUNTIFS('Каналы'!$B$6:$B$479,$A160,'Каналы'!$E$6:$E$479,"partners")</x:f>
        <x:v>1</x:v>
      </x:c>
      <x:c r="I160" s="5" t="n">
        <x:f>COUNTIFS('Каналы'!$B$6:$B$479,$A160,'Каналы'!$E$6:$E$479,"contacts")</x:f>
        <x:v>0</x:v>
      </x:c>
      <x:c r="J160" s="5" t="n">
        <x:f>COUNTIFS('Каналы'!$B$6:$B$479,$A160,'Каналы'!$E$6:$E$479,"social")</x:f>
        <x:v>0</x:v>
      </x:c>
      <x:c r="K160" s="5" t="n">
        <x:f>COUNTIFS('Каналы'!$B$6:$B$479,$A160,'Каналы'!$E$6:$E$479,"careers")</x:f>
        <x:v>0</x:v>
      </x:c>
      <x:c r="L160" s="5" t="n">
        <x:f>SUM(C160:K160)</x:f>
        <x:v>2</x:v>
      </x:c>
      <x:c r="M160" s="5" t="str">
        <x:v>Искать каналы с нулём; отдельно проверять действующее юрлицо и прием внешних провайдеров.</x:v>
      </x:c>
    </x:row>
    <x:row r="161" ht="31.5" customHeight="1">
      <x:c r="A161" s="5" t="str">
        <x:v>CU-0032</x:v>
      </x:c>
      <x:c r="B161" s="5" t="str">
        <x:v>Тульский учебный центр «Энергетик»</x:v>
      </x:c>
      <x:c r="C161" s="5" t="n">
        <x:f>COUNTIFS('Каналы'!$B$6:$B$479,$A161,'Каналы'!$E$6:$E$479,"university_site")</x:f>
        <x:v>1</x:v>
      </x:c>
      <x:c r="D161" s="5" t="n">
        <x:f>COUNTIFS('Каналы'!$B$6:$B$479,$A161,'Каналы'!$E$6:$E$479,"news")</x:f>
        <x:v>0</x:v>
      </x:c>
      <x:c r="E161" s="5" t="n">
        <x:f>COUNTIFS('Каналы'!$B$6:$B$479,$A161,'Каналы'!$E$6:$E$479,"programs")</x:f>
        <x:v>0</x:v>
      </x:c>
      <x:c r="F161" s="5" t="n">
        <x:f>COUNTIFS('Каналы'!$B$6:$B$479,$A161,'Каналы'!$E$6:$E$479,"procurement")</x:f>
        <x:v>0</x:v>
      </x:c>
      <x:c r="G161" s="5" t="n">
        <x:f>COUNTIFS('Каналы'!$B$6:$B$479,$A161,'Каналы'!$E$6:$E$479,"expert_application")</x:f>
        <x:v>0</x:v>
      </x:c>
      <x:c r="H161" s="5" t="n">
        <x:f>COUNTIFS('Каналы'!$B$6:$B$479,$A161,'Каналы'!$E$6:$E$479,"partners")</x:f>
        <x:v>1</x:v>
      </x:c>
      <x:c r="I161" s="5" t="n">
        <x:f>COUNTIFS('Каналы'!$B$6:$B$479,$A161,'Каналы'!$E$6:$E$479,"contacts")</x:f>
        <x:v>0</x:v>
      </x:c>
      <x:c r="J161" s="5" t="n">
        <x:f>COUNTIFS('Каналы'!$B$6:$B$479,$A161,'Каналы'!$E$6:$E$479,"social")</x:f>
        <x:v>0</x:v>
      </x:c>
      <x:c r="K161" s="5" t="n">
        <x:f>COUNTIFS('Каналы'!$B$6:$B$479,$A161,'Каналы'!$E$6:$E$479,"careers")</x:f>
        <x:v>0</x:v>
      </x:c>
      <x:c r="L161" s="5" t="n">
        <x:f>SUM(C161:K161)</x:f>
        <x:v>2</x:v>
      </x:c>
      <x:c r="M161" s="5" t="str">
        <x:v>Искать каналы с нулём; отдельно проверять действующее юрлицо и прием внешних провайдеров.</x:v>
      </x:c>
    </x:row>
    <x:row r="162" ht="31.5" customHeight="1">
      <x:c r="A162" s="5" t="str">
        <x:v>CU-0033</x:v>
      </x:c>
      <x:c r="B162" s="5" t="str">
        <x:v>Нижегородский учебный центр «Энергетик»</x:v>
      </x:c>
      <x:c r="C162" s="5" t="n">
        <x:f>COUNTIFS('Каналы'!$B$6:$B$479,$A162,'Каналы'!$E$6:$E$479,"university_site")</x:f>
        <x:v>1</x:v>
      </x:c>
      <x:c r="D162" s="5" t="n">
        <x:f>COUNTIFS('Каналы'!$B$6:$B$479,$A162,'Каналы'!$E$6:$E$479,"news")</x:f>
        <x:v>0</x:v>
      </x:c>
      <x:c r="E162" s="5" t="n">
        <x:f>COUNTIFS('Каналы'!$B$6:$B$479,$A162,'Каналы'!$E$6:$E$479,"programs")</x:f>
        <x:v>0</x:v>
      </x:c>
      <x:c r="F162" s="5" t="n">
        <x:f>COUNTIFS('Каналы'!$B$6:$B$479,$A162,'Каналы'!$E$6:$E$479,"procurement")</x:f>
        <x:v>0</x:v>
      </x:c>
      <x:c r="G162" s="5" t="n">
        <x:f>COUNTIFS('Каналы'!$B$6:$B$479,$A162,'Каналы'!$E$6:$E$479,"expert_application")</x:f>
        <x:v>0</x:v>
      </x:c>
      <x:c r="H162" s="5" t="n">
        <x:f>COUNTIFS('Каналы'!$B$6:$B$479,$A162,'Каналы'!$E$6:$E$479,"partners")</x:f>
        <x:v>1</x:v>
      </x:c>
      <x:c r="I162" s="5" t="n">
        <x:f>COUNTIFS('Каналы'!$B$6:$B$479,$A162,'Каналы'!$E$6:$E$479,"contacts")</x:f>
        <x:v>0</x:v>
      </x:c>
      <x:c r="J162" s="5" t="n">
        <x:f>COUNTIFS('Каналы'!$B$6:$B$479,$A162,'Каналы'!$E$6:$E$479,"social")</x:f>
        <x:v>0</x:v>
      </x:c>
      <x:c r="K162" s="5" t="n">
        <x:f>COUNTIFS('Каналы'!$B$6:$B$479,$A162,'Каналы'!$E$6:$E$479,"careers")</x:f>
        <x:v>0</x:v>
      </x:c>
      <x:c r="L162" s="5" t="n">
        <x:f>SUM(C162:K162)</x:f>
        <x:v>2</x:v>
      </x:c>
      <x:c r="M162" s="5" t="str">
        <x:v>Искать каналы с нулём; отдельно проверять действующее юрлицо и прием внешних провайдеров.</x:v>
      </x:c>
    </x:row>
    <x:row r="163" ht="31.5" customHeight="1">
      <x:c r="A163" s="5" t="str">
        <x:v>CU-0034</x:v>
      </x:c>
      <x:c r="B163" s="5" t="str">
        <x:v>Учебный центр «Россети Урал»</x:v>
      </x:c>
      <x:c r="C163" s="5" t="n">
        <x:f>COUNTIFS('Каналы'!$B$6:$B$479,$A163,'Каналы'!$E$6:$E$479,"university_site")</x:f>
        <x:v>1</x:v>
      </x:c>
      <x:c r="D163" s="5" t="n">
        <x:f>COUNTIFS('Каналы'!$B$6:$B$479,$A163,'Каналы'!$E$6:$E$479,"news")</x:f>
        <x:v>1</x:v>
      </x:c>
      <x:c r="E163" s="5" t="n">
        <x:f>COUNTIFS('Каналы'!$B$6:$B$479,$A163,'Каналы'!$E$6:$E$479,"programs")</x:f>
        <x:v>0</x:v>
      </x:c>
      <x:c r="F163" s="5" t="n">
        <x:f>COUNTIFS('Каналы'!$B$6:$B$479,$A163,'Каналы'!$E$6:$E$479,"procurement")</x:f>
        <x:v>0</x:v>
      </x:c>
      <x:c r="G163" s="5" t="n">
        <x:f>COUNTIFS('Каналы'!$B$6:$B$479,$A163,'Каналы'!$E$6:$E$479,"expert_application")</x:f>
        <x:v>0</x:v>
      </x:c>
      <x:c r="H163" s="5" t="n">
        <x:f>COUNTIFS('Каналы'!$B$6:$B$479,$A163,'Каналы'!$E$6:$E$479,"partners")</x:f>
        <x:v>0</x:v>
      </x:c>
      <x:c r="I163" s="5" t="n">
        <x:f>COUNTIFS('Каналы'!$B$6:$B$479,$A163,'Каналы'!$E$6:$E$479,"contacts")</x:f>
        <x:v>0</x:v>
      </x:c>
      <x:c r="J163" s="5" t="n">
        <x:f>COUNTIFS('Каналы'!$B$6:$B$479,$A163,'Каналы'!$E$6:$E$479,"social")</x:f>
        <x:v>0</x:v>
      </x:c>
      <x:c r="K163" s="5" t="n">
        <x:f>COUNTIFS('Каналы'!$B$6:$B$479,$A163,'Каналы'!$E$6:$E$479,"careers")</x:f>
        <x:v>0</x:v>
      </x:c>
      <x:c r="L163" s="5" t="n">
        <x:f>SUM(C163:K163)</x:f>
        <x:v>2</x:v>
      </x:c>
      <x:c r="M163" s="5" t="str">
        <x:v>Искать каналы с нулём; отдельно проверять действующее юрлицо и прием внешних провайдеров.</x:v>
      </x:c>
    </x:row>
    <x:row r="164" ht="31.5" customHeight="1">
      <x:c r="A164" s="5" t="str">
        <x:v>CU-0036</x:v>
      </x:c>
      <x:c r="B164" s="5" t="str">
        <x:v>Учебный комплекс «Россети Ленэнерго»</x:v>
      </x:c>
      <x:c r="C164" s="5" t="n">
        <x:f>COUNTIFS('Каналы'!$B$6:$B$479,$A164,'Каналы'!$E$6:$E$479,"university_site")</x:f>
        <x:v>1</x:v>
      </x:c>
      <x:c r="D164" s="5" t="n">
        <x:f>COUNTIFS('Каналы'!$B$6:$B$479,$A164,'Каналы'!$E$6:$E$479,"news")</x:f>
        <x:v>1</x:v>
      </x:c>
      <x:c r="E164" s="5" t="n">
        <x:f>COUNTIFS('Каналы'!$B$6:$B$479,$A164,'Каналы'!$E$6:$E$479,"programs")</x:f>
        <x:v>0</x:v>
      </x:c>
      <x:c r="F164" s="5" t="n">
        <x:f>COUNTIFS('Каналы'!$B$6:$B$479,$A164,'Каналы'!$E$6:$E$479,"procurement")</x:f>
        <x:v>0</x:v>
      </x:c>
      <x:c r="G164" s="5" t="n">
        <x:f>COUNTIFS('Каналы'!$B$6:$B$479,$A164,'Каналы'!$E$6:$E$479,"expert_application")</x:f>
        <x:v>0</x:v>
      </x:c>
      <x:c r="H164" s="5" t="n">
        <x:f>COUNTIFS('Каналы'!$B$6:$B$479,$A164,'Каналы'!$E$6:$E$479,"partners")</x:f>
        <x:v>0</x:v>
      </x:c>
      <x:c r="I164" s="5" t="n">
        <x:f>COUNTIFS('Каналы'!$B$6:$B$479,$A164,'Каналы'!$E$6:$E$479,"contacts")</x:f>
        <x:v>0</x:v>
      </x:c>
      <x:c r="J164" s="5" t="n">
        <x:f>COUNTIFS('Каналы'!$B$6:$B$479,$A164,'Каналы'!$E$6:$E$479,"social")</x:f>
        <x:v>0</x:v>
      </x:c>
      <x:c r="K164" s="5" t="n">
        <x:f>COUNTIFS('Каналы'!$B$6:$B$479,$A164,'Каналы'!$E$6:$E$479,"careers")</x:f>
        <x:v>0</x:v>
      </x:c>
      <x:c r="L164" s="5" t="n">
        <x:f>SUM(C164:K164)</x:f>
        <x:v>2</x:v>
      </x:c>
      <x:c r="M164" s="5" t="str">
        <x:v>Искать каналы с нулём; отдельно проверять действующее юрлицо и прием внешних провайдеров.</x:v>
      </x:c>
    </x:row>
    <x:row r="165" ht="31.5" customHeight="1">
      <x:c r="A165" s="5" t="str">
        <x:v>CU-0037</x:v>
      </x:c>
      <x:c r="B165" s="5" t="str">
        <x:v>Новокуйбышевский учебный центр</x:v>
      </x:c>
      <x:c r="C165" s="5" t="n">
        <x:f>COUNTIFS('Каналы'!$B$6:$B$479,$A165,'Каналы'!$E$6:$E$479,"university_site")</x:f>
        <x:v>1</x:v>
      </x:c>
      <x:c r="D165" s="5" t="n">
        <x:f>COUNTIFS('Каналы'!$B$6:$B$479,$A165,'Каналы'!$E$6:$E$479,"news")</x:f>
        <x:v>0</x:v>
      </x:c>
      <x:c r="E165" s="5" t="n">
        <x:f>COUNTIFS('Каналы'!$B$6:$B$479,$A165,'Каналы'!$E$6:$E$479,"programs")</x:f>
        <x:v>0</x:v>
      </x:c>
      <x:c r="F165" s="5" t="n">
        <x:f>COUNTIFS('Каналы'!$B$6:$B$479,$A165,'Каналы'!$E$6:$E$479,"procurement")</x:f>
        <x:v>0</x:v>
      </x:c>
      <x:c r="G165" s="5" t="n">
        <x:f>COUNTIFS('Каналы'!$B$6:$B$479,$A165,'Каналы'!$E$6:$E$479,"expert_application")</x:f>
        <x:v>0</x:v>
      </x:c>
      <x:c r="H165" s="5" t="n">
        <x:f>COUNTIFS('Каналы'!$B$6:$B$479,$A165,'Каналы'!$E$6:$E$479,"partners")</x:f>
        <x:v>1</x:v>
      </x:c>
      <x:c r="I165" s="5" t="n">
        <x:f>COUNTIFS('Каналы'!$B$6:$B$479,$A165,'Каналы'!$E$6:$E$479,"contacts")</x:f>
        <x:v>0</x:v>
      </x:c>
      <x:c r="J165" s="5" t="n">
        <x:f>COUNTIFS('Каналы'!$B$6:$B$479,$A165,'Каналы'!$E$6:$E$479,"social")</x:f>
        <x:v>0</x:v>
      </x:c>
      <x:c r="K165" s="5" t="n">
        <x:f>COUNTIFS('Каналы'!$B$6:$B$479,$A165,'Каналы'!$E$6:$E$479,"careers")</x:f>
        <x:v>0</x:v>
      </x:c>
      <x:c r="L165" s="5" t="n">
        <x:f>SUM(C165:K165)</x:f>
        <x:v>2</x:v>
      </x:c>
      <x:c r="M165" s="5" t="str">
        <x:v>Искать каналы с нулём; отдельно проверять действующее юрлицо и прием внешних провайдеров.</x:v>
      </x:c>
    </x:row>
    <x:row r="166" ht="31.5" customHeight="1">
      <x:c r="A166" s="5" t="str">
        <x:v>CU-0038</x:v>
      </x:c>
      <x:c r="B166" s="5" t="str">
        <x:v>Региональный учебный центр АО «Транснефть — Север»</x:v>
      </x:c>
      <x:c r="C166" s="5" t="n">
        <x:f>COUNTIFS('Каналы'!$B$6:$B$479,$A166,'Каналы'!$E$6:$E$479,"university_site")</x:f>
        <x:v>1</x:v>
      </x:c>
      <x:c r="D166" s="5" t="n">
        <x:f>COUNTIFS('Каналы'!$B$6:$B$479,$A166,'Каналы'!$E$6:$E$479,"news")</x:f>
        <x:v>0</x:v>
      </x:c>
      <x:c r="E166" s="5" t="n">
        <x:f>COUNTIFS('Каналы'!$B$6:$B$479,$A166,'Каналы'!$E$6:$E$479,"programs")</x:f>
        <x:v>0</x:v>
      </x:c>
      <x:c r="F166" s="5" t="n">
        <x:f>COUNTIFS('Каналы'!$B$6:$B$479,$A166,'Каналы'!$E$6:$E$479,"procurement")</x:f>
        <x:v>0</x:v>
      </x:c>
      <x:c r="G166" s="5" t="n">
        <x:f>COUNTIFS('Каналы'!$B$6:$B$479,$A166,'Каналы'!$E$6:$E$479,"expert_application")</x:f>
        <x:v>0</x:v>
      </x:c>
      <x:c r="H166" s="5" t="n">
        <x:f>COUNTIFS('Каналы'!$B$6:$B$479,$A166,'Каналы'!$E$6:$E$479,"partners")</x:f>
        <x:v>0</x:v>
      </x:c>
      <x:c r="I166" s="5" t="n">
        <x:f>COUNTIFS('Каналы'!$B$6:$B$479,$A166,'Каналы'!$E$6:$E$479,"contacts")</x:f>
        <x:v>0</x:v>
      </x:c>
      <x:c r="J166" s="5" t="n">
        <x:f>COUNTIFS('Каналы'!$B$6:$B$479,$A166,'Каналы'!$E$6:$E$479,"social")</x:f>
        <x:v>0</x:v>
      </x:c>
      <x:c r="K166" s="5" t="n">
        <x:f>COUNTIFS('Каналы'!$B$6:$B$479,$A166,'Каналы'!$E$6:$E$479,"careers")</x:f>
        <x:v>0</x:v>
      </x:c>
      <x:c r="L166" s="5" t="n">
        <x:f>SUM(C166:K166)</x:f>
        <x:v>1</x:v>
      </x:c>
      <x:c r="M166" s="5" t="str">
        <x:v>Искать каналы с нулём; отдельно проверять действующее юрлицо и прием внешних провайдеров.</x:v>
      </x:c>
    </x:row>
    <x:row r="167" ht="31.5" customHeight="1">
      <x:c r="A167" s="5" t="str">
        <x:v>CU-0040</x:v>
      </x:c>
      <x:c r="B167" s="5" t="str">
        <x:v>Учебный центр ПАО «Мосэнерго»</x:v>
      </x:c>
      <x:c r="C167" s="5" t="n">
        <x:f>COUNTIFS('Каналы'!$B$6:$B$479,$A167,'Каналы'!$E$6:$E$479,"university_site")</x:f>
        <x:v>1</x:v>
      </x:c>
      <x:c r="D167" s="5" t="n">
        <x:f>COUNTIFS('Каналы'!$B$6:$B$479,$A167,'Каналы'!$E$6:$E$479,"news")</x:f>
        <x:v>0</x:v>
      </x:c>
      <x:c r="E167" s="5" t="n">
        <x:f>COUNTIFS('Каналы'!$B$6:$B$479,$A167,'Каналы'!$E$6:$E$479,"programs")</x:f>
        <x:v>1</x:v>
      </x:c>
      <x:c r="F167" s="5" t="n">
        <x:f>COUNTIFS('Каналы'!$B$6:$B$479,$A167,'Каналы'!$E$6:$E$479,"procurement")</x:f>
        <x:v>1</x:v>
      </x:c>
      <x:c r="G167" s="5" t="n">
        <x:f>COUNTIFS('Каналы'!$B$6:$B$479,$A167,'Каналы'!$E$6:$E$479,"expert_application")</x:f>
        <x:v>0</x:v>
      </x:c>
      <x:c r="H167" s="5" t="n">
        <x:f>COUNTIFS('Каналы'!$B$6:$B$479,$A167,'Каналы'!$E$6:$E$479,"partners")</x:f>
        <x:v>0</x:v>
      </x:c>
      <x:c r="I167" s="5" t="n">
        <x:f>COUNTIFS('Каналы'!$B$6:$B$479,$A167,'Каналы'!$E$6:$E$479,"contacts")</x:f>
        <x:v>0</x:v>
      </x:c>
      <x:c r="J167" s="5" t="n">
        <x:f>COUNTIFS('Каналы'!$B$6:$B$479,$A167,'Каналы'!$E$6:$E$479,"social")</x:f>
        <x:v>0</x:v>
      </x:c>
      <x:c r="K167" s="5" t="n">
        <x:f>COUNTIFS('Каналы'!$B$6:$B$479,$A167,'Каналы'!$E$6:$E$479,"careers")</x:f>
        <x:v>0</x:v>
      </x:c>
      <x:c r="L167" s="5" t="n">
        <x:f>SUM(C167:K167)</x:f>
        <x:v>3</x:v>
      </x:c>
      <x:c r="M167" s="5" t="str">
        <x:v>Искать каналы с нулём; отдельно проверять действующее юрлицо и прием внешних провайдеров.</x:v>
      </x:c>
    </x:row>
    <x:row r="168" ht="31.5" customHeight="1">
      <x:c r="A168" s="5" t="str">
        <x:v>CU-0053</x:v>
      </x:c>
      <x:c r="B168" s="5" t="str">
        <x:v>Учебный центр Корпорации ВСМПО-АВИСМА</x:v>
      </x:c>
      <x:c r="C168" s="5" t="n">
        <x:f>COUNTIFS('Каналы'!$B$6:$B$479,$A168,'Каналы'!$E$6:$E$479,"university_site")</x:f>
        <x:v>1</x:v>
      </x:c>
      <x:c r="D168" s="5" t="n">
        <x:f>COUNTIFS('Каналы'!$B$6:$B$479,$A168,'Каналы'!$E$6:$E$479,"news")</x:f>
        <x:v>0</x:v>
      </x:c>
      <x:c r="E168" s="5" t="n">
        <x:f>COUNTIFS('Каналы'!$B$6:$B$479,$A168,'Каналы'!$E$6:$E$479,"programs")</x:f>
        <x:v>0</x:v>
      </x:c>
      <x:c r="F168" s="5" t="n">
        <x:f>COUNTIFS('Каналы'!$B$6:$B$479,$A168,'Каналы'!$E$6:$E$479,"procurement")</x:f>
        <x:v>0</x:v>
      </x:c>
      <x:c r="G168" s="5" t="n">
        <x:f>COUNTIFS('Каналы'!$B$6:$B$479,$A168,'Каналы'!$E$6:$E$479,"expert_application")</x:f>
        <x:v>0</x:v>
      </x:c>
      <x:c r="H168" s="5" t="n">
        <x:f>COUNTIFS('Каналы'!$B$6:$B$479,$A168,'Каналы'!$E$6:$E$479,"partners")</x:f>
        <x:v>0</x:v>
      </x:c>
      <x:c r="I168" s="5" t="n">
        <x:f>COUNTIFS('Каналы'!$B$6:$B$479,$A168,'Каналы'!$E$6:$E$479,"contacts")</x:f>
        <x:v>0</x:v>
      </x:c>
      <x:c r="J168" s="5" t="n">
        <x:f>COUNTIFS('Каналы'!$B$6:$B$479,$A168,'Каналы'!$E$6:$E$479,"social")</x:f>
        <x:v>0</x:v>
      </x:c>
      <x:c r="K168" s="5" t="n">
        <x:f>COUNTIFS('Каналы'!$B$6:$B$479,$A168,'Каналы'!$E$6:$E$479,"careers")</x:f>
        <x:v>0</x:v>
      </x:c>
      <x:c r="L168" s="5" t="n">
        <x:f>SUM(C168:K168)</x:f>
        <x:v>1</x:v>
      </x:c>
      <x:c r="M168" s="5" t="str">
        <x:v>Искать каналы с нулём; отдельно проверять действующее юрлицо и прием внешних провайдеров.</x:v>
      </x:c>
    </x:row>
    <x:row r="169" ht="31.5" customHeight="1">
      <x:c r="A169" s="5" t="str">
        <x:v>CU-0057</x:v>
      </x:c>
      <x:c r="B169" s="5" t="str">
        <x:v>Учебный центр ФосАгро</x:v>
      </x:c>
      <x:c r="C169" s="5" t="n">
        <x:f>COUNTIFS('Каналы'!$B$6:$B$479,$A169,'Каналы'!$E$6:$E$479,"university_site")</x:f>
        <x:v>1</x:v>
      </x:c>
      <x:c r="D169" s="5" t="n">
        <x:f>COUNTIFS('Каналы'!$B$6:$B$479,$A169,'Каналы'!$E$6:$E$479,"news")</x:f>
        <x:v>0</x:v>
      </x:c>
      <x:c r="E169" s="5" t="n">
        <x:f>COUNTIFS('Каналы'!$B$6:$B$479,$A169,'Каналы'!$E$6:$E$479,"programs")</x:f>
        <x:v>1</x:v>
      </x:c>
      <x:c r="F169" s="5" t="n">
        <x:f>COUNTIFS('Каналы'!$B$6:$B$479,$A169,'Каналы'!$E$6:$E$479,"procurement")</x:f>
        <x:v>0</x:v>
      </x:c>
      <x:c r="G169" s="5" t="n">
        <x:f>COUNTIFS('Каналы'!$B$6:$B$479,$A169,'Каналы'!$E$6:$E$479,"expert_application")</x:f>
        <x:v>0</x:v>
      </x:c>
      <x:c r="H169" s="5" t="n">
        <x:f>COUNTIFS('Каналы'!$B$6:$B$479,$A169,'Каналы'!$E$6:$E$479,"partners")</x:f>
        <x:v>0</x:v>
      </x:c>
      <x:c r="I169" s="5" t="n">
        <x:f>COUNTIFS('Каналы'!$B$6:$B$479,$A169,'Каналы'!$E$6:$E$479,"contacts")</x:f>
        <x:v>0</x:v>
      </x:c>
      <x:c r="J169" s="5" t="n">
        <x:f>COUNTIFS('Каналы'!$B$6:$B$479,$A169,'Каналы'!$E$6:$E$479,"social")</x:f>
        <x:v>0</x:v>
      </x:c>
      <x:c r="K169" s="5" t="n">
        <x:f>COUNTIFS('Каналы'!$B$6:$B$479,$A169,'Каналы'!$E$6:$E$479,"careers")</x:f>
        <x:v>0</x:v>
      </x:c>
      <x:c r="L169" s="5" t="n">
        <x:f>SUM(C169:K169)</x:f>
        <x:v>2</x:v>
      </x:c>
      <x:c r="M169" s="5" t="str">
        <x:v>Искать каналы с нулём; отдельно проверять действующее юрлицо и прием внешних провайдеров.</x:v>
      </x:c>
    </x:row>
    <x:row r="170" ht="31.5" customHeight="1">
      <x:c r="A170" s="5" t="str">
        <x:v>CU-0058</x:v>
      </x:c>
      <x:c r="B170" s="5" t="str">
        <x:v>Учебный центр ПАО «Акрон»</x:v>
      </x:c>
      <x:c r="C170" s="5" t="n">
        <x:f>COUNTIFS('Каналы'!$B$6:$B$479,$A170,'Каналы'!$E$6:$E$479,"university_site")</x:f>
        <x:v>1</x:v>
      </x:c>
      <x:c r="D170" s="5" t="n">
        <x:f>COUNTIFS('Каналы'!$B$6:$B$479,$A170,'Каналы'!$E$6:$E$479,"news")</x:f>
        <x:v>0</x:v>
      </x:c>
      <x:c r="E170" s="5" t="n">
        <x:f>COUNTIFS('Каналы'!$B$6:$B$479,$A170,'Каналы'!$E$6:$E$479,"programs")</x:f>
        <x:v>0</x:v>
      </x:c>
      <x:c r="F170" s="5" t="n">
        <x:f>COUNTIFS('Каналы'!$B$6:$B$479,$A170,'Каналы'!$E$6:$E$479,"procurement")</x:f>
        <x:v>1</x:v>
      </x:c>
      <x:c r="G170" s="5" t="n">
        <x:f>COUNTIFS('Каналы'!$B$6:$B$479,$A170,'Каналы'!$E$6:$E$479,"expert_application")</x:f>
        <x:v>0</x:v>
      </x:c>
      <x:c r="H170" s="5" t="n">
        <x:f>COUNTIFS('Каналы'!$B$6:$B$479,$A170,'Каналы'!$E$6:$E$479,"partners")</x:f>
        <x:v>0</x:v>
      </x:c>
      <x:c r="I170" s="5" t="n">
        <x:f>COUNTIFS('Каналы'!$B$6:$B$479,$A170,'Каналы'!$E$6:$E$479,"contacts")</x:f>
        <x:v>0</x:v>
      </x:c>
      <x:c r="J170" s="5" t="n">
        <x:f>COUNTIFS('Каналы'!$B$6:$B$479,$A170,'Каналы'!$E$6:$E$479,"social")</x:f>
        <x:v>0</x:v>
      </x:c>
      <x:c r="K170" s="5" t="n">
        <x:f>COUNTIFS('Каналы'!$B$6:$B$479,$A170,'Каналы'!$E$6:$E$479,"careers")</x:f>
        <x:v>0</x:v>
      </x:c>
      <x:c r="L170" s="5" t="n">
        <x:f>SUM(C170:K170)</x:f>
        <x:v>2</x:v>
      </x:c>
      <x:c r="M170" s="5" t="str">
        <x:v>Искать каналы с нулём; отдельно проверять действующее юрлицо и прием внешних провайдеров.</x:v>
      </x:c>
    </x:row>
    <x:row r="171" ht="31.5" customHeight="1">
      <x:c r="A171" s="5" t="str">
        <x:v>CU-0069</x:v>
      </x:c>
      <x:c r="B171" s="5" t="str">
        <x:v>Учебный центр «Силовых машин»</x:v>
      </x:c>
      <x:c r="C171" s="5" t="n">
        <x:f>COUNTIFS('Каналы'!$B$6:$B$479,$A171,'Каналы'!$E$6:$E$479,"university_site")</x:f>
        <x:v>1</x:v>
      </x:c>
      <x:c r="D171" s="5" t="n">
        <x:f>COUNTIFS('Каналы'!$B$6:$B$479,$A171,'Каналы'!$E$6:$E$479,"news")</x:f>
        <x:v>0</x:v>
      </x:c>
      <x:c r="E171" s="5" t="n">
        <x:f>COUNTIFS('Каналы'!$B$6:$B$479,$A171,'Каналы'!$E$6:$E$479,"programs")</x:f>
        <x:v>1</x:v>
      </x:c>
      <x:c r="F171" s="5" t="n">
        <x:f>COUNTIFS('Каналы'!$B$6:$B$479,$A171,'Каналы'!$E$6:$E$479,"procurement")</x:f>
        <x:v>0</x:v>
      </x:c>
      <x:c r="G171" s="5" t="n">
        <x:f>COUNTIFS('Каналы'!$B$6:$B$479,$A171,'Каналы'!$E$6:$E$479,"expert_application")</x:f>
        <x:v>0</x:v>
      </x:c>
      <x:c r="H171" s="5" t="n">
        <x:f>COUNTIFS('Каналы'!$B$6:$B$479,$A171,'Каналы'!$E$6:$E$479,"partners")</x:f>
        <x:v>0</x:v>
      </x:c>
      <x:c r="I171" s="5" t="n">
        <x:f>COUNTIFS('Каналы'!$B$6:$B$479,$A171,'Каналы'!$E$6:$E$479,"contacts")</x:f>
        <x:v>0</x:v>
      </x:c>
      <x:c r="J171" s="5" t="n">
        <x:f>COUNTIFS('Каналы'!$B$6:$B$479,$A171,'Каналы'!$E$6:$E$479,"social")</x:f>
        <x:v>0</x:v>
      </x:c>
      <x:c r="K171" s="5" t="n">
        <x:f>COUNTIFS('Каналы'!$B$6:$B$479,$A171,'Каналы'!$E$6:$E$479,"careers")</x:f>
        <x:v>0</x:v>
      </x:c>
      <x:c r="L171" s="5" t="n">
        <x:f>SUM(C171:K171)</x:f>
        <x:v>2</x:v>
      </x:c>
      <x:c r="M171" s="5" t="str">
        <x:v>Искать каналы с нулём; отдельно проверять действующее юрлицо и прием внешних провайдеров.</x:v>
      </x:c>
    </x:row>
    <x:row r="172" ht="31.5" customHeight="1">
      <x:c r="A172" s="5" t="str">
        <x:v>CU-0073</x:v>
      </x:c>
      <x:c r="B172" s="5" t="str">
        <x:v>Технологический университет ЕвроХима</x:v>
      </x:c>
      <x:c r="C172" s="5" t="n">
        <x:f>COUNTIFS('Каналы'!$B$6:$B$479,$A172,'Каналы'!$E$6:$E$479,"university_site")</x:f>
        <x:v>1</x:v>
      </x:c>
      <x:c r="D172" s="5" t="n">
        <x:f>COUNTIFS('Каналы'!$B$6:$B$479,$A172,'Каналы'!$E$6:$E$479,"news")</x:f>
        <x:v>0</x:v>
      </x:c>
      <x:c r="E172" s="5" t="n">
        <x:f>COUNTIFS('Каналы'!$B$6:$B$479,$A172,'Каналы'!$E$6:$E$479,"programs")</x:f>
        <x:v>0</x:v>
      </x:c>
      <x:c r="F172" s="5" t="n">
        <x:f>COUNTIFS('Каналы'!$B$6:$B$479,$A172,'Каналы'!$E$6:$E$479,"procurement")</x:f>
        <x:v>0</x:v>
      </x:c>
      <x:c r="G172" s="5" t="n">
        <x:f>COUNTIFS('Каналы'!$B$6:$B$479,$A172,'Каналы'!$E$6:$E$479,"expert_application")</x:f>
        <x:v>0</x:v>
      </x:c>
      <x:c r="H172" s="5" t="n">
        <x:f>COUNTIFS('Каналы'!$B$6:$B$479,$A172,'Каналы'!$E$6:$E$479,"partners")</x:f>
        <x:v>0</x:v>
      </x:c>
      <x:c r="I172" s="5" t="n">
        <x:f>COUNTIFS('Каналы'!$B$6:$B$479,$A172,'Каналы'!$E$6:$E$479,"contacts")</x:f>
        <x:v>0</x:v>
      </x:c>
      <x:c r="J172" s="5" t="n">
        <x:f>COUNTIFS('Каналы'!$B$6:$B$479,$A172,'Каналы'!$E$6:$E$479,"social")</x:f>
        <x:v>1</x:v>
      </x:c>
      <x:c r="K172" s="5" t="n">
        <x:f>COUNTIFS('Каналы'!$B$6:$B$479,$A172,'Каналы'!$E$6:$E$479,"careers")</x:f>
        <x:v>0</x:v>
      </x:c>
      <x:c r="L172" s="5" t="n">
        <x:f>SUM(C172:K172)</x:f>
        <x:v>2</x:v>
      </x:c>
      <x:c r="M172" s="5" t="str">
        <x:v>Искать каналы с нулём; отдельно проверять действующее юрлицо и прием внешних провайдеров.</x:v>
      </x:c>
    </x:row>
    <x:row r="173" ht="31.5" customHeight="1">
      <x:c r="A173" s="5" t="str">
        <x:v>CU-0076</x:v>
      </x:c>
      <x:c r="B173" s="5" t="str">
        <x:v>Научно-образовательный центр Обуховского завода</x:v>
      </x:c>
      <x:c r="C173" s="5" t="n">
        <x:f>COUNTIFS('Каналы'!$B$6:$B$479,$A173,'Каналы'!$E$6:$E$479,"university_site")</x:f>
        <x:v>1</x:v>
      </x:c>
      <x:c r="D173" s="5" t="n">
        <x:f>COUNTIFS('Каналы'!$B$6:$B$479,$A173,'Каналы'!$E$6:$E$479,"news")</x:f>
        <x:v>0</x:v>
      </x:c>
      <x:c r="E173" s="5" t="n">
        <x:f>COUNTIFS('Каналы'!$B$6:$B$479,$A173,'Каналы'!$E$6:$E$479,"programs")</x:f>
        <x:v>0</x:v>
      </x:c>
      <x:c r="F173" s="5" t="n">
        <x:f>COUNTIFS('Каналы'!$B$6:$B$479,$A173,'Каналы'!$E$6:$E$479,"procurement")</x:f>
        <x:v>0</x:v>
      </x:c>
      <x:c r="G173" s="5" t="n">
        <x:f>COUNTIFS('Каналы'!$B$6:$B$479,$A173,'Каналы'!$E$6:$E$479,"expert_application")</x:f>
        <x:v>0</x:v>
      </x:c>
      <x:c r="H173" s="5" t="n">
        <x:f>COUNTIFS('Каналы'!$B$6:$B$479,$A173,'Каналы'!$E$6:$E$479,"partners")</x:f>
        <x:v>0</x:v>
      </x:c>
      <x:c r="I173" s="5" t="n">
        <x:f>COUNTIFS('Каналы'!$B$6:$B$479,$A173,'Каналы'!$E$6:$E$479,"contacts")</x:f>
        <x:v>0</x:v>
      </x:c>
      <x:c r="J173" s="5" t="n">
        <x:f>COUNTIFS('Каналы'!$B$6:$B$479,$A173,'Каналы'!$E$6:$E$479,"social")</x:f>
        <x:v>0</x:v>
      </x:c>
      <x:c r="K173" s="5" t="n">
        <x:f>COUNTIFS('Каналы'!$B$6:$B$479,$A173,'Каналы'!$E$6:$E$479,"careers")</x:f>
        <x:v>0</x:v>
      </x:c>
      <x:c r="L173" s="5" t="n">
        <x:f>SUM(C173:K173)</x:f>
        <x:v>1</x:v>
      </x:c>
      <x:c r="M173" s="5" t="str">
        <x:v>Искать каналы с нулём; отдельно проверять действующее юрлицо и прием внешних провайдеров.</x:v>
      </x:c>
    </x:row>
    <x:row r="174" ht="31.5" customHeight="1">
      <x:c r="A174" s="5" t="str">
        <x:v>CU-0077</x:v>
      </x:c>
      <x:c r="B174" s="5" t="str">
        <x:v>Региональный центр подготовки персонала «Евраз-Сибирь»</x:v>
      </x:c>
      <x:c r="C174" s="5" t="n">
        <x:f>COUNTIFS('Каналы'!$B$6:$B$479,$A174,'Каналы'!$E$6:$E$479,"university_site")</x:f>
        <x:v>1</x:v>
      </x:c>
      <x:c r="D174" s="5" t="n">
        <x:f>COUNTIFS('Каналы'!$B$6:$B$479,$A174,'Каналы'!$E$6:$E$479,"news")</x:f>
        <x:v>1</x:v>
      </x:c>
      <x:c r="E174" s="5" t="n">
        <x:f>COUNTIFS('Каналы'!$B$6:$B$479,$A174,'Каналы'!$E$6:$E$479,"programs")</x:f>
        <x:v>1</x:v>
      </x:c>
      <x:c r="F174" s="5" t="n">
        <x:f>COUNTIFS('Каналы'!$B$6:$B$479,$A174,'Каналы'!$E$6:$E$479,"procurement")</x:f>
        <x:v>0</x:v>
      </x:c>
      <x:c r="G174" s="5" t="n">
        <x:f>COUNTIFS('Каналы'!$B$6:$B$479,$A174,'Каналы'!$E$6:$E$479,"expert_application")</x:f>
        <x:v>0</x:v>
      </x:c>
      <x:c r="H174" s="5" t="n">
        <x:f>COUNTIFS('Каналы'!$B$6:$B$479,$A174,'Каналы'!$E$6:$E$479,"partners")</x:f>
        <x:v>0</x:v>
      </x:c>
      <x:c r="I174" s="5" t="n">
        <x:f>COUNTIFS('Каналы'!$B$6:$B$479,$A174,'Каналы'!$E$6:$E$479,"contacts")</x:f>
        <x:v>0</x:v>
      </x:c>
      <x:c r="J174" s="5" t="n">
        <x:f>COUNTIFS('Каналы'!$B$6:$B$479,$A174,'Каналы'!$E$6:$E$479,"social")</x:f>
        <x:v>0</x:v>
      </x:c>
      <x:c r="K174" s="5" t="n">
        <x:f>COUNTIFS('Каналы'!$B$6:$B$479,$A174,'Каналы'!$E$6:$E$479,"careers")</x:f>
        <x:v>0</x:v>
      </x:c>
      <x:c r="L174" s="5" t="n">
        <x:f>SUM(C174:K174)</x:f>
        <x:v>3</x:v>
      </x:c>
      <x:c r="M174" s="5" t="str">
        <x:v>Искать каналы с нулём; отдельно проверять действующее юрлицо и прием внешних провайдеров.</x:v>
      </x:c>
    </x:row>
    <x:row r="175" ht="31.5" customHeight="1">
      <x:c r="A175" s="5" t="str">
        <x:v>CU-0078</x:v>
      </x:c>
      <x:c r="B175" s="5" t="str">
        <x:v>Центр подготовки персонала «Евраз-Урал»</x:v>
      </x:c>
      <x:c r="C175" s="5" t="n">
        <x:f>COUNTIFS('Каналы'!$B$6:$B$479,$A175,'Каналы'!$E$6:$E$479,"university_site")</x:f>
        <x:v>1</x:v>
      </x:c>
      <x:c r="D175" s="5" t="n">
        <x:f>COUNTIFS('Каналы'!$B$6:$B$479,$A175,'Каналы'!$E$6:$E$479,"news")</x:f>
        <x:v>0</x:v>
      </x:c>
      <x:c r="E175" s="5" t="n">
        <x:f>COUNTIFS('Каналы'!$B$6:$B$479,$A175,'Каналы'!$E$6:$E$479,"programs")</x:f>
        <x:v>0</x:v>
      </x:c>
      <x:c r="F175" s="5" t="n">
        <x:f>COUNTIFS('Каналы'!$B$6:$B$479,$A175,'Каналы'!$E$6:$E$479,"procurement")</x:f>
        <x:v>0</x:v>
      </x:c>
      <x:c r="G175" s="5" t="n">
        <x:f>COUNTIFS('Каналы'!$B$6:$B$479,$A175,'Каналы'!$E$6:$E$479,"expert_application")</x:f>
        <x:v>0</x:v>
      </x:c>
      <x:c r="H175" s="5" t="n">
        <x:f>COUNTIFS('Каналы'!$B$6:$B$479,$A175,'Каналы'!$E$6:$E$479,"partners")</x:f>
        <x:v>1</x:v>
      </x:c>
      <x:c r="I175" s="5" t="n">
        <x:f>COUNTIFS('Каналы'!$B$6:$B$479,$A175,'Каналы'!$E$6:$E$479,"contacts")</x:f>
        <x:v>0</x:v>
      </x:c>
      <x:c r="J175" s="5" t="n">
        <x:f>COUNTIFS('Каналы'!$B$6:$B$479,$A175,'Каналы'!$E$6:$E$479,"social")</x:f>
        <x:v>0</x:v>
      </x:c>
      <x:c r="K175" s="5" t="n">
        <x:f>COUNTIFS('Каналы'!$B$6:$B$479,$A175,'Каналы'!$E$6:$E$479,"careers")</x:f>
        <x:v>0</x:v>
      </x:c>
      <x:c r="L175" s="5" t="n">
        <x:f>SUM(C175:K175)</x:f>
        <x:v>2</x:v>
      </x:c>
      <x:c r="M175" s="5" t="str">
        <x:v>Искать каналы с нулём; отдельно проверять действующее юрлицо и прием внешних провайдеров.</x:v>
      </x:c>
    </x:row>
    <x:row r="176" ht="31.5" customHeight="1">
      <x:c r="A176" s="5" t="str">
        <x:v>CU-0079</x:v>
      </x:c>
      <x:c r="B176" s="5" t="str">
        <x:v>Учебный центр ЧерМК / отдел по обучению и развитию Северстали</x:v>
      </x:c>
      <x:c r="C176" s="5" t="n">
        <x:f>COUNTIFS('Каналы'!$B$6:$B$479,$A176,'Каналы'!$E$6:$E$479,"university_site")</x:f>
        <x:v>2</x:v>
      </x:c>
      <x:c r="D176" s="5" t="n">
        <x:f>COUNTIFS('Каналы'!$B$6:$B$479,$A176,'Каналы'!$E$6:$E$479,"news")</x:f>
        <x:v>0</x:v>
      </x:c>
      <x:c r="E176" s="5" t="n">
        <x:f>COUNTIFS('Каналы'!$B$6:$B$479,$A176,'Каналы'!$E$6:$E$479,"programs")</x:f>
        <x:v>0</x:v>
      </x:c>
      <x:c r="F176" s="5" t="n">
        <x:f>COUNTIFS('Каналы'!$B$6:$B$479,$A176,'Каналы'!$E$6:$E$479,"procurement")</x:f>
        <x:v>0</x:v>
      </x:c>
      <x:c r="G176" s="5" t="n">
        <x:f>COUNTIFS('Каналы'!$B$6:$B$479,$A176,'Каналы'!$E$6:$E$479,"expert_application")</x:f>
        <x:v>0</x:v>
      </x:c>
      <x:c r="H176" s="5" t="n">
        <x:f>COUNTIFS('Каналы'!$B$6:$B$479,$A176,'Каналы'!$E$6:$E$479,"partners")</x:f>
        <x:v>0</x:v>
      </x:c>
      <x:c r="I176" s="5" t="n">
        <x:f>COUNTIFS('Каналы'!$B$6:$B$479,$A176,'Каналы'!$E$6:$E$479,"contacts")</x:f>
        <x:v>0</x:v>
      </x:c>
      <x:c r="J176" s="5" t="n">
        <x:f>COUNTIFS('Каналы'!$B$6:$B$479,$A176,'Каналы'!$E$6:$E$479,"social")</x:f>
        <x:v>0</x:v>
      </x:c>
      <x:c r="K176" s="5" t="n">
        <x:f>COUNTIFS('Каналы'!$B$6:$B$479,$A176,'Каналы'!$E$6:$E$479,"careers")</x:f>
        <x:v>0</x:v>
      </x:c>
      <x:c r="L176" s="5" t="n">
        <x:f>SUM(C176:K176)</x:f>
        <x:v>2</x:v>
      </x:c>
      <x:c r="M176" s="5" t="str">
        <x:v>Искать каналы с нулём; отдельно проверять действующее юрлицо и прием внешних провайдеров.</x:v>
      </x:c>
    </x:row>
    <x:row r="177" ht="31.5" customHeight="1">
      <x:c r="A177" s="5" t="str">
        <x:v>CU-0085</x:v>
      </x:c>
      <x:c r="B177" s="5" t="str">
        <x:v>Академия ПСБ</x:v>
      </x:c>
      <x:c r="C177" s="5" t="n">
        <x:f>COUNTIFS('Каналы'!$B$6:$B$479,$A177,'Каналы'!$E$6:$E$479,"university_site")</x:f>
        <x:v>1</x:v>
      </x:c>
      <x:c r="D177" s="5" t="n">
        <x:f>COUNTIFS('Каналы'!$B$6:$B$479,$A177,'Каналы'!$E$6:$E$479,"news")</x:f>
        <x:v>0</x:v>
      </x:c>
      <x:c r="E177" s="5" t="n">
        <x:f>COUNTIFS('Каналы'!$B$6:$B$479,$A177,'Каналы'!$E$6:$E$479,"programs")</x:f>
        <x:v>0</x:v>
      </x:c>
      <x:c r="F177" s="5" t="n">
        <x:f>COUNTIFS('Каналы'!$B$6:$B$479,$A177,'Каналы'!$E$6:$E$479,"procurement")</x:f>
        <x:v>0</x:v>
      </x:c>
      <x:c r="G177" s="5" t="n">
        <x:f>COUNTIFS('Каналы'!$B$6:$B$479,$A177,'Каналы'!$E$6:$E$479,"expert_application")</x:f>
        <x:v>0</x:v>
      </x:c>
      <x:c r="H177" s="5" t="n">
        <x:f>COUNTIFS('Каналы'!$B$6:$B$479,$A177,'Каналы'!$E$6:$E$479,"partners")</x:f>
        <x:v>0</x:v>
      </x:c>
      <x:c r="I177" s="5" t="n">
        <x:f>COUNTIFS('Каналы'!$B$6:$B$479,$A177,'Каналы'!$E$6:$E$479,"contacts")</x:f>
        <x:v>0</x:v>
      </x:c>
      <x:c r="J177" s="5" t="n">
        <x:f>COUNTIFS('Каналы'!$B$6:$B$479,$A177,'Каналы'!$E$6:$E$479,"social")</x:f>
        <x:v>0</x:v>
      </x:c>
      <x:c r="K177" s="5" t="n">
        <x:f>COUNTIFS('Каналы'!$B$6:$B$479,$A177,'Каналы'!$E$6:$E$479,"careers")</x:f>
        <x:v>0</x:v>
      </x:c>
      <x:c r="L177" s="5" t="n">
        <x:f>SUM(C177:K177)</x:f>
        <x:v>1</x:v>
      </x:c>
      <x:c r="M177" s="5" t="str">
        <x:v>Искать каналы с нулём; отдельно проверять действующее юрлицо и прием внешних провайдеров.</x:v>
      </x:c>
    </x:row>
    <x:row r="178" ht="31.5" customHeight="1">
      <x:c r="A178" s="5" t="str">
        <x:v>CU-0091</x:v>
      </x:c>
      <x:c r="B178" s="5" t="str">
        <x:v>Школа страхования РЕСО</x:v>
      </x:c>
      <x:c r="C178" s="5" t="n">
        <x:f>COUNTIFS('Каналы'!$B$6:$B$479,$A178,'Каналы'!$E$6:$E$479,"university_site")</x:f>
        <x:v>1</x:v>
      </x:c>
      <x:c r="D178" s="5" t="n">
        <x:f>COUNTIFS('Каналы'!$B$6:$B$479,$A178,'Каналы'!$E$6:$E$479,"news")</x:f>
        <x:v>0</x:v>
      </x:c>
      <x:c r="E178" s="5" t="n">
        <x:f>COUNTIFS('Каналы'!$B$6:$B$479,$A178,'Каналы'!$E$6:$E$479,"programs")</x:f>
        <x:v>0</x:v>
      </x:c>
      <x:c r="F178" s="5" t="n">
        <x:f>COUNTIFS('Каналы'!$B$6:$B$479,$A178,'Каналы'!$E$6:$E$479,"procurement")</x:f>
        <x:v>1</x:v>
      </x:c>
      <x:c r="G178" s="5" t="n">
        <x:f>COUNTIFS('Каналы'!$B$6:$B$479,$A178,'Каналы'!$E$6:$E$479,"expert_application")</x:f>
        <x:v>0</x:v>
      </x:c>
      <x:c r="H178" s="5" t="n">
        <x:f>COUNTIFS('Каналы'!$B$6:$B$479,$A178,'Каналы'!$E$6:$E$479,"partners")</x:f>
        <x:v>0</x:v>
      </x:c>
      <x:c r="I178" s="5" t="n">
        <x:f>COUNTIFS('Каналы'!$B$6:$B$479,$A178,'Каналы'!$E$6:$E$479,"contacts")</x:f>
        <x:v>0</x:v>
      </x:c>
      <x:c r="J178" s="5" t="n">
        <x:f>COUNTIFS('Каналы'!$B$6:$B$479,$A178,'Каналы'!$E$6:$E$479,"social")</x:f>
        <x:v>0</x:v>
      </x:c>
      <x:c r="K178" s="5" t="n">
        <x:f>COUNTIFS('Каналы'!$B$6:$B$479,$A178,'Каналы'!$E$6:$E$479,"careers")</x:f>
        <x:v>0</x:v>
      </x:c>
      <x:c r="L178" s="5" t="n">
        <x:f>SUM(C178:K178)</x:f>
        <x:v>2</x:v>
      </x:c>
      <x:c r="M178" s="5" t="str">
        <x:v>Искать каналы с нулём; отдельно проверять действующее юрлицо и прием внешних провайдеров.</x:v>
      </x:c>
    </x:row>
    <x:row r="179" ht="31.5" customHeight="1">
      <x:c r="A179" s="5" t="str">
        <x:v>CU-0096</x:v>
      </x:c>
      <x:c r="B179" s="5" t="str">
        <x:v>МегаАкадемия</x:v>
      </x:c>
      <x:c r="C179" s="5" t="n">
        <x:f>COUNTIFS('Каналы'!$B$6:$B$479,$A179,'Каналы'!$E$6:$E$479,"university_site")</x:f>
        <x:v>0</x:v>
      </x:c>
      <x:c r="D179" s="5" t="n">
        <x:f>COUNTIFS('Каналы'!$B$6:$B$479,$A179,'Каналы'!$E$6:$E$479,"news")</x:f>
        <x:v>1</x:v>
      </x:c>
      <x:c r="E179" s="5" t="n">
        <x:f>COUNTIFS('Каналы'!$B$6:$B$479,$A179,'Каналы'!$E$6:$E$479,"programs")</x:f>
        <x:v>1</x:v>
      </x:c>
      <x:c r="F179" s="5" t="n">
        <x:f>COUNTIFS('Каналы'!$B$6:$B$479,$A179,'Каналы'!$E$6:$E$479,"procurement")</x:f>
        <x:v>0</x:v>
      </x:c>
      <x:c r="G179" s="5" t="n">
        <x:f>COUNTIFS('Каналы'!$B$6:$B$479,$A179,'Каналы'!$E$6:$E$479,"expert_application")</x:f>
        <x:v>0</x:v>
      </x:c>
      <x:c r="H179" s="5" t="n">
        <x:f>COUNTIFS('Каналы'!$B$6:$B$479,$A179,'Каналы'!$E$6:$E$479,"partners")</x:f>
        <x:v>0</x:v>
      </x:c>
      <x:c r="I179" s="5" t="n">
        <x:f>COUNTIFS('Каналы'!$B$6:$B$479,$A179,'Каналы'!$E$6:$E$479,"contacts")</x:f>
        <x:v>0</x:v>
      </x:c>
      <x:c r="J179" s="5" t="n">
        <x:f>COUNTIFS('Каналы'!$B$6:$B$479,$A179,'Каналы'!$E$6:$E$479,"social")</x:f>
        <x:v>0</x:v>
      </x:c>
      <x:c r="K179" s="5" t="n">
        <x:f>COUNTIFS('Каналы'!$B$6:$B$479,$A179,'Каналы'!$E$6:$E$479,"careers")</x:f>
        <x:v>0</x:v>
      </x:c>
      <x:c r="L179" s="5" t="n">
        <x:f>SUM(C179:K179)</x:f>
        <x:v>2</x:v>
      </x:c>
      <x:c r="M179" s="5" t="str">
        <x:v>Искать каналы с нулём; отдельно проверять действующее юрлицо и прием внешних провайдеров.</x:v>
      </x:c>
    </x:row>
    <x:row r="180" ht="31.5" customHeight="1">
      <x:c r="A180" s="5" t="str">
        <x:v>CU-0098</x:v>
      </x:c>
      <x:c r="B180" s="5" t="str">
        <x:v>Корпоративная академия Магнита</x:v>
      </x:c>
      <x:c r="C180" s="5" t="n">
        <x:f>COUNTIFS('Каналы'!$B$6:$B$479,$A180,'Каналы'!$E$6:$E$479,"university_site")</x:f>
        <x:v>0</x:v>
      </x:c>
      <x:c r="D180" s="5" t="n">
        <x:f>COUNTIFS('Каналы'!$B$6:$B$479,$A180,'Каналы'!$E$6:$E$479,"news")</x:f>
        <x:v>1</x:v>
      </x:c>
      <x:c r="E180" s="5" t="n">
        <x:f>COUNTIFS('Каналы'!$B$6:$B$479,$A180,'Каналы'!$E$6:$E$479,"programs")</x:f>
        <x:v>0</x:v>
      </x:c>
      <x:c r="F180" s="5" t="n">
        <x:f>COUNTIFS('Каналы'!$B$6:$B$479,$A180,'Каналы'!$E$6:$E$479,"procurement")</x:f>
        <x:v>0</x:v>
      </x:c>
      <x:c r="G180" s="5" t="n">
        <x:f>COUNTIFS('Каналы'!$B$6:$B$479,$A180,'Каналы'!$E$6:$E$479,"expert_application")</x:f>
        <x:v>0</x:v>
      </x:c>
      <x:c r="H180" s="5" t="n">
        <x:f>COUNTIFS('Каналы'!$B$6:$B$479,$A180,'Каналы'!$E$6:$E$479,"partners")</x:f>
        <x:v>0</x:v>
      </x:c>
      <x:c r="I180" s="5" t="n">
        <x:f>COUNTIFS('Каналы'!$B$6:$B$479,$A180,'Каналы'!$E$6:$E$479,"contacts")</x:f>
        <x:v>0</x:v>
      </x:c>
      <x:c r="J180" s="5" t="n">
        <x:f>COUNTIFS('Каналы'!$B$6:$B$479,$A180,'Каналы'!$E$6:$E$479,"social")</x:f>
        <x:v>0</x:v>
      </x:c>
      <x:c r="K180" s="5" t="n">
        <x:f>COUNTIFS('Каналы'!$B$6:$B$479,$A180,'Каналы'!$E$6:$E$479,"careers")</x:f>
        <x:v>0</x:v>
      </x:c>
      <x:c r="L180" s="5" t="n">
        <x:f>SUM(C180:K180)</x:f>
        <x:v>1</x:v>
      </x:c>
      <x:c r="M180" s="5" t="str">
        <x:v>Искать каналы с нулём; отдельно проверять действующее юрлицо и прием внешних провайдеров.</x:v>
      </x:c>
    </x:row>
    <x:row r="181" ht="31.5" customHeight="1">
      <x:c r="A181" s="5" t="str">
        <x:v>CU-0100</x:v>
      </x:c>
      <x:c r="B181" s="5" t="str">
        <x:v>Цифровая академия / Академия ритейла М.Видео-Эльдорадо</x:v>
      </x:c>
      <x:c r="C181" s="5" t="n">
        <x:f>COUNTIFS('Каналы'!$B$6:$B$479,$A181,'Каналы'!$E$6:$E$479,"university_site")</x:f>
        <x:v>0</x:v>
      </x:c>
      <x:c r="D181" s="5" t="n">
        <x:f>COUNTIFS('Каналы'!$B$6:$B$479,$A181,'Каналы'!$E$6:$E$479,"news")</x:f>
        <x:v>2</x:v>
      </x:c>
      <x:c r="E181" s="5" t="n">
        <x:f>COUNTIFS('Каналы'!$B$6:$B$479,$A181,'Каналы'!$E$6:$E$479,"programs")</x:f>
        <x:v>0</x:v>
      </x:c>
      <x:c r="F181" s="5" t="n">
        <x:f>COUNTIFS('Каналы'!$B$6:$B$479,$A181,'Каналы'!$E$6:$E$479,"procurement")</x:f>
        <x:v>0</x:v>
      </x:c>
      <x:c r="G181" s="5" t="n">
        <x:f>COUNTIFS('Каналы'!$B$6:$B$479,$A181,'Каналы'!$E$6:$E$479,"expert_application")</x:f>
        <x:v>0</x:v>
      </x:c>
      <x:c r="H181" s="5" t="n">
        <x:f>COUNTIFS('Каналы'!$B$6:$B$479,$A181,'Каналы'!$E$6:$E$479,"partners")</x:f>
        <x:v>0</x:v>
      </x:c>
      <x:c r="I181" s="5" t="n">
        <x:f>COUNTIFS('Каналы'!$B$6:$B$479,$A181,'Каналы'!$E$6:$E$479,"contacts")</x:f>
        <x:v>0</x:v>
      </x:c>
      <x:c r="J181" s="5" t="n">
        <x:f>COUNTIFS('Каналы'!$B$6:$B$479,$A181,'Каналы'!$E$6:$E$479,"social")</x:f>
        <x:v>0</x:v>
      </x:c>
      <x:c r="K181" s="5" t="n">
        <x:f>COUNTIFS('Каналы'!$B$6:$B$479,$A181,'Каналы'!$E$6:$E$479,"careers")</x:f>
        <x:v>0</x:v>
      </x:c>
      <x:c r="L181" s="5" t="n">
        <x:f>SUM(C181:K181)</x:f>
        <x:v>2</x:v>
      </x:c>
      <x:c r="M181" s="5" t="str">
        <x:v>Искать каналы с нулём; отдельно проверять действующее юрлицо и прием внешних провайдеров.</x:v>
      </x:c>
    </x:row>
    <x:row r="182" ht="31.5" customHeight="1">
      <x:c r="A182" s="5" t="str">
        <x:v>CU-0104</x:v>
      </x:c>
      <x:c r="B182" s="5" t="str">
        <x:v>Сетевая Академия ЛАНИТ</x:v>
      </x:c>
      <x:c r="C182" s="5" t="n">
        <x:f>COUNTIFS('Каналы'!$B$6:$B$479,$A182,'Каналы'!$E$6:$E$479,"university_site")</x:f>
        <x:v>0</x:v>
      </x:c>
      <x:c r="D182" s="5" t="n">
        <x:f>COUNTIFS('Каналы'!$B$6:$B$479,$A182,'Каналы'!$E$6:$E$479,"news")</x:f>
        <x:v>2</x:v>
      </x:c>
      <x:c r="E182" s="5" t="n">
        <x:f>COUNTIFS('Каналы'!$B$6:$B$479,$A182,'Каналы'!$E$6:$E$479,"programs")</x:f>
        <x:v>0</x:v>
      </x:c>
      <x:c r="F182" s="5" t="n">
        <x:f>COUNTIFS('Каналы'!$B$6:$B$479,$A182,'Каналы'!$E$6:$E$479,"procurement")</x:f>
        <x:v>0</x:v>
      </x:c>
      <x:c r="G182" s="5" t="n">
        <x:f>COUNTIFS('Каналы'!$B$6:$B$479,$A182,'Каналы'!$E$6:$E$479,"expert_application")</x:f>
        <x:v>0</x:v>
      </x:c>
      <x:c r="H182" s="5" t="n">
        <x:f>COUNTIFS('Каналы'!$B$6:$B$479,$A182,'Каналы'!$E$6:$E$479,"partners")</x:f>
        <x:v>0</x:v>
      </x:c>
      <x:c r="I182" s="5" t="n">
        <x:f>COUNTIFS('Каналы'!$B$6:$B$479,$A182,'Каналы'!$E$6:$E$479,"contacts")</x:f>
        <x:v>0</x:v>
      </x:c>
      <x:c r="J182" s="5" t="n">
        <x:f>COUNTIFS('Каналы'!$B$6:$B$479,$A182,'Каналы'!$E$6:$E$479,"social")</x:f>
        <x:v>0</x:v>
      </x:c>
      <x:c r="K182" s="5" t="n">
        <x:f>COUNTIFS('Каналы'!$B$6:$B$479,$A182,'Каналы'!$E$6:$E$479,"careers")</x:f>
        <x:v>0</x:v>
      </x:c>
      <x:c r="L182" s="5" t="n">
        <x:f>SUM(C182:K182)</x:f>
        <x:v>2</x:v>
      </x:c>
      <x:c r="M182" s="5" t="str">
        <x:v>Искать каналы с нулём; отдельно проверять действующее юрлицо и прием внешних провайдеров.</x:v>
      </x:c>
    </x:row>
    <x:row r="183" ht="31.5" customHeight="1">
      <x:c r="A183" s="5" t="str">
        <x:v>CU-0108</x:v>
      </x:c>
      <x:c r="B183" s="5" t="str">
        <x:v>Академия бизнеса Б1</x:v>
      </x:c>
      <x:c r="C183" s="5" t="n">
        <x:f>COUNTIFS('Каналы'!$B$6:$B$479,$A183,'Каналы'!$E$6:$E$479,"university_site")</x:f>
        <x:v>1</x:v>
      </x:c>
      <x:c r="D183" s="5" t="n">
        <x:f>COUNTIFS('Каналы'!$B$6:$B$479,$A183,'Каналы'!$E$6:$E$479,"news")</x:f>
        <x:v>0</x:v>
      </x:c>
      <x:c r="E183" s="5" t="n">
        <x:f>COUNTIFS('Каналы'!$B$6:$B$479,$A183,'Каналы'!$E$6:$E$479,"programs")</x:f>
        <x:v>1</x:v>
      </x:c>
      <x:c r="F183" s="5" t="n">
        <x:f>COUNTIFS('Каналы'!$B$6:$B$479,$A183,'Каналы'!$E$6:$E$479,"procurement")</x:f>
        <x:v>0</x:v>
      </x:c>
      <x:c r="G183" s="5" t="n">
        <x:f>COUNTIFS('Каналы'!$B$6:$B$479,$A183,'Каналы'!$E$6:$E$479,"expert_application")</x:f>
        <x:v>0</x:v>
      </x:c>
      <x:c r="H183" s="5" t="n">
        <x:f>COUNTIFS('Каналы'!$B$6:$B$479,$A183,'Каналы'!$E$6:$E$479,"partners")</x:f>
        <x:v>0</x:v>
      </x:c>
      <x:c r="I183" s="5" t="n">
        <x:f>COUNTIFS('Каналы'!$B$6:$B$479,$A183,'Каналы'!$E$6:$E$479,"contacts")</x:f>
        <x:v>1</x:v>
      </x:c>
      <x:c r="J183" s="5" t="n">
        <x:f>COUNTIFS('Каналы'!$B$6:$B$479,$A183,'Каналы'!$E$6:$E$479,"social")</x:f>
        <x:v>0</x:v>
      </x:c>
      <x:c r="K183" s="5" t="n">
        <x:f>COUNTIFS('Каналы'!$B$6:$B$479,$A183,'Каналы'!$E$6:$E$479,"careers")</x:f>
        <x:v>0</x:v>
      </x:c>
      <x:c r="L183" s="5" t="n">
        <x:f>SUM(C183:K183)</x:f>
        <x:v>3</x:v>
      </x:c>
      <x:c r="M183" s="5" t="str">
        <x:v>Искать каналы с нулём; отдельно проверять действующее юрлицо и прием внешних провайдеров.</x:v>
      </x:c>
    </x:row>
    <x:row r="184" ht="31.5" customHeight="1">
      <x:c r="A184" s="5" t="str">
        <x:v>CU-0109</x:v>
      </x:c>
      <x:c r="B184" s="5" t="str">
        <x:v>Академия Kept</x:v>
      </x:c>
      <x:c r="C184" s="5" t="n">
        <x:f>COUNTIFS('Каналы'!$B$6:$B$479,$A184,'Каналы'!$E$6:$E$479,"university_site")</x:f>
        <x:v>1</x:v>
      </x:c>
      <x:c r="D184" s="5" t="n">
        <x:f>COUNTIFS('Каналы'!$B$6:$B$479,$A184,'Каналы'!$E$6:$E$479,"news")</x:f>
        <x:v>0</x:v>
      </x:c>
      <x:c r="E184" s="5" t="n">
        <x:f>COUNTIFS('Каналы'!$B$6:$B$479,$A184,'Каналы'!$E$6:$E$479,"programs")</x:f>
        <x:v>1</x:v>
      </x:c>
      <x:c r="F184" s="5" t="n">
        <x:f>COUNTIFS('Каналы'!$B$6:$B$479,$A184,'Каналы'!$E$6:$E$479,"procurement")</x:f>
        <x:v>0</x:v>
      </x:c>
      <x:c r="G184" s="5" t="n">
        <x:f>COUNTIFS('Каналы'!$B$6:$B$479,$A184,'Каналы'!$E$6:$E$479,"expert_application")</x:f>
        <x:v>0</x:v>
      </x:c>
      <x:c r="H184" s="5" t="n">
        <x:f>COUNTIFS('Каналы'!$B$6:$B$479,$A184,'Каналы'!$E$6:$E$479,"partners")</x:f>
        <x:v>0</x:v>
      </x:c>
      <x:c r="I184" s="5" t="n">
        <x:f>COUNTIFS('Каналы'!$B$6:$B$479,$A184,'Каналы'!$E$6:$E$479,"contacts")</x:f>
        <x:v>0</x:v>
      </x:c>
      <x:c r="J184" s="5" t="n">
        <x:f>COUNTIFS('Каналы'!$B$6:$B$479,$A184,'Каналы'!$E$6:$E$479,"social")</x:f>
        <x:v>0</x:v>
      </x:c>
      <x:c r="K184" s="5" t="n">
        <x:f>COUNTIFS('Каналы'!$B$6:$B$479,$A184,'Каналы'!$E$6:$E$479,"careers")</x:f>
        <x:v>0</x:v>
      </x:c>
      <x:c r="L184" s="5" t="n">
        <x:f>SUM(C184:K184)</x:f>
        <x:v>2</x:v>
      </x:c>
      <x:c r="M184" s="5" t="str">
        <x:v>Искать каналы с нулём; отдельно проверять действующее юрлицо и прием внешних провайдеров.</x:v>
      </x:c>
    </x:row>
    <x:row r="185" ht="31.5" customHeight="1">
      <x:c r="A185" s="5" t="str">
        <x:v>CU-0110</x:v>
      </x:c>
      <x:c r="B185" s="5" t="str">
        <x:v>Академия Технологий Доверия</x:v>
      </x:c>
      <x:c r="C185" s="5" t="n">
        <x:f>COUNTIFS('Каналы'!$B$6:$B$479,$A185,'Каналы'!$E$6:$E$479,"university_site")</x:f>
        <x:v>1</x:v>
      </x:c>
      <x:c r="D185" s="5" t="n">
        <x:f>COUNTIFS('Каналы'!$B$6:$B$479,$A185,'Каналы'!$E$6:$E$479,"news")</x:f>
        <x:v>0</x:v>
      </x:c>
      <x:c r="E185" s="5" t="n">
        <x:f>COUNTIFS('Каналы'!$B$6:$B$479,$A185,'Каналы'!$E$6:$E$479,"programs")</x:f>
        <x:v>1</x:v>
      </x:c>
      <x:c r="F185" s="5" t="n">
        <x:f>COUNTIFS('Каналы'!$B$6:$B$479,$A185,'Каналы'!$E$6:$E$479,"procurement")</x:f>
        <x:v>0</x:v>
      </x:c>
      <x:c r="G185" s="5" t="n">
        <x:f>COUNTIFS('Каналы'!$B$6:$B$479,$A185,'Каналы'!$E$6:$E$479,"expert_application")</x:f>
        <x:v>0</x:v>
      </x:c>
      <x:c r="H185" s="5" t="n">
        <x:f>COUNTIFS('Каналы'!$B$6:$B$479,$A185,'Каналы'!$E$6:$E$479,"partners")</x:f>
        <x:v>0</x:v>
      </x:c>
      <x:c r="I185" s="5" t="n">
        <x:f>COUNTIFS('Каналы'!$B$6:$B$479,$A185,'Каналы'!$E$6:$E$479,"contacts")</x:f>
        <x:v>1</x:v>
      </x:c>
      <x:c r="J185" s="5" t="n">
        <x:f>COUNTIFS('Каналы'!$B$6:$B$479,$A185,'Каналы'!$E$6:$E$479,"social")</x:f>
        <x:v>0</x:v>
      </x:c>
      <x:c r="K185" s="5" t="n">
        <x:f>COUNTIFS('Каналы'!$B$6:$B$479,$A185,'Каналы'!$E$6:$E$479,"careers")</x:f>
        <x:v>0</x:v>
      </x:c>
      <x:c r="L185" s="5" t="n">
        <x:f>SUM(C185:K185)</x:f>
        <x:v>3</x:v>
      </x:c>
      <x:c r="M185" s="5" t="str">
        <x:v>Искать каналы с нулём; отдельно проверять действующее юрлицо и прием внешних провайдеров.</x:v>
      </x:c>
    </x:row>
    <x:row r="186" ht="31.5" customHeight="1">
      <x:c r="A186" s="5" t="str">
        <x:v>CU-0111</x:v>
      </x:c>
      <x:c r="B186" s="5" t="str">
        <x:v>Экономико-правовая школа ФБК</x:v>
      </x:c>
      <x:c r="C186" s="5" t="n">
        <x:f>COUNTIFS('Каналы'!$B$6:$B$479,$A186,'Каналы'!$E$6:$E$479,"university_site")</x:f>
        <x:v>1</x:v>
      </x:c>
      <x:c r="D186" s="5" t="n">
        <x:f>COUNTIFS('Каналы'!$B$6:$B$479,$A186,'Каналы'!$E$6:$E$479,"news")</x:f>
        <x:v>1</x:v>
      </x:c>
      <x:c r="E186" s="5" t="n">
        <x:f>COUNTIFS('Каналы'!$B$6:$B$479,$A186,'Каналы'!$E$6:$E$479,"programs")</x:f>
        <x:v>0</x:v>
      </x:c>
      <x:c r="F186" s="5" t="n">
        <x:f>COUNTIFS('Каналы'!$B$6:$B$479,$A186,'Каналы'!$E$6:$E$479,"procurement")</x:f>
        <x:v>0</x:v>
      </x:c>
      <x:c r="G186" s="5" t="n">
        <x:f>COUNTIFS('Каналы'!$B$6:$B$479,$A186,'Каналы'!$E$6:$E$479,"expert_application")</x:f>
        <x:v>0</x:v>
      </x:c>
      <x:c r="H186" s="5" t="n">
        <x:f>COUNTIFS('Каналы'!$B$6:$B$479,$A186,'Каналы'!$E$6:$E$479,"partners")</x:f>
        <x:v>0</x:v>
      </x:c>
      <x:c r="I186" s="5" t="n">
        <x:f>COUNTIFS('Каналы'!$B$6:$B$479,$A186,'Каналы'!$E$6:$E$479,"contacts")</x:f>
        <x:v>0</x:v>
      </x:c>
      <x:c r="J186" s="5" t="n">
        <x:f>COUNTIFS('Каналы'!$B$6:$B$479,$A186,'Каналы'!$E$6:$E$479,"social")</x:f>
        <x:v>0</x:v>
      </x:c>
      <x:c r="K186" s="5" t="n">
        <x:f>COUNTIFS('Каналы'!$B$6:$B$479,$A186,'Каналы'!$E$6:$E$479,"careers")</x:f>
        <x:v>0</x:v>
      </x:c>
      <x:c r="L186" s="5" t="n">
        <x:f>SUM(C186:K186)</x:f>
        <x:v>2</x:v>
      </x:c>
      <x:c r="M186" s="5" t="str">
        <x:v>Искать каналы с нулём; отдельно проверять действующее юрлицо и прием внешних провайдеров.</x:v>
      </x:c>
    </x:row>
    <x:row r="187" ht="31.5" customHeight="1">
      <x:c r="A187" s="5" t="str">
        <x:v>CU-0118</x:v>
      </x:c>
      <x:c r="B187" s="5" t="str">
        <x:v>Академия лидерства T2Way</x:v>
      </x:c>
      <x:c r="C187" s="5" t="n">
        <x:f>COUNTIFS('Каналы'!$B$6:$B$479,$A187,'Каналы'!$E$6:$E$479,"university_site")</x:f>
        <x:v>1</x:v>
      </x:c>
      <x:c r="D187" s="5" t="n">
        <x:f>COUNTIFS('Каналы'!$B$6:$B$479,$A187,'Каналы'!$E$6:$E$479,"news")</x:f>
        <x:v>0</x:v>
      </x:c>
      <x:c r="E187" s="5" t="n">
        <x:f>COUNTIFS('Каналы'!$B$6:$B$479,$A187,'Каналы'!$E$6:$E$479,"programs")</x:f>
        <x:v>0</x:v>
      </x:c>
      <x:c r="F187" s="5" t="n">
        <x:f>COUNTIFS('Каналы'!$B$6:$B$479,$A187,'Каналы'!$E$6:$E$479,"procurement")</x:f>
        <x:v>0</x:v>
      </x:c>
      <x:c r="G187" s="5" t="n">
        <x:f>COUNTIFS('Каналы'!$B$6:$B$479,$A187,'Каналы'!$E$6:$E$479,"expert_application")</x:f>
        <x:v>0</x:v>
      </x:c>
      <x:c r="H187" s="5" t="n">
        <x:f>COUNTIFS('Каналы'!$B$6:$B$479,$A187,'Каналы'!$E$6:$E$479,"partners")</x:f>
        <x:v>0</x:v>
      </x:c>
      <x:c r="I187" s="5" t="n">
        <x:f>COUNTIFS('Каналы'!$B$6:$B$479,$A187,'Каналы'!$E$6:$E$479,"contacts")</x:f>
        <x:v>0</x:v>
      </x:c>
      <x:c r="J187" s="5" t="n">
        <x:f>COUNTIFS('Каналы'!$B$6:$B$479,$A187,'Каналы'!$E$6:$E$479,"social")</x:f>
        <x:v>0</x:v>
      </x:c>
      <x:c r="K187" s="5" t="n">
        <x:f>COUNTIFS('Каналы'!$B$6:$B$479,$A187,'Каналы'!$E$6:$E$479,"careers")</x:f>
        <x:v>0</x:v>
      </x:c>
      <x:c r="L187" s="5" t="n">
        <x:f>SUM(C187:K187)</x:f>
        <x:v>1</x:v>
      </x:c>
      <x:c r="M187" s="5" t="str">
        <x:v>Искать каналы с нулём; отдельно проверять действующее юрлицо и прием внешних провайдеров.</x:v>
      </x:c>
    </x:row>
    <x:row r="188" ht="31.5" customHeight="1">
      <x:c r="A188" s="5" t="str">
        <x:v>CU-0119</x:v>
      </x:c>
      <x:c r="B188" s="5" t="str">
        <x:v>Т1 Цифровая академия</x:v>
      </x:c>
      <x:c r="C188" s="5" t="n">
        <x:f>COUNTIFS('Каналы'!$B$6:$B$479,$A188,'Каналы'!$E$6:$E$479,"university_site")</x:f>
        <x:v>0</x:v>
      </x:c>
      <x:c r="D188" s="5" t="n">
        <x:f>COUNTIFS('Каналы'!$B$6:$B$479,$A188,'Каналы'!$E$6:$E$479,"news")</x:f>
        <x:v>1</x:v>
      </x:c>
      <x:c r="E188" s="5" t="n">
        <x:f>COUNTIFS('Каналы'!$B$6:$B$479,$A188,'Каналы'!$E$6:$E$479,"programs")</x:f>
        <x:v>0</x:v>
      </x:c>
      <x:c r="F188" s="5" t="n">
        <x:f>COUNTIFS('Каналы'!$B$6:$B$479,$A188,'Каналы'!$E$6:$E$479,"procurement")</x:f>
        <x:v>1</x:v>
      </x:c>
      <x:c r="G188" s="5" t="n">
        <x:f>COUNTIFS('Каналы'!$B$6:$B$479,$A188,'Каналы'!$E$6:$E$479,"expert_application")</x:f>
        <x:v>0</x:v>
      </x:c>
      <x:c r="H188" s="5" t="n">
        <x:f>COUNTIFS('Каналы'!$B$6:$B$479,$A188,'Каналы'!$E$6:$E$479,"partners")</x:f>
        <x:v>0</x:v>
      </x:c>
      <x:c r="I188" s="5" t="n">
        <x:f>COUNTIFS('Каналы'!$B$6:$B$479,$A188,'Каналы'!$E$6:$E$479,"contacts")</x:f>
        <x:v>1</x:v>
      </x:c>
      <x:c r="J188" s="5" t="n">
        <x:f>COUNTIFS('Каналы'!$B$6:$B$479,$A188,'Каналы'!$E$6:$E$479,"social")</x:f>
        <x:v>0</x:v>
      </x:c>
      <x:c r="K188" s="5" t="n">
        <x:f>COUNTIFS('Каналы'!$B$6:$B$479,$A188,'Каналы'!$E$6:$E$479,"careers")</x:f>
        <x:v>0</x:v>
      </x:c>
      <x:c r="L188" s="5" t="n">
        <x:f>SUM(C188:K188)</x:f>
        <x:v>3</x:v>
      </x:c>
      <x:c r="M188" s="5" t="str">
        <x:v>Искать каналы с нулём; отдельно проверять действующее юрлицо и прием внешних провайдеров.</x:v>
      </x:c>
    </x:row>
    <x:row r="189" ht="31.5" customHeight="1">
      <x:c r="A189" s="5" t="str">
        <x:v>CU-0120</x:v>
      </x:c>
      <x:c r="B189" s="5" t="str">
        <x:v>1С:Учебный центр №1</x:v>
      </x:c>
      <x:c r="C189" s="5" t="n">
        <x:f>COUNTIFS('Каналы'!$B$6:$B$479,$A189,'Каналы'!$E$6:$E$479,"university_site")</x:f>
        <x:v>1</x:v>
      </x:c>
      <x:c r="D189" s="5" t="n">
        <x:f>COUNTIFS('Каналы'!$B$6:$B$479,$A189,'Каналы'!$E$6:$E$479,"news")</x:f>
        <x:v>0</x:v>
      </x:c>
      <x:c r="E189" s="5" t="n">
        <x:f>COUNTIFS('Каналы'!$B$6:$B$479,$A189,'Каналы'!$E$6:$E$479,"programs")</x:f>
        <x:v>0</x:v>
      </x:c>
      <x:c r="F189" s="5" t="n">
        <x:f>COUNTIFS('Каналы'!$B$6:$B$479,$A189,'Каналы'!$E$6:$E$479,"procurement")</x:f>
        <x:v>0</x:v>
      </x:c>
      <x:c r="G189" s="5" t="n">
        <x:f>COUNTIFS('Каналы'!$B$6:$B$479,$A189,'Каналы'!$E$6:$E$479,"expert_application")</x:f>
        <x:v>0</x:v>
      </x:c>
      <x:c r="H189" s="5" t="n">
        <x:f>COUNTIFS('Каналы'!$B$6:$B$479,$A189,'Каналы'!$E$6:$E$479,"partners")</x:f>
        <x:v>0</x:v>
      </x:c>
      <x:c r="I189" s="5" t="n">
        <x:f>COUNTIFS('Каналы'!$B$6:$B$479,$A189,'Каналы'!$E$6:$E$479,"contacts")</x:f>
        <x:v>0</x:v>
      </x:c>
      <x:c r="J189" s="5" t="n">
        <x:f>COUNTIFS('Каналы'!$B$6:$B$479,$A189,'Каналы'!$E$6:$E$479,"social")</x:f>
        <x:v>0</x:v>
      </x:c>
      <x:c r="K189" s="5" t="n">
        <x:f>COUNTIFS('Каналы'!$B$6:$B$479,$A189,'Каналы'!$E$6:$E$479,"careers")</x:f>
        <x:v>0</x:v>
      </x:c>
      <x:c r="L189" s="5" t="n">
        <x:f>SUM(C189:K189)</x:f>
        <x:v>1</x:v>
      </x:c>
      <x:c r="M189" s="5" t="str">
        <x:v>Искать каналы с нулём; отдельно проверять действующее юрлицо и прием внешних провайдеров.</x:v>
      </x:c>
    </x:row>
    <x:row r="190" ht="31.5" customHeight="1">
      <x:c r="A190" s="5" t="str">
        <x:v>CU-0124</x:v>
      </x:c>
      <x:c r="B190" s="5" t="str">
        <x:v>АР-Университет</x:v>
      </x:c>
      <x:c r="C190" s="5" t="n">
        <x:f>COUNTIFS('Каналы'!$B$6:$B$479,$A190,'Каналы'!$E$6:$E$479,"university_site")</x:f>
        <x:v>1</x:v>
      </x:c>
      <x:c r="D190" s="5" t="n">
        <x:f>COUNTIFS('Каналы'!$B$6:$B$479,$A190,'Каналы'!$E$6:$E$479,"news")</x:f>
        <x:v>0</x:v>
      </x:c>
      <x:c r="E190" s="5" t="n">
        <x:f>COUNTIFS('Каналы'!$B$6:$B$479,$A190,'Каналы'!$E$6:$E$479,"programs")</x:f>
        <x:v>0</x:v>
      </x:c>
      <x:c r="F190" s="5" t="n">
        <x:f>COUNTIFS('Каналы'!$B$6:$B$479,$A190,'Каналы'!$E$6:$E$479,"procurement")</x:f>
        <x:v>0</x:v>
      </x:c>
      <x:c r="G190" s="5" t="n">
        <x:f>COUNTIFS('Каналы'!$B$6:$B$479,$A190,'Каналы'!$E$6:$E$479,"expert_application")</x:f>
        <x:v>0</x:v>
      </x:c>
      <x:c r="H190" s="5" t="n">
        <x:f>COUNTIFS('Каналы'!$B$6:$B$479,$A190,'Каналы'!$E$6:$E$479,"partners")</x:f>
        <x:v>0</x:v>
      </x:c>
      <x:c r="I190" s="5" t="n">
        <x:f>COUNTIFS('Каналы'!$B$6:$B$479,$A190,'Каналы'!$E$6:$E$479,"contacts")</x:f>
        <x:v>0</x:v>
      </x:c>
      <x:c r="J190" s="5" t="n">
        <x:f>COUNTIFS('Каналы'!$B$6:$B$479,$A190,'Каналы'!$E$6:$E$479,"social")</x:f>
        <x:v>0</x:v>
      </x:c>
      <x:c r="K190" s="5" t="n">
        <x:f>COUNTIFS('Каналы'!$B$6:$B$479,$A190,'Каналы'!$E$6:$E$479,"careers")</x:f>
        <x:v>0</x:v>
      </x:c>
      <x:c r="L190" s="5" t="n">
        <x:f>SUM(C190:K190)</x:f>
        <x:v>1</x:v>
      </x:c>
      <x:c r="M190" s="5" t="str">
        <x:v>Искать каналы с нулём; отдельно проверять действующее юрлицо и прием внешних провайдеров.</x:v>
      </x:c>
    </x:row>
    <x:row r="191" ht="31.5" customHeight="1">
      <x:c r="A191" s="5" t="str">
        <x:v>CU-0125</x:v>
      </x:c>
      <x:c r="B191" s="5" t="str">
        <x:v>Корпоративный университет — авиационный учебный центр Пулково</x:v>
      </x:c>
      <x:c r="C191" s="5" t="n">
        <x:f>COUNTIFS('Каналы'!$B$6:$B$479,$A191,'Каналы'!$E$6:$E$479,"university_site")</x:f>
        <x:v>1</x:v>
      </x:c>
      <x:c r="D191" s="5" t="n">
        <x:f>COUNTIFS('Каналы'!$B$6:$B$479,$A191,'Каналы'!$E$6:$E$479,"news")</x:f>
        <x:v>0</x:v>
      </x:c>
      <x:c r="E191" s="5" t="n">
        <x:f>COUNTIFS('Каналы'!$B$6:$B$479,$A191,'Каналы'!$E$6:$E$479,"programs")</x:f>
        <x:v>1</x:v>
      </x:c>
      <x:c r="F191" s="5" t="n">
        <x:f>COUNTIFS('Каналы'!$B$6:$B$479,$A191,'Каналы'!$E$6:$E$479,"procurement")</x:f>
        <x:v>1</x:v>
      </x:c>
      <x:c r="G191" s="5" t="n">
        <x:f>COUNTIFS('Каналы'!$B$6:$B$479,$A191,'Каналы'!$E$6:$E$479,"expert_application")</x:f>
        <x:v>0</x:v>
      </x:c>
      <x:c r="H191" s="5" t="n">
        <x:f>COUNTIFS('Каналы'!$B$6:$B$479,$A191,'Каналы'!$E$6:$E$479,"partners")</x:f>
        <x:v>0</x:v>
      </x:c>
      <x:c r="I191" s="5" t="n">
        <x:f>COUNTIFS('Каналы'!$B$6:$B$479,$A191,'Каналы'!$E$6:$E$479,"contacts")</x:f>
        <x:v>0</x:v>
      </x:c>
      <x:c r="J191" s="5" t="n">
        <x:f>COUNTIFS('Каналы'!$B$6:$B$479,$A191,'Каналы'!$E$6:$E$479,"social")</x:f>
        <x:v>0</x:v>
      </x:c>
      <x:c r="K191" s="5" t="n">
        <x:f>COUNTIFS('Каналы'!$B$6:$B$479,$A191,'Каналы'!$E$6:$E$479,"careers")</x:f>
        <x:v>0</x:v>
      </x:c>
      <x:c r="L191" s="5" t="n">
        <x:f>SUM(C191:K191)</x:f>
        <x:v>3</x:v>
      </x:c>
      <x:c r="M191" s="5" t="str">
        <x:v>Искать каналы с нулём; отдельно проверять действующее юрлицо и прием внешних провайдеров.</x:v>
      </x:c>
    </x:row>
    <x:row r="192" ht="31.5" customHeight="1">
      <x:c r="A192" s="5" t="str">
        <x:v>CU-0127</x:v>
      </x:c>
      <x:c r="B192" s="5" t="str">
        <x:v>Авиашкола Аэрофлота (Академия Аэрофлота)</x:v>
      </x:c>
      <x:c r="C192" s="5" t="n">
        <x:f>COUNTIFS('Каналы'!$B$6:$B$479,$A192,'Каналы'!$E$6:$E$479,"university_site")</x:f>
        <x:v>1</x:v>
      </x:c>
      <x:c r="D192" s="5" t="n">
        <x:f>COUNTIFS('Каналы'!$B$6:$B$479,$A192,'Каналы'!$E$6:$E$479,"news")</x:f>
        <x:v>0</x:v>
      </x:c>
      <x:c r="E192" s="5" t="n">
        <x:f>COUNTIFS('Каналы'!$B$6:$B$479,$A192,'Каналы'!$E$6:$E$479,"programs")</x:f>
        <x:v>0</x:v>
      </x:c>
      <x:c r="F192" s="5" t="n">
        <x:f>COUNTIFS('Каналы'!$B$6:$B$479,$A192,'Каналы'!$E$6:$E$479,"procurement")</x:f>
        <x:v>0</x:v>
      </x:c>
      <x:c r="G192" s="5" t="n">
        <x:f>COUNTIFS('Каналы'!$B$6:$B$479,$A192,'Каналы'!$E$6:$E$479,"expert_application")</x:f>
        <x:v>0</x:v>
      </x:c>
      <x:c r="H192" s="5" t="n">
        <x:f>COUNTIFS('Каналы'!$B$6:$B$479,$A192,'Каналы'!$E$6:$E$479,"partners")</x:f>
        <x:v>0</x:v>
      </x:c>
      <x:c r="I192" s="5" t="n">
        <x:f>COUNTIFS('Каналы'!$B$6:$B$479,$A192,'Каналы'!$E$6:$E$479,"contacts")</x:f>
        <x:v>0</x:v>
      </x:c>
      <x:c r="J192" s="5" t="n">
        <x:f>COUNTIFS('Каналы'!$B$6:$B$479,$A192,'Каналы'!$E$6:$E$479,"social")</x:f>
        <x:v>0</x:v>
      </x:c>
      <x:c r="K192" s="5" t="n">
        <x:f>COUNTIFS('Каналы'!$B$6:$B$479,$A192,'Каналы'!$E$6:$E$479,"careers")</x:f>
        <x:v>0</x:v>
      </x:c>
      <x:c r="L192" s="5" t="n">
        <x:f>SUM(C192:K192)</x:f>
        <x:v>1</x:v>
      </x:c>
      <x:c r="M192" s="5" t="str">
        <x:v>Искать каналы с нулём; отдельно проверять действующее юрлицо и прием внешних провайдеров.</x:v>
      </x:c>
    </x:row>
    <x:row r="193" ht="31.5" customHeight="1">
      <x:c r="A193" s="5" t="str">
        <x:v>CU-0131</x:v>
      </x:c>
      <x:c r="B193" s="5" t="str">
        <x:v>DOMODEDOVO TRAINING</x:v>
      </x:c>
      <x:c r="C193" s="5" t="n">
        <x:f>COUNTIFS('Каналы'!$B$6:$B$479,$A193,'Каналы'!$E$6:$E$479,"university_site")</x:f>
        <x:v>1</x:v>
      </x:c>
      <x:c r="D193" s="5" t="n">
        <x:f>COUNTIFS('Каналы'!$B$6:$B$479,$A193,'Каналы'!$E$6:$E$479,"news")</x:f>
        <x:v>0</x:v>
      </x:c>
      <x:c r="E193" s="5" t="n">
        <x:f>COUNTIFS('Каналы'!$B$6:$B$479,$A193,'Каналы'!$E$6:$E$479,"programs")</x:f>
        <x:v>0</x:v>
      </x:c>
      <x:c r="F193" s="5" t="n">
        <x:f>COUNTIFS('Каналы'!$B$6:$B$479,$A193,'Каналы'!$E$6:$E$479,"procurement")</x:f>
        <x:v>1</x:v>
      </x:c>
      <x:c r="G193" s="5" t="n">
        <x:f>COUNTIFS('Каналы'!$B$6:$B$479,$A193,'Каналы'!$E$6:$E$479,"expert_application")</x:f>
        <x:v>0</x:v>
      </x:c>
      <x:c r="H193" s="5" t="n">
        <x:f>COUNTIFS('Каналы'!$B$6:$B$479,$A193,'Каналы'!$E$6:$E$479,"partners")</x:f>
        <x:v>0</x:v>
      </x:c>
      <x:c r="I193" s="5" t="n">
        <x:f>COUNTIFS('Каналы'!$B$6:$B$479,$A193,'Каналы'!$E$6:$E$479,"contacts")</x:f>
        <x:v>0</x:v>
      </x:c>
      <x:c r="J193" s="5" t="n">
        <x:f>COUNTIFS('Каналы'!$B$6:$B$479,$A193,'Каналы'!$E$6:$E$479,"social")</x:f>
        <x:v>0</x:v>
      </x:c>
      <x:c r="K193" s="5" t="n">
        <x:f>COUNTIFS('Каналы'!$B$6:$B$479,$A193,'Каналы'!$E$6:$E$479,"careers")</x:f>
        <x:v>0</x:v>
      </x:c>
      <x:c r="L193" s="5" t="n">
        <x:f>SUM(C193:K193)</x:f>
        <x:v>2</x:v>
      </x:c>
      <x:c r="M193" s="5" t="str">
        <x:v>Искать каналы с нулём; отдельно проверять действующее юрлицо и прием внешних провайдеров.</x:v>
      </x:c>
    </x:row>
    <x:row r="194" ht="31.5" customHeight="1">
      <x:c r="A194" s="5" t="str">
        <x:v>CU-0134</x:v>
      </x:c>
      <x:c r="B194" s="5" t="str">
        <x:v>Академия FESCO</x:v>
      </x:c>
      <x:c r="C194" s="5" t="n">
        <x:f>COUNTIFS('Каналы'!$B$6:$B$479,$A194,'Каналы'!$E$6:$E$479,"university_site")</x:f>
        <x:v>1</x:v>
      </x:c>
      <x:c r="D194" s="5" t="n">
        <x:f>COUNTIFS('Каналы'!$B$6:$B$479,$A194,'Каналы'!$E$6:$E$479,"news")</x:f>
        <x:v>0</x:v>
      </x:c>
      <x:c r="E194" s="5" t="n">
        <x:f>COUNTIFS('Каналы'!$B$6:$B$479,$A194,'Каналы'!$E$6:$E$479,"programs")</x:f>
        <x:v>0</x:v>
      </x:c>
      <x:c r="F194" s="5" t="n">
        <x:f>COUNTIFS('Каналы'!$B$6:$B$479,$A194,'Каналы'!$E$6:$E$479,"procurement")</x:f>
        <x:v>0</x:v>
      </x:c>
      <x:c r="G194" s="5" t="n">
        <x:f>COUNTIFS('Каналы'!$B$6:$B$479,$A194,'Каналы'!$E$6:$E$479,"expert_application")</x:f>
        <x:v>0</x:v>
      </x:c>
      <x:c r="H194" s="5" t="n">
        <x:f>COUNTIFS('Каналы'!$B$6:$B$479,$A194,'Каналы'!$E$6:$E$479,"partners")</x:f>
        <x:v>0</x:v>
      </x:c>
      <x:c r="I194" s="5" t="n">
        <x:f>COUNTIFS('Каналы'!$B$6:$B$479,$A194,'Каналы'!$E$6:$E$479,"contacts")</x:f>
        <x:v>0</x:v>
      </x:c>
      <x:c r="J194" s="5" t="n">
        <x:f>COUNTIFS('Каналы'!$B$6:$B$479,$A194,'Каналы'!$E$6:$E$479,"social")</x:f>
        <x:v>0</x:v>
      </x:c>
      <x:c r="K194" s="5" t="n">
        <x:f>COUNTIFS('Каналы'!$B$6:$B$479,$A194,'Каналы'!$E$6:$E$479,"careers")</x:f>
        <x:v>0</x:v>
      </x:c>
      <x:c r="L194" s="5" t="n">
        <x:f>SUM(C194:K194)</x:f>
        <x:v>1</x:v>
      </x:c>
      <x:c r="M194" s="5" t="str">
        <x:v>Искать каналы с нулём; отдельно проверять действующее юрлицо и прием внешних провайдеров.</x:v>
      </x:c>
    </x:row>
    <x:row r="195" ht="31.5" customHeight="1">
      <x:c r="A195" s="5" t="str">
        <x:v>CU-0141</x:v>
      </x:c>
      <x:c r="B195" s="5" t="str">
        <x:v>Академия «ЭкоНива» / корпоративный университет</x:v>
      </x:c>
      <x:c r="C195" s="5" t="n">
        <x:f>COUNTIFS('Каналы'!$B$6:$B$479,$A195,'Каналы'!$E$6:$E$479,"university_site")</x:f>
        <x:v>1</x:v>
      </x:c>
      <x:c r="D195" s="5" t="n">
        <x:f>COUNTIFS('Каналы'!$B$6:$B$479,$A195,'Каналы'!$E$6:$E$479,"news")</x:f>
        <x:v>1</x:v>
      </x:c>
      <x:c r="E195" s="5" t="n">
        <x:f>COUNTIFS('Каналы'!$B$6:$B$479,$A195,'Каналы'!$E$6:$E$479,"programs")</x:f>
        <x:v>0</x:v>
      </x:c>
      <x:c r="F195" s="5" t="n">
        <x:f>COUNTIFS('Каналы'!$B$6:$B$479,$A195,'Каналы'!$E$6:$E$479,"procurement")</x:f>
        <x:v>0</x:v>
      </x:c>
      <x:c r="G195" s="5" t="n">
        <x:f>COUNTIFS('Каналы'!$B$6:$B$479,$A195,'Каналы'!$E$6:$E$479,"expert_application")</x:f>
        <x:v>0</x:v>
      </x:c>
      <x:c r="H195" s="5" t="n">
        <x:f>COUNTIFS('Каналы'!$B$6:$B$479,$A195,'Каналы'!$E$6:$E$479,"partners")</x:f>
        <x:v>0</x:v>
      </x:c>
      <x:c r="I195" s="5" t="n">
        <x:f>COUNTIFS('Каналы'!$B$6:$B$479,$A195,'Каналы'!$E$6:$E$479,"contacts")</x:f>
        <x:v>0</x:v>
      </x:c>
      <x:c r="J195" s="5" t="n">
        <x:f>COUNTIFS('Каналы'!$B$6:$B$479,$A195,'Каналы'!$E$6:$E$479,"social")</x:f>
        <x:v>0</x:v>
      </x:c>
      <x:c r="K195" s="5" t="n">
        <x:f>COUNTIFS('Каналы'!$B$6:$B$479,$A195,'Каналы'!$E$6:$E$479,"careers")</x:f>
        <x:v>0</x:v>
      </x:c>
      <x:c r="L195" s="5" t="n">
        <x:f>SUM(C195:K195)</x:f>
        <x:v>2</x:v>
      </x:c>
      <x:c r="M195" s="5" t="str">
        <x:v>Искать каналы с нулём; отдельно проверять действующее юрлицо и прием внешних провайдеров.</x:v>
      </x:c>
    </x:row>
    <x:row r="196" ht="31.5" customHeight="1">
      <x:c r="A196" s="5" t="str">
        <x:v>CU-0144</x:v>
      </x:c>
      <x:c r="B196" s="5" t="str">
        <x:v>Медицинская академия МЕДСИ</x:v>
      </x:c>
      <x:c r="C196" s="5" t="n">
        <x:f>COUNTIFS('Каналы'!$B$6:$B$479,$A196,'Каналы'!$E$6:$E$479,"university_site")</x:f>
        <x:v>1</x:v>
      </x:c>
      <x:c r="D196" s="5" t="n">
        <x:f>COUNTIFS('Каналы'!$B$6:$B$479,$A196,'Каналы'!$E$6:$E$479,"news")</x:f>
        <x:v>0</x:v>
      </x:c>
      <x:c r="E196" s="5" t="n">
        <x:f>COUNTIFS('Каналы'!$B$6:$B$479,$A196,'Каналы'!$E$6:$E$479,"programs")</x:f>
        <x:v>0</x:v>
      </x:c>
      <x:c r="F196" s="5" t="n">
        <x:f>COUNTIFS('Каналы'!$B$6:$B$479,$A196,'Каналы'!$E$6:$E$479,"procurement")</x:f>
        <x:v>0</x:v>
      </x:c>
      <x:c r="G196" s="5" t="n">
        <x:f>COUNTIFS('Каналы'!$B$6:$B$479,$A196,'Каналы'!$E$6:$E$479,"expert_application")</x:f>
        <x:v>0</x:v>
      </x:c>
      <x:c r="H196" s="5" t="n">
        <x:f>COUNTIFS('Каналы'!$B$6:$B$479,$A196,'Каналы'!$E$6:$E$479,"partners")</x:f>
        <x:v>0</x:v>
      </x:c>
      <x:c r="I196" s="5" t="n">
        <x:f>COUNTIFS('Каналы'!$B$6:$B$479,$A196,'Каналы'!$E$6:$E$479,"contacts")</x:f>
        <x:v>0</x:v>
      </x:c>
      <x:c r="J196" s="5" t="n">
        <x:f>COUNTIFS('Каналы'!$B$6:$B$479,$A196,'Каналы'!$E$6:$E$479,"social")</x:f>
        <x:v>0</x:v>
      </x:c>
      <x:c r="K196" s="5" t="n">
        <x:f>COUNTIFS('Каналы'!$B$6:$B$479,$A196,'Каналы'!$E$6:$E$479,"careers")</x:f>
        <x:v>0</x:v>
      </x:c>
      <x:c r="L196" s="5" t="n">
        <x:f>SUM(C196:K196)</x:f>
        <x:v>1</x:v>
      </x:c>
      <x:c r="M196" s="5" t="str">
        <x:v>Искать каналы с нулём; отдельно проверять действующее юрлицо и прием внешних провайдеров.</x:v>
      </x:c>
    </x:row>
    <x:row r="197" ht="31.5" customHeight="1">
      <x:c r="A197" s="5" t="str">
        <x:v>CU-0145</x:v>
      </x:c>
      <x:c r="B197" s="5" t="str">
        <x:v>Высшая медицинская школа — учебный центр ИНВИТРО</x:v>
      </x:c>
      <x:c r="C197" s="5" t="n">
        <x:f>COUNTIFS('Каналы'!$B$6:$B$479,$A197,'Каналы'!$E$6:$E$479,"university_site")</x:f>
        <x:v>1</x:v>
      </x:c>
      <x:c r="D197" s="5" t="n">
        <x:f>COUNTIFS('Каналы'!$B$6:$B$479,$A197,'Каналы'!$E$6:$E$479,"news")</x:f>
        <x:v>0</x:v>
      </x:c>
      <x:c r="E197" s="5" t="n">
        <x:f>COUNTIFS('Каналы'!$B$6:$B$479,$A197,'Каналы'!$E$6:$E$479,"programs")</x:f>
        <x:v>0</x:v>
      </x:c>
      <x:c r="F197" s="5" t="n">
        <x:f>COUNTIFS('Каналы'!$B$6:$B$479,$A197,'Каналы'!$E$6:$E$479,"procurement")</x:f>
        <x:v>0</x:v>
      </x:c>
      <x:c r="G197" s="5" t="n">
        <x:f>COUNTIFS('Каналы'!$B$6:$B$479,$A197,'Каналы'!$E$6:$E$479,"expert_application")</x:f>
        <x:v>0</x:v>
      </x:c>
      <x:c r="H197" s="5" t="n">
        <x:f>COUNTIFS('Каналы'!$B$6:$B$479,$A197,'Каналы'!$E$6:$E$479,"partners")</x:f>
        <x:v>0</x:v>
      </x:c>
      <x:c r="I197" s="5" t="n">
        <x:f>COUNTIFS('Каналы'!$B$6:$B$479,$A197,'Каналы'!$E$6:$E$479,"contacts")</x:f>
        <x:v>1</x:v>
      </x:c>
      <x:c r="J197" s="5" t="n">
        <x:f>COUNTIFS('Каналы'!$B$6:$B$479,$A197,'Каналы'!$E$6:$E$479,"social")</x:f>
        <x:v>0</x:v>
      </x:c>
      <x:c r="K197" s="5" t="n">
        <x:f>COUNTIFS('Каналы'!$B$6:$B$479,$A197,'Каналы'!$E$6:$E$479,"careers")</x:f>
        <x:v>0</x:v>
      </x:c>
      <x:c r="L197" s="5" t="n">
        <x:f>SUM(C197:K197)</x:f>
        <x:v>2</x:v>
      </x:c>
      <x:c r="M197" s="5" t="str">
        <x:v>Искать каналы с нулём; отдельно проверять действующее юрлицо и прием внешних провайдеров.</x:v>
      </x:c>
    </x:row>
    <x:row r="198" ht="31.5" customHeight="1">
      <x:c r="A198" s="5" t="str">
        <x:v>CU-0150</x:v>
      </x:c>
      <x:c r="B198" s="5" t="str">
        <x:v>Учебный центр Главгосэкспертизы России</x:v>
      </x:c>
      <x:c r="C198" s="5" t="n">
        <x:f>COUNTIFS('Каналы'!$B$6:$B$479,$A198,'Каналы'!$E$6:$E$479,"university_site")</x:f>
        <x:v>1</x:v>
      </x:c>
      <x:c r="D198" s="5" t="n">
        <x:f>COUNTIFS('Каналы'!$B$6:$B$479,$A198,'Каналы'!$E$6:$E$479,"news")</x:f>
        <x:v>0</x:v>
      </x:c>
      <x:c r="E198" s="5" t="n">
        <x:f>COUNTIFS('Каналы'!$B$6:$B$479,$A198,'Каналы'!$E$6:$E$479,"programs")</x:f>
        <x:v>0</x:v>
      </x:c>
      <x:c r="F198" s="5" t="n">
        <x:f>COUNTIFS('Каналы'!$B$6:$B$479,$A198,'Каналы'!$E$6:$E$479,"procurement")</x:f>
        <x:v>0</x:v>
      </x:c>
      <x:c r="G198" s="5" t="n">
        <x:f>COUNTIFS('Каналы'!$B$6:$B$479,$A198,'Каналы'!$E$6:$E$479,"expert_application")</x:f>
        <x:v>0</x:v>
      </x:c>
      <x:c r="H198" s="5" t="n">
        <x:f>COUNTIFS('Каналы'!$B$6:$B$479,$A198,'Каналы'!$E$6:$E$479,"partners")</x:f>
        <x:v>0</x:v>
      </x:c>
      <x:c r="I198" s="5" t="n">
        <x:f>COUNTIFS('Каналы'!$B$6:$B$479,$A198,'Каналы'!$E$6:$E$479,"contacts")</x:f>
        <x:v>0</x:v>
      </x:c>
      <x:c r="J198" s="5" t="n">
        <x:f>COUNTIFS('Каналы'!$B$6:$B$479,$A198,'Каналы'!$E$6:$E$479,"social")</x:f>
        <x:v>0</x:v>
      </x:c>
      <x:c r="K198" s="5" t="n">
        <x:f>COUNTIFS('Каналы'!$B$6:$B$479,$A198,'Каналы'!$E$6:$E$479,"careers")</x:f>
        <x:v>0</x:v>
      </x:c>
      <x:c r="L198" s="5" t="n">
        <x:f>SUM(C198:K198)</x:f>
        <x:v>1</x:v>
      </x:c>
      <x:c r="M198" s="5" t="str">
        <x:v>Искать каналы с нулём; отдельно проверять действующее юрлицо и прием внешних провайдеров.</x:v>
      </x:c>
    </x:row>
    <x:row r="199" ht="31.5" customHeight="1">
      <x:c r="A199" s="5" t="str">
        <x:v>CU-0154</x:v>
      </x:c>
      <x:c r="B199" s="5" t="str">
        <x:v>Корпоративный университет локомотивных технологий («ЛокоТех»)</x:v>
      </x:c>
      <x:c r="C199" s="5" t="n">
        <x:f>COUNTIFS('Каналы'!$B$6:$B$479,$A199,'Каналы'!$E$6:$E$479,"university_site")</x:f>
        <x:v>2</x:v>
      </x:c>
      <x:c r="D199" s="5" t="n">
        <x:f>COUNTIFS('Каналы'!$B$6:$B$479,$A199,'Каналы'!$E$6:$E$479,"news")</x:f>
        <x:v>1</x:v>
      </x:c>
      <x:c r="E199" s="5" t="n">
        <x:f>COUNTIFS('Каналы'!$B$6:$B$479,$A199,'Каналы'!$E$6:$E$479,"programs")</x:f>
        <x:v>0</x:v>
      </x:c>
      <x:c r="F199" s="5" t="n">
        <x:f>COUNTIFS('Каналы'!$B$6:$B$479,$A199,'Каналы'!$E$6:$E$479,"procurement")</x:f>
        <x:v>0</x:v>
      </x:c>
      <x:c r="G199" s="5" t="n">
        <x:f>COUNTIFS('Каналы'!$B$6:$B$479,$A199,'Каналы'!$E$6:$E$479,"expert_application")</x:f>
        <x:v>0</x:v>
      </x:c>
      <x:c r="H199" s="5" t="n">
        <x:f>COUNTIFS('Каналы'!$B$6:$B$479,$A199,'Каналы'!$E$6:$E$479,"partners")</x:f>
        <x:v>0</x:v>
      </x:c>
      <x:c r="I199" s="5" t="n">
        <x:f>COUNTIFS('Каналы'!$B$6:$B$479,$A199,'Каналы'!$E$6:$E$479,"contacts")</x:f>
        <x:v>1</x:v>
      </x:c>
      <x:c r="J199" s="5" t="n">
        <x:f>COUNTIFS('Каналы'!$B$6:$B$479,$A199,'Каналы'!$E$6:$E$479,"social")</x:f>
        <x:v>0</x:v>
      </x:c>
      <x:c r="K199" s="5" t="n">
        <x:f>COUNTIFS('Каналы'!$B$6:$B$479,$A199,'Каналы'!$E$6:$E$479,"careers")</x:f>
        <x:v>0</x:v>
      </x:c>
      <x:c r="L199" s="5" t="n">
        <x:f>SUM(C199:K199)</x:f>
        <x:v>4</x:v>
      </x:c>
      <x:c r="M199" s="5" t="str">
        <x:v>Искать каналы с нулём; отдельно проверять действующее юрлицо и прием внешних провайдеров.</x:v>
      </x:c>
    </x:row>
    <x:row r="200" ht="31.5" customHeight="1">
      <x:c r="A200" s="5" t="str">
        <x:v>CU-0156</x:v>
      </x:c>
      <x:c r="B200" s="5" t="str">
        <x:v>Медицинская школа ЕМС — EMC Medical School</x:v>
      </x:c>
      <x:c r="C200" s="5" t="n">
        <x:f>COUNTIFS('Каналы'!$B$6:$B$479,$A200,'Каналы'!$E$6:$E$479,"university_site")</x:f>
        <x:v>1</x:v>
      </x:c>
      <x:c r="D200" s="5" t="n">
        <x:f>COUNTIFS('Каналы'!$B$6:$B$479,$A200,'Каналы'!$E$6:$E$479,"news")</x:f>
        <x:v>0</x:v>
      </x:c>
      <x:c r="E200" s="5" t="n">
        <x:f>COUNTIFS('Каналы'!$B$6:$B$479,$A200,'Каналы'!$E$6:$E$479,"programs")</x:f>
        <x:v>1</x:v>
      </x:c>
      <x:c r="F200" s="5" t="n">
        <x:f>COUNTIFS('Каналы'!$B$6:$B$479,$A200,'Каналы'!$E$6:$E$479,"procurement")</x:f>
        <x:v>0</x:v>
      </x:c>
      <x:c r="G200" s="5" t="n">
        <x:f>COUNTIFS('Каналы'!$B$6:$B$479,$A200,'Каналы'!$E$6:$E$479,"expert_application")</x:f>
        <x:v>0</x:v>
      </x:c>
      <x:c r="H200" s="5" t="n">
        <x:f>COUNTIFS('Каналы'!$B$6:$B$479,$A200,'Каналы'!$E$6:$E$479,"partners")</x:f>
        <x:v>1</x:v>
      </x:c>
      <x:c r="I200" s="5" t="n">
        <x:f>COUNTIFS('Каналы'!$B$6:$B$479,$A200,'Каналы'!$E$6:$E$479,"contacts")</x:f>
        <x:v>0</x:v>
      </x:c>
      <x:c r="J200" s="5" t="n">
        <x:f>COUNTIFS('Каналы'!$B$6:$B$479,$A200,'Каналы'!$E$6:$E$479,"social")</x:f>
        <x:v>0</x:v>
      </x:c>
      <x:c r="K200" s="5" t="n">
        <x:f>COUNTIFS('Каналы'!$B$6:$B$479,$A200,'Каналы'!$E$6:$E$479,"careers")</x:f>
        <x:v>0</x:v>
      </x:c>
      <x:c r="L200" s="5" t="n">
        <x:f>SUM(C200:K200)</x:f>
        <x:v>3</x:v>
      </x:c>
      <x:c r="M200" s="5" t="str">
        <x:v>Искать каналы с нулём; отдельно проверять действующее юрлицо и прием внешних провайдеров.</x:v>
      </x:c>
    </x:row>
    <x:row r="201" ht="31.5" customHeight="1">
      <x:c r="A201" s="5" t="str">
        <x:v>CU-0233</x:v>
      </x:c>
      <x:c r="B201" s="5" t="str">
        <x:v>Учебный центр АО «Мосводоканал»</x:v>
      </x:c>
      <x:c r="C201" s="5" t="n">
        <x:f>COUNTIFS('Каналы'!$B$6:$B$479,$A201,'Каналы'!$E$6:$E$479,"university_site")</x:f>
        <x:v>0</x:v>
      </x:c>
      <x:c r="D201" s="5" t="n">
        <x:f>COUNTIFS('Каналы'!$B$6:$B$479,$A201,'Каналы'!$E$6:$E$479,"news")</x:f>
        <x:v>2</x:v>
      </x:c>
      <x:c r="E201" s="5" t="n">
        <x:f>COUNTIFS('Каналы'!$B$6:$B$479,$A201,'Каналы'!$E$6:$E$479,"programs")</x:f>
        <x:v>0</x:v>
      </x:c>
      <x:c r="F201" s="5" t="n">
        <x:f>COUNTIFS('Каналы'!$B$6:$B$479,$A201,'Каналы'!$E$6:$E$479,"procurement")</x:f>
        <x:v>0</x:v>
      </x:c>
      <x:c r="G201" s="5" t="n">
        <x:f>COUNTIFS('Каналы'!$B$6:$B$479,$A201,'Каналы'!$E$6:$E$479,"expert_application")</x:f>
        <x:v>0</x:v>
      </x:c>
      <x:c r="H201" s="5" t="n">
        <x:f>COUNTIFS('Каналы'!$B$6:$B$479,$A201,'Каналы'!$E$6:$E$479,"partners")</x:f>
        <x:v>0</x:v>
      </x:c>
      <x:c r="I201" s="5" t="n">
        <x:f>COUNTIFS('Каналы'!$B$6:$B$479,$A201,'Каналы'!$E$6:$E$479,"contacts")</x:f>
        <x:v>0</x:v>
      </x:c>
      <x:c r="J201" s="5" t="n">
        <x:f>COUNTIFS('Каналы'!$B$6:$B$479,$A201,'Каналы'!$E$6:$E$479,"social")</x:f>
        <x:v>0</x:v>
      </x:c>
      <x:c r="K201" s="5" t="n">
        <x:f>COUNTIFS('Каналы'!$B$6:$B$479,$A201,'Каналы'!$E$6:$E$479,"careers")</x:f>
        <x:v>0</x:v>
      </x:c>
      <x:c r="L201" s="5" t="n">
        <x:f>SUM(C201:K201)</x:f>
        <x:v>2</x:v>
      </x:c>
      <x:c r="M201" s="5" t="str">
        <x:v>Искать каналы с нулём; отдельно проверять действующее юрлицо и прием внешних провайдеров.</x:v>
      </x:c>
    </x:row>
    <x:row r="202" ht="31.5" customHeight="1">
      <x:c r="A202" s="5" t="str">
        <x:v>CU-0235</x:v>
      </x:c>
      <x:c r="B202" s="5" t="str">
        <x:v>Корпоративный учебный центр «СМ-Клиника»</x:v>
      </x:c>
      <x:c r="C202" s="5" t="n">
        <x:f>COUNTIFS('Каналы'!$B$6:$B$479,$A202,'Каналы'!$E$6:$E$479,"university_site")</x:f>
        <x:v>1</x:v>
      </x:c>
      <x:c r="D202" s="5" t="n">
        <x:f>COUNTIFS('Каналы'!$B$6:$B$479,$A202,'Каналы'!$E$6:$E$479,"news")</x:f>
        <x:v>0</x:v>
      </x:c>
      <x:c r="E202" s="5" t="n">
        <x:f>COUNTIFS('Каналы'!$B$6:$B$479,$A202,'Каналы'!$E$6:$E$479,"programs")</x:f>
        <x:v>1</x:v>
      </x:c>
      <x:c r="F202" s="5" t="n">
        <x:f>COUNTIFS('Каналы'!$B$6:$B$479,$A202,'Каналы'!$E$6:$E$479,"procurement")</x:f>
        <x:v>0</x:v>
      </x:c>
      <x:c r="G202" s="5" t="n">
        <x:f>COUNTIFS('Каналы'!$B$6:$B$479,$A202,'Каналы'!$E$6:$E$479,"expert_application")</x:f>
        <x:v>0</x:v>
      </x:c>
      <x:c r="H202" s="5" t="n">
        <x:f>COUNTIFS('Каналы'!$B$6:$B$479,$A202,'Каналы'!$E$6:$E$479,"partners")</x:f>
        <x:v>0</x:v>
      </x:c>
      <x:c r="I202" s="5" t="n">
        <x:f>COUNTIFS('Каналы'!$B$6:$B$479,$A202,'Каналы'!$E$6:$E$479,"contacts")</x:f>
        <x:v>0</x:v>
      </x:c>
      <x:c r="J202" s="5" t="n">
        <x:f>COUNTIFS('Каналы'!$B$6:$B$479,$A202,'Каналы'!$E$6:$E$479,"social")</x:f>
        <x:v>0</x:v>
      </x:c>
      <x:c r="K202" s="5" t="n">
        <x:f>COUNTIFS('Каналы'!$B$6:$B$479,$A202,'Каналы'!$E$6:$E$479,"careers")</x:f>
        <x:v>1</x:v>
      </x:c>
      <x:c r="L202" s="5" t="n">
        <x:f>SUM(C202:K202)</x:f>
        <x:v>3</x:v>
      </x:c>
      <x:c r="M202" s="5" t="str">
        <x:v>Искать каналы с нулём; отдельно проверять действующее юрлицо и прием внешних провайдеров.</x:v>
      </x:c>
    </x:row>
    <x:row r="203" ht="31.5" customHeight="1">
      <x:c r="A203" s="5" t="str">
        <x:v>CU-0240</x:v>
      </x:c>
      <x:c r="B203" s="5" t="str">
        <x:v>Учебный центр МОСГАЗ</x:v>
      </x:c>
      <x:c r="C203" s="5" t="n">
        <x:f>COUNTIFS('Каналы'!$B$6:$B$479,$A203,'Каналы'!$E$6:$E$479,"university_site")</x:f>
        <x:v>1</x:v>
      </x:c>
      <x:c r="D203" s="5" t="n">
        <x:f>COUNTIFS('Каналы'!$B$6:$B$479,$A203,'Каналы'!$E$6:$E$479,"news")</x:f>
        <x:v>0</x:v>
      </x:c>
      <x:c r="E203" s="5" t="n">
        <x:f>COUNTIFS('Каналы'!$B$6:$B$479,$A203,'Каналы'!$E$6:$E$479,"programs")</x:f>
        <x:v>1</x:v>
      </x:c>
      <x:c r="F203" s="5" t="n">
        <x:f>COUNTIFS('Каналы'!$B$6:$B$479,$A203,'Каналы'!$E$6:$E$479,"procurement")</x:f>
        <x:v>0</x:v>
      </x:c>
      <x:c r="G203" s="5" t="n">
        <x:f>COUNTIFS('Каналы'!$B$6:$B$479,$A203,'Каналы'!$E$6:$E$479,"expert_application")</x:f>
        <x:v>0</x:v>
      </x:c>
      <x:c r="H203" s="5" t="n">
        <x:f>COUNTIFS('Каналы'!$B$6:$B$479,$A203,'Каналы'!$E$6:$E$479,"partners")</x:f>
        <x:v>0</x:v>
      </x:c>
      <x:c r="I203" s="5" t="n">
        <x:f>COUNTIFS('Каналы'!$B$6:$B$479,$A203,'Каналы'!$E$6:$E$479,"contacts")</x:f>
        <x:v>1</x:v>
      </x:c>
      <x:c r="J203" s="5" t="n">
        <x:f>COUNTIFS('Каналы'!$B$6:$B$479,$A203,'Каналы'!$E$6:$E$479,"social")</x:f>
        <x:v>0</x:v>
      </x:c>
      <x:c r="K203" s="5" t="n">
        <x:f>COUNTIFS('Каналы'!$B$6:$B$479,$A203,'Каналы'!$E$6:$E$479,"careers")</x:f>
        <x:v>0</x:v>
      </x:c>
      <x:c r="L203" s="5" t="n">
        <x:f>SUM(C203:K203)</x:f>
        <x:v>3</x:v>
      </x:c>
      <x:c r="M203" s="5" t="str">
        <x:v>Искать каналы с нулём; отдельно проверять действующее юрлицо и прием внешних провайдеров.</x:v>
      </x:c>
    </x:row>
    <x:row r="204" ht="31.5" customHeight="1">
      <x:c r="A204" s="5" t="str">
        <x:v>CU-0242</x:v>
      </x:c>
      <x:c r="B204" s="5" t="str">
        <x:v>Учебный центр лабораторной службы «Хеликс»</x:v>
      </x:c>
      <x:c r="C204" s="5" t="n">
        <x:f>COUNTIFS('Каналы'!$B$6:$B$479,$A204,'Каналы'!$E$6:$E$479,"university_site")</x:f>
        <x:v>0</x:v>
      </x:c>
      <x:c r="D204" s="5" t="n">
        <x:f>COUNTIFS('Каналы'!$B$6:$B$479,$A204,'Каналы'!$E$6:$E$479,"news")</x:f>
        <x:v>1</x:v>
      </x:c>
      <x:c r="E204" s="5" t="n">
        <x:f>COUNTIFS('Каналы'!$B$6:$B$479,$A204,'Каналы'!$E$6:$E$479,"programs")</x:f>
        <x:v>0</x:v>
      </x:c>
      <x:c r="F204" s="5" t="n">
        <x:f>COUNTIFS('Каналы'!$B$6:$B$479,$A204,'Каналы'!$E$6:$E$479,"procurement")</x:f>
        <x:v>0</x:v>
      </x:c>
      <x:c r="G204" s="5" t="n">
        <x:f>COUNTIFS('Каналы'!$B$6:$B$479,$A204,'Каналы'!$E$6:$E$479,"expert_application")</x:f>
        <x:v>0</x:v>
      </x:c>
      <x:c r="H204" s="5" t="n">
        <x:f>COUNTIFS('Каналы'!$B$6:$B$479,$A204,'Каналы'!$E$6:$E$479,"partners")</x:f>
        <x:v>0</x:v>
      </x:c>
      <x:c r="I204" s="5" t="n">
        <x:f>COUNTIFS('Каналы'!$B$6:$B$479,$A204,'Каналы'!$E$6:$E$479,"contacts")</x:f>
        <x:v>0</x:v>
      </x:c>
      <x:c r="J204" s="5" t="n">
        <x:f>COUNTIFS('Каналы'!$B$6:$B$479,$A204,'Каналы'!$E$6:$E$479,"social")</x:f>
        <x:v>1</x:v>
      </x:c>
      <x:c r="K204" s="5" t="n">
        <x:f>COUNTIFS('Каналы'!$B$6:$B$479,$A204,'Каналы'!$E$6:$E$479,"careers")</x:f>
        <x:v>0</x:v>
      </x:c>
      <x:c r="L204" s="5" t="n">
        <x:f>SUM(C204:K204)</x:f>
        <x:v>2</x:v>
      </x:c>
      <x:c r="M204" s="5" t="str">
        <x:v>Искать каналы с нулём; отдельно проверять действующее юрлицо и прием внешних провайдеров.</x:v>
      </x:c>
    </x:row>
    <x:row r="205" ht="31.5" customHeight="1">
      <x:c r="A205" s="5" t="str">
        <x:v>CU-0086</x:v>
      </x:c>
      <x:c r="B205" s="5" t="str">
        <x:v>Корпоративный университет УРАЛСИБ</x:v>
      </x:c>
      <x:c r="C205" s="5" t="n">
        <x:f>COUNTIFS('Каналы'!$B$6:$B$479,$A205,'Каналы'!$E$6:$E$479,"university_site")</x:f>
        <x:v>0</x:v>
      </x:c>
      <x:c r="D205" s="5" t="n">
        <x:f>COUNTIFS('Каналы'!$B$6:$B$479,$A205,'Каналы'!$E$6:$E$479,"news")</x:f>
        <x:v>1</x:v>
      </x:c>
      <x:c r="E205" s="5" t="n">
        <x:f>COUNTIFS('Каналы'!$B$6:$B$479,$A205,'Каналы'!$E$6:$E$479,"programs")</x:f>
        <x:v>0</x:v>
      </x:c>
      <x:c r="F205" s="5" t="n">
        <x:f>COUNTIFS('Каналы'!$B$6:$B$479,$A205,'Каналы'!$E$6:$E$479,"procurement")</x:f>
        <x:v>0</x:v>
      </x:c>
      <x:c r="G205" s="5" t="n">
        <x:f>COUNTIFS('Каналы'!$B$6:$B$479,$A205,'Каналы'!$E$6:$E$479,"expert_application")</x:f>
        <x:v>0</x:v>
      </x:c>
      <x:c r="H205" s="5" t="n">
        <x:f>COUNTIFS('Каналы'!$B$6:$B$479,$A205,'Каналы'!$E$6:$E$479,"partners")</x:f>
        <x:v>0</x:v>
      </x:c>
      <x:c r="I205" s="5" t="n">
        <x:f>COUNTIFS('Каналы'!$B$6:$B$479,$A205,'Каналы'!$E$6:$E$479,"contacts")</x:f>
        <x:v>0</x:v>
      </x:c>
      <x:c r="J205" s="5" t="n">
        <x:f>COUNTIFS('Каналы'!$B$6:$B$479,$A205,'Каналы'!$E$6:$E$479,"social")</x:f>
        <x:v>0</x:v>
      </x:c>
      <x:c r="K205" s="5" t="n">
        <x:f>COUNTIFS('Каналы'!$B$6:$B$479,$A205,'Каналы'!$E$6:$E$479,"careers")</x:f>
        <x:v>0</x:v>
      </x:c>
      <x:c r="L205" s="5" t="n">
        <x:f>SUM(C205:K205)</x:f>
        <x:v>1</x:v>
      </x:c>
      <x:c r="M205" s="5" t="str">
        <x:v>Искать каналы с нулём; отдельно проверять действующее юрлицо и прием внешних провайдеров.</x:v>
      </x:c>
    </x:row>
  </x:sheetData>
  <x:conditionalFormatting sqref="C6:K205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23e21830a38489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.329999923706055" hidden="0" customWidth="1"/>
    <x:col min="2" max="2" width="10.5600004196167" hidden="0" customWidth="1"/>
    <x:col min="3" max="3" width="42.220001220703125" hidden="0" customWidth="1"/>
    <x:col min="4" max="4" width="8.890000343322754" hidden="0" customWidth="1"/>
    <x:col min="5" max="5" width="52.220001220703125" hidden="0" customWidth="1"/>
    <x:col min="6" max="6" width="50" hidden="0" customWidth="1"/>
    <x:col min="7" max="7" width="17.780000686645508" hidden="0" customWidth="1"/>
    <x:col min="8" max="8" width="18.889999389648438" hidden="0" customWidth="1"/>
    <x:col min="9" max="9" width="13.329999923706055" hidden="0" customWidth="1"/>
    <x:col min="10" max="10" width="14.4399995803833" hidden="0" customWidth="1"/>
    <x:col min="11" max="11" width="42.220001220703125" hidden="0" customWidth="1"/>
    <x:col min="12" max="12" width="42.220001220703125" hidden="0" customWidth="1"/>
    <x:col min="13" max="13" width="42.220001220703125" hidden="0" customWidth="1"/>
    <x:col min="14" max="14" width="29.4400005340576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1" customHeight="1">
      <x:c r="A2" s="3" t="str">
        <x:v>Рабочая очередь каналов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9.5" customHeight="1">
      <x:c r="A3" s="4" t="str">
        <x:v>Желтые поля заполняются после фактической проверки. not_checked_here не означает, что сборщика нет в вашем проекте.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1.5" customHeight="1">
      <x:c r="A5" s="9" t="str">
        <x:v>Source ID</x:v>
      </x:c>
      <x:c r="B5" s="9" t="str">
        <x:v>КУ ID</x:v>
      </x:c>
      <x:c r="C5" s="9" t="str">
        <x:v>URL</x:v>
      </x:c>
      <x:c r="D5" s="9" t="str">
        <x:v>Очередь</x:v>
      </x:c>
      <x:c r="E5" s="9" t="str">
        <x:v>Первое действие</x:v>
      </x:c>
      <x:c r="F5" s="9" t="str">
        <x:v>Метод — предложение</x:v>
      </x:c>
      <x:c r="G5" s="9" t="str">
        <x:v>Ответственный</x:v>
      </x:c>
      <x:c r="H5" s="9" t="str">
        <x:v>Фактический статус</x:v>
      </x:c>
      <x:c r="I5" s="9" t="str">
        <x:v>Проверено</x:v>
      </x:c>
      <x:c r="J5" s="9" t="str">
        <x:v>Следующий срок</x:v>
      </x:c>
      <x:c r="K5" s="9" t="str">
        <x:v>Пример / доказательство</x:v>
      </x:c>
      <x:c r="L5" s="9" t="str">
        <x:v>Фактический охват</x:v>
      </x:c>
      <x:c r="M5" s="9" t="str">
        <x:v>Причина / ограничение</x:v>
      </x:c>
      <x:c r="N5" s="9" t="str">
        <x:v>Полнота записи</x:v>
      </x:c>
    </x:row>
    <x:row r="6" ht="42.75" customHeight="1">
      <x:c r="A6" s="5" t="str">
        <x:v>CU-SRC-0001</x:v>
      </x:c>
      <x:c r="B6" s="5" t="str">
        <x:v>CU-0001</x:v>
      </x:c>
      <x:c r="C6" s="5" t="str">
        <x:v>https://institute.gazprom.ru/</x:v>
      </x:c>
      <x:c r="D6" s="5" t="n">
        <x:v>1</x:v>
      </x:c>
      <x:c r="E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6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6" s="10"/>
      <x:c r="H6" s="10" t="str">
        <x:v>not_checked_here</x:v>
      </x:c>
      <x:c r="I6" s="11"/>
      <x:c r="J6" s="11"/>
      <x:c r="K6" s="10"/>
      <x:c r="L6" s="10"/>
      <x:c r="M6" s="10"/>
      <x:c r="N6" s="5" t="str">
        <x:f>IF(H6="not_checked_here","Сопоставить с проектом",IF(OR(H6="operational",H6="empty_success"),IF(AND(I6&lt;&gt;"",J6&lt;&gt;"",K6&lt;&gt;"",L6&lt;&gt;""),"Доказательства внесены","Дополнить дату / пример / охват"),IF(J6="","Назначить следующий срок","Исход и очередь записаны")))</x:f>
        <x:v>Сопоставить с проектом</x:v>
      </x:c>
    </x:row>
    <x:row r="7" ht="42.75" customHeight="1">
      <x:c r="A7" s="5" t="str">
        <x:v>CU-SRC-0002</x:v>
      </x:c>
      <x:c r="B7" s="5" t="str">
        <x:v>CU-0001</x:v>
      </x:c>
      <x:c r="C7" s="5" t="str">
        <x:v>https://institute.gazprom.ru/education/</x:v>
      </x:c>
      <x:c r="D7" s="5" t="n">
        <x:v>1</x:v>
      </x:c>
      <x:c r="E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7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7" s="10"/>
      <x:c r="H7" s="10" t="str">
        <x:v>not_checked_here</x:v>
      </x:c>
      <x:c r="I7" s="11"/>
      <x:c r="J7" s="11"/>
      <x:c r="K7" s="10"/>
      <x:c r="L7" s="10"/>
      <x:c r="M7" s="10"/>
      <x:c r="N7" s="5" t="str">
        <x:f>IF(H7="not_checked_here","Сопоставить с проектом",IF(OR(H7="operational",H7="empty_success"),IF(AND(I7&lt;&gt;"",J7&lt;&gt;"",K7&lt;&gt;"",L7&lt;&gt;""),"Доказательства внесены","Дополнить дату / пример / охват"),IF(J7="","Назначить следующий срок","Исход и очередь записаны")))</x:f>
        <x:v>Сопоставить с проектом</x:v>
      </x:c>
    </x:row>
    <x:row r="8" ht="42.75" customHeight="1">
      <x:c r="A8" s="5" t="str">
        <x:v>CU-SRC-0003</x:v>
      </x:c>
      <x:c r="B8" s="5" t="str">
        <x:v>CU-0001</x:v>
      </x:c>
      <x:c r="C8" s="5" t="str">
        <x:v>https://institute.gazprom.ru/about/news/159340/</x:v>
      </x:c>
      <x:c r="D8" s="5" t="n">
        <x:v>1</x:v>
      </x:c>
      <x:c r="E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8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8" s="10"/>
      <x:c r="H8" s="10" t="str">
        <x:v>not_checked_here</x:v>
      </x:c>
      <x:c r="I8" s="11"/>
      <x:c r="J8" s="11"/>
      <x:c r="K8" s="10"/>
      <x:c r="L8" s="10"/>
      <x:c r="M8" s="10"/>
      <x:c r="N8" s="5" t="str">
        <x:f>IF(H8="not_checked_here","Сопоставить с проектом",IF(OR(H8="operational",H8="empty_success"),IF(AND(I8&lt;&gt;"",J8&lt;&gt;"",K8&lt;&gt;"",L8&lt;&gt;""),"Доказательства внесены","Дополнить дату / пример / охват"),IF(J8="","Назначить следующий срок","Исход и очередь записаны")))</x:f>
        <x:v>Сопоставить с проектом</x:v>
      </x:c>
    </x:row>
    <x:row r="9" ht="42.75" customHeight="1">
      <x:c r="A9" s="5" t="str">
        <x:v>CU-SRC-0004</x:v>
      </x:c>
      <x:c r="B9" s="5" t="str">
        <x:v>CU-0001</x:v>
      </x:c>
      <x:c r="C9" s="5" t="str">
        <x:v>https://tenders.gazprom.ru/</x:v>
      </x:c>
      <x:c r="D9" s="5" t="n">
        <x:v>1</x:v>
      </x:c>
      <x:c r="E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9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G9" s="10"/>
      <x:c r="H9" s="10" t="str">
        <x:v>not_checked_here</x:v>
      </x:c>
      <x:c r="I9" s="11"/>
      <x:c r="J9" s="11"/>
      <x:c r="K9" s="10"/>
      <x:c r="L9" s="10"/>
      <x:c r="M9" s="10"/>
      <x:c r="N9" s="5" t="str">
        <x:f>IF(H9="not_checked_here","Сопоставить с проектом",IF(OR(H9="operational",H9="empty_success"),IF(AND(I9&lt;&gt;"",J9&lt;&gt;"",K9&lt;&gt;"",L9&lt;&gt;""),"Доказательства внесены","Дополнить дату / пример / охват"),IF(J9="","Назначить следующий срок","Исход и очередь записаны")))</x:f>
        <x:v>Сопоставить с проектом</x:v>
      </x:c>
    </x:row>
    <x:row r="10" ht="42.75" customHeight="1">
      <x:c r="A10" s="5" t="str">
        <x:v>CU-SRC-0005</x:v>
      </x:c>
      <x:c r="B10" s="5" t="str">
        <x:v>CU-0002</x:v>
      </x:c>
      <x:c r="C10" s="5" t="str">
        <x:v>https://tc.gazprom.ru/about/</x:v>
      </x:c>
      <x:c r="D10" s="5" t="n">
        <x:v>2</x:v>
      </x:c>
      <x:c r="E1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1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10" s="10"/>
      <x:c r="H10" s="10" t="str">
        <x:v>not_checked_here</x:v>
      </x:c>
      <x:c r="I10" s="11"/>
      <x:c r="J10" s="11"/>
      <x:c r="K10" s="10"/>
      <x:c r="L10" s="10"/>
      <x:c r="M10" s="10"/>
      <x:c r="N10" s="5" t="str">
        <x:f>IF(H10="not_checked_here","Сопоставить с проектом",IF(OR(H10="operational",H10="empty_success"),IF(AND(I10&lt;&gt;"",J10&lt;&gt;"",K10&lt;&gt;"",L10&lt;&gt;""),"Доказательства внесены","Дополнить дату / пример / охват"),IF(J10="","Назначить следующий срок","Исход и очередь записаны")))</x:f>
        <x:v>Сопоставить с проектом</x:v>
      </x:c>
    </x:row>
    <x:row r="11" ht="42.75" customHeight="1">
      <x:c r="A11" s="5" t="str">
        <x:v>CU-SRC-0006</x:v>
      </x:c>
      <x:c r="B11" s="5" t="str">
        <x:v>CU-0002</x:v>
      </x:c>
      <x:c r="C11" s="5" t="str">
        <x:v>https://tc.gazprom.ru/</x:v>
      </x:c>
      <x:c r="D11" s="5" t="n">
        <x:v>2</x:v>
      </x:c>
      <x:c r="E1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1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11" s="10"/>
      <x:c r="H11" s="10" t="str">
        <x:v>not_checked_here</x:v>
      </x:c>
      <x:c r="I11" s="11"/>
      <x:c r="J11" s="11"/>
      <x:c r="K11" s="10"/>
      <x:c r="L11" s="10"/>
      <x:c r="M11" s="10"/>
      <x:c r="N11" s="5" t="str">
        <x:f>IF(H11="not_checked_here","Сопоставить с проектом",IF(OR(H11="operational",H11="empty_success"),IF(AND(I11&lt;&gt;"",J11&lt;&gt;"",K11&lt;&gt;"",L11&lt;&gt;""),"Доказательства внесены","Дополнить дату / пример / охват"),IF(J11="","Назначить следующий срок","Исход и очередь записаны")))</x:f>
        <x:v>Сопоставить с проектом</x:v>
      </x:c>
    </x:row>
    <x:row r="12" ht="42.75" customHeight="1">
      <x:c r="A12" s="5" t="str">
        <x:v>CU-SRC-0007</x:v>
      </x:c>
      <x:c r="B12" s="5" t="str">
        <x:v>CU-0002</x:v>
      </x:c>
      <x:c r="C12" s="5" t="str">
        <x:v>https://tenders.gazprom.ru/</x:v>
      </x:c>
      <x:c r="D12" s="5" t="n">
        <x:v>2</x:v>
      </x:c>
      <x:c r="E1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12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G12" s="10"/>
      <x:c r="H12" s="10" t="str">
        <x:v>not_checked_here</x:v>
      </x:c>
      <x:c r="I12" s="11"/>
      <x:c r="J12" s="11"/>
      <x:c r="K12" s="10"/>
      <x:c r="L12" s="10"/>
      <x:c r="M12" s="10"/>
      <x:c r="N12" s="5" t="str">
        <x:f>IF(H12="not_checked_here","Сопоставить с проектом",IF(OR(H12="operational",H12="empty_success"),IF(AND(I12&lt;&gt;"",J12&lt;&gt;"",K12&lt;&gt;"",L12&lt;&gt;""),"Доказательства внесены","Дополнить дату / пример / охват"),IF(J12="","Назначить следующий срок","Исход и очередь записаны")))</x:f>
        <x:v>Сопоставить с проектом</x:v>
      </x:c>
    </x:row>
    <x:row r="13" ht="42.75" customHeight="1">
      <x:c r="A13" s="5" t="str">
        <x:v>CU-SRC-0008</x:v>
      </x:c>
      <x:c r="B13" s="5" t="str">
        <x:v>CU-0003</x:v>
      </x:c>
      <x:c r="C13" s="5" t="str">
        <x:v>https://onutc.gazprom.ru/development/</x:v>
      </x:c>
      <x:c r="D13" s="5" t="n">
        <x:v>1</x:v>
      </x:c>
      <x:c r="E1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13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13" s="10"/>
      <x:c r="H13" s="10" t="str">
        <x:v>not_checked_here</x:v>
      </x:c>
      <x:c r="I13" s="11"/>
      <x:c r="J13" s="11"/>
      <x:c r="K13" s="10"/>
      <x:c r="L13" s="10"/>
      <x:c r="M13" s="10"/>
      <x:c r="N13" s="5" t="str">
        <x:f>IF(H13="not_checked_here","Сопоставить с проектом",IF(OR(H13="operational",H13="empty_success"),IF(AND(I13&lt;&gt;"",J13&lt;&gt;"",K13&lt;&gt;"",L13&lt;&gt;""),"Доказательства внесены","Дополнить дату / пример / охват"),IF(J13="","Назначить следующий срок","Исход и очередь записаны")))</x:f>
        <x:v>Сопоставить с проектом</x:v>
      </x:c>
    </x:row>
    <x:row r="14" ht="42.75" customHeight="1">
      <x:c r="A14" s="5" t="str">
        <x:v>CU-SRC-0009</x:v>
      </x:c>
      <x:c r="B14" s="5" t="str">
        <x:v>CU-0003</x:v>
      </x:c>
      <x:c r="C14" s="5" t="str">
        <x:v>https://onutc.gazprom.ru/career/vacancies/</x:v>
      </x:c>
      <x:c r="D14" s="5" t="n">
        <x:v>1</x:v>
      </x:c>
      <x:c r="E1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14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14" s="10"/>
      <x:c r="H14" s="10" t="str">
        <x:v>not_checked_here</x:v>
      </x:c>
      <x:c r="I14" s="11"/>
      <x:c r="J14" s="11"/>
      <x:c r="K14" s="10"/>
      <x:c r="L14" s="10"/>
      <x:c r="M14" s="10"/>
      <x:c r="N14" s="5" t="str">
        <x:f>IF(H14="not_checked_here","Сопоставить с проектом",IF(OR(H14="operational",H14="empty_success"),IF(AND(I14&lt;&gt;"",J14&lt;&gt;"",K14&lt;&gt;"",L14&lt;&gt;""),"Доказательства внесены","Дополнить дату / пример / охват"),IF(J14="","Назначить следующий срок","Исход и очередь записаны")))</x:f>
        <x:v>Сопоставить с проектом</x:v>
      </x:c>
    </x:row>
    <x:row r="15" ht="42.75" customHeight="1">
      <x:c r="A15" s="5" t="str">
        <x:v>CU-SRC-0010</x:v>
      </x:c>
      <x:c r="B15" s="5" t="str">
        <x:v>CU-0003</x:v>
      </x:c>
      <x:c r="C15" s="5" t="str">
        <x:v>https://sdo.snfpo.gazprom.ru/stores/onutc?lang=en</x:v>
      </x:c>
      <x:c r="D15" s="5" t="n">
        <x:v>1</x:v>
      </x:c>
      <x:c r="E1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15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15" s="10"/>
      <x:c r="H15" s="10" t="str">
        <x:v>not_checked_here</x:v>
      </x:c>
      <x:c r="I15" s="11"/>
      <x:c r="J15" s="11"/>
      <x:c r="K15" s="10"/>
      <x:c r="L15" s="10"/>
      <x:c r="M15" s="10"/>
      <x:c r="N15" s="5" t="str">
        <x:f>IF(H15="not_checked_here","Сопоставить с проектом",IF(OR(H15="operational",H15="empty_success"),IF(AND(I15&lt;&gt;"",J15&lt;&gt;"",K15&lt;&gt;"",L15&lt;&gt;""),"Доказательства внесены","Дополнить дату / пример / охват"),IF(J15="","Назначить следующий срок","Исход и очередь записаны")))</x:f>
        <x:v>Сопоставить с проектом</x:v>
      </x:c>
    </x:row>
    <x:row r="16" ht="42.75" customHeight="1">
      <x:c r="A16" s="5" t="str">
        <x:v>CU-SRC-0011</x:v>
      </x:c>
      <x:c r="B16" s="5" t="str">
        <x:v>CU-0003</x:v>
      </x:c>
      <x:c r="C16" s="5" t="str">
        <x:v>https://tenders.gazprom.ru/</x:v>
      </x:c>
      <x:c r="D16" s="5" t="n">
        <x:v>1</x:v>
      </x:c>
      <x:c r="E1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16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G16" s="10"/>
      <x:c r="H16" s="10" t="str">
        <x:v>not_checked_here</x:v>
      </x:c>
      <x:c r="I16" s="11"/>
      <x:c r="J16" s="11"/>
      <x:c r="K16" s="10"/>
      <x:c r="L16" s="10"/>
      <x:c r="M16" s="10"/>
      <x:c r="N16" s="5" t="str">
        <x:f>IF(H16="not_checked_here","Сопоставить с проектом",IF(OR(H16="operational",H16="empty_success"),IF(AND(I16&lt;&gt;"",J16&lt;&gt;"",K16&lt;&gt;"",L16&lt;&gt;""),"Доказательства внесены","Дополнить дату / пример / охват"),IF(J16="","Назначить следующий срок","Исход и очередь записаны")))</x:f>
        <x:v>Сопоставить с проектом</x:v>
      </x:c>
    </x:row>
    <x:row r="17" ht="42.75" customHeight="1">
      <x:c r="A17" s="5" t="str">
        <x:v>CU-SRC-0012</x:v>
      </x:c>
      <x:c r="B17" s="5" t="str">
        <x:v>CU-0004</x:v>
      </x:c>
      <x:c r="C17" s="5" t="str">
        <x:v>https://tomsk-tr.gazprom.ru/career/policy/</x:v>
      </x:c>
      <x:c r="D17" s="5" t="n">
        <x:v>1</x:v>
      </x:c>
      <x:c r="E1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17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17" s="10"/>
      <x:c r="H17" s="10" t="str">
        <x:v>not_checked_here</x:v>
      </x:c>
      <x:c r="I17" s="11"/>
      <x:c r="J17" s="11"/>
      <x:c r="K17" s="10"/>
      <x:c r="L17" s="10"/>
      <x:c r="M17" s="10"/>
      <x:c r="N17" s="5" t="str">
        <x:f>IF(H17="not_checked_here","Сопоставить с проектом",IF(OR(H17="operational",H17="empty_success"),IF(AND(I17&lt;&gt;"",J17&lt;&gt;"",K17&lt;&gt;"",L17&lt;&gt;""),"Доказательства внесены","Дополнить дату / пример / охват"),IF(J17="","Назначить следующий срок","Исход и очередь записаны")))</x:f>
        <x:v>Сопоставить с проектом</x:v>
      </x:c>
    </x:row>
    <x:row r="18" ht="42.75" customHeight="1">
      <x:c r="A18" s="5" t="str">
        <x:v>CU-SRC-0013</x:v>
      </x:c>
      <x:c r="B18" s="5" t="str">
        <x:v>CU-0004</x:v>
      </x:c>
      <x:c r="C18" s="5" t="str">
        <x:v>https://tenders.gazprom.ru/</x:v>
      </x:c>
      <x:c r="D18" s="5" t="n">
        <x:v>1</x:v>
      </x:c>
      <x:c r="E1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18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G18" s="10"/>
      <x:c r="H18" s="10" t="str">
        <x:v>not_checked_here</x:v>
      </x:c>
      <x:c r="I18" s="11"/>
      <x:c r="J18" s="11"/>
      <x:c r="K18" s="10"/>
      <x:c r="L18" s="10"/>
      <x:c r="M18" s="10"/>
      <x:c r="N18" s="5" t="str">
        <x:f>IF(H18="not_checked_here","Сопоставить с проектом",IF(OR(H18="operational",H18="empty_success"),IF(AND(I18&lt;&gt;"",J18&lt;&gt;"",K18&lt;&gt;"",L18&lt;&gt;""),"Доказательства внесены","Дополнить дату / пример / охват"),IF(J18="","Назначить следующий срок","Исход и очередь записаны")))</x:f>
        <x:v>Сопоставить с проектом</x:v>
      </x:c>
    </x:row>
    <x:row r="19" ht="42.75" customHeight="1">
      <x:c r="A19" s="5" t="str">
        <x:v>CU-SRC-0014</x:v>
      </x:c>
      <x:c r="B19" s="5" t="str">
        <x:v>CU-0005</x:v>
      </x:c>
      <x:c r="C19" s="5" t="str">
        <x:v>https://ekaterinburg-tr.gazprom.ru/about/organization/upts/</x:v>
      </x:c>
      <x:c r="D19" s="5" t="n">
        <x:v>2</x:v>
      </x:c>
      <x:c r="E1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19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19" s="10"/>
      <x:c r="H19" s="10" t="str">
        <x:v>not_checked_here</x:v>
      </x:c>
      <x:c r="I19" s="11"/>
      <x:c r="J19" s="11"/>
      <x:c r="K19" s="10"/>
      <x:c r="L19" s="10"/>
      <x:c r="M19" s="10"/>
      <x:c r="N19" s="5" t="str">
        <x:f>IF(H19="not_checked_here","Сопоставить с проектом",IF(OR(H19="operational",H19="empty_success"),IF(AND(I19&lt;&gt;"",J19&lt;&gt;"",K19&lt;&gt;"",L19&lt;&gt;""),"Доказательства внесены","Дополнить дату / пример / охват"),IF(J19="","Назначить следующий срок","Исход и очередь записаны")))</x:f>
        <x:v>Сопоставить с проектом</x:v>
      </x:c>
    </x:row>
    <x:row r="20" ht="42.75" customHeight="1">
      <x:c r="A20" s="5" t="str">
        <x:v>CU-SRC-0015</x:v>
      </x:c>
      <x:c r="B20" s="5" t="str">
        <x:v>CU-0005</x:v>
      </x:c>
      <x:c r="C20" s="5" t="str">
        <x:v>https://tenders.gazprom.ru/</x:v>
      </x:c>
      <x:c r="D20" s="5" t="n">
        <x:v>2</x:v>
      </x:c>
      <x:c r="E2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20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G20" s="10"/>
      <x:c r="H20" s="10" t="str">
        <x:v>not_checked_here</x:v>
      </x:c>
      <x:c r="I20" s="11"/>
      <x:c r="J20" s="11"/>
      <x:c r="K20" s="10"/>
      <x:c r="L20" s="10"/>
      <x:c r="M20" s="10"/>
      <x:c r="N20" s="5" t="str">
        <x:f>IF(H20="not_checked_here","Сопоставить с проектом",IF(OR(H20="operational",H20="empty_success"),IF(AND(I20&lt;&gt;"",J20&lt;&gt;"",K20&lt;&gt;"",L20&lt;&gt;""),"Доказательства внесены","Дополнить дату / пример / охват"),IF(J20="","Назначить следующий срок","Исход и очередь записаны")))</x:f>
        <x:v>Сопоставить с проектом</x:v>
      </x:c>
    </x:row>
    <x:row r="21" ht="42.75" customHeight="1">
      <x:c r="A21" s="5" t="str">
        <x:v>CU-SRC-0016</x:v>
      </x:c>
      <x:c r="B21" s="5" t="str">
        <x:v>CU-0006</x:v>
      </x:c>
      <x:c r="C21" s="5" t="str">
        <x:v>https://ukhta-tr.gazprom.ru/sveden/document/</x:v>
      </x:c>
      <x:c r="D21" s="5" t="n">
        <x:v>2</x:v>
      </x:c>
      <x:c r="E2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21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21" s="10"/>
      <x:c r="H21" s="10" t="str">
        <x:v>not_checked_here</x:v>
      </x:c>
      <x:c r="I21" s="11"/>
      <x:c r="J21" s="11"/>
      <x:c r="K21" s="10"/>
      <x:c r="L21" s="10"/>
      <x:c r="M21" s="10"/>
      <x:c r="N21" s="5" t="str">
        <x:f>IF(H21="not_checked_here","Сопоставить с проектом",IF(OR(H21="operational",H21="empty_success"),IF(AND(I21&lt;&gt;"",J21&lt;&gt;"",K21&lt;&gt;"",L21&lt;&gt;""),"Доказательства внесены","Дополнить дату / пример / охват"),IF(J21="","Назначить следующий срок","Исход и очередь записаны")))</x:f>
        <x:v>Сопоставить с проектом</x:v>
      </x:c>
    </x:row>
    <x:row r="22" ht="42.75" customHeight="1">
      <x:c r="A22" s="5" t="str">
        <x:v>CU-SRC-0017</x:v>
      </x:c>
      <x:c r="B22" s="5" t="str">
        <x:v>CU-0006</x:v>
      </x:c>
      <x:c r="C22" s="5" t="str">
        <x:v>https://ukhta-tr.gazprom.ru/sveden/employees/</x:v>
      </x:c>
      <x:c r="D22" s="5" t="n">
        <x:v>2</x:v>
      </x:c>
      <x:c r="E2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22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22" s="10"/>
      <x:c r="H22" s="10" t="str">
        <x:v>not_checked_here</x:v>
      </x:c>
      <x:c r="I22" s="11"/>
      <x:c r="J22" s="11"/>
      <x:c r="K22" s="10"/>
      <x:c r="L22" s="10"/>
      <x:c r="M22" s="10"/>
      <x:c r="N22" s="5" t="str">
        <x:f>IF(H22="not_checked_here","Сопоставить с проектом",IF(OR(H22="operational",H22="empty_success"),IF(AND(I22&lt;&gt;"",J22&lt;&gt;"",K22&lt;&gt;"",L22&lt;&gt;""),"Доказательства внесены","Дополнить дату / пример / охват"),IF(J22="","Назначить следующий срок","Исход и очередь записаны")))</x:f>
        <x:v>Сопоставить с проектом</x:v>
      </x:c>
    </x:row>
    <x:row r="23" ht="42.75" customHeight="1">
      <x:c r="A23" s="5" t="str">
        <x:v>CU-SRC-0018</x:v>
      </x:c>
      <x:c r="B23" s="5" t="str">
        <x:v>CU-0006</x:v>
      </x:c>
      <x:c r="C23" s="5" t="str">
        <x:v>https://tenders.gazprom.ru/</x:v>
      </x:c>
      <x:c r="D23" s="5" t="n">
        <x:v>2</x:v>
      </x:c>
      <x:c r="E2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23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G23" s="10"/>
      <x:c r="H23" s="10" t="str">
        <x:v>not_checked_here</x:v>
      </x:c>
      <x:c r="I23" s="11"/>
      <x:c r="J23" s="11"/>
      <x:c r="K23" s="10"/>
      <x:c r="L23" s="10"/>
      <x:c r="M23" s="10"/>
      <x:c r="N23" s="5" t="str">
        <x:f>IF(H23="not_checked_here","Сопоставить с проектом",IF(OR(H23="operational",H23="empty_success"),IF(AND(I23&lt;&gt;"",J23&lt;&gt;"",K23&lt;&gt;"",L23&lt;&gt;""),"Доказательства внесены","Дополнить дату / пример / охват"),IF(J23="","Назначить следующий срок","Исход и очередь записаны")))</x:f>
        <x:v>Сопоставить с проектом</x:v>
      </x:c>
    </x:row>
    <x:row r="24" ht="42.75" customHeight="1">
      <x:c r="A24" s="5" t="str">
        <x:v>CU-SRC-0019</x:v>
      </x:c>
      <x:c r="B24" s="5" t="str">
        <x:v>CU-0007</x:v>
      </x:c>
      <x:c r="C24" s="5" t="str">
        <x:v>https://moskva-tr.gazprom.ru/career/</x:v>
      </x:c>
      <x:c r="D24" s="5" t="n">
        <x:v>2</x:v>
      </x:c>
      <x:c r="E2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24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24" s="10"/>
      <x:c r="H24" s="10" t="str">
        <x:v>not_checked_here</x:v>
      </x:c>
      <x:c r="I24" s="11"/>
      <x:c r="J24" s="11"/>
      <x:c r="K24" s="10"/>
      <x:c r="L24" s="10"/>
      <x:c r="M24" s="10"/>
      <x:c r="N24" s="5" t="str">
        <x:f>IF(H24="not_checked_here","Сопоставить с проектом",IF(OR(H24="operational",H24="empty_success"),IF(AND(I24&lt;&gt;"",J24&lt;&gt;"",K24&lt;&gt;"",L24&lt;&gt;""),"Доказательства внесены","Дополнить дату / пример / охват"),IF(J24="","Назначить следующий срок","Исход и очередь записаны")))</x:f>
        <x:v>Сопоставить с проектом</x:v>
      </x:c>
    </x:row>
    <x:row r="25" ht="42.75" customHeight="1">
      <x:c r="A25" s="5" t="str">
        <x:v>CU-SRC-0020</x:v>
      </x:c>
      <x:c r="B25" s="5" t="str">
        <x:v>CU-0007</x:v>
      </x:c>
      <x:c r="C25" s="5" t="str">
        <x:v>https://tenders.gazprom.ru/</x:v>
      </x:c>
      <x:c r="D25" s="5" t="n">
        <x:v>2</x:v>
      </x:c>
      <x:c r="E2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25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G25" s="10"/>
      <x:c r="H25" s="10" t="str">
        <x:v>not_checked_here</x:v>
      </x:c>
      <x:c r="I25" s="11"/>
      <x:c r="J25" s="11"/>
      <x:c r="K25" s="10"/>
      <x:c r="L25" s="10"/>
      <x:c r="M25" s="10"/>
      <x:c r="N25" s="5" t="str">
        <x:f>IF(H25="not_checked_here","Сопоставить с проектом",IF(OR(H25="operational",H25="empty_success"),IF(AND(I25&lt;&gt;"",J25&lt;&gt;"",K25&lt;&gt;"",L25&lt;&gt;""),"Доказательства внесены","Дополнить дату / пример / охват"),IF(J25="","Назначить следующий срок","Исход и очередь записаны")))</x:f>
        <x:v>Сопоставить с проектом</x:v>
      </x:c>
    </x:row>
    <x:row r="26" ht="42.75" customHeight="1">
      <x:c r="A26" s="5" t="str">
        <x:v>CU-SRC-0021</x:v>
      </x:c>
      <x:c r="B26" s="5" t="str">
        <x:v>CU-0008</x:v>
      </x:c>
      <x:c r="C26" s="5" t="str">
        <x:v>https://yugorsk-tr.gazprom.ru/career/uchebno-proizvodstvennyj-tsentr/obrazovanie/</x:v>
      </x:c>
      <x:c r="D26" s="5" t="n">
        <x:v>2</x:v>
      </x:c>
      <x:c r="E2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26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26" s="10"/>
      <x:c r="H26" s="10" t="str">
        <x:v>not_checked_here</x:v>
      </x:c>
      <x:c r="I26" s="11"/>
      <x:c r="J26" s="11"/>
      <x:c r="K26" s="10"/>
      <x:c r="L26" s="10"/>
      <x:c r="M26" s="10"/>
      <x:c r="N26" s="5" t="str">
        <x:f>IF(H26="not_checked_here","Сопоставить с проектом",IF(OR(H26="operational",H26="empty_success"),IF(AND(I26&lt;&gt;"",J26&lt;&gt;"",K26&lt;&gt;"",L26&lt;&gt;""),"Доказательства внесены","Дополнить дату / пример / охват"),IF(J26="","Назначить следующий срок","Исход и очередь записаны")))</x:f>
        <x:v>Сопоставить с проектом</x:v>
      </x:c>
    </x:row>
    <x:row r="27" ht="42.75" customHeight="1">
      <x:c r="A27" s="5" t="str">
        <x:v>CU-SRC-0022</x:v>
      </x:c>
      <x:c r="B27" s="5" t="str">
        <x:v>CU-0008</x:v>
      </x:c>
      <x:c r="C27" s="5" t="str">
        <x:v>https://tenders.gazprom.ru/</x:v>
      </x:c>
      <x:c r="D27" s="5" t="n">
        <x:v>2</x:v>
      </x:c>
      <x:c r="E2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27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G27" s="10"/>
      <x:c r="H27" s="10" t="str">
        <x:v>not_checked_here</x:v>
      </x:c>
      <x:c r="I27" s="11"/>
      <x:c r="J27" s="11"/>
      <x:c r="K27" s="10"/>
      <x:c r="L27" s="10"/>
      <x:c r="M27" s="10"/>
      <x:c r="N27" s="5" t="str">
        <x:f>IF(H27="not_checked_here","Сопоставить с проектом",IF(OR(H27="operational",H27="empty_success"),IF(AND(I27&lt;&gt;"",J27&lt;&gt;"",K27&lt;&gt;"",L27&lt;&gt;""),"Доказательства внесены","Дополнить дату / пример / охват"),IF(J27="","Назначить следующий срок","Исход и очередь записаны")))</x:f>
        <x:v>Сопоставить с проектом</x:v>
      </x:c>
    </x:row>
    <x:row r="28" ht="42.75" customHeight="1">
      <x:c r="A28" s="5" t="str">
        <x:v>CU-SRC-0023</x:v>
      </x:c>
      <x:c r="B28" s="5" t="str">
        <x:v>CU-0009</x:v>
      </x:c>
      <x:c r="C28" s="5" t="str">
        <x:v>https://surgut-tr.gazprom.ru/sveden/common</x:v>
      </x:c>
      <x:c r="D28" s="5" t="n">
        <x:v>2</x:v>
      </x:c>
      <x:c r="E2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28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28" s="10"/>
      <x:c r="H28" s="10" t="str">
        <x:v>not_checked_here</x:v>
      </x:c>
      <x:c r="I28" s="11"/>
      <x:c r="J28" s="11"/>
      <x:c r="K28" s="10"/>
      <x:c r="L28" s="10"/>
      <x:c r="M28" s="10"/>
      <x:c r="N28" s="5" t="str">
        <x:f>IF(H28="not_checked_here","Сопоставить с проектом",IF(OR(H28="operational",H28="empty_success"),IF(AND(I28&lt;&gt;"",J28&lt;&gt;"",K28&lt;&gt;"",L28&lt;&gt;""),"Доказательства внесены","Дополнить дату / пример / охват"),IF(J28="","Назначить следующий срок","Исход и очередь записаны")))</x:f>
        <x:v>Сопоставить с проектом</x:v>
      </x:c>
    </x:row>
    <x:row r="29" ht="42.75" customHeight="1">
      <x:c r="A29" s="5" t="str">
        <x:v>CU-SRC-0024</x:v>
      </x:c>
      <x:c r="B29" s="5" t="str">
        <x:v>CU-0009</x:v>
      </x:c>
      <x:c r="C29" s="5" t="str">
        <x:v>https://tenders.gazprom.ru/</x:v>
      </x:c>
      <x:c r="D29" s="5" t="n">
        <x:v>2</x:v>
      </x:c>
      <x:c r="E2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29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G29" s="10"/>
      <x:c r="H29" s="10" t="str">
        <x:v>not_checked_here</x:v>
      </x:c>
      <x:c r="I29" s="11"/>
      <x:c r="J29" s="11"/>
      <x:c r="K29" s="10"/>
      <x:c r="L29" s="10"/>
      <x:c r="M29" s="10"/>
      <x:c r="N29" s="5" t="str">
        <x:f>IF(H29="not_checked_here","Сопоставить с проектом",IF(OR(H29="operational",H29="empty_success"),IF(AND(I29&lt;&gt;"",J29&lt;&gt;"",K29&lt;&gt;"",L29&lt;&gt;""),"Доказательства внесены","Дополнить дату / пример / охват"),IF(J29="","Назначить следующий срок","Исход и очередь записаны")))</x:f>
        <x:v>Сопоставить с проектом</x:v>
      </x:c>
    </x:row>
    <x:row r="30" ht="42.75" customHeight="1">
      <x:c r="A30" s="5" t="str">
        <x:v>CU-SRC-0025</x:v>
      </x:c>
      <x:c r="B30" s="5" t="str">
        <x:v>CU-0010</x:v>
      </x:c>
      <x:c r="C30" s="5" t="str">
        <x:v>https://stavropol-tr.gazprom.ru/career/uchebno-proizvodstvennyj-tsentr/struktura-i-organy-upravleniya/</x:v>
      </x:c>
      <x:c r="D30" s="5" t="n">
        <x:v>2</x:v>
      </x:c>
      <x:c r="E3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3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30" s="10"/>
      <x:c r="H30" s="10" t="str">
        <x:v>not_checked_here</x:v>
      </x:c>
      <x:c r="I30" s="11"/>
      <x:c r="J30" s="11"/>
      <x:c r="K30" s="10"/>
      <x:c r="L30" s="10"/>
      <x:c r="M30" s="10"/>
      <x:c r="N30" s="5" t="str">
        <x:f>IF(H30="not_checked_here","Сопоставить с проектом",IF(OR(H30="operational",H30="empty_success"),IF(AND(I30&lt;&gt;"",J30&lt;&gt;"",K30&lt;&gt;"",L30&lt;&gt;""),"Доказательства внесены","Дополнить дату / пример / охват"),IF(J30="","Назначить следующий срок","Исход и очередь записаны")))</x:f>
        <x:v>Сопоставить с проектом</x:v>
      </x:c>
    </x:row>
    <x:row r="31" ht="42.75" customHeight="1">
      <x:c r="A31" s="5" t="str">
        <x:v>CU-SRC-0026</x:v>
      </x:c>
      <x:c r="B31" s="5" t="str">
        <x:v>CU-0010</x:v>
      </x:c>
      <x:c r="C31" s="5" t="str">
        <x:v>https://tenders.gazprom.ru/</x:v>
      </x:c>
      <x:c r="D31" s="5" t="n">
        <x:v>2</x:v>
      </x:c>
      <x:c r="E3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31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G31" s="10"/>
      <x:c r="H31" s="10" t="str">
        <x:v>not_checked_here</x:v>
      </x:c>
      <x:c r="I31" s="11"/>
      <x:c r="J31" s="11"/>
      <x:c r="K31" s="10"/>
      <x:c r="L31" s="10"/>
      <x:c r="M31" s="10"/>
      <x:c r="N31" s="5" t="str">
        <x:f>IF(H31="not_checked_here","Сопоставить с проектом",IF(OR(H31="operational",H31="empty_success"),IF(AND(I31&lt;&gt;"",J31&lt;&gt;"",K31&lt;&gt;"",L31&lt;&gt;""),"Доказательства внесены","Дополнить дату / пример / охват"),IF(J31="","Назначить следующий срок","Исход и очередь записаны")))</x:f>
        <x:v>Сопоставить с проектом</x:v>
      </x:c>
    </x:row>
    <x:row r="32" ht="42.75" customHeight="1">
      <x:c r="A32" s="5" t="str">
        <x:v>CU-SRC-0027</x:v>
      </x:c>
      <x:c r="B32" s="5" t="str">
        <x:v>CU-0011</x:v>
      </x:c>
      <x:c r="C32" s="5" t="str">
        <x:v>https://saratov-tr.gazprom.ru/career/uchebnyj-tsentr/osnovnyj-svedeniya/</x:v>
      </x:c>
      <x:c r="D32" s="5" t="n">
        <x:v>2</x:v>
      </x:c>
      <x:c r="E3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32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32" s="10"/>
      <x:c r="H32" s="10" t="str">
        <x:v>not_checked_here</x:v>
      </x:c>
      <x:c r="I32" s="11"/>
      <x:c r="J32" s="11"/>
      <x:c r="K32" s="10"/>
      <x:c r="L32" s="10"/>
      <x:c r="M32" s="10"/>
      <x:c r="N32" s="5" t="str">
        <x:f>IF(H32="not_checked_here","Сопоставить с проектом",IF(OR(H32="operational",H32="empty_success"),IF(AND(I32&lt;&gt;"",J32&lt;&gt;"",K32&lt;&gt;"",L32&lt;&gt;""),"Доказательства внесены","Дополнить дату / пример / охват"),IF(J32="","Назначить следующий срок","Исход и очередь записаны")))</x:f>
        <x:v>Сопоставить с проектом</x:v>
      </x:c>
    </x:row>
    <x:row r="33" ht="42.75" customHeight="1">
      <x:c r="A33" s="5" t="str">
        <x:v>CU-SRC-0028</x:v>
      </x:c>
      <x:c r="B33" s="5" t="str">
        <x:v>CU-0011</x:v>
      </x:c>
      <x:c r="C33" s="5" t="str">
        <x:v>https://tenders.gazprom.ru/</x:v>
      </x:c>
      <x:c r="D33" s="5" t="n">
        <x:v>2</x:v>
      </x:c>
      <x:c r="E3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33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G33" s="10"/>
      <x:c r="H33" s="10" t="str">
        <x:v>not_checked_here</x:v>
      </x:c>
      <x:c r="I33" s="11"/>
      <x:c r="J33" s="11"/>
      <x:c r="K33" s="10"/>
      <x:c r="L33" s="10"/>
      <x:c r="M33" s="10"/>
      <x:c r="N33" s="5" t="str">
        <x:f>IF(H33="not_checked_here","Сопоставить с проектом",IF(OR(H33="operational",H33="empty_success"),IF(AND(I33&lt;&gt;"",J33&lt;&gt;"",K33&lt;&gt;"",L33&lt;&gt;""),"Доказательства внесены","Дополнить дату / пример / охват"),IF(J33="","Назначить следующий срок","Исход и очередь записаны")))</x:f>
        <x:v>Сопоставить с проектом</x:v>
      </x:c>
    </x:row>
    <x:row r="34" ht="42.75" customHeight="1">
      <x:c r="A34" s="5" t="str">
        <x:v>CU-SRC-0029</x:v>
      </x:c>
      <x:c r="B34" s="5" t="str">
        <x:v>CU-0012</x:v>
      </x:c>
      <x:c r="C34" s="5" t="str">
        <x:v>https://spb-tr.gazprom.ru/career/upc/</x:v>
      </x:c>
      <x:c r="D34" s="5" t="n">
        <x:v>2</x:v>
      </x:c>
      <x:c r="E3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34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34" s="10"/>
      <x:c r="H34" s="10" t="str">
        <x:v>not_checked_here</x:v>
      </x:c>
      <x:c r="I34" s="11"/>
      <x:c r="J34" s="11"/>
      <x:c r="K34" s="10"/>
      <x:c r="L34" s="10"/>
      <x:c r="M34" s="10"/>
      <x:c r="N34" s="5" t="str">
        <x:f>IF(H34="not_checked_here","Сопоставить с проектом",IF(OR(H34="operational",H34="empty_success"),IF(AND(I34&lt;&gt;"",J34&lt;&gt;"",K34&lt;&gt;"",L34&lt;&gt;""),"Доказательства внесены","Дополнить дату / пример / охват"),IF(J34="","Назначить следующий срок","Исход и очередь записаны")))</x:f>
        <x:v>Сопоставить с проектом</x:v>
      </x:c>
    </x:row>
    <x:row r="35" ht="42.75" customHeight="1">
      <x:c r="A35" s="5" t="str">
        <x:v>CU-SRC-0030</x:v>
      </x:c>
      <x:c r="B35" s="5" t="str">
        <x:v>CU-0012</x:v>
      </x:c>
      <x:c r="C35" s="5" t="str">
        <x:v>https://spb-tr.gazprom.ru/career/upc/docsupc/</x:v>
      </x:c>
      <x:c r="D35" s="5" t="n">
        <x:v>2</x:v>
      </x:c>
      <x:c r="E3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35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35" s="10"/>
      <x:c r="H35" s="10" t="str">
        <x:v>not_checked_here</x:v>
      </x:c>
      <x:c r="I35" s="11"/>
      <x:c r="J35" s="11"/>
      <x:c r="K35" s="10"/>
      <x:c r="L35" s="10"/>
      <x:c r="M35" s="10"/>
      <x:c r="N35" s="5" t="str">
        <x:f>IF(H35="not_checked_here","Сопоставить с проектом",IF(OR(H35="operational",H35="empty_success"),IF(AND(I35&lt;&gt;"",J35&lt;&gt;"",K35&lt;&gt;"",L35&lt;&gt;""),"Доказательства внесены","Дополнить дату / пример / охват"),IF(J35="","Назначить следующий срок","Исход и очередь записаны")))</x:f>
        <x:v>Сопоставить с проектом</x:v>
      </x:c>
    </x:row>
    <x:row r="36" ht="42.75" customHeight="1">
      <x:c r="A36" s="5" t="str">
        <x:v>CU-SRC-0031</x:v>
      </x:c>
      <x:c r="B36" s="5" t="str">
        <x:v>CU-0012</x:v>
      </x:c>
      <x:c r="C36" s="5" t="str">
        <x:v>https://tenders.gazprom.ru/</x:v>
      </x:c>
      <x:c r="D36" s="5" t="n">
        <x:v>2</x:v>
      </x:c>
      <x:c r="E3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36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G36" s="10"/>
      <x:c r="H36" s="10" t="str">
        <x:v>not_checked_here</x:v>
      </x:c>
      <x:c r="I36" s="11"/>
      <x:c r="J36" s="11"/>
      <x:c r="K36" s="10"/>
      <x:c r="L36" s="10"/>
      <x:c r="M36" s="10"/>
      <x:c r="N36" s="5" t="str">
        <x:f>IF(H36="not_checked_here","Сопоставить с проектом",IF(OR(H36="operational",H36="empty_success"),IF(AND(I36&lt;&gt;"",J36&lt;&gt;"",K36&lt;&gt;"",L36&lt;&gt;""),"Доказательства внесены","Дополнить дату / пример / охват"),IF(J36="","Назначить следующий срок","Исход и очередь записаны")))</x:f>
        <x:v>Сопоставить с проектом</x:v>
      </x:c>
    </x:row>
    <x:row r="37" ht="42.75" customHeight="1">
      <x:c r="A37" s="5" t="str">
        <x:v>CU-SRC-0032</x:v>
      </x:c>
      <x:c r="B37" s="5" t="str">
        <x:v>CU-0013</x:v>
      </x:c>
      <x:c r="C37" s="5" t="str">
        <x:v>https://cu.tatneft.ru/ob-universitete/obshchaya-informatsiya?lang=ru</x:v>
      </x:c>
      <x:c r="D37" s="5" t="n">
        <x:v>1</x:v>
      </x:c>
      <x:c r="E3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37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37" s="10"/>
      <x:c r="H37" s="10" t="str">
        <x:v>not_checked_here</x:v>
      </x:c>
      <x:c r="I37" s="11"/>
      <x:c r="J37" s="11"/>
      <x:c r="K37" s="10"/>
      <x:c r="L37" s="10"/>
      <x:c r="M37" s="10"/>
      <x:c r="N37" s="5" t="str">
        <x:f>IF(H37="not_checked_here","Сопоставить с проектом",IF(OR(H37="operational",H37="empty_success"),IF(AND(I37&lt;&gt;"",J37&lt;&gt;"",K37&lt;&gt;"",L37&lt;&gt;""),"Доказательства внесены","Дополнить дату / пример / охват"),IF(J37="","Назначить следующий срок","Исход и очередь записаны")))</x:f>
        <x:v>Сопоставить с проектом</x:v>
      </x:c>
    </x:row>
    <x:row r="38" ht="42.75" customHeight="1">
      <x:c r="A38" s="5" t="str">
        <x:v>CU-SRC-0033</x:v>
      </x:c>
      <x:c r="B38" s="5" t="str">
        <x:v>CU-0013</x:v>
      </x:c>
      <x:c r="C38" s="5" t="str">
        <x:v>https://cu.tatneft.ru/obrazovanie/kursi-organizuemie-korporativnim-universitetom-pao-tatneft/?lang=ru</x:v>
      </x:c>
      <x:c r="D38" s="5" t="n">
        <x:v>1</x:v>
      </x:c>
      <x:c r="E3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38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38" s="10"/>
      <x:c r="H38" s="10" t="str">
        <x:v>not_checked_here</x:v>
      </x:c>
      <x:c r="I38" s="11"/>
      <x:c r="J38" s="11"/>
      <x:c r="K38" s="10"/>
      <x:c r="L38" s="10"/>
      <x:c r="M38" s="10"/>
      <x:c r="N38" s="5" t="str">
        <x:f>IF(H38="not_checked_here","Сопоставить с проектом",IF(OR(H38="operational",H38="empty_success"),IF(AND(I38&lt;&gt;"",J38&lt;&gt;"",K38&lt;&gt;"",L38&lt;&gt;""),"Доказательства внесены","Дополнить дату / пример / охват"),IF(J38="","Назначить следующий срок","Исход и очередь записаны")))</x:f>
        <x:v>Сопоставить с проектом</x:v>
      </x:c>
    </x:row>
    <x:row r="39" ht="42.75" customHeight="1">
      <x:c r="A39" s="5" t="str">
        <x:v>CU-SRC-0034</x:v>
      </x:c>
      <x:c r="B39" s="5" t="str">
        <x:v>CU-0013</x:v>
      </x:c>
      <x:c r="C39" s="5" t="str">
        <x:v>https://cu.tatneft.ru/kontakti</x:v>
      </x:c>
      <x:c r="D39" s="5" t="n">
        <x:v>1</x:v>
      </x:c>
      <x:c r="E3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39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39" s="10"/>
      <x:c r="H39" s="10" t="str">
        <x:v>not_checked_here</x:v>
      </x:c>
      <x:c r="I39" s="11"/>
      <x:c r="J39" s="11"/>
      <x:c r="K39" s="10"/>
      <x:c r="L39" s="10"/>
      <x:c r="M39" s="10"/>
      <x:c r="N39" s="5" t="str">
        <x:f>IF(H39="not_checked_here","Сопоставить с проектом",IF(OR(H39="operational",H39="empty_success"),IF(AND(I39&lt;&gt;"",J39&lt;&gt;"",K39&lt;&gt;"",L39&lt;&gt;""),"Доказательства внесены","Дополнить дату / пример / охват"),IF(J39="","Назначить следующий срок","Исход и очередь записаны")))</x:f>
        <x:v>Сопоставить с проектом</x:v>
      </x:c>
    </x:row>
    <x:row r="40" ht="42.75" customHeight="1">
      <x:c r="A40" s="5" t="str">
        <x:v>CU-SRC-0035</x:v>
      </x:c>
      <x:c r="B40" s="5" t="str">
        <x:v>CU-0014</x:v>
      </x:c>
      <x:c r="C40" s="5" t="str">
        <x:v>https://ctc.lukoil.ru/ru/About/GeneralInformation?wid=widpxFOse5-vkj2WOeBjmHY9Q</x:v>
      </x:c>
      <x:c r="D40" s="5" t="n">
        <x:v>2</x:v>
      </x:c>
      <x:c r="E4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0" s="10"/>
      <x:c r="H40" s="10" t="str">
        <x:v>not_checked_here</x:v>
      </x:c>
      <x:c r="I40" s="11"/>
      <x:c r="J40" s="11"/>
      <x:c r="K40" s="10"/>
      <x:c r="L40" s="10"/>
      <x:c r="M40" s="10"/>
      <x:c r="N40" s="5" t="str">
        <x:f>IF(H40="not_checked_here","Сопоставить с проектом",IF(OR(H40="operational",H40="empty_success"),IF(AND(I40&lt;&gt;"",J40&lt;&gt;"",K40&lt;&gt;"",L40&lt;&gt;""),"Доказательства внесены","Дополнить дату / пример / охват"),IF(J40="","Назначить следующий срок","Исход и очередь записаны")))</x:f>
        <x:v>Сопоставить с проектом</x:v>
      </x:c>
    </x:row>
    <x:row r="41" ht="42.75" customHeight="1">
      <x:c r="A41" s="5" t="str">
        <x:v>CU-SRC-0036</x:v>
      </x:c>
      <x:c r="B41" s="5" t="str">
        <x:v>CU-0014</x:v>
      </x:c>
      <x:c r="C41" s="5" t="str">
        <x:v>https://ctc.lukoil.ru/ru/Contacts</x:v>
      </x:c>
      <x:c r="D41" s="5" t="n">
        <x:v>2</x:v>
      </x:c>
      <x:c r="E4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1" s="10"/>
      <x:c r="H41" s="10" t="str">
        <x:v>not_checked_here</x:v>
      </x:c>
      <x:c r="I41" s="11"/>
      <x:c r="J41" s="11"/>
      <x:c r="K41" s="10"/>
      <x:c r="L41" s="10"/>
      <x:c r="M41" s="10"/>
      <x:c r="N41" s="5" t="str">
        <x:f>IF(H41="not_checked_here","Сопоставить с проектом",IF(OR(H41="operational",H41="empty_success"),IF(AND(I41&lt;&gt;"",J41&lt;&gt;"",K41&lt;&gt;"",L41&lt;&gt;""),"Доказательства внесены","Дополнить дату / пример / охват"),IF(J41="","Назначить следующий срок","Исход и очередь записаны")))</x:f>
        <x:v>Сопоставить с проектом</x:v>
      </x:c>
    </x:row>
    <x:row r="42" ht="42.75" customHeight="1">
      <x:c r="A42" s="5" t="str">
        <x:v>CU-SRC-0037</x:v>
      </x:c>
      <x:c r="B42" s="5" t="str">
        <x:v>CU-0014</x:v>
      </x:c>
      <x:c r="C42" s="5" t="str">
        <x:v>https://lukoil.ru/PressCenter/Pressreleases/Pressrelease/lukoil-rasshiriaet-vozmozhnosti-korporativnogo</x:v>
      </x:c>
      <x:c r="D42" s="5" t="n">
        <x:v>2</x:v>
      </x:c>
      <x:c r="E4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2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2" s="10"/>
      <x:c r="H42" s="10" t="str">
        <x:v>not_checked_here</x:v>
      </x:c>
      <x:c r="I42" s="11"/>
      <x:c r="J42" s="11"/>
      <x:c r="K42" s="10"/>
      <x:c r="L42" s="10"/>
      <x:c r="M42" s="10"/>
      <x:c r="N42" s="5" t="str">
        <x:f>IF(H42="not_checked_here","Сопоставить с проектом",IF(OR(H42="operational",H42="empty_success"),IF(AND(I42&lt;&gt;"",J42&lt;&gt;"",K42&lt;&gt;"",L42&lt;&gt;""),"Доказательства внесены","Дополнить дату / пример / охват"),IF(J42="","Назначить следующий срок","Исход и очередь записаны")))</x:f>
        <x:v>Сопоставить с проектом</x:v>
      </x:c>
    </x:row>
    <x:row r="43" ht="42.75" customHeight="1">
      <x:c r="A43" s="5" t="str">
        <x:v>CU-SRC-0038</x:v>
      </x:c>
      <x:c r="B43" s="5" t="str">
        <x:v>CU-0015</x:v>
      </x:c>
      <x:c r="C43" s="5" t="str">
        <x:v>https://www.sgu.ru/struktura/gazpromneft</x:v>
      </x:c>
      <x:c r="D43" s="5" t="n">
        <x:v>1</x:v>
      </x:c>
      <x:c r="E4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3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3" s="10"/>
      <x:c r="H43" s="10" t="str">
        <x:v>not_checked_here</x:v>
      </x:c>
      <x:c r="I43" s="11"/>
      <x:c r="J43" s="11"/>
      <x:c r="K43" s="10"/>
      <x:c r="L43" s="10"/>
      <x:c r="M43" s="10"/>
      <x:c r="N43" s="5" t="str">
        <x:f>IF(H43="not_checked_here","Сопоставить с проектом",IF(OR(H43="operational",H43="empty_success"),IF(AND(I43&lt;&gt;"",J43&lt;&gt;"",K43&lt;&gt;"",L43&lt;&gt;""),"Доказательства внесены","Дополнить дату / пример / охват"),IF(J43="","Назначить следующий срок","Исход и очередь записаны")))</x:f>
        <x:v>Сопоставить с проектом</x:v>
      </x:c>
    </x:row>
    <x:row r="44" ht="42.75" customHeight="1">
      <x:c r="A44" s="5" t="str">
        <x:v>CU-SRC-0039</x:v>
      </x:c>
      <x:c r="B44" s="5" t="str">
        <x:v>CU-0015</x:v>
      </x:c>
      <x:c r="C44" s="5" t="str">
        <x:v>https://gpnit.spbstu.ru/</x:v>
      </x:c>
      <x:c r="D44" s="5" t="n">
        <x:v>1</x:v>
      </x:c>
      <x:c r="E4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4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4" s="10"/>
      <x:c r="H44" s="10" t="str">
        <x:v>not_checked_here</x:v>
      </x:c>
      <x:c r="I44" s="11"/>
      <x:c r="J44" s="11"/>
      <x:c r="K44" s="10"/>
      <x:c r="L44" s="10"/>
      <x:c r="M44" s="10"/>
      <x:c r="N44" s="5" t="str">
        <x:f>IF(H44="not_checked_here","Сопоставить с проектом",IF(OR(H44="operational",H44="empty_success"),IF(AND(I44&lt;&gt;"",J44&lt;&gt;"",K44&lt;&gt;"",L44&lt;&gt;""),"Доказательства внесены","Дополнить дату / пример / охват"),IF(J44="","Назначить следующий срок","Исход и очередь записаны")))</x:f>
        <x:v>Сопоставить с проектом</x:v>
      </x:c>
    </x:row>
    <x:row r="45" ht="42.75" customHeight="1">
      <x:c r="A45" s="5" t="str">
        <x:v>CU-SRC-0040</x:v>
      </x:c>
      <x:c r="B45" s="5" t="str">
        <x:v>CU-0016</x:v>
      </x:c>
      <x:c r="C45" s="5" t="str">
        <x:v>https://www.surgutneftegas.ru/responsibility/personnel_policy/uchebnaya-baza/</x:v>
      </x:c>
      <x:c r="D45" s="5" t="n">
        <x:v>2</x:v>
      </x:c>
      <x:c r="E4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5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5" s="10"/>
      <x:c r="H45" s="10" t="str">
        <x:v>not_checked_here</x:v>
      </x:c>
      <x:c r="I45" s="11"/>
      <x:c r="J45" s="11"/>
      <x:c r="K45" s="10"/>
      <x:c r="L45" s="10"/>
      <x:c r="M45" s="10"/>
      <x:c r="N45" s="5" t="str">
        <x:f>IF(H45="not_checked_here","Сопоставить с проектом",IF(OR(H45="operational",H45="empty_success"),IF(AND(I45&lt;&gt;"",J45&lt;&gt;"",K45&lt;&gt;"",L45&lt;&gt;""),"Доказательства внесены","Дополнить дату / пример / охват"),IF(J45="","Назначить следующий срок","Исход и очередь записаны")))</x:f>
        <x:v>Сопоставить с проектом</x:v>
      </x:c>
    </x:row>
    <x:row r="46" ht="42.75" customHeight="1">
      <x:c r="A46" s="5" t="str">
        <x:v>CU-SRC-0041</x:v>
      </x:c>
      <x:c r="B46" s="5" t="str">
        <x:v>CU-0017</x:v>
      </x:c>
      <x:c r="C46" s="5" t="str">
        <x:v>https://rosneft.ru/press/subsidiaries/item/223656/</x:v>
      </x:c>
      <x:c r="D46" s="5" t="n">
        <x:v>2</x:v>
      </x:c>
      <x:c r="E4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6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6" s="10"/>
      <x:c r="H46" s="10" t="str">
        <x:v>not_checked_here</x:v>
      </x:c>
      <x:c r="I46" s="11"/>
      <x:c r="J46" s="11"/>
      <x:c r="K46" s="10"/>
      <x:c r="L46" s="10"/>
      <x:c r="M46" s="10"/>
      <x:c r="N46" s="5" t="str">
        <x:f>IF(H46="not_checked_here","Сопоставить с проектом",IF(OR(H46="operational",H46="empty_success"),IF(AND(I46&lt;&gt;"",J46&lt;&gt;"",K46&lt;&gt;"",L46&lt;&gt;""),"Доказательства внесены","Дополнить дату / пример / охват"),IF(J46="","Назначить следующий срок","Исход и очередь записаны")))</x:f>
        <x:v>Сопоставить с проектом</x:v>
      </x:c>
    </x:row>
    <x:row r="47" ht="42.75" customHeight="1">
      <x:c r="A47" s="5" t="str">
        <x:v>CU-SRC-0042</x:v>
      </x:c>
      <x:c r="B47" s="5" t="str">
        <x:v>CU-0017</x:v>
      </x:c>
      <x:c r="C47" s="5" t="str">
        <x:v>https://rosneft.ru/press/subsidiaries/item/223890/</x:v>
      </x:c>
      <x:c r="D47" s="5" t="n">
        <x:v>2</x:v>
      </x:c>
      <x:c r="E4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7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7" s="10"/>
      <x:c r="H47" s="10" t="str">
        <x:v>not_checked_here</x:v>
      </x:c>
      <x:c r="I47" s="11"/>
      <x:c r="J47" s="11"/>
      <x:c r="K47" s="10"/>
      <x:c r="L47" s="10"/>
      <x:c r="M47" s="10"/>
      <x:c r="N47" s="5" t="str">
        <x:f>IF(H47="not_checked_here","Сопоставить с проектом",IF(OR(H47="operational",H47="empty_success"),IF(AND(I47&lt;&gt;"",J47&lt;&gt;"",K47&lt;&gt;"",L47&lt;&gt;""),"Доказательства внесены","Дополнить дату / пример / охват"),IF(J47="","Назначить следующий срок","Исход и очередь записаны")))</x:f>
        <x:v>Сопоставить с проектом</x:v>
      </x:c>
    </x:row>
    <x:row r="48" ht="42.75" customHeight="1">
      <x:c r="A48" s="5" t="str">
        <x:v>CU-SRC-0043</x:v>
      </x:c>
      <x:c r="B48" s="5" t="str">
        <x:v>CU-0017</x:v>
      </x:c>
      <x:c r="C48" s="5" t="str">
        <x:v>https://www.rosneft.ru/Development/Zakupki_tovarov_rabot_i_uslug/</x:v>
      </x:c>
      <x:c r="D48" s="5" t="n">
        <x:v>2</x:v>
      </x:c>
      <x:c r="E4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8" s="5" t="str">
        <x:v>Официальные переходы, карточки и вложения; отдельная идентификация заказчика по каждому лоту.</x:v>
      </x:c>
      <x:c r="G48" s="10"/>
      <x:c r="H48" s="10" t="str">
        <x:v>not_checked_here</x:v>
      </x:c>
      <x:c r="I48" s="11"/>
      <x:c r="J48" s="11"/>
      <x:c r="K48" s="10"/>
      <x:c r="L48" s="10"/>
      <x:c r="M48" s="10"/>
      <x:c r="N48" s="5" t="str">
        <x:f>IF(H48="not_checked_here","Сопоставить с проектом",IF(OR(H48="operational",H48="empty_success"),IF(AND(I48&lt;&gt;"",J48&lt;&gt;"",K48&lt;&gt;"",L48&lt;&gt;""),"Доказательства внесены","Дополнить дату / пример / охват"),IF(J48="","Назначить следующий срок","Исход и очередь записаны")))</x:f>
        <x:v>Сопоставить с проектом</x:v>
      </x:c>
    </x:row>
    <x:row r="49" ht="42.75" customHeight="1">
      <x:c r="A49" s="5" t="str">
        <x:v>CU-SRC-0044</x:v>
      </x:c>
      <x:c r="B49" s="5" t="str">
        <x:v>CU-0018</x:v>
      </x:c>
      <x:c r="C49" s="5" t="str">
        <x:v>https://uc-nng.ru/</x:v>
      </x:c>
      <x:c r="D49" s="5" t="n">
        <x:v>3</x:v>
      </x:c>
      <x:c r="E4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9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9" s="10"/>
      <x:c r="H49" s="10" t="str">
        <x:v>not_checked_here</x:v>
      </x:c>
      <x:c r="I49" s="11"/>
      <x:c r="J49" s="11"/>
      <x:c r="K49" s="10"/>
      <x:c r="L49" s="10"/>
      <x:c r="M49" s="10"/>
      <x:c r="N49" s="5" t="str">
        <x:f>IF(H49="not_checked_here","Сопоставить с проектом",IF(OR(H49="operational",H49="empty_success"),IF(AND(I49&lt;&gt;"",J49&lt;&gt;"",K49&lt;&gt;"",L49&lt;&gt;""),"Доказательства внесены","Дополнить дату / пример / охват"),IF(J49="","Назначить следующий срок","Исход и очередь записаны")))</x:f>
        <x:v>Сопоставить с проектом</x:v>
      </x:c>
    </x:row>
    <x:row r="50" ht="42.75" customHeight="1">
      <x:c r="A50" s="5" t="str">
        <x:v>CU-SRC-0045</x:v>
      </x:c>
      <x:c r="B50" s="5" t="str">
        <x:v>CU-0018</x:v>
      </x:c>
      <x:c r="C50" s="5" t="str">
        <x:v>https://uc-nng.ru/management.html</x:v>
      </x:c>
      <x:c r="D50" s="5" t="n">
        <x:v>3</x:v>
      </x:c>
      <x:c r="E5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50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50" s="10"/>
      <x:c r="H50" s="10" t="str">
        <x:v>not_checked_here</x:v>
      </x:c>
      <x:c r="I50" s="11"/>
      <x:c r="J50" s="11"/>
      <x:c r="K50" s="10"/>
      <x:c r="L50" s="10"/>
      <x:c r="M50" s="10"/>
      <x:c r="N50" s="5" t="str">
        <x:f>IF(H50="not_checked_here","Сопоставить с проектом",IF(OR(H50="operational",H50="empty_success"),IF(AND(I50&lt;&gt;"",J50&lt;&gt;"",K50&lt;&gt;"",L50&lt;&gt;""),"Доказательства внесены","Дополнить дату / пример / охват"),IF(J50="","Назначить следующий срок","Исход и очередь записаны")))</x:f>
        <x:v>Сопоставить с проектом</x:v>
      </x:c>
    </x:row>
    <x:row r="51" ht="42.75" customHeight="1">
      <x:c r="A51" s="5" t="str">
        <x:v>CU-SRC-0046</x:v>
      </x:c>
      <x:c r="B51" s="5" t="str">
        <x:v>CU-0018</x:v>
      </x:c>
      <x:c r="C51" s="5" t="str">
        <x:v>https://uc-nng.ru/education.html</x:v>
      </x:c>
      <x:c r="D51" s="5" t="n">
        <x:v>3</x:v>
      </x:c>
      <x:c r="E5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5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51" s="10"/>
      <x:c r="H51" s="10" t="str">
        <x:v>not_checked_here</x:v>
      </x:c>
      <x:c r="I51" s="11"/>
      <x:c r="J51" s="11"/>
      <x:c r="K51" s="10"/>
      <x:c r="L51" s="10"/>
      <x:c r="M51" s="10"/>
      <x:c r="N51" s="5" t="str">
        <x:f>IF(H51="not_checked_here","Сопоставить с проектом",IF(OR(H51="operational",H51="empty_success"),IF(AND(I51&lt;&gt;"",J51&lt;&gt;"",K51&lt;&gt;"",L51&lt;&gt;""),"Доказательства внесены","Дополнить дату / пример / охват"),IF(J51="","Назначить следующий срок","Исход и очередь записаны")))</x:f>
        <x:v>Сопоставить с проектом</x:v>
      </x:c>
    </x:row>
    <x:row r="52" ht="42.75" customHeight="1">
      <x:c r="A52" s="5" t="str">
        <x:v>CU-SRC-0047</x:v>
      </x:c>
      <x:c r="B52" s="5" t="str">
        <x:v>CU-0018</x:v>
      </x:c>
      <x:c r="C52" s="5" t="str">
        <x:v>https://www.rosneft.ru/Development/Zakupki_tovarov_rabot_i_uslug/</x:v>
      </x:c>
      <x:c r="D52" s="5" t="n">
        <x:v>3</x:v>
      </x:c>
      <x:c r="E5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52" s="5" t="str">
        <x:v>Официальные переходы, карточки и вложения; отдельная идентификация заказчика по каждому лоту.</x:v>
      </x:c>
      <x:c r="G52" s="10"/>
      <x:c r="H52" s="10" t="str">
        <x:v>not_checked_here</x:v>
      </x:c>
      <x:c r="I52" s="11"/>
      <x:c r="J52" s="11"/>
      <x:c r="K52" s="10"/>
      <x:c r="L52" s="10"/>
      <x:c r="M52" s="10"/>
      <x:c r="N52" s="5" t="str">
        <x:f>IF(H52="not_checked_here","Сопоставить с проектом",IF(OR(H52="operational",H52="empty_success"),IF(AND(I52&lt;&gt;"",J52&lt;&gt;"",K52&lt;&gt;"",L52&lt;&gt;""),"Доказательства внесены","Дополнить дату / пример / охват"),IF(J52="","Назначить следующий срок","Исход и очередь записаны")))</x:f>
        <x:v>Сопоставить с проектом</x:v>
      </x:c>
    </x:row>
    <x:row r="53" ht="42.75" customHeight="1">
      <x:c r="A53" s="5" t="str">
        <x:v>CU-SRC-0048</x:v>
      </x:c>
      <x:c r="B53" s="5" t="str">
        <x:v>CU-0019</x:v>
      </x:c>
      <x:c r="C53" s="5" t="str">
        <x:v>https://rosatom-academy.ru/ob-akademii/</x:v>
      </x:c>
      <x:c r="D53" s="5" t="n">
        <x:v>1</x:v>
      </x:c>
      <x:c r="E5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53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53" s="10"/>
      <x:c r="H53" s="10" t="str">
        <x:v>not_checked_here</x:v>
      </x:c>
      <x:c r="I53" s="11"/>
      <x:c r="J53" s="11"/>
      <x:c r="K53" s="10"/>
      <x:c r="L53" s="10"/>
      <x:c r="M53" s="10"/>
      <x:c r="N53" s="5" t="str">
        <x:f>IF(H53="not_checked_here","Сопоставить с проектом",IF(OR(H53="operational",H53="empty_success"),IF(AND(I53&lt;&gt;"",J53&lt;&gt;"",K53&lt;&gt;"",L53&lt;&gt;""),"Доказательства внесены","Дополнить дату / пример / охват"),IF(J53="","Назначить следующий срок","Исход и очередь записаны")))</x:f>
        <x:v>Сопоставить с проектом</x:v>
      </x:c>
    </x:row>
    <x:row r="54" ht="42.75" customHeight="1">
      <x:c r="A54" s="5" t="str">
        <x:v>CU-SRC-0049</x:v>
      </x:c>
      <x:c r="B54" s="5" t="str">
        <x:v>CU-0019</x:v>
      </x:c>
      <x:c r="C54" s="5" t="str">
        <x:v>https://rosatom-academy.ru/ob-akademii/godovoi-otchet/</x:v>
      </x:c>
      <x:c r="D54" s="5" t="n">
        <x:v>1</x:v>
      </x:c>
      <x:c r="E5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54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54" s="10"/>
      <x:c r="H54" s="10" t="str">
        <x:v>not_checked_here</x:v>
      </x:c>
      <x:c r="I54" s="11"/>
      <x:c r="J54" s="11"/>
      <x:c r="K54" s="10"/>
      <x:c r="L54" s="10"/>
      <x:c r="M54" s="10"/>
      <x:c r="N54" s="5" t="str">
        <x:f>IF(H54="not_checked_here","Сопоставить с проектом",IF(OR(H54="operational",H54="empty_success"),IF(AND(I54&lt;&gt;"",J54&lt;&gt;"",K54&lt;&gt;"",L54&lt;&gt;""),"Доказательства внесены","Дополнить дату / пример / охват"),IF(J54="","Назначить следующий срок","Исход и очередь записаны")))</x:f>
        <x:v>Сопоставить с проектом</x:v>
      </x:c>
    </x:row>
    <x:row r="55" ht="42.75" customHeight="1">
      <x:c r="A55" s="5" t="str">
        <x:v>CU-SRC-0050</x:v>
      </x:c>
      <x:c r="B55" s="5" t="str">
        <x:v>CU-0019</x:v>
      </x:c>
      <x:c r="C55" s="5" t="str">
        <x:v>https://rosatom-academy.ru/obuchenie-i-razvitie/</x:v>
      </x:c>
      <x:c r="D55" s="5" t="n">
        <x:v>1</x:v>
      </x:c>
      <x:c r="E5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55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55" s="10"/>
      <x:c r="H55" s="10" t="str">
        <x:v>not_checked_here</x:v>
      </x:c>
      <x:c r="I55" s="11"/>
      <x:c r="J55" s="11"/>
      <x:c r="K55" s="10"/>
      <x:c r="L55" s="10"/>
      <x:c r="M55" s="10"/>
      <x:c r="N55" s="5" t="str">
        <x:f>IF(H55="not_checked_here","Сопоставить с проектом",IF(OR(H55="operational",H55="empty_success"),IF(AND(I55&lt;&gt;"",J55&lt;&gt;"",K55&lt;&gt;"",L55&lt;&gt;""),"Доказательства внесены","Дополнить дату / пример / охват"),IF(J55="","Назначить следующий срок","Исход и очередь записаны")))</x:f>
        <x:v>Сопоставить с проектом</x:v>
      </x:c>
    </x:row>
    <x:row r="56" ht="42.75" customHeight="1">
      <x:c r="A56" s="5" t="str">
        <x:v>CU-SRC-0051</x:v>
      </x:c>
      <x:c r="B56" s="5" t="str">
        <x:v>CU-0019</x:v>
      </x:c>
      <x:c r="C56" s="5" t="str">
        <x:v>https://rosatom-academy.ru/ob-akademii/kontakty/</x:v>
      </x:c>
      <x:c r="D56" s="5" t="n">
        <x:v>1</x:v>
      </x:c>
      <x:c r="E5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56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56" s="10"/>
      <x:c r="H56" s="10" t="str">
        <x:v>not_checked_here</x:v>
      </x:c>
      <x:c r="I56" s="11"/>
      <x:c r="J56" s="11"/>
      <x:c r="K56" s="10"/>
      <x:c r="L56" s="10"/>
      <x:c r="M56" s="10"/>
      <x:c r="N56" s="5" t="str">
        <x:f>IF(H56="not_checked_here","Сопоставить с проектом",IF(OR(H56="operational",H56="empty_success"),IF(AND(I56&lt;&gt;"",J56&lt;&gt;"",K56&lt;&gt;"",L56&lt;&gt;""),"Доказательства внесены","Дополнить дату / пример / охват"),IF(J56="","Назначить следующий срок","Исход и очередь записаны")))</x:f>
        <x:v>Сопоставить с проектом</x:v>
      </x:c>
    </x:row>
    <x:row r="57" ht="42.75" customHeight="1">
      <x:c r="A57" s="5" t="str">
        <x:v>CU-SRC-0052</x:v>
      </x:c>
      <x:c r="B57" s="5" t="str">
        <x:v>CU-0020</x:v>
      </x:c>
      <x:c r="C57" s="5" t="str">
        <x:v>https://rosatomtech.ru/about-us/</x:v>
      </x:c>
      <x:c r="D57" s="5" t="n">
        <x:v>1</x:v>
      </x:c>
      <x:c r="E5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57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57" s="10"/>
      <x:c r="H57" s="10" t="str">
        <x:v>not_checked_here</x:v>
      </x:c>
      <x:c r="I57" s="11"/>
      <x:c r="J57" s="11"/>
      <x:c r="K57" s="10"/>
      <x:c r="L57" s="10"/>
      <x:c r="M57" s="10"/>
      <x:c r="N57" s="5" t="str">
        <x:f>IF(H57="not_checked_here","Сопоставить с проектом",IF(OR(H57="operational",H57="empty_success"),IF(AND(I57&lt;&gt;"",J57&lt;&gt;"",K57&lt;&gt;"",L57&lt;&gt;""),"Доказательства внесены","Дополнить дату / пример / охват"),IF(J57="","Назначить следующий срок","Исход и очередь записаны")))</x:f>
        <x:v>Сопоставить с проектом</x:v>
      </x:c>
    </x:row>
    <x:row r="58" ht="42.75" customHeight="1">
      <x:c r="A58" s="5" t="str">
        <x:v>CU-SRC-0053</x:v>
      </x:c>
      <x:c r="B58" s="5" t="str">
        <x:v>CU-0020</x:v>
      </x:c>
      <x:c r="C58" s="5" t="str">
        <x:v>https://rosatomtech.ru/about-us/suppliers/</x:v>
      </x:c>
      <x:c r="D58" s="5" t="n">
        <x:v>1</x:v>
      </x:c>
      <x:c r="E5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58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58" s="10"/>
      <x:c r="H58" s="10" t="str">
        <x:v>not_checked_here</x:v>
      </x:c>
      <x:c r="I58" s="11"/>
      <x:c r="J58" s="11"/>
      <x:c r="K58" s="10"/>
      <x:c r="L58" s="10"/>
      <x:c r="M58" s="10"/>
      <x:c r="N58" s="5" t="str">
        <x:f>IF(H58="not_checked_here","Сопоставить с проектом",IF(OR(H58="operational",H58="empty_success"),IF(AND(I58&lt;&gt;"",J58&lt;&gt;"",K58&lt;&gt;"",L58&lt;&gt;""),"Доказательства внесены","Дополнить дату / пример / охват"),IF(J58="","Назначить следующий срок","Исход и очередь записаны")))</x:f>
        <x:v>Сопоставить с проектом</x:v>
      </x:c>
    </x:row>
    <x:row r="59" ht="42.75" customHeight="1">
      <x:c r="A59" s="5" t="str">
        <x:v>CU-SRC-0054</x:v>
      </x:c>
      <x:c r="B59" s="5" t="str">
        <x:v>CU-0020</x:v>
      </x:c>
      <x:c r="C59" s="5" t="str">
        <x:v>https://rosatomtech.ru/info-educational-org/education/</x:v>
      </x:c>
      <x:c r="D59" s="5" t="n">
        <x:v>1</x:v>
      </x:c>
      <x:c r="E5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59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59" s="10"/>
      <x:c r="H59" s="10" t="str">
        <x:v>not_checked_here</x:v>
      </x:c>
      <x:c r="I59" s="11"/>
      <x:c r="J59" s="11"/>
      <x:c r="K59" s="10"/>
      <x:c r="L59" s="10"/>
      <x:c r="M59" s="10"/>
      <x:c r="N59" s="5" t="str">
        <x:f>IF(H59="not_checked_here","Сопоставить с проектом",IF(OR(H59="operational",H59="empty_success"),IF(AND(I59&lt;&gt;"",J59&lt;&gt;"",K59&lt;&gt;"",L59&lt;&gt;""),"Доказательства внесены","Дополнить дату / пример / охват"),IF(J59="","Назначить следующий срок","Исход и очередь записаны")))</x:f>
        <x:v>Сопоставить с проектом</x:v>
      </x:c>
    </x:row>
    <x:row r="60" ht="42.75" customHeight="1">
      <x:c r="A60" s="5" t="str">
        <x:v>CU-SRC-0055</x:v>
      </x:c>
      <x:c r="B60" s="5" t="str">
        <x:v>CU-0020</x:v>
      </x:c>
      <x:c r="C60" s="5" t="str">
        <x:v>https://rosatomtech.ru/about-us/contacts/</x:v>
      </x:c>
      <x:c r="D60" s="5" t="n">
        <x:v>1</x:v>
      </x:c>
      <x:c r="E6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60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60" s="10"/>
      <x:c r="H60" s="10" t="str">
        <x:v>not_checked_here</x:v>
      </x:c>
      <x:c r="I60" s="11"/>
      <x:c r="J60" s="11"/>
      <x:c r="K60" s="10"/>
      <x:c r="L60" s="10"/>
      <x:c r="M60" s="10"/>
      <x:c r="N60" s="5" t="str">
        <x:f>IF(H60="not_checked_here","Сопоставить с проектом",IF(OR(H60="operational",H60="empty_success"),IF(AND(I60&lt;&gt;"",J60&lt;&gt;"",K60&lt;&gt;"",L60&lt;&gt;""),"Доказательства внесены","Дополнить дату / пример / охват"),IF(J60="","Назначить следующий срок","Исход и очередь записаны")))</x:f>
        <x:v>Сопоставить с проектом</x:v>
      </x:c>
    </x:row>
    <x:row r="61" ht="42.75" customHeight="1">
      <x:c r="A61" s="5" t="str">
        <x:v>CU-SRC-0056</x:v>
      </x:c>
      <x:c r="B61" s="5" t="str">
        <x:v>CU-0021</x:v>
      </x:c>
      <x:c r="C61" s="5" t="str">
        <x:v>https://interrao-university.ru/</x:v>
      </x:c>
      <x:c r="D61" s="5" t="n">
        <x:v>1</x:v>
      </x:c>
      <x:c r="E6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61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61" s="10"/>
      <x:c r="H61" s="10" t="str">
        <x:v>not_checked_here</x:v>
      </x:c>
      <x:c r="I61" s="11"/>
      <x:c r="J61" s="11"/>
      <x:c r="K61" s="10"/>
      <x:c r="L61" s="10"/>
      <x:c r="M61" s="10"/>
      <x:c r="N61" s="5" t="str">
        <x:f>IF(H61="not_checked_here","Сопоставить с проектом",IF(OR(H61="operational",H61="empty_success"),IF(AND(I61&lt;&gt;"",J61&lt;&gt;"",K61&lt;&gt;"",L61&lt;&gt;""),"Доказательства внесены","Дополнить дату / пример / охват"),IF(J61="","Назначить следующий срок","Исход и очередь записаны")))</x:f>
        <x:v>Сопоставить с проектом</x:v>
      </x:c>
    </x:row>
    <x:row r="62" ht="42.75" customHeight="1">
      <x:c r="A62" s="5" t="str">
        <x:v>CU-SRC-0057</x:v>
      </x:c>
      <x:c r="B62" s="5" t="str">
        <x:v>CU-0021</x:v>
      </x:c>
      <x:c r="C62" s="5" t="str">
        <x:v>https://www.interrao-university.ru/company/news/</x:v>
      </x:c>
      <x:c r="D62" s="5" t="n">
        <x:v>1</x:v>
      </x:c>
      <x:c r="E6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62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62" s="10"/>
      <x:c r="H62" s="10" t="str">
        <x:v>not_checked_here</x:v>
      </x:c>
      <x:c r="I62" s="11"/>
      <x:c r="J62" s="11"/>
      <x:c r="K62" s="10"/>
      <x:c r="L62" s="10"/>
      <x:c r="M62" s="10"/>
      <x:c r="N62" s="5" t="str">
        <x:f>IF(H62="not_checked_here","Сопоставить с проектом",IF(OR(H62="operational",H62="empty_success"),IF(AND(I62&lt;&gt;"",J62&lt;&gt;"",K62&lt;&gt;"",L62&lt;&gt;""),"Доказательства внесены","Дополнить дату / пример / охват"),IF(J62="","Назначить следующий срок","Исход и очередь записаны")))</x:f>
        <x:v>Сопоставить с проектом</x:v>
      </x:c>
    </x:row>
    <x:row r="63" ht="42.75" customHeight="1">
      <x:c r="A63" s="5" t="str">
        <x:v>CU-SRC-0058</x:v>
      </x:c>
      <x:c r="B63" s="5" t="str">
        <x:v>CU-0021</x:v>
      </x:c>
      <x:c r="C63" s="5" t="str">
        <x:v>https://interrao-university.ru/company/intelligence/</x:v>
      </x:c>
      <x:c r="D63" s="5" t="n">
        <x:v>1</x:v>
      </x:c>
      <x:c r="E6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63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63" s="10"/>
      <x:c r="H63" s="10" t="str">
        <x:v>not_checked_here</x:v>
      </x:c>
      <x:c r="I63" s="11"/>
      <x:c r="J63" s="11"/>
      <x:c r="K63" s="10"/>
      <x:c r="L63" s="10"/>
      <x:c r="M63" s="10"/>
      <x:c r="N63" s="5" t="str">
        <x:f>IF(H63="not_checked_here","Сопоставить с проектом",IF(OR(H63="operational",H63="empty_success"),IF(AND(I63&lt;&gt;"",J63&lt;&gt;"",K63&lt;&gt;"",L63&lt;&gt;""),"Доказательства внесены","Дополнить дату / пример / охват"),IF(J63="","Назначить следующий срок","Исход и очередь записаны")))</x:f>
        <x:v>Сопоставить с проектом</x:v>
      </x:c>
    </x:row>
    <x:row r="64" ht="42.75" customHeight="1">
      <x:c r="A64" s="5" t="str">
        <x:v>CU-SRC-0059</x:v>
      </x:c>
      <x:c r="B64" s="5" t="str">
        <x:v>CU-0022</x:v>
      </x:c>
      <x:c r="C64" s="5" t="str">
        <x:v>https://korung.rushydro.ru/</x:v>
      </x:c>
      <x:c r="D64" s="5" t="n">
        <x:v>1</x:v>
      </x:c>
      <x:c r="E6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64" s="5" t="str">
        <x:v>Определить доступную публичную структуру/JS-страницы и способы подписки; сохранить задачу повторной проверки. API/RSS не подтверждены.</x:v>
      </x:c>
      <x:c r="G64" s="10"/>
      <x:c r="H64" s="10" t="str">
        <x:v>not_checked_here</x:v>
      </x:c>
      <x:c r="I64" s="11"/>
      <x:c r="J64" s="11"/>
      <x:c r="K64" s="10"/>
      <x:c r="L64" s="10"/>
      <x:c r="M64" s="10"/>
      <x:c r="N64" s="5" t="str">
        <x:f>IF(H64="not_checked_here","Сопоставить с проектом",IF(OR(H64="operational",H64="empty_success"),IF(AND(I64&lt;&gt;"",J64&lt;&gt;"",K64&lt;&gt;"",L64&lt;&gt;""),"Доказательства внесены","Дополнить дату / пример / охват"),IF(J64="","Назначить следующий срок","Исход и очередь записаны")))</x:f>
        <x:v>Сопоставить с проектом</x:v>
      </x:c>
    </x:row>
    <x:row r="65" ht="42.75" customHeight="1">
      <x:c r="A65" s="5" t="str">
        <x:v>CU-SRC-0060</x:v>
      </x:c>
      <x:c r="B65" s="5" t="str">
        <x:v>CU-0022</x:v>
      </x:c>
      <x:c r="C65" s="5" t="str">
        <x:v>https://ar2024.rushydro.ru/development/human-capital-development.html</x:v>
      </x:c>
      <x:c r="D65" s="5" t="n">
        <x:v>1</x:v>
      </x:c>
      <x:c r="E6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65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65" s="10"/>
      <x:c r="H65" s="10" t="str">
        <x:v>not_checked_here</x:v>
      </x:c>
      <x:c r="I65" s="11"/>
      <x:c r="J65" s="11"/>
      <x:c r="K65" s="10"/>
      <x:c r="L65" s="10"/>
      <x:c r="M65" s="10"/>
      <x:c r="N65" s="5" t="str">
        <x:f>IF(H65="not_checked_here","Сопоставить с проектом",IF(OR(H65="operational",H65="empty_success"),IF(AND(I65&lt;&gt;"",J65&lt;&gt;"",K65&lt;&gt;"",L65&lt;&gt;""),"Доказательства внесены","Дополнить дату / пример / охват"),IF(J65="","Назначить следующий срок","Исход и очередь записаны")))</x:f>
        <x:v>Сопоставить с проектом</x:v>
      </x:c>
    </x:row>
    <x:row r="66" ht="42.75" customHeight="1">
      <x:c r="A66" s="5" t="str">
        <x:v>CU-SRC-0061</x:v>
      </x:c>
      <x:c r="B66" s="5" t="str">
        <x:v>CU-0022</x:v>
      </x:c>
      <x:c r="C66" s="5" t="str">
        <x:v>https://t.me/s/korung_rushydro</x:v>
      </x:c>
      <x:c r="D66" s="5" t="n">
        <x:v>1</x:v>
      </x:c>
      <x:c r="E6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66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66" s="10"/>
      <x:c r="H66" s="10" t="str">
        <x:v>not_checked_here</x:v>
      </x:c>
      <x:c r="I66" s="11"/>
      <x:c r="J66" s="11"/>
      <x:c r="K66" s="10"/>
      <x:c r="L66" s="10"/>
      <x:c r="M66" s="10"/>
      <x:c r="N66" s="5" t="str">
        <x:f>IF(H66="not_checked_here","Сопоставить с проектом",IF(OR(H66="operational",H66="empty_success"),IF(AND(I66&lt;&gt;"",J66&lt;&gt;"",K66&lt;&gt;"",L66&lt;&gt;""),"Доказательства внесены","Дополнить дату / пример / охват"),IF(J66="","Назначить следующий срок","Исход и очередь записаны")))</x:f>
        <x:v>Сопоставить с проектом</x:v>
      </x:c>
    </x:row>
    <x:row r="67" ht="42.75" customHeight="1">
      <x:c r="A67" s="5" t="str">
        <x:v>CU-SRC-0062</x:v>
      </x:c>
      <x:c r="B67" s="5" t="str">
        <x:v>CU-0022</x:v>
      </x:c>
      <x:c r="C67" s="5" t="str">
        <x:v>https://t.me/s/rushydro_official/6778</x:v>
      </x:c>
      <x:c r="D67" s="5" t="n">
        <x:v>1</x:v>
      </x:c>
      <x:c r="E6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67" s="5" t="str">
        <x:v>Публичное Telegram-превью; проверить историю и регулярный сбор.</x:v>
      </x:c>
      <x:c r="G67" s="10"/>
      <x:c r="H67" s="10" t="str">
        <x:v>not_checked_here</x:v>
      </x:c>
      <x:c r="I67" s="11"/>
      <x:c r="J67" s="11"/>
      <x:c r="K67" s="10"/>
      <x:c r="L67" s="10"/>
      <x:c r="M67" s="10"/>
      <x:c r="N67" s="5" t="str">
        <x:f>IF(H67="not_checked_here","Сопоставить с проектом",IF(OR(H67="operational",H67="empty_success"),IF(AND(I67&lt;&gt;"",J67&lt;&gt;"",K67&lt;&gt;"",L67&lt;&gt;""),"Доказательства внесены","Дополнить дату / пример / охват"),IF(J67="","Назначить следующий срок","Исход и очередь записаны")))</x:f>
        <x:v>Сопоставить с проектом</x:v>
      </x:c>
    </x:row>
    <x:row r="68" ht="42.75" customHeight="1">
      <x:c r="A68" s="5" t="str">
        <x:v>CU-SRC-0063</x:v>
      </x:c>
      <x:c r="B68" s="5" t="str">
        <x:v>CU-0023</x:v>
      </x:c>
      <x:c r="C68" s="5" t="str">
        <x:v>https://sibgenco.online/news/element/tekhnicheskie-resheniya-i-kreativnyy-podkhod-v-krasnoyarske-proshel-trening-ot-korporativnogo-univer/</x:v>
      </x:c>
      <x:c r="D68" s="5" t="n">
        <x:v>1</x:v>
      </x:c>
      <x:c r="E6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68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68" s="10"/>
      <x:c r="H68" s="10" t="str">
        <x:v>not_checked_here</x:v>
      </x:c>
      <x:c r="I68" s="11"/>
      <x:c r="J68" s="11"/>
      <x:c r="K68" s="10"/>
      <x:c r="L68" s="10"/>
      <x:c r="M68" s="10"/>
      <x:c r="N68" s="5" t="str">
        <x:f>IF(H68="not_checked_here","Сопоставить с проектом",IF(OR(H68="operational",H68="empty_success"),IF(AND(I68&lt;&gt;"",J68&lt;&gt;"",K68&lt;&gt;"",L68&lt;&gt;""),"Доказательства внесены","Дополнить дату / пример / охват"),IF(J68="","Назначить следующий срок","Исход и очередь записаны")))</x:f>
        <x:v>Сопоставить с проектом</x:v>
      </x:c>
    </x:row>
    <x:row r="69" ht="42.75" customHeight="1">
      <x:c r="A69" s="5" t="str">
        <x:v>CU-SRC-0064</x:v>
      </x:c>
      <x:c r="B69" s="5" t="str">
        <x:v>CU-0023</x:v>
      </x:c>
      <x:c r="C69" s="5" t="str">
        <x:v>https://sibgenco.online/news/element/nastavnichestvo-kak-iskusstvo-v-novosibirske-proshla-mezhregionalnaya-konferentsiya-sgk-nastavnik-pr/</x:v>
      </x:c>
      <x:c r="D69" s="5" t="n">
        <x:v>1</x:v>
      </x:c>
      <x:c r="E6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69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69" s="10"/>
      <x:c r="H69" s="10" t="str">
        <x:v>not_checked_here</x:v>
      </x:c>
      <x:c r="I69" s="11"/>
      <x:c r="J69" s="11"/>
      <x:c r="K69" s="10"/>
      <x:c r="L69" s="10"/>
      <x:c r="M69" s="10"/>
      <x:c r="N69" s="5" t="str">
        <x:f>IF(H69="not_checked_here","Сопоставить с проектом",IF(OR(H69="operational",H69="empty_success"),IF(AND(I69&lt;&gt;"",J69&lt;&gt;"",K69&lt;&gt;"",L69&lt;&gt;""),"Доказательства внесены","Дополнить дату / пример / охват"),IF(J69="","Назначить следующий срок","Исход и очередь записаны")))</x:f>
        <x:v>Сопоставить с проектом</x:v>
      </x:c>
    </x:row>
    <x:row r="70" ht="42.75" customHeight="1">
      <x:c r="A70" s="5" t="str">
        <x:v>CU-SRC-0065</x:v>
      </x:c>
      <x:c r="B70" s="5" t="str">
        <x:v>CU-0024</x:v>
      </x:c>
      <x:c r="C70" s="5" t="str">
        <x:v>http://tvupc.ru</x:v>
      </x:c>
      <x:c r="D70" s="5" t="n">
        <x:v>2</x:v>
      </x:c>
      <x:c r="E7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7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70" s="10"/>
      <x:c r="H70" s="10" t="str">
        <x:v>not_checked_here</x:v>
      </x:c>
      <x:c r="I70" s="11"/>
      <x:c r="J70" s="11"/>
      <x:c r="K70" s="10"/>
      <x:c r="L70" s="10"/>
      <x:c r="M70" s="10"/>
      <x:c r="N70" s="5" t="str">
        <x:f>IF(H70="not_checked_here","Сопоставить с проектом",IF(OR(H70="operational",H70="empty_success"),IF(AND(I70&lt;&gt;"",J70&lt;&gt;"",K70&lt;&gt;"",L70&lt;&gt;""),"Доказательства внесены","Дополнить дату / пример / охват"),IF(J70="","Назначить следующий срок","Исход и очередь записаны")))</x:f>
        <x:v>Сопоставить с проектом</x:v>
      </x:c>
    </x:row>
    <x:row r="71" ht="42.75" customHeight="1">
      <x:c r="A71" s="5" t="str">
        <x:v>CU-SRC-0066</x:v>
      </x:c>
      <x:c r="B71" s="5" t="str">
        <x:v>CU-0024</x:v>
      </x:c>
      <x:c r="C71" s="5" t="str">
        <x:v>https://www.mrsk-1.ru/about/personnel/youth/uchebnye-tsentry/</x:v>
      </x:c>
      <x:c r="D71" s="5" t="n">
        <x:v>2</x:v>
      </x:c>
      <x:c r="E7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7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71" s="10"/>
      <x:c r="H71" s="10" t="str">
        <x:v>not_checked_here</x:v>
      </x:c>
      <x:c r="I71" s="11"/>
      <x:c r="J71" s="11"/>
      <x:c r="K71" s="10"/>
      <x:c r="L71" s="10"/>
      <x:c r="M71" s="10"/>
      <x:c r="N71" s="5" t="str">
        <x:f>IF(H71="not_checked_here","Сопоставить с проектом",IF(OR(H71="operational",H71="empty_success"),IF(AND(I71&lt;&gt;"",J71&lt;&gt;"",K71&lt;&gt;"",L71&lt;&gt;""),"Доказательства внесены","Дополнить дату / пример / охват"),IF(J71="","Назначить следующий срок","Исход и очередь записаны")))</x:f>
        <x:v>Сопоставить с проектом</x:v>
      </x:c>
    </x:row>
    <x:row r="72" ht="42.75" customHeight="1">
      <x:c r="A72" s="5" t="str">
        <x:v>CU-SRC-0067</x:v>
      </x:c>
      <x:c r="B72" s="5" t="str">
        <x:v>CU-0025</x:v>
      </x:c>
      <x:c r="C72" s="5" t="str">
        <x:v>https://uk57.ru</x:v>
      </x:c>
      <x:c r="D72" s="5" t="n">
        <x:v>2</x:v>
      </x:c>
      <x:c r="E7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72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72" s="10"/>
      <x:c r="H72" s="10" t="str">
        <x:v>not_checked_here</x:v>
      </x:c>
      <x:c r="I72" s="11"/>
      <x:c r="J72" s="11"/>
      <x:c r="K72" s="10"/>
      <x:c r="L72" s="10"/>
      <x:c r="M72" s="10"/>
      <x:c r="N72" s="5" t="str">
        <x:f>IF(H72="not_checked_here","Сопоставить с проектом",IF(OR(H72="operational",H72="empty_success"),IF(AND(I72&lt;&gt;"",J72&lt;&gt;"",K72&lt;&gt;"",L72&lt;&gt;""),"Доказательства внесены","Дополнить дату / пример / охват"),IF(J72="","Назначить следующий срок","Исход и очередь записаны")))</x:f>
        <x:v>Сопоставить с проектом</x:v>
      </x:c>
    </x:row>
    <x:row r="73" ht="42.75" customHeight="1">
      <x:c r="A73" s="5" t="str">
        <x:v>CU-SRC-0068</x:v>
      </x:c>
      <x:c r="B73" s="5" t="str">
        <x:v>CU-0025</x:v>
      </x:c>
      <x:c r="C73" s="5" t="str">
        <x:v>https://www.mrsk-1.ru/about/personnel/youth/uchebnye-tsentry/</x:v>
      </x:c>
      <x:c r="D73" s="5" t="n">
        <x:v>2</x:v>
      </x:c>
      <x:c r="E7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73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73" s="10"/>
      <x:c r="H73" s="10" t="str">
        <x:v>not_checked_here</x:v>
      </x:c>
      <x:c r="I73" s="11"/>
      <x:c r="J73" s="11"/>
      <x:c r="K73" s="10"/>
      <x:c r="L73" s="10"/>
      <x:c r="M73" s="10"/>
      <x:c r="N73" s="5" t="str">
        <x:f>IF(H73="not_checked_here","Сопоставить с проектом",IF(OR(H73="operational",H73="empty_success"),IF(AND(I73&lt;&gt;"",J73&lt;&gt;"",K73&lt;&gt;"",L73&lt;&gt;""),"Доказательства внесены","Дополнить дату / пример / охват"),IF(J73="","Назначить следующий срок","Исход и очередь записаны")))</x:f>
        <x:v>Сопоставить с проектом</x:v>
      </x:c>
    </x:row>
    <x:row r="74" ht="42.75" customHeight="1">
      <x:c r="A74" s="5" t="str">
        <x:v>CU-SRC-0069</x:v>
      </x:c>
      <x:c r="B74" s="5" t="str">
        <x:v>CU-0026</x:v>
      </x:c>
      <x:c r="C74" s="5" t="str">
        <x:v>https://vuc-energetik.ru</x:v>
      </x:c>
      <x:c r="D74" s="5" t="n">
        <x:v>2</x:v>
      </x:c>
      <x:c r="E7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74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74" s="10"/>
      <x:c r="H74" s="10" t="str">
        <x:v>not_checked_here</x:v>
      </x:c>
      <x:c r="I74" s="11"/>
      <x:c r="J74" s="11"/>
      <x:c r="K74" s="10"/>
      <x:c r="L74" s="10"/>
      <x:c r="M74" s="10"/>
      <x:c r="N74" s="5" t="str">
        <x:f>IF(H74="not_checked_here","Сопоставить с проектом",IF(OR(H74="operational",H74="empty_success"),IF(AND(I74&lt;&gt;"",J74&lt;&gt;"",K74&lt;&gt;"",L74&lt;&gt;""),"Доказательства внесены","Дополнить дату / пример / охват"),IF(J74="","Назначить следующий срок","Исход и очередь записаны")))</x:f>
        <x:v>Сопоставить с проектом</x:v>
      </x:c>
    </x:row>
    <x:row r="75" ht="42.75" customHeight="1">
      <x:c r="A75" s="5" t="str">
        <x:v>CU-SRC-0070</x:v>
      </x:c>
      <x:c r="B75" s="5" t="str">
        <x:v>CU-0026</x:v>
      </x:c>
      <x:c r="C75" s="5" t="str">
        <x:v>https://www.mrsk-1.ru/about/personnel/youth/uchebnye-tsentry/</x:v>
      </x:c>
      <x:c r="D75" s="5" t="n">
        <x:v>2</x:v>
      </x:c>
      <x:c r="E7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75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75" s="10"/>
      <x:c r="H75" s="10" t="str">
        <x:v>not_checked_here</x:v>
      </x:c>
      <x:c r="I75" s="11"/>
      <x:c r="J75" s="11"/>
      <x:c r="K75" s="10"/>
      <x:c r="L75" s="10"/>
      <x:c r="M75" s="10"/>
      <x:c r="N75" s="5" t="str">
        <x:f>IF(H75="not_checked_here","Сопоставить с проектом",IF(OR(H75="operational",H75="empty_success"),IF(AND(I75&lt;&gt;"",J75&lt;&gt;"",K75&lt;&gt;"",L75&lt;&gt;""),"Доказательства внесены","Дополнить дату / пример / охват"),IF(J75="","Назначить следующий срок","Исход и очередь записаны")))</x:f>
        <x:v>Сопоставить с проектом</x:v>
      </x:c>
    </x:row>
    <x:row r="76" ht="42.75" customHeight="1">
      <x:c r="A76" s="5" t="str">
        <x:v>CU-SRC-0071</x:v>
      </x:c>
      <x:c r="B76" s="5" t="str">
        <x:v>CU-0027</x:v>
      </x:c>
      <x:c r="C76" s="5" t="str">
        <x:v>http://energetik33.ru</x:v>
      </x:c>
      <x:c r="D76" s="5" t="n">
        <x:v>2</x:v>
      </x:c>
      <x:c r="E7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76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76" s="10"/>
      <x:c r="H76" s="10" t="str">
        <x:v>not_checked_here</x:v>
      </x:c>
      <x:c r="I76" s="11"/>
      <x:c r="J76" s="11"/>
      <x:c r="K76" s="10"/>
      <x:c r="L76" s="10"/>
      <x:c r="M76" s="10"/>
      <x:c r="N76" s="5" t="str">
        <x:f>IF(H76="not_checked_here","Сопоставить с проектом",IF(OR(H76="operational",H76="empty_success"),IF(AND(I76&lt;&gt;"",J76&lt;&gt;"",K76&lt;&gt;"",L76&lt;&gt;""),"Доказательства внесены","Дополнить дату / пример / охват"),IF(J76="","Назначить следующий срок","Исход и очередь записаны")))</x:f>
        <x:v>Сопоставить с проектом</x:v>
      </x:c>
    </x:row>
    <x:row r="77" ht="42.75" customHeight="1">
      <x:c r="A77" s="5" t="str">
        <x:v>CU-SRC-0072</x:v>
      </x:c>
      <x:c r="B77" s="5" t="str">
        <x:v>CU-0027</x:v>
      </x:c>
      <x:c r="C77" s="5" t="str">
        <x:v>https://www.mrsk-1.ru/about/personnel/youth/uchebnye-tsentry/</x:v>
      </x:c>
      <x:c r="D77" s="5" t="n">
        <x:v>2</x:v>
      </x:c>
      <x:c r="E7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77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77" s="10"/>
      <x:c r="H77" s="10" t="str">
        <x:v>not_checked_here</x:v>
      </x:c>
      <x:c r="I77" s="11"/>
      <x:c r="J77" s="11"/>
      <x:c r="K77" s="10"/>
      <x:c r="L77" s="10"/>
      <x:c r="M77" s="10"/>
      <x:c r="N77" s="5" t="str">
        <x:f>IF(H77="not_checked_here","Сопоставить с проектом",IF(OR(H77="operational",H77="empty_success"),IF(AND(I77&lt;&gt;"",J77&lt;&gt;"",K77&lt;&gt;"",L77&lt;&gt;""),"Доказательства внесены","Дополнить дату / пример / охват"),IF(J77="","Назначить следующий срок","Исход и очередь записаны")))</x:f>
        <x:v>Сопоставить с проектом</x:v>
      </x:c>
    </x:row>
    <x:row r="78" ht="42.75" customHeight="1">
      <x:c r="A78" s="5" t="str">
        <x:v>CU-SRC-0073</x:v>
      </x:c>
      <x:c r="B78" s="5" t="str">
        <x:v>CU-0028</x:v>
      </x:c>
      <x:c r="C78" s="5" t="str">
        <x:v>https://ivenergetik37.ru</x:v>
      </x:c>
      <x:c r="D78" s="5" t="n">
        <x:v>2</x:v>
      </x:c>
      <x:c r="E7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78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78" s="10"/>
      <x:c r="H78" s="10" t="str">
        <x:v>not_checked_here</x:v>
      </x:c>
      <x:c r="I78" s="11"/>
      <x:c r="J78" s="11"/>
      <x:c r="K78" s="10"/>
      <x:c r="L78" s="10"/>
      <x:c r="M78" s="10"/>
      <x:c r="N78" s="5" t="str">
        <x:f>IF(H78="not_checked_here","Сопоставить с проектом",IF(OR(H78="operational",H78="empty_success"),IF(AND(I78&lt;&gt;"",J78&lt;&gt;"",K78&lt;&gt;"",L78&lt;&gt;""),"Доказательства внесены","Дополнить дату / пример / охват"),IF(J78="","Назначить следующий срок","Исход и очередь записаны")))</x:f>
        <x:v>Сопоставить с проектом</x:v>
      </x:c>
    </x:row>
    <x:row r="79" ht="42.75" customHeight="1">
      <x:c r="A79" s="5" t="str">
        <x:v>CU-SRC-0074</x:v>
      </x:c>
      <x:c r="B79" s="5" t="str">
        <x:v>CU-0028</x:v>
      </x:c>
      <x:c r="C79" s="5" t="str">
        <x:v>https://www.mrsk-1.ru/about/personnel/youth/uchebnye-tsentry/</x:v>
      </x:c>
      <x:c r="D79" s="5" t="n">
        <x:v>2</x:v>
      </x:c>
      <x:c r="E7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79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79" s="10"/>
      <x:c r="H79" s="10" t="str">
        <x:v>not_checked_here</x:v>
      </x:c>
      <x:c r="I79" s="11"/>
      <x:c r="J79" s="11"/>
      <x:c r="K79" s="10"/>
      <x:c r="L79" s="10"/>
      <x:c r="M79" s="10"/>
      <x:c r="N79" s="5" t="str">
        <x:f>IF(H79="not_checked_here","Сопоставить с проектом",IF(OR(H79="operational",H79="empty_success"),IF(AND(I79&lt;&gt;"",J79&lt;&gt;"",K79&lt;&gt;"",L79&lt;&gt;""),"Доказательства внесены","Дополнить дату / пример / охват"),IF(J79="","Назначить следующий срок","Исход и очередь записаны")))</x:f>
        <x:v>Сопоставить с проектом</x:v>
      </x:c>
    </x:row>
    <x:row r="80" ht="42.75" customHeight="1">
      <x:c r="A80" s="5" t="str">
        <x:v>CU-SRC-0075</x:v>
      </x:c>
      <x:c r="B80" s="5" t="str">
        <x:v>CU-0029</x:v>
      </x:c>
      <x:c r="C80" s="5" t="str">
        <x:v>https://www.ukenergetic.ru/</x:v>
      </x:c>
      <x:c r="D80" s="5" t="n">
        <x:v>2</x:v>
      </x:c>
      <x:c r="E8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8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80" s="10"/>
      <x:c r="H80" s="10" t="str">
        <x:v>not_checked_here</x:v>
      </x:c>
      <x:c r="I80" s="11"/>
      <x:c r="J80" s="11"/>
      <x:c r="K80" s="10"/>
      <x:c r="L80" s="10"/>
      <x:c r="M80" s="10"/>
      <x:c r="N80" s="5" t="str">
        <x:f>IF(H80="not_checked_here","Сопоставить с проектом",IF(OR(H80="operational",H80="empty_success"),IF(AND(I80&lt;&gt;"",J80&lt;&gt;"",K80&lt;&gt;"",L80&lt;&gt;""),"Доказательства внесены","Дополнить дату / пример / охват"),IF(J80="","Назначить следующий срок","Исход и очередь записаны")))</x:f>
        <x:v>Сопоставить с проектом</x:v>
      </x:c>
    </x:row>
    <x:row r="81" ht="42.75" customHeight="1">
      <x:c r="A81" s="5" t="str">
        <x:v>CU-SRC-0076</x:v>
      </x:c>
      <x:c r="B81" s="5" t="str">
        <x:v>CU-0029</x:v>
      </x:c>
      <x:c r="C81" s="5" t="str">
        <x:v>https://www.mrsk-1.ru/about/personnel/youth/uchebnye-tsentry/</x:v>
      </x:c>
      <x:c r="D81" s="5" t="n">
        <x:v>2</x:v>
      </x:c>
      <x:c r="E8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8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81" s="10"/>
      <x:c r="H81" s="10" t="str">
        <x:v>not_checked_here</x:v>
      </x:c>
      <x:c r="I81" s="11"/>
      <x:c r="J81" s="11"/>
      <x:c r="K81" s="10"/>
      <x:c r="L81" s="10"/>
      <x:c r="M81" s="10"/>
      <x:c r="N81" s="5" t="str">
        <x:f>IF(H81="not_checked_here","Сопоставить с проектом",IF(OR(H81="operational",H81="empty_success"),IF(AND(I81&lt;&gt;"",J81&lt;&gt;"",K81&lt;&gt;"",L81&lt;&gt;""),"Доказательства внесены","Дополнить дату / пример / охват"),IF(J81="","Назначить следующий срок","Исход и очередь записаны")))</x:f>
        <x:v>Сопоставить с проектом</x:v>
      </x:c>
    </x:row>
    <x:row r="82" ht="42.75" customHeight="1">
      <x:c r="A82" s="5" t="str">
        <x:v>CU-SRC-0077</x:v>
      </x:c>
      <x:c r="B82" s="5" t="str">
        <x:v>CU-0030</x:v>
      </x:c>
      <x:c r="C82" s="5" t="str">
        <x:v>https://energetik40.ru</x:v>
      </x:c>
      <x:c r="D82" s="5" t="n">
        <x:v>2</x:v>
      </x:c>
      <x:c r="E8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82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82" s="10"/>
      <x:c r="H82" s="10" t="str">
        <x:v>not_checked_here</x:v>
      </x:c>
      <x:c r="I82" s="11"/>
      <x:c r="J82" s="11"/>
      <x:c r="K82" s="10"/>
      <x:c r="L82" s="10"/>
      <x:c r="M82" s="10"/>
      <x:c r="N82" s="5" t="str">
        <x:f>IF(H82="not_checked_here","Сопоставить с проектом",IF(OR(H82="operational",H82="empty_success"),IF(AND(I82&lt;&gt;"",J82&lt;&gt;"",K82&lt;&gt;"",L82&lt;&gt;""),"Доказательства внесены","Дополнить дату / пример / охват"),IF(J82="","Назначить следующий срок","Исход и очередь записаны")))</x:f>
        <x:v>Сопоставить с проектом</x:v>
      </x:c>
    </x:row>
    <x:row r="83" ht="42.75" customHeight="1">
      <x:c r="A83" s="5" t="str">
        <x:v>CU-SRC-0078</x:v>
      </x:c>
      <x:c r="B83" s="5" t="str">
        <x:v>CU-0030</x:v>
      </x:c>
      <x:c r="C83" s="5" t="str">
        <x:v>https://www.mrsk-1.ru/about/personnel/youth/uchebnye-tsentry/</x:v>
      </x:c>
      <x:c r="D83" s="5" t="n">
        <x:v>2</x:v>
      </x:c>
      <x:c r="E8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83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83" s="10"/>
      <x:c r="H83" s="10" t="str">
        <x:v>not_checked_here</x:v>
      </x:c>
      <x:c r="I83" s="11"/>
      <x:c r="J83" s="11"/>
      <x:c r="K83" s="10"/>
      <x:c r="L83" s="10"/>
      <x:c r="M83" s="10"/>
      <x:c r="N83" s="5" t="str">
        <x:f>IF(H83="not_checked_here","Сопоставить с проектом",IF(OR(H83="operational",H83="empty_success"),IF(AND(I83&lt;&gt;"",J83&lt;&gt;"",K83&lt;&gt;"",L83&lt;&gt;""),"Доказательства внесены","Дополнить дату / пример / охват"),IF(J83="","Назначить следующий срок","Исход и очередь записаны")))</x:f>
        <x:v>Сопоставить с проектом</x:v>
      </x:c>
    </x:row>
    <x:row r="84" ht="42.75" customHeight="1">
      <x:c r="A84" s="5" t="str">
        <x:v>CU-SRC-0079</x:v>
      </x:c>
      <x:c r="B84" s="5" t="str">
        <x:v>CU-0031</x:v>
      </x:c>
      <x:c r="C84" s="5" t="str">
        <x:v>http://www.ucenergetik.ru</x:v>
      </x:c>
      <x:c r="D84" s="5" t="n">
        <x:v>2</x:v>
      </x:c>
      <x:c r="E8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84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84" s="10"/>
      <x:c r="H84" s="10" t="str">
        <x:v>not_checked_here</x:v>
      </x:c>
      <x:c r="I84" s="11"/>
      <x:c r="J84" s="11"/>
      <x:c r="K84" s="10"/>
      <x:c r="L84" s="10"/>
      <x:c r="M84" s="10"/>
      <x:c r="N84" s="5" t="str">
        <x:f>IF(H84="not_checked_here","Сопоставить с проектом",IF(OR(H84="operational",H84="empty_success"),IF(AND(I84&lt;&gt;"",J84&lt;&gt;"",K84&lt;&gt;"",L84&lt;&gt;""),"Доказательства внесены","Дополнить дату / пример / охват"),IF(J84="","Назначить следующий срок","Исход и очередь записаны")))</x:f>
        <x:v>Сопоставить с проектом</x:v>
      </x:c>
    </x:row>
    <x:row r="85" ht="42.75" customHeight="1">
      <x:c r="A85" s="5" t="str">
        <x:v>CU-SRC-0080</x:v>
      </x:c>
      <x:c r="B85" s="5" t="str">
        <x:v>CU-0031</x:v>
      </x:c>
      <x:c r="C85" s="5" t="str">
        <x:v>https://www.mrsk-1.ru/about/personnel/youth/uchebnye-tsentry/</x:v>
      </x:c>
      <x:c r="D85" s="5" t="n">
        <x:v>2</x:v>
      </x:c>
      <x:c r="E8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85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85" s="10"/>
      <x:c r="H85" s="10" t="str">
        <x:v>not_checked_here</x:v>
      </x:c>
      <x:c r="I85" s="11"/>
      <x:c r="J85" s="11"/>
      <x:c r="K85" s="10"/>
      <x:c r="L85" s="10"/>
      <x:c r="M85" s="10"/>
      <x:c r="N85" s="5" t="str">
        <x:f>IF(H85="not_checked_here","Сопоставить с проектом",IF(OR(H85="operational",H85="empty_success"),IF(AND(I85&lt;&gt;"",J85&lt;&gt;"",K85&lt;&gt;"",L85&lt;&gt;""),"Доказательства внесены","Дополнить дату / пример / охват"),IF(J85="","Назначить следующий срок","Исход и очередь записаны")))</x:f>
        <x:v>Сопоставить с проектом</x:v>
      </x:c>
    </x:row>
    <x:row r="86" ht="42.75" customHeight="1">
      <x:c r="A86" s="5" t="str">
        <x:v>CU-SRC-0081</x:v>
      </x:c>
      <x:c r="B86" s="5" t="str">
        <x:v>CU-0032</x:v>
      </x:c>
      <x:c r="C86" s="5" t="str">
        <x:v>http://www.ukktulenergo.ru</x:v>
      </x:c>
      <x:c r="D86" s="5" t="n">
        <x:v>2</x:v>
      </x:c>
      <x:c r="E8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86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86" s="10"/>
      <x:c r="H86" s="10" t="str">
        <x:v>not_checked_here</x:v>
      </x:c>
      <x:c r="I86" s="11"/>
      <x:c r="J86" s="11"/>
      <x:c r="K86" s="10"/>
      <x:c r="L86" s="10"/>
      <x:c r="M86" s="10"/>
      <x:c r="N86" s="5" t="str">
        <x:f>IF(H86="not_checked_here","Сопоставить с проектом",IF(OR(H86="operational",H86="empty_success"),IF(AND(I86&lt;&gt;"",J86&lt;&gt;"",K86&lt;&gt;"",L86&lt;&gt;""),"Доказательства внесены","Дополнить дату / пример / охват"),IF(J86="","Назначить следующий срок","Исход и очередь записаны")))</x:f>
        <x:v>Сопоставить с проектом</x:v>
      </x:c>
    </x:row>
    <x:row r="87" ht="42.75" customHeight="1">
      <x:c r="A87" s="5" t="str">
        <x:v>CU-SRC-0082</x:v>
      </x:c>
      <x:c r="B87" s="5" t="str">
        <x:v>CU-0032</x:v>
      </x:c>
      <x:c r="C87" s="5" t="str">
        <x:v>https://www.mrsk-1.ru/about/personnel/youth/uchebnye-tsentry/</x:v>
      </x:c>
      <x:c r="D87" s="5" t="n">
        <x:v>2</x:v>
      </x:c>
      <x:c r="E8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87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87" s="10"/>
      <x:c r="H87" s="10" t="str">
        <x:v>not_checked_here</x:v>
      </x:c>
      <x:c r="I87" s="11"/>
      <x:c r="J87" s="11"/>
      <x:c r="K87" s="10"/>
      <x:c r="L87" s="10"/>
      <x:c r="M87" s="10"/>
      <x:c r="N87" s="5" t="str">
        <x:f>IF(H87="not_checked_here","Сопоставить с проектом",IF(OR(H87="operational",H87="empty_success"),IF(AND(I87&lt;&gt;"",J87&lt;&gt;"",K87&lt;&gt;"",L87&lt;&gt;""),"Доказательства внесены","Дополнить дату / пример / охват"),IF(J87="","Назначить следующий срок","Исход и очередь записаны")))</x:f>
        <x:v>Сопоставить с проектом</x:v>
      </x:c>
    </x:row>
    <x:row r="88" ht="42.75" customHeight="1">
      <x:c r="A88" s="5" t="str">
        <x:v>CU-SRC-0083</x:v>
      </x:c>
      <x:c r="B88" s="5" t="str">
        <x:v>CU-0033</x:v>
      </x:c>
      <x:c r="C88" s="5" t="str">
        <x:v>https://energetik-nn.ru/</x:v>
      </x:c>
      <x:c r="D88" s="5" t="n">
        <x:v>2</x:v>
      </x:c>
      <x:c r="E8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88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88" s="10"/>
      <x:c r="H88" s="10" t="str">
        <x:v>not_checked_here</x:v>
      </x:c>
      <x:c r="I88" s="11"/>
      <x:c r="J88" s="11"/>
      <x:c r="K88" s="10"/>
      <x:c r="L88" s="10"/>
      <x:c r="M88" s="10"/>
      <x:c r="N88" s="5" t="str">
        <x:f>IF(H88="not_checked_here","Сопоставить с проектом",IF(OR(H88="operational",H88="empty_success"),IF(AND(I88&lt;&gt;"",J88&lt;&gt;"",K88&lt;&gt;"",L88&lt;&gt;""),"Доказательства внесены","Дополнить дату / пример / охват"),IF(J88="","Назначить следующий срок","Исход и очередь записаны")))</x:f>
        <x:v>Сопоставить с проектом</x:v>
      </x:c>
    </x:row>
    <x:row r="89" ht="42.75" customHeight="1">
      <x:c r="A89" s="5" t="str">
        <x:v>CU-SRC-0084</x:v>
      </x:c>
      <x:c r="B89" s="5" t="str">
        <x:v>CU-0033</x:v>
      </x:c>
      <x:c r="C89" s="5" t="str">
        <x:v>https://www.mrsk-1.ru/about/personnel/youth/uchebnye-tsentry/</x:v>
      </x:c>
      <x:c r="D89" s="5" t="n">
        <x:v>2</x:v>
      </x:c>
      <x:c r="E8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89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89" s="10"/>
      <x:c r="H89" s="10" t="str">
        <x:v>not_checked_here</x:v>
      </x:c>
      <x:c r="I89" s="11"/>
      <x:c r="J89" s="11"/>
      <x:c r="K89" s="10"/>
      <x:c r="L89" s="10"/>
      <x:c r="M89" s="10"/>
      <x:c r="N89" s="5" t="str">
        <x:f>IF(H89="not_checked_here","Сопоставить с проектом",IF(OR(H89="operational",H89="empty_success"),IF(AND(I89&lt;&gt;"",J89&lt;&gt;"",K89&lt;&gt;"",L89&lt;&gt;""),"Доказательства внесены","Дополнить дату / пример / охват"),IF(J89="","Назначить следующий срок","Исход и очередь записаны")))</x:f>
        <x:v>Сопоставить с проектом</x:v>
      </x:c>
    </x:row>
    <x:row r="90" ht="42.75" customHeight="1">
      <x:c r="A90" s="5" t="str">
        <x:v>CU-SRC-0085</x:v>
      </x:c>
      <x:c r="B90" s="5" t="str">
        <x:v>CU-0034</x:v>
      </x:c>
      <x:c r="C90" s="5" t="str">
        <x:v>https://uc-rosseti-ural.ru/about/</x:v>
      </x:c>
      <x:c r="D90" s="5" t="n">
        <x:v>2</x:v>
      </x:c>
      <x:c r="E9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9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90" s="10"/>
      <x:c r="H90" s="10" t="str">
        <x:v>not_checked_here</x:v>
      </x:c>
      <x:c r="I90" s="11"/>
      <x:c r="J90" s="11"/>
      <x:c r="K90" s="10"/>
      <x:c r="L90" s="10"/>
      <x:c r="M90" s="10"/>
      <x:c r="N90" s="5" t="str">
        <x:f>IF(H90="not_checked_here","Сопоставить с проектом",IF(OR(H90="operational",H90="empty_success"),IF(AND(I90&lt;&gt;"",J90&lt;&gt;"",K90&lt;&gt;"",L90&lt;&gt;""),"Доказательства внесены","Дополнить дату / пример / охват"),IF(J90="","Назначить следующий срок","Исход и очередь записаны")))</x:f>
        <x:v>Сопоставить с проектом</x:v>
      </x:c>
    </x:row>
    <x:row r="91" ht="42.75" customHeight="1">
      <x:c r="A91" s="5" t="str">
        <x:v>CU-SRC-0086</x:v>
      </x:c>
      <x:c r="B91" s="5" t="str">
        <x:v>CU-0034</x:v>
      </x:c>
      <x:c r="C91" s="5" t="str">
        <x:v>https://uc-rosseti-ural.ru/news/tehnicheskij-seminar-ustrojstva-regulirovanija-naprjazhenija/</x:v>
      </x:c>
      <x:c r="D91" s="5" t="n">
        <x:v>2</x:v>
      </x:c>
      <x:c r="E9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9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91" s="10"/>
      <x:c r="H91" s="10" t="str">
        <x:v>not_checked_here</x:v>
      </x:c>
      <x:c r="I91" s="11"/>
      <x:c r="J91" s="11"/>
      <x:c r="K91" s="10"/>
      <x:c r="L91" s="10"/>
      <x:c r="M91" s="10"/>
      <x:c r="N91" s="5" t="str">
        <x:f>IF(H91="not_checked_here","Сопоставить с проектом",IF(OR(H91="operational",H91="empty_success"),IF(AND(I91&lt;&gt;"",J91&lt;&gt;"",K91&lt;&gt;"",L91&lt;&gt;""),"Доказательства внесены","Дополнить дату / пример / охват"),IF(J91="","Назначить следующий срок","Исход и очередь записаны")))</x:f>
        <x:v>Сопоставить с проектом</x:v>
      </x:c>
    </x:row>
    <x:row r="92" ht="42.75" customHeight="1">
      <x:c r="A92" s="5" t="str">
        <x:v>CU-SRC-0087</x:v>
      </x:c>
      <x:c r="B92" s="5" t="str">
        <x:v>CU-0035</x:v>
      </x:c>
      <x:c r="C92" s="5" t="str">
        <x:v>https://rossetimr.ru/client/services/training-center/</x:v>
      </x:c>
      <x:c r="D92" s="5" t="n">
        <x:v>1</x:v>
      </x:c>
      <x:c r="E9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92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92" s="10"/>
      <x:c r="H92" s="10" t="str">
        <x:v>not_checked_here</x:v>
      </x:c>
      <x:c r="I92" s="11"/>
      <x:c r="J92" s="11"/>
      <x:c r="K92" s="10"/>
      <x:c r="L92" s="10"/>
      <x:c r="M92" s="10"/>
      <x:c r="N92" s="5" t="str">
        <x:f>IF(H92="not_checked_here","Сопоставить с проектом",IF(OR(H92="operational",H92="empty_success"),IF(AND(I92&lt;&gt;"",J92&lt;&gt;"",K92&lt;&gt;"",L92&lt;&gt;""),"Доказательства внесены","Дополнить дату / пример / охват"),IF(J92="","Назначить следующий срок","Исход и очередь записаны")))</x:f>
        <x:v>Сопоставить с проектом</x:v>
      </x:c>
    </x:row>
    <x:row r="93" ht="42.75" customHeight="1">
      <x:c r="A93" s="5" t="str">
        <x:v>CU-SRC-0088</x:v>
      </x:c>
      <x:c r="B93" s="5" t="str">
        <x:v>CU-0035</x:v>
      </x:c>
      <x:c r="C93" s="5" t="str">
        <x:v>https://rossetimr.ru/client/services/training-center/kontakty/</x:v>
      </x:c>
      <x:c r="D93" s="5" t="n">
        <x:v>1</x:v>
      </x:c>
      <x:c r="E9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93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93" s="10"/>
      <x:c r="H93" s="10" t="str">
        <x:v>not_checked_here</x:v>
      </x:c>
      <x:c r="I93" s="11"/>
      <x:c r="J93" s="11"/>
      <x:c r="K93" s="10"/>
      <x:c r="L93" s="10"/>
      <x:c r="M93" s="10"/>
      <x:c r="N93" s="5" t="str">
        <x:f>IF(H93="not_checked_here","Сопоставить с проектом",IF(OR(H93="operational",H93="empty_success"),IF(AND(I93&lt;&gt;"",J93&lt;&gt;"",K93&lt;&gt;"",L93&lt;&gt;""),"Доказательства внесены","Дополнить дату / пример / охват"),IF(J93="","Назначить следующий срок","Исход и очередь записаны")))</x:f>
        <x:v>Сопоставить с проектом</x:v>
      </x:c>
    </x:row>
    <x:row r="94" ht="42.75" customHeight="1">
      <x:c r="A94" s="5" t="str">
        <x:v>CU-SRC-0089</x:v>
      </x:c>
      <x:c r="B94" s="5" t="str">
        <x:v>CU-0035</x:v>
      </x:c>
      <x:c r="C94" s="5" t="str">
        <x:v>https://rossetimr.ru/client/services/training-center/svedeniya/struktura_i_organy_upravleniya/</x:v>
      </x:c>
      <x:c r="D94" s="5" t="n">
        <x:v>1</x:v>
      </x:c>
      <x:c r="E9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94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94" s="10"/>
      <x:c r="H94" s="10" t="str">
        <x:v>not_checked_here</x:v>
      </x:c>
      <x:c r="I94" s="11"/>
      <x:c r="J94" s="11"/>
      <x:c r="K94" s="10"/>
      <x:c r="L94" s="10"/>
      <x:c r="M94" s="10"/>
      <x:c r="N94" s="5" t="str">
        <x:f>IF(H94="not_checked_here","Сопоставить с проектом",IF(OR(H94="operational",H94="empty_success"),IF(AND(I94&lt;&gt;"",J94&lt;&gt;"",K94&lt;&gt;"",L94&lt;&gt;""),"Доказательства внесены","Дополнить дату / пример / охват"),IF(J94="","Назначить следующий срок","Исход и очередь записаны")))</x:f>
        <x:v>Сопоставить с проектом</x:v>
      </x:c>
    </x:row>
    <x:row r="95" ht="42.75" customHeight="1">
      <x:c r="A95" s="5" t="str">
        <x:v>CU-SRC-0090</x:v>
      </x:c>
      <x:c r="B95" s="5" t="str">
        <x:v>CU-0036</x:v>
      </x:c>
      <x:c r="C95" s="5" t="str">
        <x:v>https://rosseti-lenenergo.ru/educational/svedenia/mattehpoddrzka/</x:v>
      </x:c>
      <x:c r="D95" s="5" t="n">
        <x:v>2</x:v>
      </x:c>
      <x:c r="E9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95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95" s="10"/>
      <x:c r="H95" s="10" t="str">
        <x:v>not_checked_here</x:v>
      </x:c>
      <x:c r="I95" s="11"/>
      <x:c r="J95" s="11"/>
      <x:c r="K95" s="10"/>
      <x:c r="L95" s="10"/>
      <x:c r="M95" s="10"/>
      <x:c r="N95" s="5" t="str">
        <x:f>IF(H95="not_checked_here","Сопоставить с проектом",IF(OR(H95="operational",H95="empty_success"),IF(AND(I95&lt;&gt;"",J95&lt;&gt;"",K95&lt;&gt;"",L95&lt;&gt;""),"Доказательства внесены","Дополнить дату / пример / охват"),IF(J95="","Назначить следующий срок","Исход и очередь записаны")))</x:f>
        <x:v>Сопоставить с проектом</x:v>
      </x:c>
    </x:row>
    <x:row r="96" ht="42.75" customHeight="1">
      <x:c r="A96" s="5" t="str">
        <x:v>CU-SRC-0091</x:v>
      </x:c>
      <x:c r="B96" s="5" t="str">
        <x:v>CU-0036</x:v>
      </x:c>
      <x:c r="C96" s="5" t="str">
        <x:v>https://rosseti-lenenergo.ru/press/lenenergo/318350.html</x:v>
      </x:c>
      <x:c r="D96" s="5" t="n">
        <x:v>2</x:v>
      </x:c>
      <x:c r="E9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96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96" s="10"/>
      <x:c r="H96" s="10" t="str">
        <x:v>not_checked_here</x:v>
      </x:c>
      <x:c r="I96" s="11"/>
      <x:c r="J96" s="11"/>
      <x:c r="K96" s="10"/>
      <x:c r="L96" s="10"/>
      <x:c r="M96" s="10"/>
      <x:c r="N96" s="5" t="str">
        <x:f>IF(H96="not_checked_here","Сопоставить с проектом",IF(OR(H96="operational",H96="empty_success"),IF(AND(I96&lt;&gt;"",J96&lt;&gt;"",K96&lt;&gt;"",L96&lt;&gt;""),"Доказательства внесены","Дополнить дату / пример / охват"),IF(J96="","Назначить следующий срок","Исход и очередь записаны")))</x:f>
        <x:v>Сопоставить с проектом</x:v>
      </x:c>
    </x:row>
    <x:row r="97" ht="42.75" customHeight="1">
      <x:c r="A97" s="5" t="str">
        <x:v>CU-SRC-0092</x:v>
      </x:c>
      <x:c r="B97" s="5" t="str">
        <x:v>CU-0037</x:v>
      </x:c>
      <x:c r="C97" s="5" t="str">
        <x:v>https://chpounuc.ru/</x:v>
      </x:c>
      <x:c r="D97" s="5" t="n">
        <x:v>2</x:v>
      </x:c>
      <x:c r="E9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97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97" s="10"/>
      <x:c r="H97" s="10" t="str">
        <x:v>not_checked_here</x:v>
      </x:c>
      <x:c r="I97" s="11"/>
      <x:c r="J97" s="11"/>
      <x:c r="K97" s="10"/>
      <x:c r="L97" s="10"/>
      <x:c r="M97" s="10"/>
      <x:c r="N97" s="5" t="str">
        <x:f>IF(H97="not_checked_here","Сопоставить с проектом",IF(OR(H97="operational",H97="empty_success"),IF(AND(I97&lt;&gt;"",J97&lt;&gt;"",K97&lt;&gt;"",L97&lt;&gt;""),"Доказательства внесены","Дополнить дату / пример / охват"),IF(J97="","Назначить следующий срок","Исход и очередь записаны")))</x:f>
        <x:v>Сопоставить с проектом</x:v>
      </x:c>
    </x:row>
    <x:row r="98" ht="42.75" customHeight="1">
      <x:c r="A98" s="5" t="str">
        <x:v>CU-SRC-0093</x:v>
      </x:c>
      <x:c r="B98" s="5" t="str">
        <x:v>CU-0037</x:v>
      </x:c>
      <x:c r="C98" s="5" t="str">
        <x:v>https://ptport.ru/personnel-management/training-system/corp-educational-organizations/</x:v>
      </x:c>
      <x:c r="D98" s="5" t="n">
        <x:v>2</x:v>
      </x:c>
      <x:c r="E9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98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98" s="10"/>
      <x:c r="H98" s="10" t="str">
        <x:v>not_checked_here</x:v>
      </x:c>
      <x:c r="I98" s="11"/>
      <x:c r="J98" s="11"/>
      <x:c r="K98" s="10"/>
      <x:c r="L98" s="10"/>
      <x:c r="M98" s="10"/>
      <x:c r="N98" s="5" t="str">
        <x:f>IF(H98="not_checked_here","Сопоставить с проектом",IF(OR(H98="operational",H98="empty_success"),IF(AND(I98&lt;&gt;"",J98&lt;&gt;"",K98&lt;&gt;"",L98&lt;&gt;""),"Доказательства внесены","Дополнить дату / пример / охват"),IF(J98="","Назначить следующий срок","Исход и очередь записаны")))</x:f>
        <x:v>Сопоставить с проектом</x:v>
      </x:c>
    </x:row>
    <x:row r="99" ht="42.75" customHeight="1">
      <x:c r="A99" s="5" t="str">
        <x:v>CU-SRC-0094</x:v>
      </x:c>
      <x:c r="B99" s="5" t="str">
        <x:v>CU-0038</x:v>
      </x:c>
      <x:c r="C99" s="5" t="str">
        <x:v>https://north.transneft.ru/personnel-management/training-system/regionalnyy-uchebnyy-tsentr/</x:v>
      </x:c>
      <x:c r="D99" s="5" t="n">
        <x:v>2</x:v>
      </x:c>
      <x:c r="E9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99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99" s="10"/>
      <x:c r="H99" s="10" t="str">
        <x:v>not_checked_here</x:v>
      </x:c>
      <x:c r="I99" s="11"/>
      <x:c r="J99" s="11"/>
      <x:c r="K99" s="10"/>
      <x:c r="L99" s="10"/>
      <x:c r="M99" s="10"/>
      <x:c r="N99" s="5" t="str">
        <x:f>IF(H99="not_checked_here","Сопоставить с проектом",IF(OR(H99="operational",H99="empty_success"),IF(AND(I99&lt;&gt;"",J99&lt;&gt;"",K99&lt;&gt;"",L99&lt;&gt;""),"Доказательства внесены","Дополнить дату / пример / охват"),IF(J99="","Назначить следующий срок","Исход и очередь записаны")))</x:f>
        <x:v>Сопоставить с проектом</x:v>
      </x:c>
    </x:row>
    <x:row r="100" ht="42.75" customHeight="1">
      <x:c r="A100" s="5" t="str">
        <x:v>CU-SRC-0095</x:v>
      </x:c>
      <x:c r="B100" s="5" t="str">
        <x:v>CU-0039</x:v>
      </x:c>
      <x:c r="C100" s="5" t="str">
        <x:v>https://tps.transneft.ru/customers/center/</x:v>
      </x:c>
      <x:c r="D100" s="5" t="n">
        <x:v>3</x:v>
      </x:c>
      <x:c r="E10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10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100" s="10"/>
      <x:c r="H100" s="10" t="str">
        <x:v>not_checked_here</x:v>
      </x:c>
      <x:c r="I100" s="11"/>
      <x:c r="J100" s="11"/>
      <x:c r="K100" s="10"/>
      <x:c r="L100" s="10"/>
      <x:c r="M100" s="10"/>
      <x:c r="N100" s="5" t="str">
        <x:f>IF(H100="not_checked_here","Сопоставить с проектом",IF(OR(H100="operational",H100="empty_success"),IF(AND(I100&lt;&gt;"",J100&lt;&gt;"",K100&lt;&gt;"",L100&lt;&gt;""),"Доказательства внесены","Дополнить дату / пример / охват"),IF(J100="","Назначить следующий срок","Исход и очередь записаны")))</x:f>
        <x:v>Сопоставить с проектом</x:v>
      </x:c>
    </x:row>
    <x:row r="101" ht="42.75" customHeight="1">
      <x:c r="A101" s="5" t="str">
        <x:v>CU-SRC-0096</x:v>
      </x:c>
      <x:c r="B101" s="5" t="str">
        <x:v>CU-0040</x:v>
      </x:c>
      <x:c r="C101" s="5" t="str">
        <x:v>https://www.mosenergo.ru/career/training-center/info/</x:v>
      </x:c>
      <x:c r="D101" s="5" t="n">
        <x:v>2</x:v>
      </x:c>
      <x:c r="E10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101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101" s="10"/>
      <x:c r="H101" s="10" t="str">
        <x:v>not_checked_here</x:v>
      </x:c>
      <x:c r="I101" s="11"/>
      <x:c r="J101" s="11"/>
      <x:c r="K101" s="10"/>
      <x:c r="L101" s="10"/>
      <x:c r="M101" s="10"/>
      <x:c r="N101" s="5" t="str">
        <x:f>IF(H101="not_checked_here","Сопоставить с проектом",IF(OR(H101="operational",H101="empty_success"),IF(AND(I101&lt;&gt;"",J101&lt;&gt;"",K101&lt;&gt;"",L101&lt;&gt;""),"Доказательства внесены","Дополнить дату / пример / охват"),IF(J101="","Назначить следующий срок","Исход и очередь записаны")))</x:f>
        <x:v>Сопоставить с проектом</x:v>
      </x:c>
    </x:row>
    <x:row r="102" ht="42.75" customHeight="1">
      <x:c r="A102" s="5" t="str">
        <x:v>CU-SRC-0097</x:v>
      </x:c>
      <x:c r="B102" s="5" t="str">
        <x:v>CU-0040</x:v>
      </x:c>
      <x:c r="C102" s="5" t="str">
        <x:v>https://www.mosenergo.ru/career/training-center/documents/</x:v>
      </x:c>
      <x:c r="D102" s="5" t="n">
        <x:v>2</x:v>
      </x:c>
      <x:c r="E10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102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102" s="10"/>
      <x:c r="H102" s="10" t="str">
        <x:v>not_checked_here</x:v>
      </x:c>
      <x:c r="I102" s="11"/>
      <x:c r="J102" s="11"/>
      <x:c r="K102" s="10"/>
      <x:c r="L102" s="10"/>
      <x:c r="M102" s="10"/>
      <x:c r="N102" s="5" t="str">
        <x:f>IF(H102="not_checked_here","Сопоставить с проектом",IF(OR(H102="operational",H102="empty_success"),IF(AND(I102&lt;&gt;"",J102&lt;&gt;"",K102&lt;&gt;"",L102&lt;&gt;""),"Доказательства внесены","Дополнить дату / пример / охват"),IF(J102="","Назначить следующий срок","Исход и очередь записаны")))</x:f>
        <x:v>Сопоставить с проектом</x:v>
      </x:c>
    </x:row>
    <x:row r="103" ht="42.75" customHeight="1">
      <x:c r="A103" s="5" t="str">
        <x:v>CU-SRC-0098</x:v>
      </x:c>
      <x:c r="B103" s="5" t="str">
        <x:v>CU-0040</x:v>
      </x:c>
      <x:c r="C103" s="5" t="str">
        <x:v>https://tenders.gazprom.ru/</x:v>
      </x:c>
      <x:c r="D103" s="5" t="n">
        <x:v>2</x:v>
      </x:c>
      <x:c r="E10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103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G103" s="10"/>
      <x:c r="H103" s="10" t="str">
        <x:v>not_checked_here</x:v>
      </x:c>
      <x:c r="I103" s="11"/>
      <x:c r="J103" s="11"/>
      <x:c r="K103" s="10"/>
      <x:c r="L103" s="10"/>
      <x:c r="M103" s="10"/>
      <x:c r="N103" s="5" t="str">
        <x:f>IF(H103="not_checked_here","Сопоставить с проектом",IF(OR(H103="operational",H103="empty_success"),IF(AND(I103&lt;&gt;"",J103&lt;&gt;"",K103&lt;&gt;"",L103&lt;&gt;""),"Доказательства внесены","Дополнить дату / пример / охват"),IF(J103="","Назначить следующий срок","Исход и очередь записаны")))</x:f>
        <x:v>Сопоставить с проектом</x:v>
      </x:c>
    </x:row>
    <x:row r="104" ht="54" customHeight="1">
      <x:c r="A104" s="5" t="str">
        <x:v>CU-SRC-0099</x:v>
      </x:c>
      <x:c r="B104" s="5" t="str">
        <x:v>CU-0041</x:v>
      </x:c>
      <x:c r="C104" s="5" t="str">
        <x:v>https://university.nornik.ru/</x:v>
      </x:c>
      <x:c r="D104" s="5" t="n">
        <x:v>1</x:v>
      </x:c>
      <x:c r="E10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04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04" s="10"/>
      <x:c r="H104" s="10" t="str">
        <x:v>not_checked_here</x:v>
      </x:c>
      <x:c r="I104" s="11"/>
      <x:c r="J104" s="11"/>
      <x:c r="K104" s="10"/>
      <x:c r="L104" s="10"/>
      <x:c r="M104" s="10"/>
      <x:c r="N104" s="5" t="str">
        <x:f>IF(H104="not_checked_here","Сопоставить с проектом",IF(OR(H104="operational",H104="empty_success"),IF(AND(I104&lt;&gt;"",J104&lt;&gt;"",K104&lt;&gt;"",L104&lt;&gt;""),"Доказательства внесены","Дополнить дату / пример / охват"),IF(J104="","Назначить следующий срок","Исход и очередь записаны")))</x:f>
        <x:v>Сопоставить с проектом</x:v>
      </x:c>
    </x:row>
    <x:row r="105" ht="54" customHeight="1">
      <x:c r="A105" s="5" t="str">
        <x:v>CU-SRC-0100</x:v>
      </x:c>
      <x:c r="B105" s="5" t="str">
        <x:v>CU-0041</x:v>
      </x:c>
      <x:c r="C105" s="5" t="str">
        <x:v>https://university.nornik.ru/education/programs/</x:v>
      </x:c>
      <x:c r="D105" s="5" t="n">
        <x:v>1</x:v>
      </x:c>
      <x:c r="E105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05" s="5" t="str">
        <x:v>Периодически проверять HTML, новые ссылки, документы и изменения; сохранять сырые материалы перед ранжированием</x:v>
      </x:c>
      <x:c r="G105" s="10"/>
      <x:c r="H105" s="10" t="str">
        <x:v>not_checked_here</x:v>
      </x:c>
      <x:c r="I105" s="11"/>
      <x:c r="J105" s="11"/>
      <x:c r="K105" s="10"/>
      <x:c r="L105" s="10"/>
      <x:c r="M105" s="10"/>
      <x:c r="N105" s="5" t="str">
        <x:f>IF(H105="not_checked_here","Сопоставить с проектом",IF(OR(H105="operational",H105="empty_success"),IF(AND(I105&lt;&gt;"",J105&lt;&gt;"",K105&lt;&gt;"",L105&lt;&gt;""),"Доказательства внесены","Дополнить дату / пример / охват"),IF(J105="","Назначить следующий срок","Исход и очередь записаны")))</x:f>
        <x:v>Сопоставить с проектом</x:v>
      </x:c>
    </x:row>
    <x:row r="106" ht="54" customHeight="1">
      <x:c r="A106" s="5" t="str">
        <x:v>CU-SRC-0101</x:v>
      </x:c>
      <x:c r="B106" s="5" t="str">
        <x:v>CU-0042</x:v>
      </x:c>
      <x:c r="C106" s="5" t="str">
        <x:v>https://rusal.ru/career/working/</x:v>
      </x:c>
      <x:c r="D106" s="5" t="n">
        <x:v>1</x:v>
      </x:c>
      <x:c r="E106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06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06" s="10"/>
      <x:c r="H106" s="10" t="str">
        <x:v>not_checked_here</x:v>
      </x:c>
      <x:c r="I106" s="11"/>
      <x:c r="J106" s="11"/>
      <x:c r="K106" s="10"/>
      <x:c r="L106" s="10"/>
      <x:c r="M106" s="10"/>
      <x:c r="N106" s="5" t="str">
        <x:f>IF(H106="not_checked_here","Сопоставить с проектом",IF(OR(H106="operational",H106="empty_success"),IF(AND(I106&lt;&gt;"",J106&lt;&gt;"",K106&lt;&gt;"",L106&lt;&gt;""),"Доказательства внесены","Дополнить дату / пример / охват"),IF(J106="","Назначить следующий срок","Исход и очередь записаны")))</x:f>
        <x:v>Сопоставить с проектом</x:v>
      </x:c>
    </x:row>
    <x:row r="107" ht="54" customHeight="1">
      <x:c r="A107" s="5" t="str">
        <x:v>CU-SRC-0102</x:v>
      </x:c>
      <x:c r="B107" s="5" t="str">
        <x:v>CU-0042</x:v>
      </x:c>
      <x:c r="C107" s="5" t="str">
        <x:v>https://rusal.ru/career/contacts/</x:v>
      </x:c>
      <x:c r="D107" s="5" t="n">
        <x:v>1</x:v>
      </x:c>
      <x:c r="E107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07" s="5" t="str">
        <x:v>Периодически проверять HTML, новые ссылки, документы и изменения; сохранять сырые материалы перед ранжированием</x:v>
      </x:c>
      <x:c r="G107" s="10"/>
      <x:c r="H107" s="10" t="str">
        <x:v>not_checked_here</x:v>
      </x:c>
      <x:c r="I107" s="11"/>
      <x:c r="J107" s="11"/>
      <x:c r="K107" s="10"/>
      <x:c r="L107" s="10"/>
      <x:c r="M107" s="10"/>
      <x:c r="N107" s="5" t="str">
        <x:f>IF(H107="not_checked_here","Сопоставить с проектом",IF(OR(H107="operational",H107="empty_success"),IF(AND(I107&lt;&gt;"",J107&lt;&gt;"",K107&lt;&gt;"",L107&lt;&gt;""),"Доказательства внесены","Дополнить дату / пример / охват"),IF(J107="","Назначить следующий срок","Исход и очередь записаны")))</x:f>
        <x:v>Сопоставить с проектом</x:v>
      </x:c>
    </x:row>
    <x:row r="108" ht="54" customHeight="1">
      <x:c r="A108" s="5" t="str">
        <x:v>CU-SRC-0103</x:v>
      </x:c>
      <x:c r="B108" s="5" t="str">
        <x:v>CU-0043</x:v>
      </x:c>
      <x:c r="C108" s="5" t="str">
        <x:v>https://university.nlmk.com/university/</x:v>
      </x:c>
      <x:c r="D108" s="5" t="n">
        <x:v>1</x:v>
      </x:c>
      <x:c r="E10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08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08" s="10"/>
      <x:c r="H108" s="10" t="str">
        <x:v>not_checked_here</x:v>
      </x:c>
      <x:c r="I108" s="11"/>
      <x:c r="J108" s="11"/>
      <x:c r="K108" s="10"/>
      <x:c r="L108" s="10"/>
      <x:c r="M108" s="10"/>
      <x:c r="N108" s="5" t="str">
        <x:f>IF(H108="not_checked_here","Сопоставить с проектом",IF(OR(H108="operational",H108="empty_success"),IF(AND(I108&lt;&gt;"",J108&lt;&gt;"",K108&lt;&gt;"",L108&lt;&gt;""),"Доказательства внесены","Дополнить дату / пример / охват"),IF(J108="","Назначить следующий срок","Исход и очередь записаны")))</x:f>
        <x:v>Сопоставить с проектом</x:v>
      </x:c>
    </x:row>
    <x:row r="109" ht="54" customHeight="1">
      <x:c r="A109" s="5" t="str">
        <x:v>CU-SRC-0104</x:v>
      </x:c>
      <x:c r="B109" s="5" t="str">
        <x:v>CU-0043</x:v>
      </x:c>
      <x:c r="C109" s="5" t="str">
        <x:v>https://university.nlmk.com/news/</x:v>
      </x:c>
      <x:c r="D109" s="5" t="n">
        <x:v>1</x:v>
      </x:c>
      <x:c r="E10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09" s="5" t="str">
        <x:v>Периодически проверять HTML, новые ссылки, документы и изменения; сохранять сырые материалы перед ранжированием</x:v>
      </x:c>
      <x:c r="G109" s="10"/>
      <x:c r="H109" s="10" t="str">
        <x:v>not_checked_here</x:v>
      </x:c>
      <x:c r="I109" s="11"/>
      <x:c r="J109" s="11"/>
      <x:c r="K109" s="10"/>
      <x:c r="L109" s="10"/>
      <x:c r="M109" s="10"/>
      <x:c r="N109" s="5" t="str">
        <x:f>IF(H109="not_checked_here","Сопоставить с проектом",IF(OR(H109="operational",H109="empty_success"),IF(AND(I109&lt;&gt;"",J109&lt;&gt;"",K109&lt;&gt;"",L109&lt;&gt;""),"Доказательства внесены","Дополнить дату / пример / охват"),IF(J109="","Назначить следующий срок","Исход и очередь записаны")))</x:f>
        <x:v>Сопоставить с проектом</x:v>
      </x:c>
    </x:row>
    <x:row r="110" ht="54" customHeight="1">
      <x:c r="A110" s="5" t="str">
        <x:v>CU-SRC-0105</x:v>
      </x:c>
      <x:c r="B110" s="5" t="str">
        <x:v>CU-0043</x:v>
      </x:c>
      <x:c r="C110" s="5" t="str">
        <x:v>https://university.nlmk.com/contacts/</x:v>
      </x:c>
      <x:c r="D110" s="5" t="n">
        <x:v>1</x:v>
      </x:c>
      <x:c r="E11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10" s="5" t="str">
        <x:v>Периодически проверять HTML, новые ссылки, документы и изменения; сохранять сырые материалы перед ранжированием</x:v>
      </x:c>
      <x:c r="G110" s="10"/>
      <x:c r="H110" s="10" t="str">
        <x:v>not_checked_here</x:v>
      </x:c>
      <x:c r="I110" s="11"/>
      <x:c r="J110" s="11"/>
      <x:c r="K110" s="10"/>
      <x:c r="L110" s="10"/>
      <x:c r="M110" s="10"/>
      <x:c r="N110" s="5" t="str">
        <x:f>IF(H110="not_checked_here","Сопоставить с проектом",IF(OR(H110="operational",H110="empty_success"),IF(AND(I110&lt;&gt;"",J110&lt;&gt;"",K110&lt;&gt;"",L110&lt;&gt;""),"Доказательства внесены","Дополнить дату / пример / охват"),IF(J110="","Назначить следующий срок","Исход и очередь записаны")))</x:f>
        <x:v>Сопоставить с проектом</x:v>
      </x:c>
    </x:row>
    <x:row r="111" ht="54" customHeight="1">
      <x:c r="A111" s="5" t="str">
        <x:v>CU-SRC-0106</x:v>
      </x:c>
      <x:c r="B111" s="5" t="str">
        <x:v>CU-0044</x:v>
      </x:c>
      <x:c r="C111" s="5" t="str">
        <x:v>https://omk.ru/press/news/92090/</x:v>
      </x:c>
      <x:c r="D111" s="5" t="n">
        <x:v>1</x:v>
      </x:c>
      <x:c r="E11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11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11" s="10"/>
      <x:c r="H111" s="10" t="str">
        <x:v>not_checked_here</x:v>
      </x:c>
      <x:c r="I111" s="11"/>
      <x:c r="J111" s="11"/>
      <x:c r="K111" s="10"/>
      <x:c r="L111" s="10"/>
      <x:c r="M111" s="10"/>
      <x:c r="N111" s="5" t="str">
        <x:f>IF(H111="not_checked_here","Сопоставить с проектом",IF(OR(H111="operational",H111="empty_success"),IF(AND(I111&lt;&gt;"",J111&lt;&gt;"",K111&lt;&gt;"",L111&lt;&gt;""),"Доказательства внесены","Дополнить дату / пример / охват"),IF(J111="","Назначить следующий срок","Исход и очередь записаны")))</x:f>
        <x:v>Сопоставить с проектом</x:v>
      </x:c>
    </x:row>
    <x:row r="112" ht="54" customHeight="1">
      <x:c r="A112" s="5" t="str">
        <x:v>CU-SRC-0107</x:v>
      </x:c>
      <x:c r="B112" s="5" t="str">
        <x:v>CU-0044</x:v>
      </x:c>
      <x:c r="C112" s="5" t="str">
        <x:v>https://omk-job.ru/office/</x:v>
      </x:c>
      <x:c r="D112" s="5" t="n">
        <x:v>1</x:v>
      </x:c>
      <x:c r="E11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12" s="5" t="str">
        <x:v>Периодически проверять HTML, новые ссылки, документы и изменения; сохранять сырые материалы перед ранжированием</x:v>
      </x:c>
      <x:c r="G112" s="10"/>
      <x:c r="H112" s="10" t="str">
        <x:v>not_checked_here</x:v>
      </x:c>
      <x:c r="I112" s="11"/>
      <x:c r="J112" s="11"/>
      <x:c r="K112" s="10"/>
      <x:c r="L112" s="10"/>
      <x:c r="M112" s="10"/>
      <x:c r="N112" s="5" t="str">
        <x:f>IF(H112="not_checked_here","Сопоставить с проектом",IF(OR(H112="operational",H112="empty_success"),IF(AND(I112&lt;&gt;"",J112&lt;&gt;"",K112&lt;&gt;"",L112&lt;&gt;""),"Доказательства внесены","Дополнить дату / пример / охват"),IF(J112="","Назначить следующий срок","Исход и очередь записаны")))</x:f>
        <x:v>Сопоставить с проектом</x:v>
      </x:c>
    </x:row>
    <x:row r="113" ht="54" customHeight="1">
      <x:c r="A113" s="5" t="str">
        <x:v>CU-SRC-0108</x:v>
      </x:c>
      <x:c r="B113" s="5" t="str">
        <x:v>CU-0045</x:v>
      </x:c>
      <x:c r="C113" s="5" t="str">
        <x:v>https://vmeste.metalloinvest.com/novosti/yuliya-mazanova-vystupila-na-ezhegodnoi-konferenfii-foruma-donorov/</x:v>
      </x:c>
      <x:c r="D113" s="5" t="n">
        <x:v>1</x:v>
      </x:c>
      <x:c r="E11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13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13" s="10"/>
      <x:c r="H113" s="10" t="str">
        <x:v>not_checked_here</x:v>
      </x:c>
      <x:c r="I113" s="11"/>
      <x:c r="J113" s="11"/>
      <x:c r="K113" s="10"/>
      <x:c r="L113" s="10"/>
      <x:c r="M113" s="10"/>
      <x:c r="N113" s="5" t="str">
        <x:f>IF(H113="not_checked_here","Сопоставить с проектом",IF(OR(H113="operational",H113="empty_success"),IF(AND(I113&lt;&gt;"",J113&lt;&gt;"",K113&lt;&gt;"",L113&lt;&gt;""),"Доказательства внесены","Дополнить дату / пример / охват"),IF(J113="","Назначить следующий срок","Исход и очередь записаны")))</x:f>
        <x:v>Сопоставить с проектом</x:v>
      </x:c>
    </x:row>
    <x:row r="114" ht="54" customHeight="1">
      <x:c r="A114" s="5" t="str">
        <x:v>CU-SRC-0109</x:v>
      </x:c>
      <x:c r="B114" s="5" t="str">
        <x:v>CU-0045</x:v>
      </x:c>
      <x:c r="C114" s="5" t="str">
        <x:v>https://www.metalloinvest.com/media/press-releases/581244/</x:v>
      </x:c>
      <x:c r="D114" s="5" t="n">
        <x:v>1</x:v>
      </x:c>
      <x:c r="E11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14" s="5" t="str">
        <x:v>Периодически проверять HTML, новые ссылки, документы и изменения; сохранять сырые материалы перед ранжированием</x:v>
      </x:c>
      <x:c r="G114" s="10"/>
      <x:c r="H114" s="10" t="str">
        <x:v>not_checked_here</x:v>
      </x:c>
      <x:c r="I114" s="11"/>
      <x:c r="J114" s="11"/>
      <x:c r="K114" s="10"/>
      <x:c r="L114" s="10"/>
      <x:c r="M114" s="10"/>
      <x:c r="N114" s="5" t="str">
        <x:f>IF(H114="not_checked_here","Сопоставить с проектом",IF(OR(H114="operational",H114="empty_success"),IF(AND(I114&lt;&gt;"",J114&lt;&gt;"",K114&lt;&gt;"",L114&lt;&gt;""),"Доказательства внесены","Дополнить дату / пример / охват"),IF(J114="","Назначить следующий срок","Исход и очередь записаны")))</x:f>
        <x:v>Сопоставить с проектом</x:v>
      </x:c>
    </x:row>
    <x:row r="115" ht="54" customHeight="1">
      <x:c r="A115" s="5" t="str">
        <x:v>CU-SRC-0110</x:v>
      </x:c>
      <x:c r="B115" s="5" t="str">
        <x:v>CU-0046</x:v>
      </x:c>
      <x:c r="C115" s="5" t="str">
        <x:v>https://tu-ugmk.com/about/</x:v>
      </x:c>
      <x:c r="D115" s="5" t="n">
        <x:v>1</x:v>
      </x:c>
      <x:c r="E115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15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15" s="10"/>
      <x:c r="H115" s="10" t="str">
        <x:v>not_checked_here</x:v>
      </x:c>
      <x:c r="I115" s="11"/>
      <x:c r="J115" s="11"/>
      <x:c r="K115" s="10"/>
      <x:c r="L115" s="10"/>
      <x:c r="M115" s="10"/>
      <x:c r="N115" s="5" t="str">
        <x:f>IF(H115="not_checked_here","Сопоставить с проектом",IF(OR(H115="operational",H115="empty_success"),IF(AND(I115&lt;&gt;"",J115&lt;&gt;"",K115&lt;&gt;"",L115&lt;&gt;""),"Доказательства внесены","Дополнить дату / пример / охват"),IF(J115="","Назначить следующий срок","Исход и очередь записаны")))</x:f>
        <x:v>Сопоставить с проектом</x:v>
      </x:c>
    </x:row>
    <x:row r="116" ht="54" customHeight="1">
      <x:c r="A116" s="5" t="str">
        <x:v>CU-SRC-0111</x:v>
      </x:c>
      <x:c r="B116" s="5" t="str">
        <x:v>CU-0046</x:v>
      </x:c>
      <x:c r="C116" s="5" t="str">
        <x:v>https://tu-ugmk.com/electronic-course/</x:v>
      </x:c>
      <x:c r="D116" s="5" t="n">
        <x:v>1</x:v>
      </x:c>
      <x:c r="E116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16" s="5" t="str">
        <x:v>Периодически проверять HTML, новые ссылки, документы и изменения; сохранять сырые материалы перед ранжированием</x:v>
      </x:c>
      <x:c r="G116" s="10"/>
      <x:c r="H116" s="10" t="str">
        <x:v>not_checked_here</x:v>
      </x:c>
      <x:c r="I116" s="11"/>
      <x:c r="J116" s="11"/>
      <x:c r="K116" s="10"/>
      <x:c r="L116" s="10"/>
      <x:c r="M116" s="10"/>
      <x:c r="N116" s="5" t="str">
        <x:f>IF(H116="not_checked_here","Сопоставить с проектом",IF(OR(H116="operational",H116="empty_success"),IF(AND(I116&lt;&gt;"",J116&lt;&gt;"",K116&lt;&gt;"",L116&lt;&gt;""),"Доказательства внесены","Дополнить дату / пример / охват"),IF(J116="","Назначить следующий срок","Исход и очередь записаны")))</x:f>
        <x:v>Сопоставить с проектом</x:v>
      </x:c>
    </x:row>
    <x:row r="117" ht="54" customHeight="1">
      <x:c r="A117" s="5" t="str">
        <x:v>CU-SRC-0112</x:v>
      </x:c>
      <x:c r="B117" s="5" t="str">
        <x:v>CU-0046</x:v>
      </x:c>
      <x:c r="C117" s="5" t="str">
        <x:v>https://tu-ugmk.com/contacts/</x:v>
      </x:c>
      <x:c r="D117" s="5" t="n">
        <x:v>1</x:v>
      </x:c>
      <x:c r="E117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17" s="5" t="str">
        <x:v>Периодически проверять HTML, новые ссылки, документы и изменения; сохранять сырые материалы перед ранжированием</x:v>
      </x:c>
      <x:c r="G117" s="10"/>
      <x:c r="H117" s="10" t="str">
        <x:v>not_checked_here</x:v>
      </x:c>
      <x:c r="I117" s="11"/>
      <x:c r="J117" s="11"/>
      <x:c r="K117" s="10"/>
      <x:c r="L117" s="10"/>
      <x:c r="M117" s="10"/>
      <x:c r="N117" s="5" t="str">
        <x:f>IF(H117="not_checked_here","Сопоставить с проектом",IF(OR(H117="operational",H117="empty_success"),IF(AND(I117&lt;&gt;"",J117&lt;&gt;"",K117&lt;&gt;"",L117&lt;&gt;""),"Доказательства внесены","Дополнить дату / пример / охват"),IF(J117="","Назначить следующий срок","Исход и очередь записаны")))</x:f>
        <x:v>Сопоставить с проектом</x:v>
      </x:c>
    </x:row>
    <x:row r="118" ht="54" customHeight="1">
      <x:c r="A118" s="5" t="str">
        <x:v>CU-SRC-0113</x:v>
      </x:c>
      <x:c r="B118" s="5" t="str">
        <x:v>CU-0047</x:v>
      </x:c>
      <x:c r="C118" s="5" t="str">
        <x:v>https://tmk2u.com/Event-calendar/</x:v>
      </x:c>
      <x:c r="D118" s="5" t="n">
        <x:v>1</x:v>
      </x:c>
      <x:c r="E11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18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18" s="10"/>
      <x:c r="H118" s="10" t="str">
        <x:v>not_checked_here</x:v>
      </x:c>
      <x:c r="I118" s="11"/>
      <x:c r="J118" s="11"/>
      <x:c r="K118" s="10"/>
      <x:c r="L118" s="10"/>
      <x:c r="M118" s="10"/>
      <x:c r="N118" s="5" t="str">
        <x:f>IF(H118="not_checked_here","Сопоставить с проектом",IF(OR(H118="operational",H118="empty_success"),IF(AND(I118&lt;&gt;"",J118&lt;&gt;"",K118&lt;&gt;"",L118&lt;&gt;""),"Доказательства внесены","Дополнить дату / пример / охват"),IF(J118="","Назначить следующий срок","Исход и очередь записаны")))</x:f>
        <x:v>Сопоставить с проектом</x:v>
      </x:c>
    </x:row>
    <x:row r="119" ht="54" customHeight="1">
      <x:c r="A119" s="5" t="str">
        <x:v>CU-SRC-0114</x:v>
      </x:c>
      <x:c r="B119" s="5" t="str">
        <x:v>CU-0047</x:v>
      </x:c>
      <x:c r="C119" s="5" t="str">
        <x:v>https://tmk2u.com/%D1%8D%D0%BA%D1%81%D0%BF%D0%B5%D1%80%D1%82%D1%8B</x:v>
      </x:c>
      <x:c r="D119" s="5" t="n">
        <x:v>1</x:v>
      </x:c>
      <x:c r="E11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19" s="5" t="str">
        <x:v>Периодически проверять HTML, новые ссылки, документы и изменения; сохранять сырые материалы перед ранжированием</x:v>
      </x:c>
      <x:c r="G119" s="10"/>
      <x:c r="H119" s="10" t="str">
        <x:v>not_checked_here</x:v>
      </x:c>
      <x:c r="I119" s="11"/>
      <x:c r="J119" s="11"/>
      <x:c r="K119" s="10"/>
      <x:c r="L119" s="10"/>
      <x:c r="M119" s="10"/>
      <x:c r="N119" s="5" t="str">
        <x:f>IF(H119="not_checked_here","Сопоставить с проектом",IF(OR(H119="operational",H119="empty_success"),IF(AND(I119&lt;&gt;"",J119&lt;&gt;"",K119&lt;&gt;"",L119&lt;&gt;""),"Доказательства внесены","Дополнить дату / пример / охват"),IF(J119="","Назначить следующий срок","Исход и очередь записаны")))</x:f>
        <x:v>Сопоставить с проектом</x:v>
      </x:c>
    </x:row>
    <x:row r="120" ht="54" customHeight="1">
      <x:c r="A120" s="5" t="str">
        <x:v>CU-SRC-0115</x:v>
      </x:c>
      <x:c r="B120" s="5" t="str">
        <x:v>CU-0048</x:v>
      </x:c>
      <x:c r="C120" s="5" t="str">
        <x:v>https://kcpk.ru/about/</x:v>
      </x:c>
      <x:c r="D120" s="5" t="n">
        <x:v>1</x:v>
      </x:c>
      <x:c r="E12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20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20" s="10"/>
      <x:c r="H120" s="10" t="str">
        <x:v>not_checked_here</x:v>
      </x:c>
      <x:c r="I120" s="11"/>
      <x:c r="J120" s="11"/>
      <x:c r="K120" s="10"/>
      <x:c r="L120" s="10"/>
      <x:c r="M120" s="10"/>
      <x:c r="N120" s="5" t="str">
        <x:f>IF(H120="not_checked_here","Сопоставить с проектом",IF(OR(H120="operational",H120="empty_success"),IF(AND(I120&lt;&gt;"",J120&lt;&gt;"",K120&lt;&gt;"",L120&lt;&gt;""),"Доказательства внесены","Дополнить дату / пример / охват"),IF(J120="","Назначить следующий срок","Исход и очередь записаны")))</x:f>
        <x:v>Сопоставить с проектом</x:v>
      </x:c>
    </x:row>
    <x:row r="121" ht="54" customHeight="1">
      <x:c r="A121" s="5" t="str">
        <x:v>CU-SRC-0116</x:v>
      </x:c>
      <x:c r="B121" s="5" t="str">
        <x:v>CU-0048</x:v>
      </x:c>
      <x:c r="C121" s="5" t="str">
        <x:v>https://kcpk.ru/clients/</x:v>
      </x:c>
      <x:c r="D121" s="5" t="n">
        <x:v>1</x:v>
      </x:c>
      <x:c r="E12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21" s="5" t="str">
        <x:v>Периодически проверять HTML, новые ссылки, документы и изменения; сохранять сырые материалы перед ранжированием</x:v>
      </x:c>
      <x:c r="G121" s="10"/>
      <x:c r="H121" s="10" t="str">
        <x:v>not_checked_here</x:v>
      </x:c>
      <x:c r="I121" s="11"/>
      <x:c r="J121" s="11"/>
      <x:c r="K121" s="10"/>
      <x:c r="L121" s="10"/>
      <x:c r="M121" s="10"/>
      <x:c r="N121" s="5" t="str">
        <x:f>IF(H121="not_checked_here","Сопоставить с проектом",IF(OR(H121="operational",H121="empty_success"),IF(AND(I121&lt;&gt;"",J121&lt;&gt;"",K121&lt;&gt;"",L121&lt;&gt;""),"Доказательства внесены","Дополнить дату / пример / охват"),IF(J121="","Назначить следующий срок","Исход и очередь записаны")))</x:f>
        <x:v>Сопоставить с проектом</x:v>
      </x:c>
    </x:row>
    <x:row r="122" ht="54" customHeight="1">
      <x:c r="A122" s="5" t="str">
        <x:v>CU-SRC-0117</x:v>
      </x:c>
      <x:c r="B122" s="5" t="str">
        <x:v>CU-0049</x:v>
      </x:c>
      <x:c r="C122" s="5" t="str">
        <x:v>https://career.polyus.com/about/</x:v>
      </x:c>
      <x:c r="D122" s="5" t="n">
        <x:v>1</x:v>
      </x:c>
      <x:c r="E12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22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22" s="10"/>
      <x:c r="H122" s="10" t="str">
        <x:v>not_checked_here</x:v>
      </x:c>
      <x:c r="I122" s="11"/>
      <x:c r="J122" s="11"/>
      <x:c r="K122" s="10"/>
      <x:c r="L122" s="10"/>
      <x:c r="M122" s="10"/>
      <x:c r="N122" s="5" t="str">
        <x:f>IF(H122="not_checked_here","Сопоставить с проектом",IF(OR(H122="operational",H122="empty_success"),IF(AND(I122&lt;&gt;"",J122&lt;&gt;"",K122&lt;&gt;"",L122&lt;&gt;""),"Доказательства внесены","Дополнить дату / пример / охват"),IF(J122="","Назначить следующий срок","Исход и очередь записаны")))</x:f>
        <x:v>Сопоставить с проектом</x:v>
      </x:c>
    </x:row>
    <x:row r="123" ht="54" customHeight="1">
      <x:c r="A123" s="5" t="str">
        <x:v>CU-SRC-0118</x:v>
      </x:c>
      <x:c r="B123" s="5" t="str">
        <x:v>CU-0049</x:v>
      </x:c>
      <x:c r="C123" s="5" t="str">
        <x:v>https://career.polyus.com/professionals/</x:v>
      </x:c>
      <x:c r="D123" s="5" t="n">
        <x:v>1</x:v>
      </x:c>
      <x:c r="E12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23" s="5" t="str">
        <x:v>Периодически проверять HTML, новые ссылки, документы и изменения; сохранять сырые материалы перед ранжированием</x:v>
      </x:c>
      <x:c r="G123" s="10"/>
      <x:c r="H123" s="10" t="str">
        <x:v>not_checked_here</x:v>
      </x:c>
      <x:c r="I123" s="11"/>
      <x:c r="J123" s="11"/>
      <x:c r="K123" s="10"/>
      <x:c r="L123" s="10"/>
      <x:c r="M123" s="10"/>
      <x:c r="N123" s="5" t="str">
        <x:f>IF(H123="not_checked_here","Сопоставить с проектом",IF(OR(H123="operational",H123="empty_success"),IF(AND(I123&lt;&gt;"",J123&lt;&gt;"",K123&lt;&gt;"",L123&lt;&gt;""),"Доказательства внесены","Дополнить дату / пример / охват"),IF(J123="","Назначить следующий срок","Исход и очередь записаны")))</x:f>
        <x:v>Сопоставить с проектом</x:v>
      </x:c>
    </x:row>
    <x:row r="124" ht="54" customHeight="1">
      <x:c r="A124" s="5" t="str">
        <x:v>CU-SRC-0119</x:v>
      </x:c>
      <x:c r="B124" s="5" t="str">
        <x:v>CU-0050</x:v>
      </x:c>
      <x:c r="C124" s="5" t="str">
        <x:v>https://cpk-alrosa.ru/news?cid=6454ed4068e20b0b4c72ce1f</x:v>
      </x:c>
      <x:c r="D124" s="5" t="n">
        <x:v>1</x:v>
      </x:c>
      <x:c r="E12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24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24" s="10"/>
      <x:c r="H124" s="10" t="str">
        <x:v>not_checked_here</x:v>
      </x:c>
      <x:c r="I124" s="11"/>
      <x:c r="J124" s="11"/>
      <x:c r="K124" s="10"/>
      <x:c r="L124" s="10"/>
      <x:c r="M124" s="10"/>
      <x:c r="N124" s="5" t="str">
        <x:f>IF(H124="not_checked_here","Сопоставить с проектом",IF(OR(H124="operational",H124="empty_success"),IF(AND(I124&lt;&gt;"",J124&lt;&gt;"",K124&lt;&gt;"",L124&lt;&gt;""),"Доказательства внесены","Дополнить дату / пример / охват"),IF(J124="","Назначить следующий срок","Исход и очередь записаны")))</x:f>
        <x:v>Сопоставить с проектом</x:v>
      </x:c>
    </x:row>
    <x:row r="125" ht="54" customHeight="1">
      <x:c r="A125" s="5" t="str">
        <x:v>CU-SRC-0120</x:v>
      </x:c>
      <x:c r="B125" s="5" t="str">
        <x:v>CU-0050</x:v>
      </x:c>
      <x:c r="C125" s="5" t="str">
        <x:v>https://www.alrosa.ru/hr/kogo-my-ishchem/studentam-i-vypusknikam/</x:v>
      </x:c>
      <x:c r="D125" s="5" t="n">
        <x:v>1</x:v>
      </x:c>
      <x:c r="E125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25" s="5" t="str">
        <x:v>Периодически проверять HTML, новые ссылки, документы и изменения; сохранять сырые материалы перед ранжированием</x:v>
      </x:c>
      <x:c r="G125" s="10"/>
      <x:c r="H125" s="10" t="str">
        <x:v>not_checked_here</x:v>
      </x:c>
      <x:c r="I125" s="11"/>
      <x:c r="J125" s="11"/>
      <x:c r="K125" s="10"/>
      <x:c r="L125" s="10"/>
      <x:c r="M125" s="10"/>
      <x:c r="N125" s="5" t="str">
        <x:f>IF(H125="not_checked_here","Сопоставить с проектом",IF(OR(H125="operational",H125="empty_success"),IF(AND(I125&lt;&gt;"",J125&lt;&gt;"",K125&lt;&gt;"",L125&lt;&gt;""),"Доказательства внесены","Дополнить дату / пример / охват"),IF(J125="","Назначить следующий срок","Исход и очередь записаны")))</x:f>
        <x:v>Сопоставить с проектом</x:v>
      </x:c>
    </x:row>
    <x:row r="126" ht="54" customHeight="1">
      <x:c r="A126" s="5" t="str">
        <x:v>CU-SRC-0121</x:v>
      </x:c>
      <x:c r="B126" s="5" t="str">
        <x:v>CU-0050</x:v>
      </x:c>
      <x:c r="C126" s="5" t="str">
        <x:v>https://ynalrosa.ru/career/culture/</x:v>
      </x:c>
      <x:c r="D126" s="5" t="n">
        <x:v>1</x:v>
      </x:c>
      <x:c r="E126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26" s="5" t="str">
        <x:v>Периодически проверять HTML, новые ссылки, документы и изменения; сохранять сырые материалы перед ранжированием</x:v>
      </x:c>
      <x:c r="G126" s="10"/>
      <x:c r="H126" s="10" t="str">
        <x:v>not_checked_here</x:v>
      </x:c>
      <x:c r="I126" s="11"/>
      <x:c r="J126" s="11"/>
      <x:c r="K126" s="10"/>
      <x:c r="L126" s="10"/>
      <x:c r="M126" s="10"/>
      <x:c r="N126" s="5" t="str">
        <x:f>IF(H126="not_checked_here","Сопоставить с проектом",IF(OR(H126="operational",H126="empty_success"),IF(AND(I126&lt;&gt;"",J126&lt;&gt;"",K126&lt;&gt;"",L126&lt;&gt;""),"Доказательства внесены","Дополнить дату / пример / охват"),IF(J126="","Назначить следующий срок","Исход и очередь записаны")))</x:f>
        <x:v>Сопоставить с проектом</x:v>
      </x:c>
    </x:row>
    <x:row r="127" ht="54" customHeight="1">
      <x:c r="A127" s="5" t="str">
        <x:v>CU-SRC-0122</x:v>
      </x:c>
      <x:c r="B127" s="5" t="str">
        <x:v>CU-0051</x:v>
      </x:c>
      <x:c r="C127" s="5" t="str">
        <x:v>https://mechel.ru/sector/steel/chelyabinskiy-metallurgicheskiy-kombinat/professionalnaya_podgotovka/</x:v>
      </x:c>
      <x:c r="D127" s="5" t="n">
        <x:v>3</x:v>
      </x:c>
      <x:c r="E127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27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27" s="10"/>
      <x:c r="H127" s="10" t="str">
        <x:v>not_checked_here</x:v>
      </x:c>
      <x:c r="I127" s="11"/>
      <x:c r="J127" s="11"/>
      <x:c r="K127" s="10"/>
      <x:c r="L127" s="10"/>
      <x:c r="M127" s="10"/>
      <x:c r="N127" s="5" t="str">
        <x:f>IF(H127="not_checked_here","Сопоставить с проектом",IF(OR(H127="operational",H127="empty_success"),IF(AND(I127&lt;&gt;"",J127&lt;&gt;"",K127&lt;&gt;"",L127&lt;&gt;""),"Доказательства внесены","Дополнить дату / пример / охват"),IF(J127="","Назначить следующий срок","Исход и очередь записаны")))</x:f>
        <x:v>Сопоставить с проектом</x:v>
      </x:c>
    </x:row>
    <x:row r="128" ht="54" customHeight="1">
      <x:c r="A128" s="5" t="str">
        <x:v>CU-SRC-0123</x:v>
      </x:c>
      <x:c r="B128" s="5" t="str">
        <x:v>CU-0052</x:v>
      </x:c>
      <x:c r="C128" s="5" t="str">
        <x:v>https://mechel.ru/sector/steel/izhstal/professionalnaya_podgotovka/</x:v>
      </x:c>
      <x:c r="D128" s="5" t="n">
        <x:v>3</x:v>
      </x:c>
      <x:c r="E12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28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28" s="10"/>
      <x:c r="H128" s="10" t="str">
        <x:v>not_checked_here</x:v>
      </x:c>
      <x:c r="I128" s="11"/>
      <x:c r="J128" s="11"/>
      <x:c r="K128" s="10"/>
      <x:c r="L128" s="10"/>
      <x:c r="M128" s="10"/>
      <x:c r="N128" s="5" t="str">
        <x:f>IF(H128="not_checked_here","Сопоставить с проектом",IF(OR(H128="operational",H128="empty_success"),IF(AND(I128&lt;&gt;"",J128&lt;&gt;"",K128&lt;&gt;"",L128&lt;&gt;""),"Доказательства внесены","Дополнить дату / пример / охват"),IF(J128="","Назначить следующий срок","Исход и очередь записаны")))</x:f>
        <x:v>Сопоставить с проектом</x:v>
      </x:c>
    </x:row>
    <x:row r="129" ht="54" customHeight="1">
      <x:c r="A129" s="5" t="str">
        <x:v>CU-SRC-0124</x:v>
      </x:c>
      <x:c r="B129" s="5" t="str">
        <x:v>CU-0053</x:v>
      </x:c>
      <x:c r="C129" s="5" t="str">
        <x:v>https://vsmpo.ru/career/professionalnoe-i-karernoe-razvitie/uchebnyy-tsentr/</x:v>
      </x:c>
      <x:c r="D129" s="5" t="n">
        <x:v>2</x:v>
      </x:c>
      <x:c r="E12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29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29" s="10"/>
      <x:c r="H129" s="10" t="str">
        <x:v>not_checked_here</x:v>
      </x:c>
      <x:c r="I129" s="11"/>
      <x:c r="J129" s="11"/>
      <x:c r="K129" s="10"/>
      <x:c r="L129" s="10"/>
      <x:c r="M129" s="10"/>
      <x:c r="N129" s="5" t="str">
        <x:f>IF(H129="not_checked_here","Сопоставить с проектом",IF(OR(H129="operational",H129="empty_success"),IF(AND(I129&lt;&gt;"",J129&lt;&gt;"",K129&lt;&gt;"",L129&lt;&gt;""),"Доказательства внесены","Дополнить дату / пример / охват"),IF(J129="","Назначить следующий срок","Исход и очередь записаны")))</x:f>
        <x:v>Сопоставить с проектом</x:v>
      </x:c>
    </x:row>
    <x:row r="130" ht="54" customHeight="1">
      <x:c r="A130" s="5" t="str">
        <x:v>CU-SRC-0125</x:v>
      </x:c>
      <x:c r="B130" s="5" t="str">
        <x:v>CU-0054</x:v>
      </x:c>
      <x:c r="C130" s="5" t="str">
        <x:v>https://www.sibur.ru/ru/corporate-university/</x:v>
      </x:c>
      <x:c r="D130" s="5" t="n">
        <x:v>1</x:v>
      </x:c>
      <x:c r="E13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30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30" s="10"/>
      <x:c r="H130" s="10" t="str">
        <x:v>not_checked_here</x:v>
      </x:c>
      <x:c r="I130" s="11"/>
      <x:c r="J130" s="11"/>
      <x:c r="K130" s="10"/>
      <x:c r="L130" s="10"/>
      <x:c r="M130" s="10"/>
      <x:c r="N130" s="5" t="str">
        <x:f>IF(H130="not_checked_here","Сопоставить с проектом",IF(OR(H130="operational",H130="empty_success"),IF(AND(I130&lt;&gt;"",J130&lt;&gt;"",K130&lt;&gt;"",L130&lt;&gt;""),"Доказательства внесены","Дополнить дату / пример / охват"),IF(J130="","Назначить следующий срок","Исход и очередь записаны")))</x:f>
        <x:v>Сопоставить с проектом</x:v>
      </x:c>
    </x:row>
    <x:row r="131" ht="54" customHeight="1">
      <x:c r="A131" s="5" t="str">
        <x:v>CU-SRC-0126</x:v>
      </x:c>
      <x:c r="B131" s="5" t="str">
        <x:v>CU-0054</x:v>
      </x:c>
      <x:c r="C131" s="5" t="str">
        <x:v>https://www.sibur.ru/ru/procurement/buy/</x:v>
      </x:c>
      <x:c r="D131" s="5" t="n">
        <x:v>1</x:v>
      </x:c>
      <x:c r="E13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31" s="5" t="str">
        <x:v>Периодически проверять HTML, новые ссылки, документы и изменения; сохранять сырые материалы перед ранжированием</x:v>
      </x:c>
      <x:c r="G131" s="10"/>
      <x:c r="H131" s="10" t="str">
        <x:v>not_checked_here</x:v>
      </x:c>
      <x:c r="I131" s="11"/>
      <x:c r="J131" s="11"/>
      <x:c r="K131" s="10"/>
      <x:c r="L131" s="10"/>
      <x:c r="M131" s="10"/>
      <x:c r="N131" s="5" t="str">
        <x:f>IF(H131="not_checked_here","Сопоставить с проектом",IF(OR(H131="operational",H131="empty_success"),IF(AND(I131&lt;&gt;"",J131&lt;&gt;"",K131&lt;&gt;"",L131&lt;&gt;""),"Доказательства внесены","Дополнить дату / пример / охват"),IF(J131="","Назначить следующий срок","Исход и очередь записаны")))</x:f>
        <x:v>Сопоставить с проектом</x:v>
      </x:c>
    </x:row>
    <x:row r="132" ht="54" customHeight="1">
      <x:c r="A132" s="5" t="str">
        <x:v>CU-SRC-0127</x:v>
      </x:c>
      <x:c r="B132" s="5" t="str">
        <x:v>CU-0054</x:v>
      </x:c>
      <x:c r="C132" s="5" t="str">
        <x:v>https://www.sibur.ru/ru/procurement/start/</x:v>
      </x:c>
      <x:c r="D132" s="5" t="n">
        <x:v>1</x:v>
      </x:c>
      <x:c r="E13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32" s="5" t="str">
        <x:v>Периодически проверять HTML, новые ссылки, документы и изменения; сохранять сырые материалы перед ранжированием</x:v>
      </x:c>
      <x:c r="G132" s="10"/>
      <x:c r="H132" s="10" t="str">
        <x:v>not_checked_here</x:v>
      </x:c>
      <x:c r="I132" s="11"/>
      <x:c r="J132" s="11"/>
      <x:c r="K132" s="10"/>
      <x:c r="L132" s="10"/>
      <x:c r="M132" s="10"/>
      <x:c r="N132" s="5" t="str">
        <x:f>IF(H132="not_checked_here","Сопоставить с проектом",IF(OR(H132="operational",H132="empty_success"),IF(AND(I132&lt;&gt;"",J132&lt;&gt;"",K132&lt;&gt;"",L132&lt;&gt;""),"Доказательства внесены","Дополнить дату / пример / охват"),IF(J132="","Назначить следующий срок","Исход и очередь записаны")))</x:f>
        <x:v>Сопоставить с проектом</x:v>
      </x:c>
    </x:row>
    <x:row r="133" ht="54" customHeight="1">
      <x:c r="A133" s="5" t="str">
        <x:v>CU-SRC-0128</x:v>
      </x:c>
      <x:c r="B133" s="5" t="str">
        <x:v>CU-0055</x:v>
      </x:c>
      <x:c r="C133" s="5" t="str">
        <x:v>https://www.uralkali.com/ru/career/staff/</x:v>
      </x:c>
      <x:c r="D133" s="5" t="n">
        <x:v>1</x:v>
      </x:c>
      <x:c r="E13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33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33" s="10"/>
      <x:c r="H133" s="10" t="str">
        <x:v>not_checked_here</x:v>
      </x:c>
      <x:c r="I133" s="11"/>
      <x:c r="J133" s="11"/>
      <x:c r="K133" s="10"/>
      <x:c r="L133" s="10"/>
      <x:c r="M133" s="10"/>
      <x:c r="N133" s="5" t="str">
        <x:f>IF(H133="not_checked_here","Сопоставить с проектом",IF(OR(H133="operational",H133="empty_success"),IF(AND(I133&lt;&gt;"",J133&lt;&gt;"",K133&lt;&gt;"",L133&lt;&gt;""),"Доказательства внесены","Дополнить дату / пример / охват"),IF(J133="","Назначить следующий срок","Исход и очередь записаны")))</x:f>
        <x:v>Сопоставить с проектом</x:v>
      </x:c>
    </x:row>
    <x:row r="134" ht="54" customHeight="1">
      <x:c r="A134" s="5" t="str">
        <x:v>CU-SRC-0129</x:v>
      </x:c>
      <x:c r="B134" s="5" t="str">
        <x:v>CU-0056</x:v>
      </x:c>
      <x:c r="C134" s="5" t="str">
        <x:v>https://csc.uralchem.ru/</x:v>
      </x:c>
      <x:c r="D134" s="5" t="n">
        <x:v>1</x:v>
      </x:c>
      <x:c r="E13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34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34" s="10"/>
      <x:c r="H134" s="10" t="str">
        <x:v>not_checked_here</x:v>
      </x:c>
      <x:c r="I134" s="11"/>
      <x:c r="J134" s="11"/>
      <x:c r="K134" s="10"/>
      <x:c r="L134" s="10"/>
      <x:c r="M134" s="10"/>
      <x:c r="N134" s="5" t="str">
        <x:f>IF(H134="not_checked_here","Сопоставить с проектом",IF(OR(H134="operational",H134="empty_success"),IF(AND(I134&lt;&gt;"",J134&lt;&gt;"",K134&lt;&gt;"",L134&lt;&gt;""),"Доказательства внесены","Дополнить дату / пример / охват"),IF(J134="","Назначить следующий срок","Исход и очередь записаны")))</x:f>
        <x:v>Сопоставить с проектом</x:v>
      </x:c>
    </x:row>
    <x:row r="135" ht="54" customHeight="1">
      <x:c r="A135" s="5" t="str">
        <x:v>CU-SRC-0130</x:v>
      </x:c>
      <x:c r="B135" s="5" t="str">
        <x:v>CU-0056</x:v>
      </x:c>
      <x:c r="C135" s="5" t="str">
        <x:v>https://uralchemgroup.ru/news/222/</x:v>
      </x:c>
      <x:c r="D135" s="5" t="n">
        <x:v>1</x:v>
      </x:c>
      <x:c r="E135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35" s="5" t="str">
        <x:v>Периодически проверять HTML, новые ссылки, документы и изменения; сохранять сырые материалы перед ранжированием</x:v>
      </x:c>
      <x:c r="G135" s="10"/>
      <x:c r="H135" s="10" t="str">
        <x:v>not_checked_here</x:v>
      </x:c>
      <x:c r="I135" s="11"/>
      <x:c r="J135" s="11"/>
      <x:c r="K135" s="10"/>
      <x:c r="L135" s="10"/>
      <x:c r="M135" s="10"/>
      <x:c r="N135" s="5" t="str">
        <x:f>IF(H135="not_checked_here","Сопоставить с проектом",IF(OR(H135="operational",H135="empty_success"),IF(AND(I135&lt;&gt;"",J135&lt;&gt;"",K135&lt;&gt;"",L135&lt;&gt;""),"Доказательства внесены","Дополнить дату / пример / охват"),IF(J135="","Назначить следующий срок","Исход и очередь записаны")))</x:f>
        <x:v>Сопоставить с проектом</x:v>
      </x:c>
    </x:row>
    <x:row r="136" ht="54" customHeight="1">
      <x:c r="A136" s="5" t="str">
        <x:v>CU-SRC-0131</x:v>
      </x:c>
      <x:c r="B136" s="5" t="str">
        <x:v>CU-0057</x:v>
      </x:c>
      <x:c r="C136" s="5" t="str">
        <x:v>https://www.phosagro.ru/sustainability/quality-education/</x:v>
      </x:c>
      <x:c r="D136" s="5" t="n">
        <x:v>2</x:v>
      </x:c>
      <x:c r="E136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36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36" s="10"/>
      <x:c r="H136" s="10" t="str">
        <x:v>not_checked_here</x:v>
      </x:c>
      <x:c r="I136" s="11"/>
      <x:c r="J136" s="11"/>
      <x:c r="K136" s="10"/>
      <x:c r="L136" s="10"/>
      <x:c r="M136" s="10"/>
      <x:c r="N136" s="5" t="str">
        <x:f>IF(H136="not_checked_here","Сопоставить с проектом",IF(OR(H136="operational",H136="empty_success"),IF(AND(I136&lt;&gt;"",J136&lt;&gt;"",K136&lt;&gt;"",L136&lt;&gt;""),"Доказательства внесены","Дополнить дату / пример / охват"),IF(J136="","Назначить следующий срок","Исход и очередь записаны")))</x:f>
        <x:v>Сопоставить с проектом</x:v>
      </x:c>
    </x:row>
    <x:row r="137" ht="54" customHeight="1">
      <x:c r="A137" s="5" t="str">
        <x:v>CU-SRC-0132</x:v>
      </x:c>
      <x:c r="B137" s="5" t="str">
        <x:v>CU-0057</x:v>
      </x:c>
      <x:c r="C137" s="5" t="str">
        <x:v>https://lectoriy.phosagro.ru/lectures/</x:v>
      </x:c>
      <x:c r="D137" s="5" t="n">
        <x:v>2</x:v>
      </x:c>
      <x:c r="E137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37" s="5" t="str">
        <x:v>Периодически проверять HTML, новые ссылки, документы и изменения; сохранять сырые материалы перед ранжированием</x:v>
      </x:c>
      <x:c r="G137" s="10"/>
      <x:c r="H137" s="10" t="str">
        <x:v>not_checked_here</x:v>
      </x:c>
      <x:c r="I137" s="11"/>
      <x:c r="J137" s="11"/>
      <x:c r="K137" s="10"/>
      <x:c r="L137" s="10"/>
      <x:c r="M137" s="10"/>
      <x:c r="N137" s="5" t="str">
        <x:f>IF(H137="not_checked_here","Сопоставить с проектом",IF(OR(H137="operational",H137="empty_success"),IF(AND(I137&lt;&gt;"",J137&lt;&gt;"",K137&lt;&gt;"",L137&lt;&gt;""),"Доказательства внесены","Дополнить дату / пример / охват"),IF(J137="","Назначить следующий срок","Исход и очередь записаны")))</x:f>
        <x:v>Сопоставить с проектом</x:v>
      </x:c>
    </x:row>
    <x:row r="138" ht="54" customHeight="1">
      <x:c r="A138" s="5" t="str">
        <x:v>CU-SRC-0133</x:v>
      </x:c>
      <x:c r="B138" s="5" t="str">
        <x:v>CU-0058</x:v>
      </x:c>
      <x:c r="C138" s="5" t="str">
        <x:v>https://www.acron.ru/sustainability/learning_centers/</x:v>
      </x:c>
      <x:c r="D138" s="5" t="n">
        <x:v>2</x:v>
      </x:c>
      <x:c r="E13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38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38" s="10"/>
      <x:c r="H138" s="10" t="str">
        <x:v>not_checked_here</x:v>
      </x:c>
      <x:c r="I138" s="11"/>
      <x:c r="J138" s="11"/>
      <x:c r="K138" s="10"/>
      <x:c r="L138" s="10"/>
      <x:c r="M138" s="10"/>
      <x:c r="N138" s="5" t="str">
        <x:f>IF(H138="not_checked_here","Сопоставить с проектом",IF(OR(H138="operational",H138="empty_success"),IF(AND(I138&lt;&gt;"",J138&lt;&gt;"",K138&lt;&gt;"",L138&lt;&gt;""),"Доказательства внесены","Дополнить дату / пример / охват"),IF(J138="","Назначить следующий срок","Исход и очередь записаны")))</x:f>
        <x:v>Сопоставить с проектом</x:v>
      </x:c>
    </x:row>
    <x:row r="139" ht="54" customHeight="1">
      <x:c r="A139" s="5" t="str">
        <x:v>CU-SRC-0134</x:v>
      </x:c>
      <x:c r="B139" s="5" t="str">
        <x:v>CU-0058</x:v>
      </x:c>
      <x:c r="C139" s="5" t="str">
        <x:v>https://www.acron.ru/about-acron-group/etp/</x:v>
      </x:c>
      <x:c r="D139" s="5" t="n">
        <x:v>2</x:v>
      </x:c>
      <x:c r="E13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39" s="5" t="str">
        <x:v>Периодически проверять HTML, новые ссылки, документы и изменения; сохранять сырые материалы перед ранжированием</x:v>
      </x:c>
      <x:c r="G139" s="10"/>
      <x:c r="H139" s="10" t="str">
        <x:v>not_checked_here</x:v>
      </x:c>
      <x:c r="I139" s="11"/>
      <x:c r="J139" s="11"/>
      <x:c r="K139" s="10"/>
      <x:c r="L139" s="10"/>
      <x:c r="M139" s="10"/>
      <x:c r="N139" s="5" t="str">
        <x:f>IF(H139="not_checked_here","Сопоставить с проектом",IF(OR(H139="operational",H139="empty_success"),IF(AND(I139&lt;&gt;"",J139&lt;&gt;"",K139&lt;&gt;"",L139&lt;&gt;""),"Доказательства внесены","Дополнить дату / пример / охват"),IF(J139="","Назначить следующий срок","Исход и очередь записаны")))</x:f>
        <x:v>Сопоставить с проектом</x:v>
      </x:c>
    </x:row>
    <x:row r="140" ht="54" customHeight="1">
      <x:c r="A140" s="5" t="str">
        <x:v>CU-SRC-0135</x:v>
      </x:c>
      <x:c r="B140" s="5" t="str">
        <x:v>CU-0059</x:v>
      </x:c>
      <x:c r="C140" s="5" t="str">
        <x:v>https://www.szfk.ru/career/learning-centers/</x:v>
      </x:c>
      <x:c r="D140" s="5" t="n">
        <x:v>3</x:v>
      </x:c>
      <x:c r="E14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40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40" s="10"/>
      <x:c r="H140" s="10" t="str">
        <x:v>not_checked_here</x:v>
      </x:c>
      <x:c r="I140" s="11"/>
      <x:c r="J140" s="11"/>
      <x:c r="K140" s="10"/>
      <x:c r="L140" s="10"/>
      <x:c r="M140" s="10"/>
      <x:c r="N140" s="5" t="str">
        <x:f>IF(H140="not_checked_here","Сопоставить с проектом",IF(OR(H140="operational",H140="empty_success"),IF(AND(I140&lt;&gt;"",J140&lt;&gt;"",K140&lt;&gt;"",L140&lt;&gt;""),"Доказательства внесены","Дополнить дату / пример / охват"),IF(J140="","Назначить следующий срок","Исход и очередь записаны")))</x:f>
        <x:v>Сопоставить с проектом</x:v>
      </x:c>
    </x:row>
    <x:row r="141" ht="54" customHeight="1">
      <x:c r="A141" s="5" t="str">
        <x:v>CU-SRC-0136</x:v>
      </x:c>
      <x:c r="B141" s="5" t="str">
        <x:v>CU-0059</x:v>
      </x:c>
      <x:c r="C141" s="5" t="str">
        <x:v>https://www.acron.ru/about-acron-group/etp/</x:v>
      </x:c>
      <x:c r="D141" s="5" t="n">
        <x:v>3</x:v>
      </x:c>
      <x:c r="E14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41" s="5" t="str">
        <x:v>Периодически проверять HTML, новые ссылки, документы и изменения; сохранять сырые материалы перед ранжированием</x:v>
      </x:c>
      <x:c r="G141" s="10"/>
      <x:c r="H141" s="10" t="str">
        <x:v>not_checked_here</x:v>
      </x:c>
      <x:c r="I141" s="11"/>
      <x:c r="J141" s="11"/>
      <x:c r="K141" s="10"/>
      <x:c r="L141" s="10"/>
      <x:c r="M141" s="10"/>
      <x:c r="N141" s="5" t="str">
        <x:f>IF(H141="not_checked_here","Сопоставить с проектом",IF(OR(H141="operational",H141="empty_success"),IF(AND(I141&lt;&gt;"",J141&lt;&gt;"",K141&lt;&gt;"",L141&lt;&gt;""),"Доказательства внесены","Дополнить дату / пример / охват"),IF(J141="","Назначить следующий срок","Исход и очередь записаны")))</x:f>
        <x:v>Сопоставить с проектом</x:v>
      </x:c>
    </x:row>
    <x:row r="142" ht="54" customHeight="1">
      <x:c r="A142" s="5" t="str">
        <x:v>CU-SRC-0137</x:v>
      </x:c>
      <x:c r="B142" s="5" t="str">
        <x:v>CU-0060</x:v>
      </x:c>
      <x:c r="C142" s="5" t="str">
        <x:v>https://podolskkabel.ru/news/korporativnyy-universitet-provel-v-podolske-strategicheskuyu-sessiyu-po-vzaimode/</x:v>
      </x:c>
      <x:c r="D142" s="5" t="n">
        <x:v>1</x:v>
      </x:c>
      <x:c r="E14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42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42" s="10"/>
      <x:c r="H142" s="10" t="str">
        <x:v>not_checked_here</x:v>
      </x:c>
      <x:c r="I142" s="11"/>
      <x:c r="J142" s="11"/>
      <x:c r="K142" s="10"/>
      <x:c r="L142" s="10"/>
      <x:c r="M142" s="10"/>
      <x:c r="N142" s="5" t="str">
        <x:f>IF(H142="not_checked_here","Сопоставить с проектом",IF(OR(H142="operational",H142="empty_success"),IF(AND(I142&lt;&gt;"",J142&lt;&gt;"",K142&lt;&gt;"",L142&lt;&gt;""),"Доказательства внесены","Дополнить дату / пример / охват"),IF(J142="","Назначить следующий срок","Исход и очередь записаны")))</x:f>
        <x:v>Сопоставить с проектом</x:v>
      </x:c>
    </x:row>
    <x:row r="143" ht="54" customHeight="1">
      <x:c r="A143" s="5" t="str">
        <x:v>CU-SRC-0138</x:v>
      </x:c>
      <x:c r="B143" s="5" t="str">
        <x:v>CU-0061</x:v>
      </x:c>
      <x:c r="C143" s="5" t="str">
        <x:v>https://rostec.academy/</x:v>
      </x:c>
      <x:c r="D143" s="5" t="n">
        <x:v>1</x:v>
      </x:c>
      <x:c r="E14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43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43" s="10"/>
      <x:c r="H143" s="10" t="str">
        <x:v>not_checked_here</x:v>
      </x:c>
      <x:c r="I143" s="11"/>
      <x:c r="J143" s="11"/>
      <x:c r="K143" s="10"/>
      <x:c r="L143" s="10"/>
      <x:c r="M143" s="10"/>
      <x:c r="N143" s="5" t="str">
        <x:f>IF(H143="not_checked_here","Сопоставить с проектом",IF(OR(H143="operational",H143="empty_success"),IF(AND(I143&lt;&gt;"",J143&lt;&gt;"",K143&lt;&gt;"",L143&lt;&gt;""),"Доказательства внесены","Дополнить дату / пример / охват"),IF(J143="","Назначить следующий срок","Исход и очередь записаны")))</x:f>
        <x:v>Сопоставить с проектом</x:v>
      </x:c>
    </x:row>
    <x:row r="144" ht="54" customHeight="1">
      <x:c r="A144" s="5" t="str">
        <x:v>CU-SRC-0139</x:v>
      </x:c>
      <x:c r="B144" s="5" t="str">
        <x:v>CU-0061</x:v>
      </x:c>
      <x:c r="C144" s="5" t="str">
        <x:v>https://rostec.academy/direction/education-and-development</x:v>
      </x:c>
      <x:c r="D144" s="5" t="n">
        <x:v>1</x:v>
      </x:c>
      <x:c r="E14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44" s="5" t="str">
        <x:v>Периодически проверять HTML, новые ссылки, документы и изменения; сохранять сырые материалы перед ранжированием</x:v>
      </x:c>
      <x:c r="G144" s="10"/>
      <x:c r="H144" s="10" t="str">
        <x:v>not_checked_here</x:v>
      </x:c>
      <x:c r="I144" s="11"/>
      <x:c r="J144" s="11"/>
      <x:c r="K144" s="10"/>
      <x:c r="L144" s="10"/>
      <x:c r="M144" s="10"/>
      <x:c r="N144" s="5" t="str">
        <x:f>IF(H144="not_checked_here","Сопоставить с проектом",IF(OR(H144="operational",H144="empty_success"),IF(AND(I144&lt;&gt;"",J144&lt;&gt;"",K144&lt;&gt;"",L144&lt;&gt;""),"Доказательства внесены","Дополнить дату / пример / охват"),IF(J144="","Назначить следующий срок","Исход и очередь записаны")))</x:f>
        <x:v>Сопоставить с проектом</x:v>
      </x:c>
    </x:row>
    <x:row r="145" ht="54" customHeight="1">
      <x:c r="A145" s="5" t="str">
        <x:v>CU-SRC-0140</x:v>
      </x:c>
      <x:c r="B145" s="5" t="str">
        <x:v>CU-0062</x:v>
      </x:c>
      <x:c r="C145" s="5" t="str">
        <x:v>https://vestikamaza.ru/posts/na_kamaze_razrabotan_proekt_dlya_povysheniya_czifrovoj_gramotnosti_sotrudnikov/</x:v>
      </x:c>
      <x:c r="D145" s="5" t="n">
        <x:v>1</x:v>
      </x:c>
      <x:c r="E145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45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45" s="10"/>
      <x:c r="H145" s="10" t="str">
        <x:v>not_checked_here</x:v>
      </x:c>
      <x:c r="I145" s="11"/>
      <x:c r="J145" s="11"/>
      <x:c r="K145" s="10"/>
      <x:c r="L145" s="10"/>
      <x:c r="M145" s="10"/>
      <x:c r="N145" s="5" t="str">
        <x:f>IF(H145="not_checked_here","Сопоставить с проектом",IF(OR(H145="operational",H145="empty_success"),IF(AND(I145&lt;&gt;"",J145&lt;&gt;"",K145&lt;&gt;"",L145&lt;&gt;""),"Доказательства внесены","Дополнить дату / пример / охват"),IF(J145="","Назначить следующий срок","Исход и очередь записаны")))</x:f>
        <x:v>Сопоставить с проектом</x:v>
      </x:c>
    </x:row>
    <x:row r="146" ht="54" customHeight="1">
      <x:c r="A146" s="5" t="str">
        <x:v>CU-SRC-0141</x:v>
      </x:c>
      <x:c r="B146" s="5" t="str">
        <x:v>CU-0062</x:v>
      </x:c>
      <x:c r="C146" s="5" t="str">
        <x:v>https://kamaz.ru/about/supplier/notification/</x:v>
      </x:c>
      <x:c r="D146" s="5" t="n">
        <x:v>1</x:v>
      </x:c>
      <x:c r="E146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46" s="5" t="str">
        <x:v>Периодически проверять HTML, новые ссылки, документы и изменения; сохранять сырые материалы перед ранжированием</x:v>
      </x:c>
      <x:c r="G146" s="10"/>
      <x:c r="H146" s="10" t="str">
        <x:v>not_checked_here</x:v>
      </x:c>
      <x:c r="I146" s="11"/>
      <x:c r="J146" s="11"/>
      <x:c r="K146" s="10"/>
      <x:c r="L146" s="10"/>
      <x:c r="M146" s="10"/>
      <x:c r="N146" s="5" t="str">
        <x:f>IF(H146="not_checked_here","Сопоставить с проектом",IF(OR(H146="operational",H146="empty_success"),IF(AND(I146&lt;&gt;"",J146&lt;&gt;"",K146&lt;&gt;"",L146&lt;&gt;""),"Доказательства внесены","Дополнить дату / пример / охват"),IF(J146="","Назначить следующий срок","Исход и очередь записаны")))</x:f>
        <x:v>Сопоставить с проектом</x:v>
      </x:c>
    </x:row>
    <x:row r="147" ht="54" customHeight="1">
      <x:c r="A147" s="5" t="str">
        <x:v>CU-SRC-0142</x:v>
      </x:c>
      <x:c r="B147" s="5" t="str">
        <x:v>CU-0062</x:v>
      </x:c>
      <x:c r="C147" s="5" t="str">
        <x:v>https://kamaz.ru/about/supplier/portal/</x:v>
      </x:c>
      <x:c r="D147" s="5" t="n">
        <x:v>1</x:v>
      </x:c>
      <x:c r="E147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47" s="5" t="str">
        <x:v>Периодически проверять HTML, новые ссылки, документы и изменения; сохранять сырые материалы перед ранжированием</x:v>
      </x:c>
      <x:c r="G147" s="10"/>
      <x:c r="H147" s="10" t="str">
        <x:v>not_checked_here</x:v>
      </x:c>
      <x:c r="I147" s="11"/>
      <x:c r="J147" s="11"/>
      <x:c r="K147" s="10"/>
      <x:c r="L147" s="10"/>
      <x:c r="M147" s="10"/>
      <x:c r="N147" s="5" t="str">
        <x:f>IF(H147="not_checked_here","Сопоставить с проектом",IF(OR(H147="operational",H147="empty_success"),IF(AND(I147&lt;&gt;"",J147&lt;&gt;"",K147&lt;&gt;"",L147&lt;&gt;""),"Доказательства внесены","Дополнить дату / пример / охват"),IF(J147="","Назначить следующий срок","Исход и очередь записаны")))</x:f>
        <x:v>Сопоставить с проектом</x:v>
      </x:c>
    </x:row>
    <x:row r="148" ht="54" customHeight="1">
      <x:c r="A148" s="5" t="str">
        <x:v>CU-SRC-0143</x:v>
      </x:c>
      <x:c r="B148" s="5" t="str">
        <x:v>CU-0063</x:v>
      </x:c>
      <x:c r="C148" s="5" t="str">
        <x:v>https://autozavod.media/rubrics/news/korporativnyy-universitet-gorkovskogo-avtozavoda-pereosnashchaetsya-v-ramkakh-nsv/</x:v>
      </x:c>
      <x:c r="D148" s="5" t="n">
        <x:v>1</x:v>
      </x:c>
      <x:c r="E14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48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48" s="10"/>
      <x:c r="H148" s="10" t="str">
        <x:v>not_checked_here</x:v>
      </x:c>
      <x:c r="I148" s="11"/>
      <x:c r="J148" s="11"/>
      <x:c r="K148" s="10"/>
      <x:c r="L148" s="10"/>
      <x:c r="M148" s="10"/>
      <x:c r="N148" s="5" t="str">
        <x:f>IF(H148="not_checked_here","Сопоставить с проектом",IF(OR(H148="operational",H148="empty_success"),IF(AND(I148&lt;&gt;"",J148&lt;&gt;"",K148&lt;&gt;"",L148&lt;&gt;""),"Доказательства внесены","Дополнить дату / пример / охват"),IF(J148="","Назначить следующий срок","Исход и очередь записаны")))</x:f>
        <x:v>Сопоставить с проектом</x:v>
      </x:c>
    </x:row>
    <x:row r="149" ht="54" customHeight="1">
      <x:c r="A149" s="5" t="str">
        <x:v>CU-SRC-0144</x:v>
      </x:c>
      <x:c r="B149" s="5" t="str">
        <x:v>CU-0063</x:v>
      </x:c>
      <x:c r="C149" s="5" t="str">
        <x:v>https://newvec.ru/news/korporativnyy-universitet-gorkovskogo-avtozavoda-pereosnashchaetsya/</x:v>
      </x:c>
      <x:c r="D149" s="5" t="n">
        <x:v>1</x:v>
      </x:c>
      <x:c r="E14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49" s="5" t="str">
        <x:v>Периодически проверять HTML, новые ссылки, документы и изменения; сохранять сырые материалы перед ранжированием</x:v>
      </x:c>
      <x:c r="G149" s="10"/>
      <x:c r="H149" s="10" t="str">
        <x:v>not_checked_here</x:v>
      </x:c>
      <x:c r="I149" s="11"/>
      <x:c r="J149" s="11"/>
      <x:c r="K149" s="10"/>
      <x:c r="L149" s="10"/>
      <x:c r="M149" s="10"/>
      <x:c r="N149" s="5" t="str">
        <x:f>IF(H149="not_checked_here","Сопоставить с проектом",IF(OR(H149="operational",H149="empty_success"),IF(AND(I149&lt;&gt;"",J149&lt;&gt;"",K149&lt;&gt;"",L149&lt;&gt;""),"Доказательства внесены","Дополнить дату / пример / охват"),IF(J149="","Назначить следующий срок","Исход и очередь записаны")))</x:f>
        <x:v>Сопоставить с проектом</x:v>
      </x:c>
    </x:row>
    <x:row r="150" ht="54" customHeight="1">
      <x:c r="A150" s="5" t="str">
        <x:v>CU-SRC-0145</x:v>
      </x:c>
      <x:c r="B150" s="5" t="str">
        <x:v>CU-0064</x:v>
      </x:c>
      <x:c r="C150" s="5" t="str">
        <x:v>https://www.lada.ru/education/</x:v>
      </x:c>
      <x:c r="D150" s="5" t="n">
        <x:v>2</x:v>
      </x:c>
      <x:c r="E15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50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50" s="10"/>
      <x:c r="H150" s="10" t="str">
        <x:v>not_checked_here</x:v>
      </x:c>
      <x:c r="I150" s="11"/>
      <x:c r="J150" s="11"/>
      <x:c r="K150" s="10"/>
      <x:c r="L150" s="10"/>
      <x:c r="M150" s="10"/>
      <x:c r="N150" s="5" t="str">
        <x:f>IF(H150="not_checked_here","Сопоставить с проектом",IF(OR(H150="operational",H150="empty_success"),IF(AND(I150&lt;&gt;"",J150&lt;&gt;"",K150&lt;&gt;"",L150&lt;&gt;""),"Доказательства внесены","Дополнить дату / пример / охват"),IF(J150="","Назначить следующий срок","Исход и очередь записаны")))</x:f>
        <x:v>Сопоставить с проектом</x:v>
      </x:c>
    </x:row>
    <x:row r="151" ht="54" customHeight="1">
      <x:c r="A151" s="5" t="str">
        <x:v>CU-SRC-0146</x:v>
      </x:c>
      <x:c r="B151" s="5" t="str">
        <x:v>CU-0065</x:v>
      </x:c>
      <x:c r="C151" s="5" t="str">
        <x:v>https://rcacademy.ru/</x:v>
      </x:c>
      <x:c r="D151" s="5" t="n">
        <x:v>1</x:v>
      </x:c>
      <x:c r="E15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51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51" s="10"/>
      <x:c r="H151" s="10" t="str">
        <x:v>not_checked_here</x:v>
      </x:c>
      <x:c r="I151" s="11"/>
      <x:c r="J151" s="11"/>
      <x:c r="K151" s="10"/>
      <x:c r="L151" s="10"/>
      <x:c r="M151" s="10"/>
      <x:c r="N151" s="5" t="str">
        <x:f>IF(H151="not_checked_here","Сопоставить с проектом",IF(OR(H151="operational",H151="empty_success"),IF(AND(I151&lt;&gt;"",J151&lt;&gt;"",K151&lt;&gt;"",L151&lt;&gt;""),"Доказательства внесены","Дополнить дату / пример / охват"),IF(J151="","Назначить следующий срок","Исход и очередь записаны")))</x:f>
        <x:v>Сопоставить с проектом</x:v>
      </x:c>
    </x:row>
    <x:row r="152" ht="54" customHeight="1">
      <x:c r="A152" s="5" t="str">
        <x:v>CU-SRC-0147</x:v>
      </x:c>
      <x:c r="B152" s="5" t="str">
        <x:v>CU-0065</x:v>
      </x:c>
      <x:c r="C152" s="5" t="str">
        <x:v>https://www.roscosmos.ru/25077/</x:v>
      </x:c>
      <x:c r="D152" s="5" t="n">
        <x:v>1</x:v>
      </x:c>
      <x:c r="E15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52" s="5" t="str">
        <x:v>Периодически проверять HTML, новые ссылки, документы и изменения; сохранять сырые материалы перед ранжированием</x:v>
      </x:c>
      <x:c r="G152" s="10"/>
      <x:c r="H152" s="10" t="str">
        <x:v>not_checked_here</x:v>
      </x:c>
      <x:c r="I152" s="11"/>
      <x:c r="J152" s="11"/>
      <x:c r="K152" s="10"/>
      <x:c r="L152" s="10"/>
      <x:c r="M152" s="10"/>
      <x:c r="N152" s="5" t="str">
        <x:f>IF(H152="not_checked_here","Сопоставить с проектом",IF(OR(H152="operational",H152="empty_success"),IF(AND(I152&lt;&gt;"",J152&lt;&gt;"",K152&lt;&gt;"",L152&lt;&gt;""),"Доказательства внесены","Дополнить дату / пример / охват"),IF(J152="","Назначить следующий срок","Исход и очередь записаны")))</x:f>
        <x:v>Сопоставить с проектом</x:v>
      </x:c>
    </x:row>
    <x:row r="153" ht="54" customHeight="1">
      <x:c r="A153" s="5" t="str">
        <x:v>CU-SRC-0148</x:v>
      </x:c>
      <x:c r="B153" s="5" t="str">
        <x:v>CU-0066</x:v>
      </x:c>
      <x:c r="C153" s="5" t="str">
        <x:v>https://www.aoosk.ru/press-center/exhibition/eksperty-rasskazali-o-proektakh-osk-na-mezhdunarodnom-forume/</x:v>
      </x:c>
      <x:c r="D153" s="5" t="n">
        <x:v>1</x:v>
      </x:c>
      <x:c r="E15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53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53" s="10"/>
      <x:c r="H153" s="10" t="str">
        <x:v>not_checked_here</x:v>
      </x:c>
      <x:c r="I153" s="11"/>
      <x:c r="J153" s="11"/>
      <x:c r="K153" s="10"/>
      <x:c r="L153" s="10"/>
      <x:c r="M153" s="10"/>
      <x:c r="N153" s="5" t="str">
        <x:f>IF(H153="not_checked_here","Сопоставить с проектом",IF(OR(H153="operational",H153="empty_success"),IF(AND(I153&lt;&gt;"",J153&lt;&gt;"",K153&lt;&gt;"",L153&lt;&gt;""),"Доказательства внесены","Дополнить дату / пример / охват"),IF(J153="","Назначить следующий срок","Исход и очередь записаны")))</x:f>
        <x:v>Сопоставить с проектом</x:v>
      </x:c>
    </x:row>
    <x:row r="154" ht="54" customHeight="1">
      <x:c r="A154" s="5" t="str">
        <x:v>CU-SRC-0149</x:v>
      </x:c>
      <x:c r="B154" s="5" t="str">
        <x:v>CU-0066</x:v>
      </x:c>
      <x:c r="C154" s="5" t="str">
        <x:v>https://www.spoarktika.ru/events/217</x:v>
      </x:c>
      <x:c r="D154" s="5" t="n">
        <x:v>1</x:v>
      </x:c>
      <x:c r="E15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54" s="5" t="str">
        <x:v>Периодически проверять HTML, новые ссылки, документы и изменения; сохранять сырые материалы перед ранжированием</x:v>
      </x:c>
      <x:c r="G154" s="10"/>
      <x:c r="H154" s="10" t="str">
        <x:v>not_checked_here</x:v>
      </x:c>
      <x:c r="I154" s="11"/>
      <x:c r="J154" s="11"/>
      <x:c r="K154" s="10"/>
      <x:c r="L154" s="10"/>
      <x:c r="M154" s="10"/>
      <x:c r="N154" s="5" t="str">
        <x:f>IF(H154="not_checked_here","Сопоставить с проектом",IF(OR(H154="operational",H154="empty_success"),IF(AND(I154&lt;&gt;"",J154&lt;&gt;"",K154&lt;&gt;"",L154&lt;&gt;""),"Доказательства внесены","Дополнить дату / пример / охват"),IF(J154="","Назначить следующий срок","Исход и очередь записаны")))</x:f>
        <x:v>Сопоставить с проектом</x:v>
      </x:c>
    </x:row>
    <x:row r="155" ht="54" customHeight="1">
      <x:c r="A155" s="5" t="str">
        <x:v>CU-SRC-0150</x:v>
      </x:c>
      <x:c r="B155" s="5" t="str">
        <x:v>CU-0067</x:v>
      </x:c>
      <x:c r="C155" s="5" t="str">
        <x:v>https://tmh-university.ru/</x:v>
      </x:c>
      <x:c r="D155" s="5" t="n">
        <x:v>1</x:v>
      </x:c>
      <x:c r="E155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55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55" s="10"/>
      <x:c r="H155" s="10" t="str">
        <x:v>not_checked_here</x:v>
      </x:c>
      <x:c r="I155" s="11"/>
      <x:c r="J155" s="11"/>
      <x:c r="K155" s="10"/>
      <x:c r="L155" s="10"/>
      <x:c r="M155" s="10"/>
      <x:c r="N155" s="5" t="str">
        <x:f>IF(H155="not_checked_here","Сопоставить с проектом",IF(OR(H155="operational",H155="empty_success"),IF(AND(I155&lt;&gt;"",J155&lt;&gt;"",K155&lt;&gt;"",L155&lt;&gt;""),"Доказательства внесены","Дополнить дату / пример / охват"),IF(J155="","Назначить следующий срок","Исход и очередь записаны")))</x:f>
        <x:v>Сопоставить с проектом</x:v>
      </x:c>
    </x:row>
    <x:row r="156" ht="54" customHeight="1">
      <x:c r="A156" s="5" t="str">
        <x:v>CU-SRC-0151</x:v>
      </x:c>
      <x:c r="B156" s="5" t="str">
        <x:v>CU-0068</x:v>
      </x:c>
      <x:c r="C156" s="5" t="str">
        <x:v>https://uacrussia.ru/ru/corporation/personnel-policy/sustained-education/</x:v>
      </x:c>
      <x:c r="D156" s="5" t="n">
        <x:v>1</x:v>
      </x:c>
      <x:c r="E156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56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56" s="10"/>
      <x:c r="H156" s="10" t="str">
        <x:v>not_checked_here</x:v>
      </x:c>
      <x:c r="I156" s="11"/>
      <x:c r="J156" s="11"/>
      <x:c r="K156" s="10"/>
      <x:c r="L156" s="10"/>
      <x:c r="M156" s="10"/>
      <x:c r="N156" s="5" t="str">
        <x:f>IF(H156="not_checked_here","Сопоставить с проектом",IF(OR(H156="operational",H156="empty_success"),IF(AND(I156&lt;&gt;"",J156&lt;&gt;"",K156&lt;&gt;"",L156&lt;&gt;""),"Доказательства внесены","Дополнить дату / пример / охват"),IF(J156="","Назначить следующий срок","Исход и очередь записаны")))</x:f>
        <x:v>Сопоставить с проектом</x:v>
      </x:c>
    </x:row>
    <x:row r="157" ht="54" customHeight="1">
      <x:c r="A157" s="5" t="str">
        <x:v>CU-SRC-0152</x:v>
      </x:c>
      <x:c r="B157" s="5" t="str">
        <x:v>CU-0068</x:v>
      </x:c>
      <x:c r="C157" s="5" t="str">
        <x:v>https://anav.ru/news/tpost/13mj7mvjo1-startoval-novii-potok-programmi-povishen</x:v>
      </x:c>
      <x:c r="D157" s="5" t="n">
        <x:v>1</x:v>
      </x:c>
      <x:c r="E157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57" s="5" t="str">
        <x:v>Периодически проверять HTML, новые ссылки, документы и изменения; сохранять сырые материалы перед ранжированием</x:v>
      </x:c>
      <x:c r="G157" s="10"/>
      <x:c r="H157" s="10" t="str">
        <x:v>not_checked_here</x:v>
      </x:c>
      <x:c r="I157" s="11"/>
      <x:c r="J157" s="11"/>
      <x:c r="K157" s="10"/>
      <x:c r="L157" s="10"/>
      <x:c r="M157" s="10"/>
      <x:c r="N157" s="5" t="str">
        <x:f>IF(H157="not_checked_here","Сопоставить с проектом",IF(OR(H157="operational",H157="empty_success"),IF(AND(I157&lt;&gt;"",J157&lt;&gt;"",K157&lt;&gt;"",L157&lt;&gt;""),"Доказательства внесены","Дополнить дату / пример / охват"),IF(J157="","Назначить следующий срок","Исход и очередь записаны")))</x:f>
        <x:v>Сопоставить с проектом</x:v>
      </x:c>
    </x:row>
    <x:row r="158" ht="54" customHeight="1">
      <x:c r="A158" s="5" t="str">
        <x:v>CU-SRC-0153</x:v>
      </x:c>
      <x:c r="B158" s="5" t="str">
        <x:v>CU-0069</x:v>
      </x:c>
      <x:c r="C158" s="5" t="str">
        <x:v>https://power-m.ru/company/training-center/</x:v>
      </x:c>
      <x:c r="D158" s="5" t="n">
        <x:v>2</x:v>
      </x:c>
      <x:c r="E15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58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58" s="10"/>
      <x:c r="H158" s="10" t="str">
        <x:v>not_checked_here</x:v>
      </x:c>
      <x:c r="I158" s="11"/>
      <x:c r="J158" s="11"/>
      <x:c r="K158" s="10"/>
      <x:c r="L158" s="10"/>
      <x:c r="M158" s="10"/>
      <x:c r="N158" s="5" t="str">
        <x:f>IF(H158="not_checked_here","Сопоставить с проектом",IF(OR(H158="operational",H158="empty_success"),IF(AND(I158&lt;&gt;"",J158&lt;&gt;"",K158&lt;&gt;"",L158&lt;&gt;""),"Доказательства внесены","Дополнить дату / пример / охват"),IF(J158="","Назначить следующий срок","Исход и очередь записаны")))</x:f>
        <x:v>Сопоставить с проектом</x:v>
      </x:c>
    </x:row>
    <x:row r="159" ht="54" customHeight="1">
      <x:c r="A159" s="5" t="str">
        <x:v>CU-SRC-0154</x:v>
      </x:c>
      <x:c r="B159" s="5" t="str">
        <x:v>CU-0069</x:v>
      </x:c>
      <x:c r="C159" s="5" t="str">
        <x:v>https://power-m.ru/company/training-center/education/</x:v>
      </x:c>
      <x:c r="D159" s="5" t="n">
        <x:v>2</x:v>
      </x:c>
      <x:c r="E15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59" s="5" t="str">
        <x:v>Периодически проверять HTML, новые ссылки, документы и изменения; сохранять сырые материалы перед ранжированием</x:v>
      </x:c>
      <x:c r="G159" s="10"/>
      <x:c r="H159" s="10" t="str">
        <x:v>not_checked_here</x:v>
      </x:c>
      <x:c r="I159" s="11"/>
      <x:c r="J159" s="11"/>
      <x:c r="K159" s="10"/>
      <x:c r="L159" s="10"/>
      <x:c r="M159" s="10"/>
      <x:c r="N159" s="5" t="str">
        <x:f>IF(H159="not_checked_here","Сопоставить с проектом",IF(OR(H159="operational",H159="empty_success"),IF(AND(I159&lt;&gt;"",J159&lt;&gt;"",K159&lt;&gt;"",L159&lt;&gt;""),"Доказательства внесены","Дополнить дату / пример / охват"),IF(J159="","Назначить следующий срок","Исход и очередь записаны")))</x:f>
        <x:v>Сопоставить с проектом</x:v>
      </x:c>
    </x:row>
    <x:row r="160" ht="54" customHeight="1">
      <x:c r="A160" s="5" t="str">
        <x:v>CU-SRC-0155</x:v>
      </x:c>
      <x:c r="B160" s="5" t="str">
        <x:v>CU-0070</x:v>
      </x:c>
      <x:c r="C160" s="5" t="str">
        <x:v>https://careers.rostselmash.com/programs/</x:v>
      </x:c>
      <x:c r="D160" s="5" t="n">
        <x:v>3</x:v>
      </x:c>
      <x:c r="E16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60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60" s="10"/>
      <x:c r="H160" s="10" t="str">
        <x:v>not_checked_here</x:v>
      </x:c>
      <x:c r="I160" s="11"/>
      <x:c r="J160" s="11"/>
      <x:c r="K160" s="10"/>
      <x:c r="L160" s="10"/>
      <x:c r="M160" s="10"/>
      <x:c r="N160" s="5" t="str">
        <x:f>IF(H160="not_checked_here","Сопоставить с проектом",IF(OR(H160="operational",H160="empty_success"),IF(AND(I160&lt;&gt;"",J160&lt;&gt;"",K160&lt;&gt;"",L160&lt;&gt;""),"Доказательства внесены","Дополнить дату / пример / охват"),IF(J160="","Назначить следующий срок","Исход и очередь записаны")))</x:f>
        <x:v>Сопоставить с проектом</x:v>
      </x:c>
    </x:row>
    <x:row r="161" ht="54" customHeight="1">
      <x:c r="A161" s="5" t="str">
        <x:v>CU-SRC-0156</x:v>
      </x:c>
      <x:c r="B161" s="5" t="str">
        <x:v>CU-0071</x:v>
      </x:c>
      <x:c r="C161" s="5" t="str">
        <x:v>https://www.ilimgroup.ru/career/corporate-university/</x:v>
      </x:c>
      <x:c r="D161" s="5" t="n">
        <x:v>1</x:v>
      </x:c>
      <x:c r="E16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61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61" s="10"/>
      <x:c r="H161" s="10" t="str">
        <x:v>not_checked_here</x:v>
      </x:c>
      <x:c r="I161" s="11"/>
      <x:c r="J161" s="11"/>
      <x:c r="K161" s="10"/>
      <x:c r="L161" s="10"/>
      <x:c r="M161" s="10"/>
      <x:c r="N161" s="5" t="str">
        <x:f>IF(H161="not_checked_here","Сопоставить с проектом",IF(OR(H161="operational",H161="empty_success"),IF(AND(I161&lt;&gt;"",J161&lt;&gt;"",K161&lt;&gt;"",L161&lt;&gt;""),"Доказательства внесены","Дополнить дату / пример / охват"),IF(J161="","Назначить следующий срок","Исход и очередь записаны")))</x:f>
        <x:v>Сопоставить с проектом</x:v>
      </x:c>
    </x:row>
    <x:row r="162" ht="54" customHeight="1">
      <x:c r="A162" s="5" t="str">
        <x:v>CU-SRC-0157</x:v>
      </x:c>
      <x:c r="B162" s="5" t="str">
        <x:v>CU-0071</x:v>
      </x:c>
      <x:c r="C162" s="5" t="str">
        <x:v>https://www.ilimgroup.ru/career/working-with-youth/podderzhka-molodykh-sotrudnikov-i-razvitie-talantov/</x:v>
      </x:c>
      <x:c r="D162" s="5" t="n">
        <x:v>1</x:v>
      </x:c>
      <x:c r="E16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62" s="5" t="str">
        <x:v>Периодически проверять HTML, новые ссылки, документы и изменения; сохранять сырые материалы перед ранжированием</x:v>
      </x:c>
      <x:c r="G162" s="10"/>
      <x:c r="H162" s="10" t="str">
        <x:v>not_checked_here</x:v>
      </x:c>
      <x:c r="I162" s="11"/>
      <x:c r="J162" s="11"/>
      <x:c r="K162" s="10"/>
      <x:c r="L162" s="10"/>
      <x:c r="M162" s="10"/>
      <x:c r="N162" s="5" t="str">
        <x:f>IF(H162="not_checked_here","Сопоставить с проектом",IF(OR(H162="operational",H162="empty_success"),IF(AND(I162&lt;&gt;"",J162&lt;&gt;"",K162&lt;&gt;"",L162&lt;&gt;""),"Доказательства внесены","Дополнить дату / пример / охват"),IF(J162="","Назначить следующий срок","Исход и очередь записаны")))</x:f>
        <x:v>Сопоставить с проектом</x:v>
      </x:c>
    </x:row>
    <x:row r="163" ht="54" customHeight="1">
      <x:c r="A163" s="5" t="str">
        <x:v>CU-SRC-0158</x:v>
      </x:c>
      <x:c r="B163" s="5" t="str">
        <x:v>CU-0072</x:v>
      </x:c>
      <x:c r="C163" s="5" t="str">
        <x:v>https://almetevsk.askona.ru/news/company/askona-predstavila-svoyu-ekspertizu-na-pmef-2026/</x:v>
      </x:c>
      <x:c r="D163" s="5" t="n">
        <x:v>1</x:v>
      </x:c>
      <x:c r="E16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63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63" s="10"/>
      <x:c r="H163" s="10" t="str">
        <x:v>not_checked_here</x:v>
      </x:c>
      <x:c r="I163" s="11"/>
      <x:c r="J163" s="11"/>
      <x:c r="K163" s="10"/>
      <x:c r="L163" s="10"/>
      <x:c r="M163" s="10"/>
      <x:c r="N163" s="5" t="str">
        <x:f>IF(H163="not_checked_here","Сопоставить с проектом",IF(OR(H163="operational",H163="empty_success"),IF(AND(I163&lt;&gt;"",J163&lt;&gt;"",K163&lt;&gt;"",L163&lt;&gt;""),"Доказательства внесены","Дополнить дату / пример / охват"),IF(J163="","Назначить следующий срок","Исход и очередь записаны")))</x:f>
        <x:v>Сопоставить с проектом</x:v>
      </x:c>
    </x:row>
    <x:row r="164" ht="54" customHeight="1">
      <x:c r="A164" s="5" t="str">
        <x:v>CU-SRC-0159</x:v>
      </x:c>
      <x:c r="B164" s="5" t="str">
        <x:v>CU-0073</x:v>
      </x:c>
      <x:c r="C164" s="5" t="str">
        <x:v>https://t.me/s/eurochemofficial/1469</x:v>
      </x:c>
      <x:c r="D164" s="5" t="n">
        <x:v>2</x:v>
      </x:c>
      <x:c r="E16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64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64" s="10"/>
      <x:c r="H164" s="10" t="str">
        <x:v>not_checked_here</x:v>
      </x:c>
      <x:c r="I164" s="11"/>
      <x:c r="J164" s="11"/>
      <x:c r="K164" s="10"/>
      <x:c r="L164" s="10"/>
      <x:c r="M164" s="10"/>
      <x:c r="N164" s="5" t="str">
        <x:f>IF(H164="not_checked_here","Сопоставить с проектом",IF(OR(H164="operational",H164="empty_success"),IF(AND(I164&lt;&gt;"",J164&lt;&gt;"",K164&lt;&gt;"",L164&lt;&gt;""),"Доказательства внесены","Дополнить дату / пример / охват"),IF(J164="","Назначить следующий срок","Исход и очередь записаны")))</x:f>
        <x:v>Сопоставить с проектом</x:v>
      </x:c>
    </x:row>
    <x:row r="165" ht="54" customHeight="1">
      <x:c r="A165" s="5" t="str">
        <x:v>CU-SRC-0160</x:v>
      </x:c>
      <x:c r="B165" s="5" t="str">
        <x:v>CU-0073</x:v>
      </x:c>
      <x:c r="C165" s="5" t="str">
        <x:v>https://mcc.eurochem.ru/ru/educations/</x:v>
      </x:c>
      <x:c r="D165" s="5" t="n">
        <x:v>2</x:v>
      </x:c>
      <x:c r="E165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65" s="5" t="str">
        <x:v>Периодически проверять HTML, новые ссылки, документы и изменения; сохранять сырые материалы перед ранжированием</x:v>
      </x:c>
      <x:c r="G165" s="10"/>
      <x:c r="H165" s="10" t="str">
        <x:v>not_checked_here</x:v>
      </x:c>
      <x:c r="I165" s="11"/>
      <x:c r="J165" s="11"/>
      <x:c r="K165" s="10"/>
      <x:c r="L165" s="10"/>
      <x:c r="M165" s="10"/>
      <x:c r="N165" s="5" t="str">
        <x:f>IF(H165="not_checked_here","Сопоставить с проектом",IF(OR(H165="operational",H165="empty_success"),IF(AND(I165&lt;&gt;"",J165&lt;&gt;"",K165&lt;&gt;"",L165&lt;&gt;""),"Доказательства внесены","Дополнить дату / пример / охват"),IF(J165="","Назначить следующий срок","Исход и очередь записаны")))</x:f>
        <x:v>Сопоставить с проектом</x:v>
      </x:c>
    </x:row>
    <x:row r="166" ht="54" customHeight="1">
      <x:c r="A166" s="5" t="str">
        <x:v>CU-SRC-0161</x:v>
      </x:c>
      <x:c r="B166" s="5" t="str">
        <x:v>CU-0074</x:v>
      </x:c>
      <x:c r="C166" s="5" t="str">
        <x:v>https://segezha-group.com/about/factory/scbk-educational-center/</x:v>
      </x:c>
      <x:c r="D166" s="5" t="n">
        <x:v>3</x:v>
      </x:c>
      <x:c r="E166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66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66" s="10"/>
      <x:c r="H166" s="10" t="str">
        <x:v>not_checked_here</x:v>
      </x:c>
      <x:c r="I166" s="11"/>
      <x:c r="J166" s="11"/>
      <x:c r="K166" s="10"/>
      <x:c r="L166" s="10"/>
      <x:c r="M166" s="10"/>
      <x:c r="N166" s="5" t="str">
        <x:f>IF(H166="not_checked_here","Сопоставить с проектом",IF(OR(H166="operational",H166="empty_success"),IF(AND(I166&lt;&gt;"",J166&lt;&gt;"",K166&lt;&gt;"",L166&lt;&gt;""),"Доказательства внесены","Дополнить дату / пример / охват"),IF(J166="","Назначить следующий срок","Исход и очередь записаны")))</x:f>
        <x:v>Сопоставить с проектом</x:v>
      </x:c>
    </x:row>
    <x:row r="167" ht="54" customHeight="1">
      <x:c r="A167" s="5" t="str">
        <x:v>CU-SRC-0162</x:v>
      </x:c>
      <x:c r="B167" s="5" t="str">
        <x:v>CU-0075</x:v>
      </x:c>
      <x:c r="C167" s="5" t="str">
        <x:v>https://nocvko.ru/</x:v>
      </x:c>
      <x:c r="D167" s="5" t="n">
        <x:v>1</x:v>
      </x:c>
      <x:c r="E167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67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67" s="10"/>
      <x:c r="H167" s="10" t="str">
        <x:v>not_checked_here</x:v>
      </x:c>
      <x:c r="I167" s="11"/>
      <x:c r="J167" s="11"/>
      <x:c r="K167" s="10"/>
      <x:c r="L167" s="10"/>
      <x:c r="M167" s="10"/>
      <x:c r="N167" s="5" t="str">
        <x:f>IF(H167="not_checked_here","Сопоставить с проектом",IF(OR(H167="operational",H167="empty_success"),IF(AND(I167&lt;&gt;"",J167&lt;&gt;"",K167&lt;&gt;"",L167&lt;&gt;""),"Доказательства внесены","Дополнить дату / пример / охват"),IF(J167="","Назначить следующий срок","Исход и очередь записаны")))</x:f>
        <x:v>Сопоставить с проектом</x:v>
      </x:c>
    </x:row>
    <x:row r="168" ht="54" customHeight="1">
      <x:c r="A168" s="5" t="str">
        <x:v>CU-SRC-0163</x:v>
      </x:c>
      <x:c r="B168" s="5" t="str">
        <x:v>CU-0075</x:v>
      </x:c>
      <x:c r="C168" s="5" t="str">
        <x:v>https://nocvko.ru/dopolnitelnoe-professionalnoe-obrazovanie-53/grafik-obucheniya-68</x:v>
      </x:c>
      <x:c r="D168" s="5" t="n">
        <x:v>1</x:v>
      </x:c>
      <x:c r="E16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68" s="5" t="str">
        <x:v>Периодически проверять HTML, новые ссылки, документы и изменения; сохранять сырые материалы перед ранжированием</x:v>
      </x:c>
      <x:c r="G168" s="10"/>
      <x:c r="H168" s="10" t="str">
        <x:v>not_checked_here</x:v>
      </x:c>
      <x:c r="I168" s="11"/>
      <x:c r="J168" s="11"/>
      <x:c r="K168" s="10"/>
      <x:c r="L168" s="10"/>
      <x:c r="M168" s="10"/>
      <x:c r="N168" s="5" t="str">
        <x:f>IF(H168="not_checked_here","Сопоставить с проектом",IF(OR(H168="operational",H168="empty_success"),IF(AND(I168&lt;&gt;"",J168&lt;&gt;"",K168&lt;&gt;"",L168&lt;&gt;""),"Доказательства внесены","Дополнить дату / пример / охват"),IF(J168="","Назначить следующий срок","Исход и очередь записаны")))</x:f>
        <x:v>Сопоставить с проектом</x:v>
      </x:c>
    </x:row>
    <x:row r="169" ht="54" customHeight="1">
      <x:c r="A169" s="5" t="str">
        <x:v>CU-SRC-0164</x:v>
      </x:c>
      <x:c r="B169" s="5" t="str">
        <x:v>CU-0075</x:v>
      </x:c>
      <x:c r="C169" s="5" t="str">
        <x:v>https://nocvko.ru/o-tsentre-1/kontakty-2</x:v>
      </x:c>
      <x:c r="D169" s="5" t="n">
        <x:v>1</x:v>
      </x:c>
      <x:c r="E16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69" s="5" t="str">
        <x:v>Периодически проверять HTML, новые ссылки, документы и изменения; сохранять сырые материалы перед ранжированием</x:v>
      </x:c>
      <x:c r="G169" s="10"/>
      <x:c r="H169" s="10" t="str">
        <x:v>not_checked_here</x:v>
      </x:c>
      <x:c r="I169" s="11"/>
      <x:c r="J169" s="11"/>
      <x:c r="K169" s="10"/>
      <x:c r="L169" s="10"/>
      <x:c r="M169" s="10"/>
      <x:c r="N169" s="5" t="str">
        <x:f>IF(H169="not_checked_here","Сопоставить с проектом",IF(OR(H169="operational",H169="empty_success"),IF(AND(I169&lt;&gt;"",J169&lt;&gt;"",K169&lt;&gt;"",L169&lt;&gt;""),"Доказательства внесены","Дополнить дату / пример / охват"),IF(J169="","Назначить следующий срок","Исход и очередь записаны")))</x:f>
        <x:v>Сопоставить с проектом</x:v>
      </x:c>
    </x:row>
    <x:row r="170" ht="54" customHeight="1">
      <x:c r="A170" s="5" t="str">
        <x:v>CU-SRC-0165</x:v>
      </x:c>
      <x:c r="B170" s="5" t="str">
        <x:v>CU-0076</x:v>
      </x:c>
      <x:c r="C170" s="5" t="str">
        <x:v>https://noc.goz.ru/</x:v>
      </x:c>
      <x:c r="D170" s="5" t="n">
        <x:v>2</x:v>
      </x:c>
      <x:c r="E17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70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70" s="10"/>
      <x:c r="H170" s="10" t="str">
        <x:v>not_checked_here</x:v>
      </x:c>
      <x:c r="I170" s="11"/>
      <x:c r="J170" s="11"/>
      <x:c r="K170" s="10"/>
      <x:c r="L170" s="10"/>
      <x:c r="M170" s="10"/>
      <x:c r="N170" s="5" t="str">
        <x:f>IF(H170="not_checked_here","Сопоставить с проектом",IF(OR(H170="operational",H170="empty_success"),IF(AND(I170&lt;&gt;"",J170&lt;&gt;"",K170&lt;&gt;"",L170&lt;&gt;""),"Доказательства внесены","Дополнить дату / пример / охват"),IF(J170="","Назначить следующий срок","Исход и очередь записаны")))</x:f>
        <x:v>Сопоставить с проектом</x:v>
      </x:c>
    </x:row>
    <x:row r="171" ht="54" customHeight="1">
      <x:c r="A171" s="5" t="str">
        <x:v>CU-SRC-0166</x:v>
      </x:c>
      <x:c r="B171" s="5" t="str">
        <x:v>CU-0077</x:v>
      </x:c>
      <x:c r="C171" s="5" t="str">
        <x:v>https://www.rcpp.ru/sveden/istoriya-tsentra</x:v>
      </x:c>
      <x:c r="D171" s="5" t="n">
        <x:v>2</x:v>
      </x:c>
      <x:c r="E17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71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71" s="10"/>
      <x:c r="H171" s="10" t="str">
        <x:v>not_checked_here</x:v>
      </x:c>
      <x:c r="I171" s="11"/>
      <x:c r="J171" s="11"/>
      <x:c r="K171" s="10"/>
      <x:c r="L171" s="10"/>
      <x:c r="M171" s="10"/>
      <x:c r="N171" s="5" t="str">
        <x:f>IF(H171="not_checked_here","Сопоставить с проектом",IF(OR(H171="operational",H171="empty_success"),IF(AND(I171&lt;&gt;"",J171&lt;&gt;"",K171&lt;&gt;"",L171&lt;&gt;""),"Доказательства внесены","Дополнить дату / пример / охват"),IF(J171="","Назначить следующий срок","Исход и очередь записаны")))</x:f>
        <x:v>Сопоставить с проектом</x:v>
      </x:c>
    </x:row>
    <x:row r="172" ht="54" customHeight="1">
      <x:c r="A172" s="5" t="str">
        <x:v>CU-SRC-0167</x:v>
      </x:c>
      <x:c r="B172" s="5" t="str">
        <x:v>CU-0077</x:v>
      </x:c>
      <x:c r="C172" s="5" t="str">
        <x:v>https://www.rcpp.ru/grafiki-i-rastsenki</x:v>
      </x:c>
      <x:c r="D172" s="5" t="n">
        <x:v>2</x:v>
      </x:c>
      <x:c r="E17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72" s="5" t="str">
        <x:v>Периодически проверять HTML, новые ссылки, документы и изменения; сохранять сырые материалы перед ранжированием</x:v>
      </x:c>
      <x:c r="G172" s="10"/>
      <x:c r="H172" s="10" t="str">
        <x:v>not_checked_here</x:v>
      </x:c>
      <x:c r="I172" s="11"/>
      <x:c r="J172" s="11"/>
      <x:c r="K172" s="10"/>
      <x:c r="L172" s="10"/>
      <x:c r="M172" s="10"/>
      <x:c r="N172" s="5" t="str">
        <x:f>IF(H172="not_checked_here","Сопоставить с проектом",IF(OR(H172="operational",H172="empty_success"),IF(AND(I172&lt;&gt;"",J172&lt;&gt;"",K172&lt;&gt;"",L172&lt;&gt;""),"Доказательства внесены","Дополнить дату / пример / охват"),IF(J172="","Назначить следующий срок","Исход и очередь записаны")))</x:f>
        <x:v>Сопоставить с проектом</x:v>
      </x:c>
    </x:row>
    <x:row r="173" ht="54" customHeight="1">
      <x:c r="A173" s="5" t="str">
        <x:v>CU-SRC-0168</x:v>
      </x:c>
      <x:c r="B173" s="5" t="str">
        <x:v>CU-0077</x:v>
      </x:c>
      <x:c r="C173" s="5" t="str">
        <x:v>https://obr.evraz.com/zsmk/pedagogicheskij-sostav/</x:v>
      </x:c>
      <x:c r="D173" s="5" t="n">
        <x:v>2</x:v>
      </x:c>
      <x:c r="E17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73" s="5" t="str">
        <x:v>Периодически проверять HTML, новые ссылки, документы и изменения; сохранять сырые материалы перед ранжированием</x:v>
      </x:c>
      <x:c r="G173" s="10"/>
      <x:c r="H173" s="10" t="str">
        <x:v>not_checked_here</x:v>
      </x:c>
      <x:c r="I173" s="11"/>
      <x:c r="J173" s="11"/>
      <x:c r="K173" s="10"/>
      <x:c r="L173" s="10"/>
      <x:c r="M173" s="10"/>
      <x:c r="N173" s="5" t="str">
        <x:f>IF(H173="not_checked_here","Сопоставить с проектом",IF(OR(H173="operational",H173="empty_success"),IF(AND(I173&lt;&gt;"",J173&lt;&gt;"",K173&lt;&gt;"",L173&lt;&gt;""),"Доказательства внесены","Дополнить дату / пример / охват"),IF(J173="","Назначить следующий срок","Исход и очередь записаны")))</x:f>
        <x:v>Сопоставить с проектом</x:v>
      </x:c>
    </x:row>
    <x:row r="174" ht="54" customHeight="1">
      <x:c r="A174" s="5" t="str">
        <x:v>CU-SRC-0169</x:v>
      </x:c>
      <x:c r="B174" s="5" t="str">
        <x:v>CU-0078</x:v>
      </x:c>
      <x:c r="C174" s="5" t="str">
        <x:v>https://cpp-evraz-ural.ru/sveden/common/</x:v>
      </x:c>
      <x:c r="D174" s="5" t="n">
        <x:v>2</x:v>
      </x:c>
      <x:c r="E17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74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74" s="10"/>
      <x:c r="H174" s="10" t="str">
        <x:v>not_checked_here</x:v>
      </x:c>
      <x:c r="I174" s="11"/>
      <x:c r="J174" s="11"/>
      <x:c r="K174" s="10"/>
      <x:c r="L174" s="10"/>
      <x:c r="M174" s="10"/>
      <x:c r="N174" s="5" t="str">
        <x:f>IF(H174="not_checked_here","Сопоставить с проектом",IF(OR(H174="operational",H174="empty_success"),IF(AND(I174&lt;&gt;"",J174&lt;&gt;"",K174&lt;&gt;"",L174&lt;&gt;""),"Доказательства внесены","Дополнить дату / пример / охват"),IF(J174="","Назначить следующий срок","Исход и очередь записаны")))</x:f>
        <x:v>Сопоставить с проектом</x:v>
      </x:c>
    </x:row>
    <x:row r="175" ht="54" customHeight="1">
      <x:c r="A175" s="5" t="str">
        <x:v>CU-SRC-0170</x:v>
      </x:c>
      <x:c r="B175" s="5" t="str">
        <x:v>CU-0078</x:v>
      </x:c>
      <x:c r="C175" s="5" t="str">
        <x:v>https://kcpk.ru/clients/chou-dpo-tsentr-podgotovki-personala-evraz-ural/</x:v>
      </x:c>
      <x:c r="D175" s="5" t="n">
        <x:v>2</x:v>
      </x:c>
      <x:c r="E175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75" s="5" t="str">
        <x:v>Периодически проверять HTML, новые ссылки, документы и изменения; сохранять сырые материалы перед ранжированием</x:v>
      </x:c>
      <x:c r="G175" s="10"/>
      <x:c r="H175" s="10" t="str">
        <x:v>not_checked_here</x:v>
      </x:c>
      <x:c r="I175" s="11"/>
      <x:c r="J175" s="11"/>
      <x:c r="K175" s="10"/>
      <x:c r="L175" s="10"/>
      <x:c r="M175" s="10"/>
      <x:c r="N175" s="5" t="str">
        <x:f>IF(H175="not_checked_here","Сопоставить с проектом",IF(OR(H175="operational",H175="empty_success"),IF(AND(I175&lt;&gt;"",J175&lt;&gt;"",K175&lt;&gt;"",L175&lt;&gt;""),"Доказательства внесены","Дополнить дату / пример / охват"),IF(J175="","Назначить следующий срок","Исход и очередь записаны")))</x:f>
        <x:v>Сопоставить с проектом</x:v>
      </x:c>
    </x:row>
    <x:row r="176" ht="54" customHeight="1">
      <x:c r="A176" s="5" t="str">
        <x:v>CU-SRC-0171</x:v>
      </x:c>
      <x:c r="B176" s="5" t="str">
        <x:v>CU-0079</x:v>
      </x:c>
      <x:c r="C176" s="5" t="str">
        <x:v>https://severstal.com/rus/about/structure/businesses/cherepovetskiy-metallurgicheskiy-kombinat/uchebnyy-tsentr-chermk/</x:v>
      </x:c>
      <x:c r="D176" s="5" t="n">
        <x:v>2</x:v>
      </x:c>
      <x:c r="E176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76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76" s="10"/>
      <x:c r="H176" s="10" t="str">
        <x:v>not_checked_here</x:v>
      </x:c>
      <x:c r="I176" s="11"/>
      <x:c r="J176" s="11"/>
      <x:c r="K176" s="10"/>
      <x:c r="L176" s="10"/>
      <x:c r="M176" s="10"/>
      <x:c r="N176" s="5" t="str">
        <x:f>IF(H176="not_checked_here","Сопоставить с проектом",IF(OR(H176="operational",H176="empty_success"),IF(AND(I176&lt;&gt;"",J176&lt;&gt;"",K176&lt;&gt;"",L176&lt;&gt;""),"Доказательства внесены","Дополнить дату / пример / охват"),IF(J176="","Назначить следующий срок","Исход и очередь записаны")))</x:f>
        <x:v>Сопоставить с проектом</x:v>
      </x:c>
    </x:row>
    <x:row r="177" ht="54" customHeight="1">
      <x:c r="A177" s="5" t="str">
        <x:v>CU-SRC-0172</x:v>
      </x:c>
      <x:c r="B177" s="5" t="str">
        <x:v>CU-0079</x:v>
      </x:c>
      <x:c r="C177" s="5" t="str">
        <x:v>https://severstal.com/rus/about/structure/businesses/cherepovetskiy-metallurgicheskiy-kombinat/uchebnyy-tsentr-chermk/svedeniya-ob-organizatsii/</x:v>
      </x:c>
      <x:c r="D177" s="5" t="n">
        <x:v>2</x:v>
      </x:c>
      <x:c r="E177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77" s="5" t="str">
        <x:v>Периодически проверять HTML, новые ссылки, документы и изменения; сохранять сырые материалы перед ранжированием</x:v>
      </x:c>
      <x:c r="G177" s="10"/>
      <x:c r="H177" s="10" t="str">
        <x:v>not_checked_here</x:v>
      </x:c>
      <x:c r="I177" s="11"/>
      <x:c r="J177" s="11"/>
      <x:c r="K177" s="10"/>
      <x:c r="L177" s="10"/>
      <x:c r="M177" s="10"/>
      <x:c r="N177" s="5" t="str">
        <x:f>IF(H177="not_checked_here","Сопоставить с проектом",IF(OR(H177="operational",H177="empty_success"),IF(AND(I177&lt;&gt;"",J177&lt;&gt;"",K177&lt;&gt;"",L177&lt;&gt;""),"Доказательства внесены","Дополнить дату / пример / охват"),IF(J177="","Назначить следующий срок","Исход и очередь записаны")))</x:f>
        <x:v>Сопоставить с проектом</x:v>
      </x:c>
    </x:row>
    <x:row r="178" ht="54" customHeight="1">
      <x:c r="A178" s="5" t="str">
        <x:v>CU-SRC-0173</x:v>
      </x:c>
      <x:c r="B178" s="5" t="str">
        <x:v>CU-0080</x:v>
      </x:c>
      <x:c r="C178" s="5" t="str">
        <x:v>https://www.acron.ru/sustainability/learning_centers/</x:v>
      </x:c>
      <x:c r="D178" s="5" t="n">
        <x:v>3</x:v>
      </x:c>
      <x:c r="E17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78" s="5" t="str">
        <x:v>Проверка изменений публичного HTML и ссылок; PDF и вложения сохранять с версиями. Способ доступа уточнить при подключении.</x:v>
      </x:c>
      <x:c r="G178" s="10"/>
      <x:c r="H178" s="10" t="str">
        <x:v>not_checked_here</x:v>
      </x:c>
      <x:c r="I178" s="11"/>
      <x:c r="J178" s="11"/>
      <x:c r="K178" s="10"/>
      <x:c r="L178" s="10"/>
      <x:c r="M178" s="10"/>
      <x:c r="N178" s="5" t="str">
        <x:f>IF(H178="not_checked_here","Сопоставить с проектом",IF(OR(H178="operational",H178="empty_success"),IF(AND(I178&lt;&gt;"",J178&lt;&gt;"",K178&lt;&gt;"",L178&lt;&gt;""),"Доказательства внесены","Дополнить дату / пример / охват"),IF(J178="","Назначить следующий срок","Исход и очередь записаны")))</x:f>
        <x:v>Сопоставить с проектом</x:v>
      </x:c>
    </x:row>
    <x:row r="179" ht="54" customHeight="1">
      <x:c r="A179" s="5" t="str">
        <x:v>CU-SRC-0174</x:v>
      </x:c>
      <x:c r="B179" s="5" t="str">
        <x:v>CU-0080</x:v>
      </x:c>
      <x:c r="C179" s="5" t="str">
        <x:v>https://www.acron.ru/about-acron-group/etp/</x:v>
      </x:c>
      <x:c r="D179" s="5" t="n">
        <x:v>3</x:v>
      </x:c>
      <x:c r="E17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F179" s="5" t="str">
        <x:v>Периодически проверять HTML, новые ссылки, документы и изменения; сохранять сырые материалы перед ранжированием</x:v>
      </x:c>
      <x:c r="G179" s="10"/>
      <x:c r="H179" s="10" t="str">
        <x:v>not_checked_here</x:v>
      </x:c>
      <x:c r="I179" s="11"/>
      <x:c r="J179" s="11"/>
      <x:c r="K179" s="10"/>
      <x:c r="L179" s="10"/>
      <x:c r="M179" s="10"/>
      <x:c r="N179" s="5" t="str">
        <x:f>IF(H179="not_checked_here","Сопоставить с проектом",IF(OR(H179="operational",H179="empty_success"),IF(AND(I179&lt;&gt;"",J179&lt;&gt;"",K179&lt;&gt;"",L179&lt;&gt;""),"Доказательства внесены","Дополнить дату / пример / охват"),IF(J179="","Назначить следующий срок","Исход и очередь записаны")))</x:f>
        <x:v>Сопоставить с проектом</x:v>
      </x:c>
    </x:row>
    <x:row r="180" ht="42.75" customHeight="1">
      <x:c r="A180" s="5" t="str">
        <x:v>CU-SRC-0175</x:v>
      </x:c>
      <x:c r="B180" s="5" t="str">
        <x:v>CU-0081</x:v>
      </x:c>
      <x:c r="C180" s="5" t="str">
        <x:v>https://sberuniversity.ru/</x:v>
      </x:c>
      <x:c r="D180" s="5" t="n">
        <x:v>1</x:v>
      </x:c>
      <x:c r="E180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80" s="5" t="str">
        <x:v>HTTP/HTML или текст PDF; проверка обновлений и переход к найденным официальным разделам. RSS/API не подтверждены.</x:v>
      </x:c>
      <x:c r="G180" s="10"/>
      <x:c r="H180" s="10" t="str">
        <x:v>not_checked_here</x:v>
      </x:c>
      <x:c r="I180" s="11"/>
      <x:c r="J180" s="11"/>
      <x:c r="K180" s="10"/>
      <x:c r="L180" s="10"/>
      <x:c r="M180" s="10"/>
      <x:c r="N180" s="5" t="str">
        <x:f>IF(H180="not_checked_here","Сопоставить с проектом",IF(OR(H180="operational",H180="empty_success"),IF(AND(I180&lt;&gt;"",J180&lt;&gt;"",K180&lt;&gt;"",L180&lt;&gt;""),"Доказательства внесены","Дополнить дату / пример / охват"),IF(J180="","Назначить следующий срок","Исход и очередь записаны")))</x:f>
        <x:v>Сопоставить с проектом</x:v>
      </x:c>
    </x:row>
    <x:row r="181" ht="42.75" customHeight="1">
      <x:c r="A181" s="5" t="str">
        <x:v>CU-SRC-0176</x:v>
      </x:c>
      <x:c r="B181" s="5" t="str">
        <x:v>CU-0081</x:v>
      </x:c>
      <x:c r="C181" s="5" t="str">
        <x:v>https://sberuniversity.ru/news/</x:v>
      </x:c>
      <x:c r="D181" s="5" t="n">
        <x:v>1</x:v>
      </x:c>
      <x:c r="E181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81" s="5" t="str">
        <x:v>Открытые HTML/JS после проверки доступа; сохранять документы, изменения и исходные ссылки.</x:v>
      </x:c>
      <x:c r="G181" s="10"/>
      <x:c r="H181" s="10" t="str">
        <x:v>not_checked_here</x:v>
      </x:c>
      <x:c r="I181" s="11"/>
      <x:c r="J181" s="11"/>
      <x:c r="K181" s="10"/>
      <x:c r="L181" s="10"/>
      <x:c r="M181" s="10"/>
      <x:c r="N181" s="5" t="str">
        <x:f>IF(H181="not_checked_here","Сопоставить с проектом",IF(OR(H181="operational",H181="empty_success"),IF(AND(I181&lt;&gt;"",J181&lt;&gt;"",K181&lt;&gt;"",L181&lt;&gt;""),"Доказательства внесены","Дополнить дату / пример / охват"),IF(J181="","Назначить следующий срок","Исход и очередь записаны")))</x:f>
        <x:v>Сопоставить с проектом</x:v>
      </x:c>
    </x:row>
    <x:row r="182" ht="42.75" customHeight="1">
      <x:c r="A182" s="5" t="str">
        <x:v>CU-SRC-0177</x:v>
      </x:c>
      <x:c r="B182" s="5" t="str">
        <x:v>CU-0082</x:v>
      </x:c>
      <x:c r="C182" s="5" t="str">
        <x:v>https://learn.vtb.ru/</x:v>
      </x:c>
      <x:c r="D182" s="5" t="n">
        <x:v>2</x:v>
      </x:c>
      <x:c r="E182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82" s="5" t="str">
        <x:v>HTTP/HTML или текст PDF; проверка обновлений и переход к найденным официальным разделам. RSS/API не подтверждены.</x:v>
      </x:c>
      <x:c r="G182" s="10"/>
      <x:c r="H182" s="10" t="str">
        <x:v>not_checked_here</x:v>
      </x:c>
      <x:c r="I182" s="11"/>
      <x:c r="J182" s="11"/>
      <x:c r="K182" s="10"/>
      <x:c r="L182" s="10"/>
      <x:c r="M182" s="10"/>
      <x:c r="N182" s="5" t="str">
        <x:f>IF(H182="not_checked_here","Сопоставить с проектом",IF(OR(H182="operational",H182="empty_success"),IF(AND(I182&lt;&gt;"",J182&lt;&gt;"",K182&lt;&gt;"",L182&lt;&gt;""),"Доказательства внесены","Дополнить дату / пример / охват"),IF(J182="","Назначить следующий срок","Исход и очередь записаны")))</x:f>
        <x:v>Сопоставить с проектом</x:v>
      </x:c>
    </x:row>
    <x:row r="183" ht="42.75" customHeight="1">
      <x:c r="A183" s="5" t="str">
        <x:v>CU-SRC-0178</x:v>
      </x:c>
      <x:c r="B183" s="5" t="str">
        <x:v>CU-0082</x:v>
      </x:c>
      <x:c r="C183" s="5" t="str">
        <x:v>https://academy.vtb.ru/course/catalog.php</x:v>
      </x:c>
      <x:c r="D183" s="5" t="n">
        <x:v>2</x:v>
      </x:c>
      <x:c r="E183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83" s="5" t="str">
        <x:v>Сохранять HTML/PDF и изменения; извлекать ссылки на карточки и документы. RSS/API не предполагаются.</x:v>
      </x:c>
      <x:c r="G183" s="10"/>
      <x:c r="H183" s="10" t="str">
        <x:v>not_checked_here</x:v>
      </x:c>
      <x:c r="I183" s="11"/>
      <x:c r="J183" s="11"/>
      <x:c r="K183" s="10"/>
      <x:c r="L183" s="10"/>
      <x:c r="M183" s="10"/>
      <x:c r="N183" s="5" t="str">
        <x:f>IF(H183="not_checked_here","Сопоставить с проектом",IF(OR(H183="operational",H183="empty_success"),IF(AND(I183&lt;&gt;"",J183&lt;&gt;"",K183&lt;&gt;"",L183&lt;&gt;""),"Доказательства внесены","Дополнить дату / пример / охват"),IF(J183="","Назначить следующий срок","Исход и очередь записаны")))</x:f>
        <x:v>Сопоставить с проектом</x:v>
      </x:c>
    </x:row>
    <x:row r="184" ht="42.75" customHeight="1">
      <x:c r="A184" s="5" t="str">
        <x:v>CU-SRC-0179</x:v>
      </x:c>
      <x:c r="B184" s="5" t="str">
        <x:v>CU-0082</x:v>
      </x:c>
      <x:c r="C184" s="5" t="str">
        <x:v>https://www.vtb.ru/malyj-biznes/servisy-v-pomoshch-biznesu/biznes-connect/</x:v>
      </x:c>
      <x:c r="D184" s="5" t="n">
        <x:v>2</x:v>
      </x:c>
      <x:c r="E184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84" s="5" t="str">
        <x:v>Сохранять HTML/PDF и изменения; извлекать ссылки на карточки и документы. RSS/API не предполагаются.</x:v>
      </x:c>
      <x:c r="G184" s="10"/>
      <x:c r="H184" s="10" t="str">
        <x:v>not_checked_here</x:v>
      </x:c>
      <x:c r="I184" s="11"/>
      <x:c r="J184" s="11"/>
      <x:c r="K184" s="10"/>
      <x:c r="L184" s="10"/>
      <x:c r="M184" s="10"/>
      <x:c r="N184" s="5" t="str">
        <x:f>IF(H184="not_checked_here","Сопоставить с проектом",IF(OR(H184="operational",H184="empty_success"),IF(AND(I184&lt;&gt;"",J184&lt;&gt;"",K184&lt;&gt;"",L184&lt;&gt;""),"Доказательства внесены","Дополнить дату / пример / охват"),IF(J184="","Назначить следующий срок","Исход и очередь записаны")))</x:f>
        <x:v>Сопоставить с проектом</x:v>
      </x:c>
    </x:row>
    <x:row r="185" ht="42.75" customHeight="1">
      <x:c r="A185" s="5" t="str">
        <x:v>CU-SRC-0180</x:v>
      </x:c>
      <x:c r="B185" s="5" t="str">
        <x:v>CU-0083</x:v>
      </x:c>
      <x:c r="C185" s="5" t="str">
        <x:v>https://alfabank.ru/about/sustainability/</x:v>
      </x:c>
      <x:c r="D185" s="5" t="n">
        <x:v>1</x:v>
      </x:c>
      <x:c r="E18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85" s="5" t="str">
        <x:v>HTTP/HTML или текст PDF; проверка обновлений и переход к найденным официальным разделам. RSS/API не подтверждены.</x:v>
      </x:c>
      <x:c r="G185" s="10"/>
      <x:c r="H185" s="10" t="str">
        <x:v>not_checked_here</x:v>
      </x:c>
      <x:c r="I185" s="11"/>
      <x:c r="J185" s="11"/>
      <x:c r="K185" s="10"/>
      <x:c r="L185" s="10"/>
      <x:c r="M185" s="10"/>
      <x:c r="N185" s="5" t="str">
        <x:f>IF(H185="not_checked_here","Сопоставить с проектом",IF(OR(H185="operational",H185="empty_success"),IF(AND(I185&lt;&gt;"",J185&lt;&gt;"",K185&lt;&gt;"",L185&lt;&gt;""),"Доказательства внесены","Дополнить дату / пример / охват"),IF(J185="","Назначить следующий срок","Исход и очередь записаны")))</x:f>
        <x:v>Сопоставить с проектом</x:v>
      </x:c>
    </x:row>
    <x:row r="186" ht="42.75" customHeight="1">
      <x:c r="A186" s="5" t="str">
        <x:v>CU-SRC-0181</x:v>
      </x:c>
      <x:c r="B186" s="5" t="str">
        <x:v>CU-0084</x:v>
      </x:c>
      <x:c r="C186" s="5" t="str">
        <x:v>https://www.rshb.ru/news/19042024-000003</x:v>
      </x:c>
      <x:c r="D186" s="5" t="n">
        <x:v>1</x:v>
      </x:c>
      <x:c r="E18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86" s="5" t="str">
        <x:v>HTTP/HTML или текст PDF; проверка обновлений и переход к найденным официальным разделам. RSS/API не подтверждены.</x:v>
      </x:c>
      <x:c r="G186" s="10"/>
      <x:c r="H186" s="10" t="str">
        <x:v>not_checked_here</x:v>
      </x:c>
      <x:c r="I186" s="11"/>
      <x:c r="J186" s="11"/>
      <x:c r="K186" s="10"/>
      <x:c r="L186" s="10"/>
      <x:c r="M186" s="10"/>
      <x:c r="N186" s="5" t="str">
        <x:f>IF(H186="not_checked_here","Сопоставить с проектом",IF(OR(H186="operational",H186="empty_success"),IF(AND(I186&lt;&gt;"",J186&lt;&gt;"",K186&lt;&gt;"",L186&lt;&gt;""),"Доказательства внесены","Дополнить дату / пример / охват"),IF(J186="","Назначить следующий срок","Исход и очередь записаны")))</x:f>
        <x:v>Сопоставить с проектом</x:v>
      </x:c>
    </x:row>
    <x:row r="187" ht="42.75" customHeight="1">
      <x:c r="A187" s="5" t="str">
        <x:v>CU-SRC-0182</x:v>
      </x:c>
      <x:c r="B187" s="5" t="str">
        <x:v>CU-0084</x:v>
      </x:c>
      <x:c r="C187" s="5" t="str">
        <x:v>https://www.rshb.ru/about/purchases</x:v>
      </x:c>
      <x:c r="D187" s="5" t="n">
        <x:v>1</x:v>
      </x:c>
      <x:c r="E18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87" s="5" t="str">
        <x:v>Сохранять HTML/PDF и изменения; извлекать ссылки на карточки и документы. RSS/API не предполагаются.</x:v>
      </x:c>
      <x:c r="G187" s="10"/>
      <x:c r="H187" s="10" t="str">
        <x:v>not_checked_here</x:v>
      </x:c>
      <x:c r="I187" s="11"/>
      <x:c r="J187" s="11"/>
      <x:c r="K187" s="10"/>
      <x:c r="L187" s="10"/>
      <x:c r="M187" s="10"/>
      <x:c r="N187" s="5" t="str">
        <x:f>IF(H187="not_checked_here","Сопоставить с проектом",IF(OR(H187="operational",H187="empty_success"),IF(AND(I187&lt;&gt;"",J187&lt;&gt;"",K187&lt;&gt;"",L187&lt;&gt;""),"Доказательства внесены","Дополнить дату / пример / охват"),IF(J187="","Назначить следующий срок","Исход и очередь записаны")))</x:f>
        <x:v>Сопоставить с проектом</x:v>
      </x:c>
    </x:row>
    <x:row r="188" ht="42.75" customHeight="1">
      <x:c r="A188" s="5" t="str">
        <x:v>CU-SRC-0183</x:v>
      </x:c>
      <x:c r="B188" s="5" t="str">
        <x:v>CU-0085</x:v>
      </x:c>
      <x:c r="C188" s="5" t="str">
        <x:v>https://www.psbank.ru/bank/academy</x:v>
      </x:c>
      <x:c r="D188" s="5" t="n">
        <x:v>2</x:v>
      </x:c>
      <x:c r="E188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88" s="5" t="str">
        <x:v>HTTP/HTML или текст PDF; проверка обновлений и переход к найденным официальным разделам. RSS/API не подтверждены.</x:v>
      </x:c>
      <x:c r="G188" s="10"/>
      <x:c r="H188" s="10" t="str">
        <x:v>not_checked_here</x:v>
      </x:c>
      <x:c r="I188" s="11"/>
      <x:c r="J188" s="11"/>
      <x:c r="K188" s="10"/>
      <x:c r="L188" s="10"/>
      <x:c r="M188" s="10"/>
      <x:c r="N188" s="5" t="str">
        <x:f>IF(H188="not_checked_here","Сопоставить с проектом",IF(OR(H188="operational",H188="empty_success"),IF(AND(I188&lt;&gt;"",J188&lt;&gt;"",K188&lt;&gt;"",L188&lt;&gt;""),"Доказательства внесены","Дополнить дату / пример / охват"),IF(J188="","Назначить следующий срок","Исход и очередь записаны")))</x:f>
        <x:v>Сопоставить с проектом</x:v>
      </x:c>
    </x:row>
    <x:row r="189" ht="42.75" customHeight="1">
      <x:c r="A189" s="5" t="str">
        <x:v>CU-SRC-0184</x:v>
      </x:c>
      <x:c r="B189" s="5" t="str">
        <x:v>CU-0086</x:v>
      </x:c>
      <x:c r="C189" s="5" t="str">
        <x:v>https://uralsib.ru/api/directory-engine/files/regulatory-objectives/riski_2015-05-29_lxnyyapa.pdf</x:v>
      </x:c>
      <x:c r="D189" s="5" t="n">
        <x:v>3</x:v>
      </x:c>
      <x:c r="E189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89" s="5" t="str">
        <x:v>HTTP/HTML или текст PDF; проверка обновлений и переход к найденным официальным разделам. RSS/API не подтверждены.</x:v>
      </x:c>
      <x:c r="G189" s="10"/>
      <x:c r="H189" s="10" t="str">
        <x:v>not_checked_here</x:v>
      </x:c>
      <x:c r="I189" s="11"/>
      <x:c r="J189" s="11"/>
      <x:c r="K189" s="10"/>
      <x:c r="L189" s="10"/>
      <x:c r="M189" s="10"/>
      <x:c r="N189" s="5" t="str">
        <x:f>IF(H189="not_checked_here","Сопоставить с проектом",IF(OR(H189="operational",H189="empty_success"),IF(AND(I189&lt;&gt;"",J189&lt;&gt;"",K189&lt;&gt;"",L189&lt;&gt;""),"Доказательства внесены","Дополнить дату / пример / охват"),IF(J189="","Назначить следующий срок","Исход и очередь записаны")))</x:f>
        <x:v>Сопоставить с проектом</x:v>
      </x:c>
    </x:row>
    <x:row r="190" ht="42.75" customHeight="1">
      <x:c r="A190" s="5" t="str">
        <x:v>CU-SRC-0185</x:v>
      </x:c>
      <x:c r="B190" s="5" t="str">
        <x:v>CU-0087</x:v>
      </x:c>
      <x:c r="C190" s="5" t="str">
        <x:v>https://sovcombank.ru/about/press-center/news/novosti-kompanii/gruppa-sovkombank-stala-laureatom-hr-premii-hrustalnaya-piramida--2024-srazu-v-tryoh-nominatsiyah</x:v>
      </x:c>
      <x:c r="D190" s="5" t="n">
        <x:v>1</x:v>
      </x:c>
      <x:c r="E190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90" s="5" t="str">
        <x:v>HTTP/HTML или текст PDF; проверка обновлений и переход к найденным официальным разделам. RSS/API не подтверждены.</x:v>
      </x:c>
      <x:c r="G190" s="10"/>
      <x:c r="H190" s="10" t="str">
        <x:v>not_checked_here</x:v>
      </x:c>
      <x:c r="I190" s="11"/>
      <x:c r="J190" s="11"/>
      <x:c r="K190" s="10"/>
      <x:c r="L190" s="10"/>
      <x:c r="M190" s="10"/>
      <x:c r="N190" s="5" t="str">
        <x:f>IF(H190="not_checked_here","Сопоставить с проектом",IF(OR(H190="operational",H190="empty_success"),IF(AND(I190&lt;&gt;"",J190&lt;&gt;"",K190&lt;&gt;"",L190&lt;&gt;""),"Доказательства внесены","Дополнить дату / пример / охват"),IF(J190="","Назначить следующий срок","Исход и очередь записаны")))</x:f>
        <x:v>Сопоставить с проектом</x:v>
      </x:c>
    </x:row>
    <x:row r="191" ht="42.75" customHeight="1">
      <x:c r="A191" s="5" t="str">
        <x:v>CU-SRC-0186</x:v>
      </x:c>
      <x:c r="B191" s="5" t="str">
        <x:v>CU-0088</x:v>
      </x:c>
      <x:c r="C191" s="5" t="str">
        <x:v>https://cdn.ingos.ru/docs/year-reports/igs-annual-report-2024_rus.pdf</x:v>
      </x:c>
      <x:c r="D191" s="5" t="n">
        <x:v>1</x:v>
      </x:c>
      <x:c r="E191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91" s="5" t="str">
        <x:v>HTTP/HTML или текст PDF; проверка обновлений и переход к найденным официальным разделам. RSS/API не подтверждены.</x:v>
      </x:c>
      <x:c r="G191" s="10"/>
      <x:c r="H191" s="10" t="str">
        <x:v>not_checked_here</x:v>
      </x:c>
      <x:c r="I191" s="11"/>
      <x:c r="J191" s="11"/>
      <x:c r="K191" s="10"/>
      <x:c r="L191" s="10"/>
      <x:c r="M191" s="10"/>
      <x:c r="N191" s="5" t="str">
        <x:f>IF(H191="not_checked_here","Сопоставить с проектом",IF(OR(H191="operational",H191="empty_success"),IF(AND(I191&lt;&gt;"",J191&lt;&gt;"",K191&lt;&gt;"",L191&lt;&gt;""),"Доказательства внесены","Дополнить дату / пример / охват"),IF(J191="","Назначить следующий срок","Исход и очередь записаны")))</x:f>
        <x:v>Сопоставить с проектом</x:v>
      </x:c>
    </x:row>
    <x:row r="192" ht="42.75" customHeight="1">
      <x:c r="A192" s="5" t="str">
        <x:v>CU-SRC-0187</x:v>
      </x:c>
      <x:c r="B192" s="5" t="str">
        <x:v>CU-0089</x:v>
      </x:c>
      <x:c r="C192" s="5" t="str">
        <x:v>https://my.rgs.ru/media/all_insurance/sbotnik_kaliningrad.pdf</x:v>
      </x:c>
      <x:c r="D192" s="5" t="n">
        <x:v>3</x:v>
      </x:c>
      <x:c r="E192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92" s="5" t="str">
        <x:v>HTTP/HTML или текст PDF; проверка обновлений и переход к найденным официальным разделам. RSS/API не подтверждены.</x:v>
      </x:c>
      <x:c r="G192" s="10"/>
      <x:c r="H192" s="10" t="str">
        <x:v>not_checked_here</x:v>
      </x:c>
      <x:c r="I192" s="11"/>
      <x:c r="J192" s="11"/>
      <x:c r="K192" s="10"/>
      <x:c r="L192" s="10"/>
      <x:c r="M192" s="10"/>
      <x:c r="N192" s="5" t="str">
        <x:f>IF(H192="not_checked_here","Сопоставить с проектом",IF(OR(H192="operational",H192="empty_success"),IF(AND(I192&lt;&gt;"",J192&lt;&gt;"",K192&lt;&gt;"",L192&lt;&gt;""),"Доказательства внесены","Дополнить дату / пример / охват"),IF(J192="","Назначить следующий срок","Исход и очередь записаны")))</x:f>
        <x:v>Сопоставить с проектом</x:v>
      </x:c>
    </x:row>
    <x:row r="193" ht="42.75" customHeight="1">
      <x:c r="A193" s="5" t="str">
        <x:v>CU-SRC-0188</x:v>
      </x:c>
      <x:c r="B193" s="5" t="str">
        <x:v>CU-0089</x:v>
      </x:c>
      <x:c r="C193" s="5" t="str">
        <x:v>https://www.rgs.ru/about/news/rosgosstrakh-sokratil-razrabotku-uchebnykh-kursov-dlya-sotrudnikov-vtroe-s-pomoshchyu-ii-</x:v>
      </x:c>
      <x:c r="D193" s="5" t="n">
        <x:v>3</x:v>
      </x:c>
      <x:c r="E193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93" s="5" t="str">
        <x:v>Сохранять HTML/PDF и изменения; извлекать ссылки на карточки и документы. RSS/API не предполагаются.</x:v>
      </x:c>
      <x:c r="G193" s="10"/>
      <x:c r="H193" s="10" t="str">
        <x:v>not_checked_here</x:v>
      </x:c>
      <x:c r="I193" s="11"/>
      <x:c r="J193" s="11"/>
      <x:c r="K193" s="10"/>
      <x:c r="L193" s="10"/>
      <x:c r="M193" s="10"/>
      <x:c r="N193" s="5" t="str">
        <x:f>IF(H193="not_checked_here","Сопоставить с проектом",IF(OR(H193="operational",H193="empty_success"),IF(AND(I193&lt;&gt;"",J193&lt;&gt;"",K193&lt;&gt;"",L193&lt;&gt;""),"Доказательства внесены","Дополнить дату / пример / охват"),IF(J193="","Назначить следующий срок","Исход и очередь записаны")))</x:f>
        <x:v>Сопоставить с проектом</x:v>
      </x:c>
    </x:row>
    <x:row r="194" ht="42.75" customHeight="1">
      <x:c r="A194" s="5" t="str">
        <x:v>CU-SRC-0189</x:v>
      </x:c>
      <x:c r="B194" s="5" t="str">
        <x:v>CU-0090</x:v>
      </x:c>
      <x:c r="C194" s="5" t="str">
        <x:v>https://www.alfastrah.ru/company/history/</x:v>
      </x:c>
      <x:c r="D194" s="5" t="n">
        <x:v>1</x:v>
      </x:c>
      <x:c r="E194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94" s="5" t="str">
        <x:v>HTTP/HTML или текст PDF; проверка обновлений и переход к найденным официальным разделам. RSS/API не подтверждены.</x:v>
      </x:c>
      <x:c r="G194" s="10"/>
      <x:c r="H194" s="10" t="str">
        <x:v>not_checked_here</x:v>
      </x:c>
      <x:c r="I194" s="11"/>
      <x:c r="J194" s="11"/>
      <x:c r="K194" s="10"/>
      <x:c r="L194" s="10"/>
      <x:c r="M194" s="10"/>
      <x:c r="N194" s="5" t="str">
        <x:f>IF(H194="not_checked_here","Сопоставить с проектом",IF(OR(H194="operational",H194="empty_success"),IF(AND(I194&lt;&gt;"",J194&lt;&gt;"",K194&lt;&gt;"",L194&lt;&gt;""),"Доказательства внесены","Дополнить дату / пример / охват"),IF(J194="","Назначить следующий срок","Исход и очередь записаны")))</x:f>
        <x:v>Сопоставить с проектом</x:v>
      </x:c>
    </x:row>
    <x:row r="195" ht="42.75" customHeight="1">
      <x:c r="A195" s="5" t="str">
        <x:v>CU-SRC-0190</x:v>
      </x:c>
      <x:c r="B195" s="5" t="str">
        <x:v>CU-0091</x:v>
      </x:c>
      <x:c r="C195" s="5" t="str">
        <x:v>https://reso.ru/agent-job/</x:v>
      </x:c>
      <x:c r="D195" s="5" t="n">
        <x:v>2</x:v>
      </x:c>
      <x:c r="E19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95" s="5" t="str">
        <x:v>HTTP/HTML или текст PDF; проверка обновлений и переход к найденным официальным разделам. RSS/API не подтверждены.</x:v>
      </x:c>
      <x:c r="G195" s="10"/>
      <x:c r="H195" s="10" t="str">
        <x:v>not_checked_here</x:v>
      </x:c>
      <x:c r="I195" s="11"/>
      <x:c r="J195" s="11"/>
      <x:c r="K195" s="10"/>
      <x:c r="L195" s="10"/>
      <x:c r="M195" s="10"/>
      <x:c r="N195" s="5" t="str">
        <x:f>IF(H195="not_checked_here","Сопоставить с проектом",IF(OR(H195="operational",H195="empty_success"),IF(AND(I195&lt;&gt;"",J195&lt;&gt;"",K195&lt;&gt;"",L195&lt;&gt;""),"Доказательства внесены","Дополнить дату / пример / охват"),IF(J195="","Назначить следующий срок","Исход и очередь записаны")))</x:f>
        <x:v>Сопоставить с проектом</x:v>
      </x:c>
    </x:row>
    <x:row r="196" ht="42.75" customHeight="1">
      <x:c r="A196" s="5" t="str">
        <x:v>CU-SRC-0191</x:v>
      </x:c>
      <x:c r="B196" s="5" t="str">
        <x:v>CU-0091</x:v>
      </x:c>
      <x:c r="C196" s="5" t="str">
        <x:v>https://reso.ru/about/tenders/</x:v>
      </x:c>
      <x:c r="D196" s="5" t="n">
        <x:v>2</x:v>
      </x:c>
      <x:c r="E19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96" s="5" t="str">
        <x:v>Сохранять HTML/PDF и изменения; извлекать ссылки на карточки и документы. RSS/API не предполагаются.</x:v>
      </x:c>
      <x:c r="G196" s="10"/>
      <x:c r="H196" s="10" t="str">
        <x:v>not_checked_here</x:v>
      </x:c>
      <x:c r="I196" s="11"/>
      <x:c r="J196" s="11"/>
      <x:c r="K196" s="10"/>
      <x:c r="L196" s="10"/>
      <x:c r="M196" s="10"/>
      <x:c r="N196" s="5" t="str">
        <x:f>IF(H196="not_checked_here","Сопоставить с проектом",IF(OR(H196="operational",H196="empty_success"),IF(AND(I196&lt;&gt;"",J196&lt;&gt;"",K196&lt;&gt;"",L196&lt;&gt;""),"Доказательства внесены","Дополнить дату / пример / охват"),IF(J196="","Назначить следующий срок","Исход и очередь записаны")))</x:f>
        <x:v>Сопоставить с проектом</x:v>
      </x:c>
    </x:row>
    <x:row r="197" ht="42.75" customHeight="1">
      <x:c r="A197" s="5" t="str">
        <x:v>CU-SRC-0192</x:v>
      </x:c>
      <x:c r="B197" s="5" t="str">
        <x:v>CU-0092</x:v>
      </x:c>
      <x:c r="C197" s="5" t="str">
        <x:v>https://www.cbr.ru/about_br/bankstructute/ubr/</x:v>
      </x:c>
      <x:c r="D197" s="5" t="n">
        <x:v>1</x:v>
      </x:c>
      <x:c r="E19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97" s="5" t="str">
        <x:v>HTTP/HTML или текст PDF; проверка обновлений и переход к найденным официальным разделам. RSS/API не подтверждены.</x:v>
      </x:c>
      <x:c r="G197" s="10"/>
      <x:c r="H197" s="10" t="str">
        <x:v>not_checked_here</x:v>
      </x:c>
      <x:c r="I197" s="11"/>
      <x:c r="J197" s="11"/>
      <x:c r="K197" s="10"/>
      <x:c r="L197" s="10"/>
      <x:c r="M197" s="10"/>
      <x:c r="N197" s="5" t="str">
        <x:f>IF(H197="not_checked_here","Сопоставить с проектом",IF(OR(H197="operational",H197="empty_success"),IF(AND(I197&lt;&gt;"",J197&lt;&gt;"",K197&lt;&gt;"",L197&lt;&gt;""),"Доказательства внесены","Дополнить дату / пример / охват"),IF(J197="","Назначить следующий срок","Исход и очередь записаны")))</x:f>
        <x:v>Сопоставить с проектом</x:v>
      </x:c>
    </x:row>
    <x:row r="198" ht="42.75" customHeight="1">
      <x:c r="A198" s="5" t="str">
        <x:v>CU-SRC-0193</x:v>
      </x:c>
      <x:c r="B198" s="5" t="str">
        <x:v>CU-0092</x:v>
      </x:c>
      <x:c r="C198" s="5" t="str">
        <x:v>https://finclass.info/</x:v>
      </x:c>
      <x:c r="D198" s="5" t="n">
        <x:v>1</x:v>
      </x:c>
      <x:c r="E198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98" s="5" t="str">
        <x:v>Сохранять HTML/PDF и изменения; извлекать ссылки на карточки и документы. RSS/API не предполагаются.</x:v>
      </x:c>
      <x:c r="G198" s="10"/>
      <x:c r="H198" s="10" t="str">
        <x:v>not_checked_here</x:v>
      </x:c>
      <x:c r="I198" s="11"/>
      <x:c r="J198" s="11"/>
      <x:c r="K198" s="10"/>
      <x:c r="L198" s="10"/>
      <x:c r="M198" s="10"/>
      <x:c r="N198" s="5" t="str">
        <x:f>IF(H198="not_checked_here","Сопоставить с проектом",IF(OR(H198="operational",H198="empty_success"),IF(AND(I198&lt;&gt;"",J198&lt;&gt;"",K198&lt;&gt;"",L198&lt;&gt;""),"Доказательства внесены","Дополнить дату / пример / охват"),IF(J198="","Назначить следующий срок","Исход и очередь записаны")))</x:f>
        <x:v>Сопоставить с проектом</x:v>
      </x:c>
    </x:row>
    <x:row r="199" ht="42.75" customHeight="1">
      <x:c r="A199" s="5" t="str">
        <x:v>CU-SRC-0194</x:v>
      </x:c>
      <x:c r="B199" s="5" t="str">
        <x:v>CU-0093</x:v>
      </x:c>
      <x:c r="C199" s="5" t="str">
        <x:v>https://support.mts.ru/korporativnyyuniversitet</x:v>
      </x:c>
      <x:c r="D199" s="5" t="n">
        <x:v>1</x:v>
      </x:c>
      <x:c r="E199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199" s="5" t="str">
        <x:v>HTTP/HTML или текст PDF; проверка обновлений и переход к найденным официальным разделам. RSS/API не подтверждены.</x:v>
      </x:c>
      <x:c r="G199" s="10"/>
      <x:c r="H199" s="10" t="str">
        <x:v>not_checked_here</x:v>
      </x:c>
      <x:c r="I199" s="11"/>
      <x:c r="J199" s="11"/>
      <x:c r="K199" s="10"/>
      <x:c r="L199" s="10"/>
      <x:c r="M199" s="10"/>
      <x:c r="N199" s="5" t="str">
        <x:f>IF(H199="not_checked_here","Сопоставить с проектом",IF(OR(H199="operational",H199="empty_success"),IF(AND(I199&lt;&gt;"",J199&lt;&gt;"",K199&lt;&gt;"",L199&lt;&gt;""),"Доказательства внесены","Дополнить дату / пример / охват"),IF(J199="","Назначить следующий срок","Исход и очередь записаны")))</x:f>
        <x:v>Сопоставить с проектом</x:v>
      </x:c>
    </x:row>
    <x:row r="200" ht="42.75" customHeight="1">
      <x:c r="A200" s="5" t="str">
        <x:v>CU-SRC-0195</x:v>
      </x:c>
      <x:c r="B200" s="5" t="str">
        <x:v>CU-0093</x:v>
      </x:c>
      <x:c r="C200" s="5" t="str">
        <x:v>https://moskva.mts.ru/about/media-centr/soobshheniya-kompanii/novosti-mts-v-rossii-i-mire/2022-10-04/mts-stala-laureatom-premii-hr-brend</x:v>
      </x:c>
      <x:c r="D200" s="5" t="n">
        <x:v>1</x:v>
      </x:c>
      <x:c r="E200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00" s="5" t="str">
        <x:v>Сохранять HTML/PDF и изменения; извлекать ссылки на карточки и документы. RSS/API не предполагаются.</x:v>
      </x:c>
      <x:c r="G200" s="10"/>
      <x:c r="H200" s="10" t="str">
        <x:v>not_checked_here</x:v>
      </x:c>
      <x:c r="I200" s="11"/>
      <x:c r="J200" s="11"/>
      <x:c r="K200" s="10"/>
      <x:c r="L200" s="10"/>
      <x:c r="M200" s="10"/>
      <x:c r="N200" s="5" t="str">
        <x:f>IF(H200="not_checked_here","Сопоставить с проектом",IF(OR(H200="operational",H200="empty_success"),IF(AND(I200&lt;&gt;"",J200&lt;&gt;"",K200&lt;&gt;"",L200&lt;&gt;""),"Доказательства внесены","Дополнить дату / пример / охват"),IF(J200="","Назначить следующий срок","Исход и очередь записаны")))</x:f>
        <x:v>Сопоставить с проектом</x:v>
      </x:c>
    </x:row>
    <x:row r="201" ht="42.75" customHeight="1">
      <x:c r="A201" s="5" t="str">
        <x:v>CU-SRC-0196</x:v>
      </x:c>
      <x:c r="B201" s="5" t="str">
        <x:v>CU-0093</x:v>
      </x:c>
      <x:c r="C201" s="5" t="str">
        <x:v>https://education.mts.ru/</x:v>
      </x:c>
      <x:c r="D201" s="5" t="n">
        <x:v>1</x:v>
      </x:c>
      <x:c r="E201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01" s="5" t="str">
        <x:v>Открытые HTML/JS после проверки доступа; сохранять документы, изменения и исходные ссылки.</x:v>
      </x:c>
      <x:c r="G201" s="10"/>
      <x:c r="H201" s="10" t="str">
        <x:v>not_checked_here</x:v>
      </x:c>
      <x:c r="I201" s="11"/>
      <x:c r="J201" s="11"/>
      <x:c r="K201" s="10"/>
      <x:c r="L201" s="10"/>
      <x:c r="M201" s="10"/>
      <x:c r="N201" s="5" t="str">
        <x:f>IF(H201="not_checked_here","Сопоставить с проектом",IF(OR(H201="operational",H201="empty_success"),IF(AND(I201&lt;&gt;"",J201&lt;&gt;"",K201&lt;&gt;"",L201&lt;&gt;""),"Доказательства внесены","Дополнить дату / пример / охват"),IF(J201="","Назначить следующий срок","Исход и очередь записаны")))</x:f>
        <x:v>Сопоставить с проектом</x:v>
      </x:c>
    </x:row>
    <x:row r="202" ht="42.75" customHeight="1">
      <x:c r="A202" s="5" t="str">
        <x:v>CU-SRC-0197</x:v>
      </x:c>
      <x:c r="B202" s="5" t="str">
        <x:v>CU-0094</x:v>
      </x:c>
      <x:c r="C202" s="5" t="str">
        <x:v>https://beelinenow.ru/articles/klassika-i-sovremennost-25-let-bilayn-universitetu/</x:v>
      </x:c>
      <x:c r="D202" s="5" t="n">
        <x:v>1</x:v>
      </x:c>
      <x:c r="E202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02" s="5" t="str">
        <x:v>HTTP/HTML или текст PDF; проверка обновлений и переход к найденным официальным разделам. RSS/API не подтверждены.</x:v>
      </x:c>
      <x:c r="G202" s="10"/>
      <x:c r="H202" s="10" t="str">
        <x:v>not_checked_here</x:v>
      </x:c>
      <x:c r="I202" s="11"/>
      <x:c r="J202" s="11"/>
      <x:c r="K202" s="10"/>
      <x:c r="L202" s="10"/>
      <x:c r="M202" s="10"/>
      <x:c r="N202" s="5" t="str">
        <x:f>IF(H202="not_checked_here","Сопоставить с проектом",IF(OR(H202="operational",H202="empty_success"),IF(AND(I202&lt;&gt;"",J202&lt;&gt;"",K202&lt;&gt;"",L202&lt;&gt;""),"Доказательства внесены","Дополнить дату / пример / охват"),IF(J202="","Назначить следующий срок","Исход и очередь записаны")))</x:f>
        <x:v>Сопоставить с проектом</x:v>
      </x:c>
    </x:row>
    <x:row r="203" ht="42.75" customHeight="1">
      <x:c r="A203" s="5" t="str">
        <x:v>CU-SRC-0198</x:v>
      </x:c>
      <x:c r="B203" s="5" t="str">
        <x:v>CU-0095</x:v>
      </x:c>
      <x:c r="C203" s="5" t="str">
        <x:v>https://www.company.rt.ru/social/staff/</x:v>
      </x:c>
      <x:c r="D203" s="5" t="n">
        <x:v>1</x:v>
      </x:c>
      <x:c r="E203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03" s="5" t="str">
        <x:v>HTTP/HTML или текст PDF; проверка обновлений и переход к найденным официальным разделам. RSS/API не подтверждены.</x:v>
      </x:c>
      <x:c r="G203" s="10"/>
      <x:c r="H203" s="10" t="str">
        <x:v>not_checked_here</x:v>
      </x:c>
      <x:c r="I203" s="11"/>
      <x:c r="J203" s="11"/>
      <x:c r="K203" s="10"/>
      <x:c r="L203" s="10"/>
      <x:c r="M203" s="10"/>
      <x:c r="N203" s="5" t="str">
        <x:f>IF(H203="not_checked_here","Сопоставить с проектом",IF(OR(H203="operational",H203="empty_success"),IF(AND(I203&lt;&gt;"",J203&lt;&gt;"",K203&lt;&gt;"",L203&lt;&gt;""),"Доказательства внесены","Дополнить дату / пример / охват"),IF(J203="","Назначить следующий срок","Исход и очередь записаны")))</x:f>
        <x:v>Сопоставить с проектом</x:v>
      </x:c>
    </x:row>
    <x:row r="204" ht="42.75" customHeight="1">
      <x:c r="A204" s="5" t="str">
        <x:v>CU-SRC-0199</x:v>
      </x:c>
      <x:c r="B204" s="5" t="str">
        <x:v>CU-0096</x:v>
      </x:c>
      <x:c r="C204" s="5" t="str">
        <x:v>https://corp.megafon.ru/download/~federal/corp/investoram/report/year_reports/megafon_ar2019_rus.pdf</x:v>
      </x:c>
      <x:c r="D204" s="5" t="n">
        <x:v>2</x:v>
      </x:c>
      <x:c r="E204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04" s="5" t="str">
        <x:v>HTTP/HTML или текст PDF; проверка обновлений и переход к найденным официальным разделам. RSS/API не подтверждены.</x:v>
      </x:c>
      <x:c r="G204" s="10"/>
      <x:c r="H204" s="10" t="str">
        <x:v>not_checked_here</x:v>
      </x:c>
      <x:c r="I204" s="11"/>
      <x:c r="J204" s="11"/>
      <x:c r="K204" s="10"/>
      <x:c r="L204" s="10"/>
      <x:c r="M204" s="10"/>
      <x:c r="N204" s="5" t="str">
        <x:f>IF(H204="not_checked_here","Сопоставить с проектом",IF(OR(H204="operational",H204="empty_success"),IF(AND(I204&lt;&gt;"",J204&lt;&gt;"",K204&lt;&gt;"",L204&lt;&gt;""),"Доказательства внесены","Дополнить дату / пример / охват"),IF(J204="","Назначить следующий срок","Исход и очередь записаны")))</x:f>
        <x:v>Сопоставить с проектом</x:v>
      </x:c>
    </x:row>
    <x:row r="205" ht="42.75" customHeight="1">
      <x:c r="A205" s="5" t="str">
        <x:v>CU-SRC-0200</x:v>
      </x:c>
      <x:c r="B205" s="5" t="str">
        <x:v>CU-0096</x:v>
      </x:c>
      <x:c r="C205" s="5" t="str">
        <x:v>https://tng.megafon.ru/page94393376.html</x:v>
      </x:c>
      <x:c r="D205" s="5" t="n">
        <x:v>2</x:v>
      </x:c>
      <x:c r="E20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05" s="5" t="str">
        <x:v>Сохранять HTML/PDF и изменения; извлекать ссылки на карточки и документы. RSS/API не предполагаются.</x:v>
      </x:c>
      <x:c r="G205" s="10"/>
      <x:c r="H205" s="10" t="str">
        <x:v>not_checked_here</x:v>
      </x:c>
      <x:c r="I205" s="11"/>
      <x:c r="J205" s="11"/>
      <x:c r="K205" s="10"/>
      <x:c r="L205" s="10"/>
      <x:c r="M205" s="10"/>
      <x:c r="N205" s="5" t="str">
        <x:f>IF(H205="not_checked_here","Сопоставить с проектом",IF(OR(H205="operational",H205="empty_success"),IF(AND(I205&lt;&gt;"",J205&lt;&gt;"",K205&lt;&gt;"",L205&lt;&gt;""),"Доказательства внесены","Дополнить дату / пример / охват"),IF(J205="","Назначить следующий срок","Исход и очередь записаны")))</x:f>
        <x:v>Сопоставить с проектом</x:v>
      </x:c>
    </x:row>
    <x:row r="206" ht="42.75" customHeight="1">
      <x:c r="A206" s="5" t="str">
        <x:v>CU-SRC-0201</x:v>
      </x:c>
      <x:c r="B206" s="5" t="str">
        <x:v>CU-0097</x:v>
      </x:c>
      <x:c r="C206" s="5" t="str">
        <x:v>https://www.x5.ru/ru/news/x5-zapuskaet-korporativnyj-universitet/</x:v>
      </x:c>
      <x:c r="D206" s="5" t="n">
        <x:v>1</x:v>
      </x:c>
      <x:c r="E20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06" s="5" t="str">
        <x:v>HTTP/HTML или текст PDF; проверка обновлений и переход к найденным официальным разделам. RSS/API не подтверждены.</x:v>
      </x:c>
      <x:c r="G206" s="10"/>
      <x:c r="H206" s="10" t="str">
        <x:v>not_checked_here</x:v>
      </x:c>
      <x:c r="I206" s="11"/>
      <x:c r="J206" s="11"/>
      <x:c r="K206" s="10"/>
      <x:c r="L206" s="10"/>
      <x:c r="M206" s="10"/>
      <x:c r="N206" s="5" t="str">
        <x:f>IF(H206="not_checked_here","Сопоставить с проектом",IF(OR(H206="operational",H206="empty_success"),IF(AND(I206&lt;&gt;"",J206&lt;&gt;"",K206&lt;&gt;"",L206&lt;&gt;""),"Доказательства внесены","Дополнить дату / пример / охват"),IF(J206="","Назначить следующий срок","Исход и очередь записаны")))</x:f>
        <x:v>Сопоставить с проектом</x:v>
      </x:c>
    </x:row>
    <x:row r="207" ht="42.75" customHeight="1">
      <x:c r="A207" s="5" t="str">
        <x:v>CU-SRC-0202</x:v>
      </x:c>
      <x:c r="B207" s="5" t="str">
        <x:v>CU-0097</x:v>
      </x:c>
      <x:c r="C207" s="5" t="str">
        <x:v>https://www.x5.ru/ru/partners/purchases-for-own-needs/</x:v>
      </x:c>
      <x:c r="D207" s="5" t="n">
        <x:v>1</x:v>
      </x:c>
      <x:c r="E20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07" s="5" t="str">
        <x:v>Сохранять HTML/PDF и изменения; извлекать ссылки на карточки и документы. RSS/API не предполагаются.</x:v>
      </x:c>
      <x:c r="G207" s="10"/>
      <x:c r="H207" s="10" t="str">
        <x:v>not_checked_here</x:v>
      </x:c>
      <x:c r="I207" s="11"/>
      <x:c r="J207" s="11"/>
      <x:c r="K207" s="10"/>
      <x:c r="L207" s="10"/>
      <x:c r="M207" s="10"/>
      <x:c r="N207" s="5" t="str">
        <x:f>IF(H207="not_checked_here","Сопоставить с проектом",IF(OR(H207="operational",H207="empty_success"),IF(AND(I207&lt;&gt;"",J207&lt;&gt;"",K207&lt;&gt;"",L207&lt;&gt;""),"Доказательства внесены","Дополнить дату / пример / охват"),IF(J207="","Назначить следующий срок","Исход и очередь записаны")))</x:f>
        <x:v>Сопоставить с проектом</x:v>
      </x:c>
    </x:row>
    <x:row r="208" ht="42.75" customHeight="1">
      <x:c r="A208" s="5" t="str">
        <x:v>CU-SRC-0203</x:v>
      </x:c>
      <x:c r="B208" s="5" t="str">
        <x:v>CU-0097</x:v>
      </x:c>
      <x:c r="C208" s="5" t="str">
        <x:v>https://www.x5.ru/ru/suppliers/noncommercial-purchase/</x:v>
      </x:c>
      <x:c r="D208" s="5" t="n">
        <x:v>1</x:v>
      </x:c>
      <x:c r="E208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08" s="5" t="str">
        <x:v>Сохранять HTML/PDF и изменения; извлекать ссылки на карточки и документы. RSS/API не предполагаются.</x:v>
      </x:c>
      <x:c r="G208" s="10"/>
      <x:c r="H208" s="10" t="str">
        <x:v>not_checked_here</x:v>
      </x:c>
      <x:c r="I208" s="11"/>
      <x:c r="J208" s="11"/>
      <x:c r="K208" s="10"/>
      <x:c r="L208" s="10"/>
      <x:c r="M208" s="10"/>
      <x:c r="N208" s="5" t="str">
        <x:f>IF(H208="not_checked_here","Сопоставить с проектом",IF(OR(H208="operational",H208="empty_success"),IF(AND(I208&lt;&gt;"",J208&lt;&gt;"",K208&lt;&gt;"",L208&lt;&gt;""),"Доказательства внесены","Дополнить дату / пример / охват"),IF(J208="","Назначить следующий срок","Исход и очередь записаны")))</x:f>
        <x:v>Сопоставить с проектом</x:v>
      </x:c>
    </x:row>
    <x:row r="209" ht="42.75" customHeight="1">
      <x:c r="A209" s="5" t="str">
        <x:v>CU-SRC-0204</x:v>
      </x:c>
      <x:c r="B209" s="5" t="str">
        <x:v>CU-0098</x:v>
      </x:c>
      <x:c r="C209" s="5" t="str">
        <x:v>https://sr2022.magnit.com/ru/our-employees/recruitment-training/training-development</x:v>
      </x:c>
      <x:c r="D209" s="5" t="n">
        <x:v>2</x:v>
      </x:c>
      <x:c r="E209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09" s="5" t="str">
        <x:v>HTTP/HTML или текст PDF; проверка обновлений и переход к найденным официальным разделам. RSS/API не подтверждены.</x:v>
      </x:c>
      <x:c r="G209" s="10"/>
      <x:c r="H209" s="10" t="str">
        <x:v>not_checked_here</x:v>
      </x:c>
      <x:c r="I209" s="11"/>
      <x:c r="J209" s="11"/>
      <x:c r="K209" s="10"/>
      <x:c r="L209" s="10"/>
      <x:c r="M209" s="10"/>
      <x:c r="N209" s="5" t="str">
        <x:f>IF(H209="not_checked_here","Сопоставить с проектом",IF(OR(H209="operational",H209="empty_success"),IF(AND(I209&lt;&gt;"",J209&lt;&gt;"",K209&lt;&gt;"",L209&lt;&gt;""),"Доказательства внесены","Дополнить дату / пример / охват"),IF(J209="","Назначить следующий срок","Исход и очередь записаны")))</x:f>
        <x:v>Сопоставить с проектом</x:v>
      </x:c>
    </x:row>
    <x:row r="210" ht="42.75" customHeight="1">
      <x:c r="A210" s="5" t="str">
        <x:v>CU-SRC-0205</x:v>
      </x:c>
      <x:c r="B210" s="5" t="str">
        <x:v>CU-0099</x:v>
      </x:c>
      <x:c r="C210" s="5" t="str">
        <x:v>https://www.lentagroup.ru/ru/media/news-and-press-releases/bolee-98-sotrudnikov-monetki-polozhitelno-otsenivayut-obuchenie-v-korporativnom-universitete/</x:v>
      </x:c>
      <x:c r="D210" s="5" t="n">
        <x:v>1</x:v>
      </x:c>
      <x:c r="E210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10" s="5" t="str">
        <x:v>HTTP/HTML или текст PDF; проверка обновлений и переход к найденным официальным разделам. RSS/API не подтверждены.</x:v>
      </x:c>
      <x:c r="G210" s="10"/>
      <x:c r="H210" s="10" t="str">
        <x:v>not_checked_here</x:v>
      </x:c>
      <x:c r="I210" s="11"/>
      <x:c r="J210" s="11"/>
      <x:c r="K210" s="10"/>
      <x:c r="L210" s="10"/>
      <x:c r="M210" s="10"/>
      <x:c r="N210" s="5" t="str">
        <x:f>IF(H210="not_checked_here","Сопоставить с проектом",IF(OR(H210="operational",H210="empty_success"),IF(AND(I210&lt;&gt;"",J210&lt;&gt;"",K210&lt;&gt;"",L210&lt;&gt;""),"Доказательства внесены","Дополнить дату / пример / охват"),IF(J210="","Назначить следующий срок","Исход и очередь записаны")))</x:f>
        <x:v>Сопоставить с проектом</x:v>
      </x:c>
    </x:row>
    <x:row r="211" ht="42.75" customHeight="1">
      <x:c r="A211" s="5" t="str">
        <x:v>CU-SRC-0206</x:v>
      </x:c>
      <x:c r="B211" s="5" t="str">
        <x:v>CU-0100</x:v>
      </x:c>
      <x:c r="C211" s="5" t="str">
        <x:v>https://mvideoeldorado.ru/en/press-center/press-releases/detail/2420</x:v>
      </x:c>
      <x:c r="D211" s="5" t="n">
        <x:v>2</x:v>
      </x:c>
      <x:c r="E211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11" s="5" t="str">
        <x:v>HTTP/HTML или текст PDF; проверка обновлений и переход к найденным официальным разделам. RSS/API не подтверждены.</x:v>
      </x:c>
      <x:c r="G211" s="10"/>
      <x:c r="H211" s="10" t="str">
        <x:v>not_checked_here</x:v>
      </x:c>
      <x:c r="I211" s="11"/>
      <x:c r="J211" s="11"/>
      <x:c r="K211" s="10"/>
      <x:c r="L211" s="10"/>
      <x:c r="M211" s="10"/>
      <x:c r="N211" s="5" t="str">
        <x:f>IF(H211="not_checked_here","Сопоставить с проектом",IF(OR(H211="operational",H211="empty_success"),IF(AND(I211&lt;&gt;"",J211&lt;&gt;"",K211&lt;&gt;"",L211&lt;&gt;""),"Доказательства внесены","Дополнить дату / пример / охват"),IF(J211="","Назначить следующий срок","Исход и очередь записаны")))</x:f>
        <x:v>Сопоставить с проектом</x:v>
      </x:c>
    </x:row>
    <x:row r="212" ht="42.75" customHeight="1">
      <x:c r="A212" s="5" t="str">
        <x:v>CU-SRC-0207</x:v>
      </x:c>
      <x:c r="B212" s="5" t="str">
        <x:v>CU-0100</x:v>
      </x:c>
      <x:c r="C212" s="5" t="str">
        <x:v>https://www.mvideoeldorado.ru/fileadmin/user_upload/annual_reports/ru/2025/Mvideo_AR2025_Book_RUS_public.pdf</x:v>
      </x:c>
      <x:c r="D212" s="5" t="n">
        <x:v>2</x:v>
      </x:c>
      <x:c r="E212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12" s="5" t="str">
        <x:v>Сохранять HTML/PDF и изменения; извлекать ссылки на карточки и документы. RSS/API не предполагаются.</x:v>
      </x:c>
      <x:c r="G212" s="10"/>
      <x:c r="H212" s="10" t="str">
        <x:v>not_checked_here</x:v>
      </x:c>
      <x:c r="I212" s="11"/>
      <x:c r="J212" s="11"/>
      <x:c r="K212" s="10"/>
      <x:c r="L212" s="10"/>
      <x:c r="M212" s="10"/>
      <x:c r="N212" s="5" t="str">
        <x:f>IF(H212="not_checked_here","Сопоставить с проектом",IF(OR(H212="operational",H212="empty_success"),IF(AND(I212&lt;&gt;"",J212&lt;&gt;"",K212&lt;&gt;"",L212&lt;&gt;""),"Доказательства внесены","Дополнить дату / пример / охват"),IF(J212="","Назначить следующий срок","Исход и очередь записаны")))</x:f>
        <x:v>Сопоставить с проектом</x:v>
      </x:c>
    </x:row>
    <x:row r="213" ht="42.75" customHeight="1">
      <x:c r="A213" s="5" t="str">
        <x:v>CU-SRC-0208</x:v>
      </x:c>
      <x:c r="B213" s="5" t="str">
        <x:v>CU-0101</x:v>
      </x:c>
      <x:c r="C213" s="5" t="str">
        <x:v>https://ibs.ru/media/ibs-integriruet-svoi-obrazovatelnye-struktury-v-korporativnyy-universitet/</x:v>
      </x:c>
      <x:c r="D213" s="5" t="n">
        <x:v>3</x:v>
      </x:c>
      <x:c r="E213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13" s="5" t="str">
        <x:v>HTTP/HTML или текст PDF; проверка обновлений и переход к найденным официальным разделам. RSS/API не подтверждены.</x:v>
      </x:c>
      <x:c r="G213" s="10"/>
      <x:c r="H213" s="10" t="str">
        <x:v>not_checked_here</x:v>
      </x:c>
      <x:c r="I213" s="11"/>
      <x:c r="J213" s="11"/>
      <x:c r="K213" s="10"/>
      <x:c r="L213" s="10"/>
      <x:c r="M213" s="10"/>
      <x:c r="N213" s="5" t="str">
        <x:f>IF(H213="not_checked_here","Сопоставить с проектом",IF(OR(H213="operational",H213="empty_success"),IF(AND(I213&lt;&gt;"",J213&lt;&gt;"",K213&lt;&gt;"",L213&lt;&gt;""),"Доказательства внесены","Дополнить дату / пример / охват"),IF(J213="","Назначить следующий срок","Исход и очередь записаны")))</x:f>
        <x:v>Сопоставить с проектом</x:v>
      </x:c>
    </x:row>
    <x:row r="214" ht="42.75" customHeight="1">
      <x:c r="A214" s="5" t="str">
        <x:v>CU-SRC-0209</x:v>
      </x:c>
      <x:c r="B214" s="5" t="str">
        <x:v>CU-0102</x:v>
      </x:c>
      <x:c r="C214" s="5" t="str">
        <x:v>https://edcrunch.online/conf/2022/180</x:v>
      </x:c>
      <x:c r="D214" s="5" t="n">
        <x:v>1</x:v>
      </x:c>
      <x:c r="E214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14" s="5" t="str">
        <x:v>HTTP/HTML или текст PDF; проверка обновлений и переход к найденным официальным разделам. RSS/API не подтверждены.</x:v>
      </x:c>
      <x:c r="G214" s="10"/>
      <x:c r="H214" s="10" t="str">
        <x:v>not_checked_here</x:v>
      </x:c>
      <x:c r="I214" s="11"/>
      <x:c r="J214" s="11"/>
      <x:c r="K214" s="10"/>
      <x:c r="L214" s="10"/>
      <x:c r="M214" s="10"/>
      <x:c r="N214" s="5" t="str">
        <x:f>IF(H214="not_checked_here","Сопоставить с проектом",IF(OR(H214="operational",H214="empty_success"),IF(AND(I214&lt;&gt;"",J214&lt;&gt;"",K214&lt;&gt;"",L214&lt;&gt;""),"Доказательства внесены","Дополнить дату / пример / охват"),IF(J214="","Назначить следующий срок","Исход и очередь записаны")))</x:f>
        <x:v>Сопоставить с проектом</x:v>
      </x:c>
    </x:row>
    <x:row r="215" ht="42.75" customHeight="1">
      <x:c r="A215" s="5" t="str">
        <x:v>CU-SRC-0210</x:v>
      </x:c>
      <x:c r="B215" s="5" t="str">
        <x:v>CU-0102</x:v>
      </x:c>
      <x:c r="C215" s="5" t="str">
        <x:v>https://edu.croc.ru/projects</x:v>
      </x:c>
      <x:c r="D215" s="5" t="n">
        <x:v>1</x:v>
      </x:c>
      <x:c r="E21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15" s="5" t="str">
        <x:v>Сохранять HTML/PDF и изменения; извлекать ссылки на карточки и документы. RSS/API не предполагаются.</x:v>
      </x:c>
      <x:c r="G215" s="10"/>
      <x:c r="H215" s="10" t="str">
        <x:v>not_checked_here</x:v>
      </x:c>
      <x:c r="I215" s="11"/>
      <x:c r="J215" s="11"/>
      <x:c r="K215" s="10"/>
      <x:c r="L215" s="10"/>
      <x:c r="M215" s="10"/>
      <x:c r="N215" s="5" t="str">
        <x:f>IF(H215="not_checked_here","Сопоставить с проектом",IF(OR(H215="operational",H215="empty_success"),IF(AND(I215&lt;&gt;"",J215&lt;&gt;"",K215&lt;&gt;"",L215&lt;&gt;""),"Доказательства внесены","Дополнить дату / пример / охват"),IF(J215="","Назначить следующий срок","Исход и очередь записаны")))</x:f>
        <x:v>Сопоставить с проектом</x:v>
      </x:c>
    </x:row>
    <x:row r="216" ht="42.75" customHeight="1">
      <x:c r="A216" s="5" t="str">
        <x:v>CU-SRC-0211</x:v>
      </x:c>
      <x:c r="B216" s="5" t="str">
        <x:v>CU-0103</x:v>
      </x:c>
      <x:c r="C216" s="5" t="str">
        <x:v>https://edu.softline.com/news/kompaniya-softline-otkryta-dlya-vsekh-kto-reshil-smenit-profil-deyatelnosti-i-nashel-sebya-v-it/</x:v>
      </x:c>
      <x:c r="D216" s="5" t="n">
        <x:v>1</x:v>
      </x:c>
      <x:c r="E21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16" s="5" t="str">
        <x:v>HTTP/HTML или текст PDF; проверка обновлений и переход к найденным официальным разделам. RSS/API не подтверждены.</x:v>
      </x:c>
      <x:c r="G216" s="10"/>
      <x:c r="H216" s="10" t="str">
        <x:v>not_checked_here</x:v>
      </x:c>
      <x:c r="I216" s="11"/>
      <x:c r="J216" s="11"/>
      <x:c r="K216" s="10"/>
      <x:c r="L216" s="10"/>
      <x:c r="M216" s="10"/>
      <x:c r="N216" s="5" t="str">
        <x:f>IF(H216="not_checked_here","Сопоставить с проектом",IF(OR(H216="operational",H216="empty_success"),IF(AND(I216&lt;&gt;"",J216&lt;&gt;"",K216&lt;&gt;"",L216&lt;&gt;""),"Доказательства внесены","Дополнить дату / пример / охват"),IF(J216="","Назначить следующий срок","Исход и очередь записаны")))</x:f>
        <x:v>Сопоставить с проектом</x:v>
      </x:c>
    </x:row>
    <x:row r="217" ht="42.75" customHeight="1">
      <x:c r="A217" s="5" t="str">
        <x:v>CU-SRC-0212</x:v>
      </x:c>
      <x:c r="B217" s="5" t="str">
        <x:v>CU-0103</x:v>
      </x:c>
      <x:c r="C217" s="5" t="str">
        <x:v>https://academy-softline.ru/</x:v>
      </x:c>
      <x:c r="D217" s="5" t="n">
        <x:v>1</x:v>
      </x:c>
      <x:c r="E21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17" s="5" t="str">
        <x:v>Сохранять HTML/PDF и изменения; извлекать ссылки на карточки и документы. RSS/API не предполагаются.</x:v>
      </x:c>
      <x:c r="G217" s="10"/>
      <x:c r="H217" s="10" t="str">
        <x:v>not_checked_here</x:v>
      </x:c>
      <x:c r="I217" s="11"/>
      <x:c r="J217" s="11"/>
      <x:c r="K217" s="10"/>
      <x:c r="L217" s="10"/>
      <x:c r="M217" s="10"/>
      <x:c r="N217" s="5" t="str">
        <x:f>IF(H217="not_checked_here","Сопоставить с проектом",IF(OR(H217="operational",H217="empty_success"),IF(AND(I217&lt;&gt;"",J217&lt;&gt;"",K217&lt;&gt;"",L217&lt;&gt;""),"Доказательства внесены","Дополнить дату / пример / охват"),IF(J217="","Назначить следующий срок","Исход и очередь записаны")))</x:f>
        <x:v>Сопоставить с проектом</x:v>
      </x:c>
    </x:row>
    <x:row r="218" ht="42.75" customHeight="1">
      <x:c r="A218" s="5" t="str">
        <x:v>CU-SRC-0213</x:v>
      </x:c>
      <x:c r="B218" s="5" t="str">
        <x:v>CU-0104</x:v>
      </x:c>
      <x:c r="C218" s="5" t="str">
        <x:v>https://lanit.ru/press/archive/setevaya-akademiya-lanit-podvela-itogi-2021-goda-</x:v>
      </x:c>
      <x:c r="D218" s="5" t="n">
        <x:v>2</x:v>
      </x:c>
      <x:c r="E218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18" s="5" t="str">
        <x:v>HTTP/HTML или текст PDF; проверка обновлений и переход к найденным официальным разделам. RSS/API не подтверждены.</x:v>
      </x:c>
      <x:c r="G218" s="10"/>
      <x:c r="H218" s="10" t="str">
        <x:v>not_checked_here</x:v>
      </x:c>
      <x:c r="I218" s="11"/>
      <x:c r="J218" s="11"/>
      <x:c r="K218" s="10"/>
      <x:c r="L218" s="10"/>
      <x:c r="M218" s="10"/>
      <x:c r="N218" s="5" t="str">
        <x:f>IF(H218="not_checked_here","Сопоставить с проектом",IF(OR(H218="operational",H218="empty_success"),IF(AND(I218&lt;&gt;"",J218&lt;&gt;"",K218&lt;&gt;"",L218&lt;&gt;""),"Доказательства внесены","Дополнить дату / пример / охват"),IF(J218="","Назначить следующий срок","Исход и очередь записаны")))</x:f>
        <x:v>Сопоставить с проектом</x:v>
      </x:c>
    </x:row>
    <x:row r="219" ht="42.75" customHeight="1">
      <x:c r="A219" s="5" t="str">
        <x:v>CU-SRC-0214</x:v>
      </x:c>
      <x:c r="B219" s="5" t="str">
        <x:v>CU-0104</x:v>
      </x:c>
      <x:c r="C219" s="5" t="str">
        <x:v>https://lanit.ru/press/archive/setevaya-akademiya-lanit-poluchila-status-serebryanogo-partnera-gruppy-kompaniy-astra-po-obucheniyu</x:v>
      </x:c>
      <x:c r="D219" s="5" t="n">
        <x:v>2</x:v>
      </x:c>
      <x:c r="E219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19" s="5" t="str">
        <x:v>Сохранять HTML/PDF и изменения; извлекать ссылки на карточки и документы. RSS/API не предполагаются.</x:v>
      </x:c>
      <x:c r="G219" s="10"/>
      <x:c r="H219" s="10" t="str">
        <x:v>not_checked_here</x:v>
      </x:c>
      <x:c r="I219" s="11"/>
      <x:c r="J219" s="11"/>
      <x:c r="K219" s="10"/>
      <x:c r="L219" s="10"/>
      <x:c r="M219" s="10"/>
      <x:c r="N219" s="5" t="str">
        <x:f>IF(H219="not_checked_here","Сопоставить с проектом",IF(OR(H219="operational",H219="empty_success"),IF(AND(I219&lt;&gt;"",J219&lt;&gt;"",K219&lt;&gt;"",L219&lt;&gt;""),"Доказательства внесены","Дополнить дату / пример / охват"),IF(J219="","Назначить следующий срок","Исход и очередь записаны")))</x:f>
        <x:v>Сопоставить с проектом</x:v>
      </x:c>
    </x:row>
    <x:row r="220" ht="42.75" customHeight="1">
      <x:c r="A220" s="5" t="str">
        <x:v>CU-SRC-0215</x:v>
      </x:c>
      <x:c r="B220" s="5" t="str">
        <x:v>CU-0105</x:v>
      </x:c>
      <x:c r="C220" s="5" t="str">
        <x:v>https://dreamjob.ru/employers/26029/blog/ucene-trend-kak-vygladit-korporativnyj-universitet-ozon</x:v>
      </x:c>
      <x:c r="D220" s="5" t="n">
        <x:v>1</x:v>
      </x:c>
      <x:c r="E220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20" s="5" t="str">
        <x:v>HTTP/HTML или текст PDF; проверка обновлений и переход к найденным официальным разделам. RSS/API не подтверждены.</x:v>
      </x:c>
      <x:c r="G220" s="10"/>
      <x:c r="H220" s="10" t="str">
        <x:v>not_checked_here</x:v>
      </x:c>
      <x:c r="I220" s="11"/>
      <x:c r="J220" s="11"/>
      <x:c r="K220" s="10"/>
      <x:c r="L220" s="10"/>
      <x:c r="M220" s="10"/>
      <x:c r="N220" s="5" t="str">
        <x:f>IF(H220="not_checked_here","Сопоставить с проектом",IF(OR(H220="operational",H220="empty_success"),IF(AND(I220&lt;&gt;"",J220&lt;&gt;"",K220&lt;&gt;"",L220&lt;&gt;""),"Доказательства внесены","Дополнить дату / пример / охват"),IF(J220="","Назначить следующий срок","Исход и очередь записаны")))</x:f>
        <x:v>Сопоставить с проектом</x:v>
      </x:c>
    </x:row>
    <x:row r="221" ht="42.75" customHeight="1">
      <x:c r="A221" s="5" t="str">
        <x:v>CU-SRC-0216</x:v>
      </x:c>
      <x:c r="B221" s="5" t="str">
        <x:v>CU-0105</x:v>
      </x:c>
      <x:c r="C221" s="5" t="str">
        <x:v>https://dreamjob.ru/employers/26029/blog</x:v>
      </x:c>
      <x:c r="D221" s="5" t="n">
        <x:v>1</x:v>
      </x:c>
      <x:c r="E221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21" s="5" t="str">
        <x:v>Открытые HTML/JS после проверки доступа; сохранять документы, изменения и исходные ссылки.</x:v>
      </x:c>
      <x:c r="G221" s="10"/>
      <x:c r="H221" s="10" t="str">
        <x:v>not_checked_here</x:v>
      </x:c>
      <x:c r="I221" s="11"/>
      <x:c r="J221" s="11"/>
      <x:c r="K221" s="10"/>
      <x:c r="L221" s="10"/>
      <x:c r="M221" s="10"/>
      <x:c r="N221" s="5" t="str">
        <x:f>IF(H221="not_checked_here","Сопоставить с проектом",IF(OR(H221="operational",H221="empty_success"),IF(AND(I221&lt;&gt;"",J221&lt;&gt;"",K221&lt;&gt;"",L221&lt;&gt;""),"Доказательства внесены","Дополнить дату / пример / охват"),IF(J221="","Назначить следующий срок","Исход и очередь записаны")))</x:f>
        <x:v>Сопоставить с проектом</x:v>
      </x:c>
    </x:row>
    <x:row r="222" ht="42.75" customHeight="1">
      <x:c r="A222" s="5" t="str">
        <x:v>CU-SRC-0217</x:v>
      </x:c>
      <x:c r="B222" s="5" t="str">
        <x:v>CU-0106</x:v>
      </x:c>
      <x:c r="C222" s="5" t="str">
        <x:v>https://ostanin.ru/cases/std-petrovich/</x:v>
      </x:c>
      <x:c r="D222" s="5" t="n">
        <x:v>1</x:v>
      </x:c>
      <x:c r="E222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22" s="5" t="str">
        <x:v>HTTP/HTML или текст PDF; проверка обновлений и переход к найденным официальным разделам. RSS/API не подтверждены.</x:v>
      </x:c>
      <x:c r="G222" s="10"/>
      <x:c r="H222" s="10" t="str">
        <x:v>not_checked_here</x:v>
      </x:c>
      <x:c r="I222" s="11"/>
      <x:c r="J222" s="11"/>
      <x:c r="K222" s="10"/>
      <x:c r="L222" s="10"/>
      <x:c r="M222" s="10"/>
      <x:c r="N222" s="5" t="str">
        <x:f>IF(H222="not_checked_here","Сопоставить с проектом",IF(OR(H222="operational",H222="empty_success"),IF(AND(I222&lt;&gt;"",J222&lt;&gt;"",K222&lt;&gt;"",L222&lt;&gt;""),"Доказательства внесены","Дополнить дату / пример / охват"),IF(J222="","Назначить следующий срок","Исход и очередь записаны")))</x:f>
        <x:v>Сопоставить с проектом</x:v>
      </x:c>
    </x:row>
    <x:row r="223" ht="42.75" customHeight="1">
      <x:c r="A223" s="5" t="str">
        <x:v>CU-SRC-0218</x:v>
      </x:c>
      <x:c r="B223" s="5" t="str">
        <x:v>CU-0107</x:v>
      </x:c>
      <x:c r="C223" s="5" t="str">
        <x:v>https://auditorium-cg.ru/cef25</x:v>
      </x:c>
      <x:c r="D223" s="5" t="n">
        <x:v>1</x:v>
      </x:c>
      <x:c r="E223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23" s="5" t="str">
        <x:v>HTTP/HTML или текст PDF; проверка обновлений и переход к найденным официальным разделам. RSS/API не подтверждены.</x:v>
      </x:c>
      <x:c r="G223" s="10"/>
      <x:c r="H223" s="10" t="str">
        <x:v>not_checked_here</x:v>
      </x:c>
      <x:c r="I223" s="11"/>
      <x:c r="J223" s="11"/>
      <x:c r="K223" s="10"/>
      <x:c r="L223" s="10"/>
      <x:c r="M223" s="10"/>
      <x:c r="N223" s="5" t="str">
        <x:f>IF(H223="not_checked_here","Сопоставить с проектом",IF(OR(H223="operational",H223="empty_success"),IF(AND(I223&lt;&gt;"",J223&lt;&gt;"",K223&lt;&gt;"",L223&lt;&gt;""),"Доказательства внесены","Дополнить дату / пример / охват"),IF(J223="","Назначить следующий срок","Исход и очередь записаны")))</x:f>
        <x:v>Сопоставить с проектом</x:v>
      </x:c>
    </x:row>
    <x:row r="224" ht="42.75" customHeight="1">
      <x:c r="A224" s="5" t="str">
        <x:v>CU-SRC-0219</x:v>
      </x:c>
      <x:c r="B224" s="5" t="str">
        <x:v>CU-0108</x:v>
      </x:c>
      <x:c r="C224" s="5" t="str">
        <x:v>https://b1.ru/academyb1/</x:v>
      </x:c>
      <x:c r="D224" s="5" t="n">
        <x:v>2</x:v>
      </x:c>
      <x:c r="E224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24" s="5" t="str">
        <x:v>HTTP/HTML или текст PDF; проверка обновлений и переход к найденным официальным разделам. RSS/API не подтверждены.</x:v>
      </x:c>
      <x:c r="G224" s="10"/>
      <x:c r="H224" s="10" t="str">
        <x:v>not_checked_here</x:v>
      </x:c>
      <x:c r="I224" s="11"/>
      <x:c r="J224" s="11"/>
      <x:c r="K224" s="10"/>
      <x:c r="L224" s="10"/>
      <x:c r="M224" s="10"/>
      <x:c r="N224" s="5" t="str">
        <x:f>IF(H224="not_checked_here","Сопоставить с проектом",IF(OR(H224="operational",H224="empty_success"),IF(AND(I224&lt;&gt;"",J224&lt;&gt;"",K224&lt;&gt;"",L224&lt;&gt;""),"Доказательства внесены","Дополнить дату / пример / охват"),IF(J224="","Назначить следующий срок","Исход и очередь записаны")))</x:f>
        <x:v>Сопоставить с проектом</x:v>
      </x:c>
    </x:row>
    <x:row r="225" ht="42.75" customHeight="1">
      <x:c r="A225" s="5" t="str">
        <x:v>CU-SRC-0220</x:v>
      </x:c>
      <x:c r="B225" s="5" t="str">
        <x:v>CU-0108</x:v>
      </x:c>
      <x:c r="C225" s="5" t="str">
        <x:v>https://academyb1.ru/catalog/</x:v>
      </x:c>
      <x:c r="D225" s="5" t="n">
        <x:v>2</x:v>
      </x:c>
      <x:c r="E22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25" s="5" t="str">
        <x:v>Сохранять HTML/PDF и изменения; извлекать ссылки на карточки и документы. RSS/API не предполагаются.</x:v>
      </x:c>
      <x:c r="G225" s="10"/>
      <x:c r="H225" s="10" t="str">
        <x:v>not_checked_here</x:v>
      </x:c>
      <x:c r="I225" s="11"/>
      <x:c r="J225" s="11"/>
      <x:c r="K225" s="10"/>
      <x:c r="L225" s="10"/>
      <x:c r="M225" s="10"/>
      <x:c r="N225" s="5" t="str">
        <x:f>IF(H225="not_checked_here","Сопоставить с проектом",IF(OR(H225="operational",H225="empty_success"),IF(AND(I225&lt;&gt;"",J225&lt;&gt;"",K225&lt;&gt;"",L225&lt;&gt;""),"Доказательства внесены","Дополнить дату / пример / охват"),IF(J225="","Назначить следующий срок","Исход и очередь записаны")))</x:f>
        <x:v>Сопоставить с проектом</x:v>
      </x:c>
    </x:row>
    <x:row r="226" ht="42.75" customHeight="1">
      <x:c r="A226" s="5" t="str">
        <x:v>CU-SRC-0221</x:v>
      </x:c>
      <x:c r="B226" s="5" t="str">
        <x:v>CU-0108</x:v>
      </x:c>
      <x:c r="C226" s="5" t="str">
        <x:v>https://academyb1.ru/contacts/</x:v>
      </x:c>
      <x:c r="D226" s="5" t="n">
        <x:v>2</x:v>
      </x:c>
      <x:c r="E22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26" s="5" t="str">
        <x:v>Сохранять HTML/PDF и изменения; извлекать ссылки на карточки и документы. RSS/API не предполагаются.</x:v>
      </x:c>
      <x:c r="G226" s="10"/>
      <x:c r="H226" s="10" t="str">
        <x:v>not_checked_here</x:v>
      </x:c>
      <x:c r="I226" s="11"/>
      <x:c r="J226" s="11"/>
      <x:c r="K226" s="10"/>
      <x:c r="L226" s="10"/>
      <x:c r="M226" s="10"/>
      <x:c r="N226" s="5" t="str">
        <x:f>IF(H226="not_checked_here","Сопоставить с проектом",IF(OR(H226="operational",H226="empty_success"),IF(AND(I226&lt;&gt;"",J226&lt;&gt;"",K226&lt;&gt;"",L226&lt;&gt;""),"Доказательства внесены","Дополнить дату / пример / охват"),IF(J226="","Назначить следующий срок","Исход и очередь записаны")))</x:f>
        <x:v>Сопоставить с проектом</x:v>
      </x:c>
    </x:row>
    <x:row r="227" ht="42.75" customHeight="1">
      <x:c r="A227" s="5" t="str">
        <x:v>CU-SRC-0222</x:v>
      </x:c>
      <x:c r="B227" s="5" t="str">
        <x:v>CU-0109</x:v>
      </x:c>
      <x:c r="C227" s="5" t="str">
        <x:v>https://academy.kept.ru/corp</x:v>
      </x:c>
      <x:c r="D227" s="5" t="n">
        <x:v>2</x:v>
      </x:c>
      <x:c r="E22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27" s="5" t="str">
        <x:v>HTTP/HTML или текст PDF; проверка обновлений и переход к найденным официальным разделам. RSS/API не подтверждены.</x:v>
      </x:c>
      <x:c r="G227" s="10"/>
      <x:c r="H227" s="10" t="str">
        <x:v>not_checked_here</x:v>
      </x:c>
      <x:c r="I227" s="11"/>
      <x:c r="J227" s="11"/>
      <x:c r="K227" s="10"/>
      <x:c r="L227" s="10"/>
      <x:c r="M227" s="10"/>
      <x:c r="N227" s="5" t="str">
        <x:f>IF(H227="not_checked_here","Сопоставить с проектом",IF(OR(H227="operational",H227="empty_success"),IF(AND(I227&lt;&gt;"",J227&lt;&gt;"",K227&lt;&gt;"",L227&lt;&gt;""),"Доказательства внесены","Дополнить дату / пример / охват"),IF(J227="","Назначить следующий срок","Исход и очередь записаны")))</x:f>
        <x:v>Сопоставить с проектом</x:v>
      </x:c>
    </x:row>
    <x:row r="228" ht="42.75" customHeight="1">
      <x:c r="A228" s="5" t="str">
        <x:v>CU-SRC-0223</x:v>
      </x:c>
      <x:c r="B228" s="5" t="str">
        <x:v>CU-0109</x:v>
      </x:c>
      <x:c r="C228" s="5" t="str">
        <x:v>https://academy.kept.ru/calendar</x:v>
      </x:c>
      <x:c r="D228" s="5" t="n">
        <x:v>2</x:v>
      </x:c>
      <x:c r="E228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28" s="5" t="str">
        <x:v>Сохранять HTML/PDF и изменения; извлекать ссылки на карточки и документы. RSS/API не предполагаются.</x:v>
      </x:c>
      <x:c r="G228" s="10"/>
      <x:c r="H228" s="10" t="str">
        <x:v>not_checked_here</x:v>
      </x:c>
      <x:c r="I228" s="11"/>
      <x:c r="J228" s="11"/>
      <x:c r="K228" s="10"/>
      <x:c r="L228" s="10"/>
      <x:c r="M228" s="10"/>
      <x:c r="N228" s="5" t="str">
        <x:f>IF(H228="not_checked_here","Сопоставить с проектом",IF(OR(H228="operational",H228="empty_success"),IF(AND(I228&lt;&gt;"",J228&lt;&gt;"",K228&lt;&gt;"",L228&lt;&gt;""),"Доказательства внесены","Дополнить дату / пример / охват"),IF(J228="","Назначить следующий срок","Исход и очередь записаны")))</x:f>
        <x:v>Сопоставить с проектом</x:v>
      </x:c>
    </x:row>
    <x:row r="229" ht="42.75" customHeight="1">
      <x:c r="A229" s="5" t="str">
        <x:v>CU-SRC-0224</x:v>
      </x:c>
      <x:c r="B229" s="5" t="str">
        <x:v>CU-0110</x:v>
      </x:c>
      <x:c r="C229" s="5" t="str">
        <x:v>https://training.tedo.ru/about-academy/</x:v>
      </x:c>
      <x:c r="D229" s="5" t="n">
        <x:v>2</x:v>
      </x:c>
      <x:c r="E229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29" s="5" t="str">
        <x:v>HTTP/HTML или текст PDF; проверка обновлений и переход к найденным официальным разделам. RSS/API не подтверждены.</x:v>
      </x:c>
      <x:c r="G229" s="10"/>
      <x:c r="H229" s="10" t="str">
        <x:v>not_checked_here</x:v>
      </x:c>
      <x:c r="I229" s="11"/>
      <x:c r="J229" s="11"/>
      <x:c r="K229" s="10"/>
      <x:c r="L229" s="10"/>
      <x:c r="M229" s="10"/>
      <x:c r="N229" s="5" t="str">
        <x:f>IF(H229="not_checked_here","Сопоставить с проектом",IF(OR(H229="operational",H229="empty_success"),IF(AND(I229&lt;&gt;"",J229&lt;&gt;"",K229&lt;&gt;"",L229&lt;&gt;""),"Доказательства внесены","Дополнить дату / пример / охват"),IF(J229="","Назначить следующий срок","Исход и очередь записаны")))</x:f>
        <x:v>Сопоставить с проектом</x:v>
      </x:c>
    </x:row>
    <x:row r="230" ht="42.75" customHeight="1">
      <x:c r="A230" s="5" t="str">
        <x:v>CU-SRC-0225</x:v>
      </x:c>
      <x:c r="B230" s="5" t="str">
        <x:v>CU-0110</x:v>
      </x:c>
      <x:c r="C230" s="5" t="str">
        <x:v>https://training.tedo.ru/contacts/</x:v>
      </x:c>
      <x:c r="D230" s="5" t="n">
        <x:v>2</x:v>
      </x:c>
      <x:c r="E230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30" s="5" t="str">
        <x:v>Сохранять HTML/PDF и изменения; извлекать ссылки на карточки и документы. RSS/API не предполагаются.</x:v>
      </x:c>
      <x:c r="G230" s="10"/>
      <x:c r="H230" s="10" t="str">
        <x:v>not_checked_here</x:v>
      </x:c>
      <x:c r="I230" s="11"/>
      <x:c r="J230" s="11"/>
      <x:c r="K230" s="10"/>
      <x:c r="L230" s="10"/>
      <x:c r="M230" s="10"/>
      <x:c r="N230" s="5" t="str">
        <x:f>IF(H230="not_checked_here","Сопоставить с проектом",IF(OR(H230="operational",H230="empty_success"),IF(AND(I230&lt;&gt;"",J230&lt;&gt;"",K230&lt;&gt;"",L230&lt;&gt;""),"Доказательства внесены","Дополнить дату / пример / охват"),IF(J230="","Назначить следующий срок","Исход и очередь записаны")))</x:f>
        <x:v>Сопоставить с проектом</x:v>
      </x:c>
    </x:row>
    <x:row r="231" ht="42.75" customHeight="1">
      <x:c r="A231" s="5" t="str">
        <x:v>CU-SRC-0226</x:v>
      </x:c>
      <x:c r="B231" s="5" t="str">
        <x:v>CU-0110</x:v>
      </x:c>
      <x:c r="C231" s="5" t="str">
        <x:v>https://training.tedo.ru/experts/</x:v>
      </x:c>
      <x:c r="D231" s="5" t="n">
        <x:v>2</x:v>
      </x:c>
      <x:c r="E231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31" s="5" t="str">
        <x:v>Сохранять HTML/PDF и изменения; извлекать ссылки на карточки и документы. RSS/API не предполагаются.</x:v>
      </x:c>
      <x:c r="G231" s="10"/>
      <x:c r="H231" s="10" t="str">
        <x:v>not_checked_here</x:v>
      </x:c>
      <x:c r="I231" s="11"/>
      <x:c r="J231" s="11"/>
      <x:c r="K231" s="10"/>
      <x:c r="L231" s="10"/>
      <x:c r="M231" s="10"/>
      <x:c r="N231" s="5" t="str">
        <x:f>IF(H231="not_checked_here","Сопоставить с проектом",IF(OR(H231="operational",H231="empty_success"),IF(AND(I231&lt;&gt;"",J231&lt;&gt;"",K231&lt;&gt;"",L231&lt;&gt;""),"Доказательства внесены","Дополнить дату / пример / охват"),IF(J231="","Назначить следующий срок","Исход и очередь записаны")))</x:f>
        <x:v>Сопоставить с проектом</x:v>
      </x:c>
    </x:row>
    <x:row r="232" ht="42.75" customHeight="1">
      <x:c r="A232" s="5" t="str">
        <x:v>CU-SRC-0227</x:v>
      </x:c>
      <x:c r="B232" s="5" t="str">
        <x:v>CU-0111</x:v>
      </x:c>
      <x:c r="C232" s="5" t="str">
        <x:v>https://www.fbk.ru/press-center/news/ekonomiko-pravovaya-shkola-fbk-zapustila-novyy-sayt/</x:v>
      </x:c>
      <x:c r="D232" s="5" t="n">
        <x:v>2</x:v>
      </x:c>
      <x:c r="E232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32" s="5" t="str">
        <x:v>HTTP/HTML или текст PDF; проверка обновлений и переход к найденным официальным разделам. RSS/API не подтверждены.</x:v>
      </x:c>
      <x:c r="G232" s="10"/>
      <x:c r="H232" s="10" t="str">
        <x:v>not_checked_here</x:v>
      </x:c>
      <x:c r="I232" s="11"/>
      <x:c r="J232" s="11"/>
      <x:c r="K232" s="10"/>
      <x:c r="L232" s="10"/>
      <x:c r="M232" s="10"/>
      <x:c r="N232" s="5" t="str">
        <x:f>IF(H232="not_checked_here","Сопоставить с проектом",IF(OR(H232="operational",H232="empty_success"),IF(AND(I232&lt;&gt;"",J232&lt;&gt;"",K232&lt;&gt;"",L232&lt;&gt;""),"Доказательства внесены","Дополнить дату / пример / охват"),IF(J232="","Назначить следующий срок","Исход и очередь записаны")))</x:f>
        <x:v>Сопоставить с проектом</x:v>
      </x:c>
    </x:row>
    <x:row r="233" ht="42.75" customHeight="1">
      <x:c r="A233" s="5" t="str">
        <x:v>CU-SRC-0228</x:v>
      </x:c>
      <x:c r="B233" s="5" t="str">
        <x:v>CU-0111</x:v>
      </x:c>
      <x:c r="C233" s="5" t="str">
        <x:v>https://elsfbk.ru/</x:v>
      </x:c>
      <x:c r="D233" s="5" t="n">
        <x:v>2</x:v>
      </x:c>
      <x:c r="E233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33" s="5" t="str">
        <x:v>Сохранять HTML/PDF и изменения; извлекать ссылки на карточки и документы. RSS/API не предполагаются.</x:v>
      </x:c>
      <x:c r="G233" s="10"/>
      <x:c r="H233" s="10" t="str">
        <x:v>not_checked_here</x:v>
      </x:c>
      <x:c r="I233" s="11"/>
      <x:c r="J233" s="11"/>
      <x:c r="K233" s="10"/>
      <x:c r="L233" s="10"/>
      <x:c r="M233" s="10"/>
      <x:c r="N233" s="5" t="str">
        <x:f>IF(H233="not_checked_here","Сопоставить с проектом",IF(OR(H233="operational",H233="empty_success"),IF(AND(I233&lt;&gt;"",J233&lt;&gt;"",K233&lt;&gt;"",L233&lt;&gt;""),"Доказательства внесены","Дополнить дату / пример / охват"),IF(J233="","Назначить следующий срок","Исход и очередь записаны")))</x:f>
        <x:v>Сопоставить с проектом</x:v>
      </x:c>
    </x:row>
    <x:row r="234" ht="42.75" customHeight="1">
      <x:c r="A234" s="5" t="str">
        <x:v>CU-SRC-0229</x:v>
      </x:c>
      <x:c r="B234" s="5" t="str">
        <x:v>CU-0112</x:v>
      </x:c>
      <x:c r="C234" s="5" t="str">
        <x:v>https://kontur.ru/press/news/79945-kontur_reshenie_kadrovogo_deficita_v_it</x:v>
      </x:c>
      <x:c r="D234" s="5" t="n">
        <x:v>1</x:v>
      </x:c>
      <x:c r="E234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34" s="5" t="str">
        <x:v>HTTP/HTML или текст PDF; проверка обновлений и переход к найденным официальным разделам. RSS/API не подтверждены.</x:v>
      </x:c>
      <x:c r="G234" s="10"/>
      <x:c r="H234" s="10" t="str">
        <x:v>not_checked_here</x:v>
      </x:c>
      <x:c r="I234" s="11"/>
      <x:c r="J234" s="11"/>
      <x:c r="K234" s="10"/>
      <x:c r="L234" s="10"/>
      <x:c r="M234" s="10"/>
      <x:c r="N234" s="5" t="str">
        <x:f>IF(H234="not_checked_here","Сопоставить с проектом",IF(OR(H234="operational",H234="empty_success"),IF(AND(I234&lt;&gt;"",J234&lt;&gt;"",K234&lt;&gt;"",L234&lt;&gt;""),"Доказательства внесены","Дополнить дату / пример / охват"),IF(J234="","Назначить следующий срок","Исход и очередь записаны")))</x:f>
        <x:v>Сопоставить с проектом</x:v>
      </x:c>
    </x:row>
    <x:row r="235" ht="42.75" customHeight="1">
      <x:c r="A235" s="5" t="str">
        <x:v>CU-SRC-0230</x:v>
      </x:c>
      <x:c r="B235" s="5" t="str">
        <x:v>CU-0113</x:v>
      </x:c>
      <x:c r="C235" s="5" t="str">
        <x:v>https://tensor.ru/about/training</x:v>
      </x:c>
      <x:c r="D235" s="5" t="n">
        <x:v>1</x:v>
      </x:c>
      <x:c r="E23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35" s="5" t="str">
        <x:v>HTTP/HTML или текст PDF; проверка обновлений и переход к найденным официальным разделам. RSS/API не подтверждены.</x:v>
      </x:c>
      <x:c r="G235" s="10"/>
      <x:c r="H235" s="10" t="str">
        <x:v>not_checked_here</x:v>
      </x:c>
      <x:c r="I235" s="11"/>
      <x:c r="J235" s="11"/>
      <x:c r="K235" s="10"/>
      <x:c r="L235" s="10"/>
      <x:c r="M235" s="10"/>
      <x:c r="N235" s="5" t="str">
        <x:f>IF(H235="not_checked_here","Сопоставить с проектом",IF(OR(H235="operational",H235="empty_success"),IF(AND(I235&lt;&gt;"",J235&lt;&gt;"",K235&lt;&gt;"",L235&lt;&gt;""),"Доказательства внесены","Дополнить дату / пример / охват"),IF(J235="","Назначить следующий срок","Исход и очередь записаны")))</x:f>
        <x:v>Сопоставить с проектом</x:v>
      </x:c>
    </x:row>
    <x:row r="236" ht="42.75" customHeight="1">
      <x:c r="A236" s="5" t="str">
        <x:v>CU-SRC-0231</x:v>
      </x:c>
      <x:c r="B236" s="5" t="str">
        <x:v>CU-0114</x:v>
      </x:c>
      <x:c r="C236" s="5" t="str">
        <x:v>https://nexign.com/ru/nexign-academy/razvitie-hr-servisov</x:v>
      </x:c>
      <x:c r="D236" s="5" t="n">
        <x:v>1</x:v>
      </x:c>
      <x:c r="E23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36" s="5" t="str">
        <x:v>HTTP/HTML или текст PDF; проверка обновлений и переход к найденным официальным разделам. RSS/API не подтверждены.</x:v>
      </x:c>
      <x:c r="G236" s="10"/>
      <x:c r="H236" s="10" t="str">
        <x:v>not_checked_here</x:v>
      </x:c>
      <x:c r="I236" s="11"/>
      <x:c r="J236" s="11"/>
      <x:c r="K236" s="10"/>
      <x:c r="L236" s="10"/>
      <x:c r="M236" s="10"/>
      <x:c r="N236" s="5" t="str">
        <x:f>IF(H236="not_checked_here","Сопоставить с проектом",IF(OR(H236="operational",H236="empty_success"),IF(AND(I236&lt;&gt;"",J236&lt;&gt;"",K236&lt;&gt;"",L236&lt;&gt;""),"Доказательства внесены","Дополнить дату / пример / охват"),IF(J236="","Назначить следующий срок","Исход и очередь записаны")))</x:f>
        <x:v>Сопоставить с проектом</x:v>
      </x:c>
    </x:row>
    <x:row r="237" ht="42.75" customHeight="1">
      <x:c r="A237" s="5" t="str">
        <x:v>CU-SRC-0232</x:v>
      </x:c>
      <x:c r="B237" s="5" t="str">
        <x:v>CU-0114</x:v>
      </x:c>
      <x:c r="C237" s="5" t="str">
        <x:v>https://nexign.com/ru/newsroom/events/russoft-zaharov</x:v>
      </x:c>
      <x:c r="D237" s="5" t="n">
        <x:v>1</x:v>
      </x:c>
      <x:c r="E23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37" s="5" t="str">
        <x:v>Сохранять HTML/PDF и изменения; извлекать ссылки на карточки и документы. RSS/API не предполагаются.</x:v>
      </x:c>
      <x:c r="G237" s="10"/>
      <x:c r="H237" s="10" t="str">
        <x:v>not_checked_here</x:v>
      </x:c>
      <x:c r="I237" s="11"/>
      <x:c r="J237" s="11"/>
      <x:c r="K237" s="10"/>
      <x:c r="L237" s="10"/>
      <x:c r="M237" s="10"/>
      <x:c r="N237" s="5" t="str">
        <x:f>IF(H237="not_checked_here","Сопоставить с проектом",IF(OR(H237="operational",H237="empty_success"),IF(AND(I237&lt;&gt;"",J237&lt;&gt;"",K237&lt;&gt;"",L237&lt;&gt;""),"Доказательства внесены","Дополнить дату / пример / охват"),IF(J237="","Назначить следующий срок","Исход и очередь записаны")))</x:f>
        <x:v>Сопоставить с проектом</x:v>
      </x:c>
    </x:row>
    <x:row r="238" ht="42.75" customHeight="1">
      <x:c r="A238" s="5" t="str">
        <x:v>CU-SRC-0233</x:v>
      </x:c>
      <x:c r="B238" s="5" t="str">
        <x:v>CU-0115</x:v>
      </x:c>
      <x:c r="C238" s="5" t="str">
        <x:v>https://university.vsk.ru/</x:v>
      </x:c>
      <x:c r="D238" s="5" t="n">
        <x:v>1</x:v>
      </x:c>
      <x:c r="E238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38" s="5" t="str">
        <x:v>HTTP/HTML или текст PDF; проверка обновлений и переход к найденным официальным разделам. RSS/API не подтверждены.</x:v>
      </x:c>
      <x:c r="G238" s="10"/>
      <x:c r="H238" s="10" t="str">
        <x:v>not_checked_here</x:v>
      </x:c>
      <x:c r="I238" s="11"/>
      <x:c r="J238" s="11"/>
      <x:c r="K238" s="10"/>
      <x:c r="L238" s="10"/>
      <x:c r="M238" s="10"/>
      <x:c r="N238" s="5" t="str">
        <x:f>IF(H238="not_checked_here","Сопоставить с проектом",IF(OR(H238="operational",H238="empty_success"),IF(AND(I238&lt;&gt;"",J238&lt;&gt;"",K238&lt;&gt;"",L238&lt;&gt;""),"Доказательства внесены","Дополнить дату / пример / охват"),IF(J238="","Назначить следующий срок","Исход и очередь записаны")))</x:f>
        <x:v>Сопоставить с проектом</x:v>
      </x:c>
    </x:row>
    <x:row r="239" ht="42.75" customHeight="1">
      <x:c r="A239" s="5" t="str">
        <x:v>CU-SRC-0234</x:v>
      </x:c>
      <x:c r="B239" s="5" t="str">
        <x:v>CU-0115</x:v>
      </x:c>
      <x:c r="C239" s="5" t="str">
        <x:v>https://university.vsk.ru/catalog/programmy/</x:v>
      </x:c>
      <x:c r="D239" s="5" t="n">
        <x:v>1</x:v>
      </x:c>
      <x:c r="E239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39" s="5" t="str">
        <x:v>Сохранять HTML/PDF и изменения; извлекать ссылки на карточки и документы. RSS/API не предполагаются.</x:v>
      </x:c>
      <x:c r="G239" s="10"/>
      <x:c r="H239" s="10" t="str">
        <x:v>not_checked_here</x:v>
      </x:c>
      <x:c r="I239" s="11"/>
      <x:c r="J239" s="11"/>
      <x:c r="K239" s="10"/>
      <x:c r="L239" s="10"/>
      <x:c r="M239" s="10"/>
      <x:c r="N239" s="5" t="str">
        <x:f>IF(H239="not_checked_here","Сопоставить с проектом",IF(OR(H239="operational",H239="empty_success"),IF(AND(I239&lt;&gt;"",J239&lt;&gt;"",K239&lt;&gt;"",L239&lt;&gt;""),"Доказательства внесены","Дополнить дату / пример / охват"),IF(J239="","Назначить следующий срок","Исход и очередь записаны")))</x:f>
        <x:v>Сопоставить с проектом</x:v>
      </x:c>
    </x:row>
    <x:row r="240" ht="42.75" customHeight="1">
      <x:c r="A240" s="5" t="str">
        <x:v>CU-SRC-0235</x:v>
      </x:c>
      <x:c r="B240" s="5" t="str">
        <x:v>CU-0115</x:v>
      </x:c>
      <x:c r="C240" s="5" t="str">
        <x:v>https://university.vsk.ru/rukovodstvo</x:v>
      </x:c>
      <x:c r="D240" s="5" t="n">
        <x:v>1</x:v>
      </x:c>
      <x:c r="E240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40" s="5" t="str">
        <x:v>Сохранять HTML/PDF и изменения; извлекать ссылки на карточки и документы. RSS/API не предполагаются.</x:v>
      </x:c>
      <x:c r="G240" s="10"/>
      <x:c r="H240" s="10" t="str">
        <x:v>not_checked_here</x:v>
      </x:c>
      <x:c r="I240" s="11"/>
      <x:c r="J240" s="11"/>
      <x:c r="K240" s="10"/>
      <x:c r="L240" s="10"/>
      <x:c r="M240" s="10"/>
      <x:c r="N240" s="5" t="str">
        <x:f>IF(H240="not_checked_here","Сопоставить с проектом",IF(OR(H240="operational",H240="empty_success"),IF(AND(I240&lt;&gt;"",J240&lt;&gt;"",K240&lt;&gt;"",L240&lt;&gt;""),"Доказательства внесены","Дополнить дату / пример / охват"),IF(J240="","Назначить следующий срок","Исход и очередь записаны")))</x:f>
        <x:v>Сопоставить с проектом</x:v>
      </x:c>
    </x:row>
    <x:row r="241" ht="42.75" customHeight="1">
      <x:c r="A241" s="5" t="str">
        <x:v>CU-SRC-0236</x:v>
      </x:c>
      <x:c r="B241" s="5" t="str">
        <x:v>CU-0116</x:v>
      </x:c>
      <x:c r="C241" s="5" t="str">
        <x:v>https://www.tisbi.ru/novosti/tisbi-prinyal-uchastie-v-shestom-zasedanii-kruglogo-stola-s-departamentom-po-rabote-s-personalom-i-korporativnim-universitetom-ak-bars-banka</x:v>
      </x:c>
      <x:c r="D241" s="5" t="n">
        <x:v>1</x:v>
      </x:c>
      <x:c r="E241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41" s="5" t="str">
        <x:v>HTTP/HTML или текст PDF; проверка обновлений и переход к найденным официальным разделам. RSS/API не подтверждены.</x:v>
      </x:c>
      <x:c r="G241" s="10"/>
      <x:c r="H241" s="10" t="str">
        <x:v>not_checked_here</x:v>
      </x:c>
      <x:c r="I241" s="11"/>
      <x:c r="J241" s="11"/>
      <x:c r="K241" s="10"/>
      <x:c r="L241" s="10"/>
      <x:c r="M241" s="10"/>
      <x:c r="N241" s="5" t="str">
        <x:f>IF(H241="not_checked_here","Сопоставить с проектом",IF(OR(H241="operational",H241="empty_success"),IF(AND(I241&lt;&gt;"",J241&lt;&gt;"",K241&lt;&gt;"",L241&lt;&gt;""),"Доказательства внесены","Дополнить дату / пример / охват"),IF(J241="","Назначить следующий срок","Исход и очередь записаны")))</x:f>
        <x:v>Сопоставить с проектом</x:v>
      </x:c>
    </x:row>
    <x:row r="242" ht="42.75" customHeight="1">
      <x:c r="A242" s="5" t="str">
        <x:v>CU-SRC-0237</x:v>
      </x:c>
      <x:c r="B242" s="5" t="str">
        <x:v>CU-0116</x:v>
      </x:c>
      <x:c r="C242" s="5" t="str">
        <x:v>https://media.kpfu.ru/news/komandy-kfu-voshli-v-pyaterku-luchshikh-na-khakatone-ak-bars-banka</x:v>
      </x:c>
      <x:c r="D242" s="5" t="n">
        <x:v>1</x:v>
      </x:c>
      <x:c r="E242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42" s="5" t="str">
        <x:v>Сохранять HTML/PDF и изменения; извлекать ссылки на карточки и документы. RSS/API не предполагаются.</x:v>
      </x:c>
      <x:c r="G242" s="10"/>
      <x:c r="H242" s="10" t="str">
        <x:v>not_checked_here</x:v>
      </x:c>
      <x:c r="I242" s="11"/>
      <x:c r="J242" s="11"/>
      <x:c r="K242" s="10"/>
      <x:c r="L242" s="10"/>
      <x:c r="M242" s="10"/>
      <x:c r="N242" s="5" t="str">
        <x:f>IF(H242="not_checked_here","Сопоставить с проектом",IF(OR(H242="operational",H242="empty_success"),IF(AND(I242&lt;&gt;"",J242&lt;&gt;"",K242&lt;&gt;"",L242&lt;&gt;""),"Доказательства внесены","Дополнить дату / пример / охват"),IF(J242="","Назначить следующий срок","Исход и очередь записаны")))</x:f>
        <x:v>Сопоставить с проектом</x:v>
      </x:c>
    </x:row>
    <x:row r="243" ht="42.75" customHeight="1">
      <x:c r="A243" s="5" t="str">
        <x:v>CU-SRC-0238</x:v>
      </x:c>
      <x:c r="B243" s="5" t="str">
        <x:v>CU-0117</x:v>
      </x:c>
      <x:c r="C243" s="5" t="str">
        <x:v>https://career.habr.com/companies/gazprombank/scores/2022</x:v>
      </x:c>
      <x:c r="D243" s="5" t="n">
        <x:v>1</x:v>
      </x:c>
      <x:c r="E243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43" s="5" t="str">
        <x:v>HTTP/HTML или текст PDF; проверка обновлений и переход к найденным официальным разделам. RSS/API не подтверждены.</x:v>
      </x:c>
      <x:c r="G243" s="10"/>
      <x:c r="H243" s="10" t="str">
        <x:v>not_checked_here</x:v>
      </x:c>
      <x:c r="I243" s="11"/>
      <x:c r="J243" s="11"/>
      <x:c r="K243" s="10"/>
      <x:c r="L243" s="10"/>
      <x:c r="M243" s="10"/>
      <x:c r="N243" s="5" t="str">
        <x:f>IF(H243="not_checked_here","Сопоставить с проектом",IF(OR(H243="operational",H243="empty_success"),IF(AND(I243&lt;&gt;"",J243&lt;&gt;"",K243&lt;&gt;"",L243&lt;&gt;""),"Доказательства внесены","Дополнить дату / пример / охват"),IF(J243="","Назначить следующий срок","Исход и очередь записаны")))</x:f>
        <x:v>Сопоставить с проектом</x:v>
      </x:c>
    </x:row>
    <x:row r="244" ht="42.75" customHeight="1">
      <x:c r="A244" s="5" t="str">
        <x:v>CU-SRC-0239</x:v>
      </x:c>
      <x:c r="B244" s="5" t="str">
        <x:v>CU-0117</x:v>
      </x:c>
      <x:c r="C244" s="5" t="str">
        <x:v>https://auditorium-cg.ru/cef22</x:v>
      </x:c>
      <x:c r="D244" s="5" t="n">
        <x:v>1</x:v>
      </x:c>
      <x:c r="E244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44" s="5" t="str">
        <x:v>Сохранять HTML/PDF и изменения; извлекать ссылки на карточки и документы. RSS/API не предполагаются.</x:v>
      </x:c>
      <x:c r="G244" s="10"/>
      <x:c r="H244" s="10" t="str">
        <x:v>not_checked_here</x:v>
      </x:c>
      <x:c r="I244" s="11"/>
      <x:c r="J244" s="11"/>
      <x:c r="K244" s="10"/>
      <x:c r="L244" s="10"/>
      <x:c r="M244" s="10"/>
      <x:c r="N244" s="5" t="str">
        <x:f>IF(H244="not_checked_here","Сопоставить с проектом",IF(OR(H244="operational",H244="empty_success"),IF(AND(I244&lt;&gt;"",J244&lt;&gt;"",K244&lt;&gt;"",L244&lt;&gt;""),"Доказательства внесены","Дополнить дату / пример / охват"),IF(J244="","Назначить следующий срок","Исход и очередь записаны")))</x:f>
        <x:v>Сопоставить с проектом</x:v>
      </x:c>
    </x:row>
    <x:row r="245" ht="42.75" customHeight="1">
      <x:c r="A245" s="5" t="str">
        <x:v>CU-SRC-0240</x:v>
      </x:c>
      <x:c r="B245" s="5" t="str">
        <x:v>CU-0118</x:v>
      </x:c>
      <x:c r="C245" s="5" t="str">
        <x:v>https://careers.t2.ru/?erid=2Vtzqwb7nMJ</x:v>
      </x:c>
      <x:c r="D245" s="5" t="n">
        <x:v>2</x:v>
      </x:c>
      <x:c r="E24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45" s="5" t="str">
        <x:v>HTTP/HTML или текст PDF; проверка обновлений и переход к найденным официальным разделам. RSS/API не подтверждены.</x:v>
      </x:c>
      <x:c r="G245" s="10"/>
      <x:c r="H245" s="10" t="str">
        <x:v>not_checked_here</x:v>
      </x:c>
      <x:c r="I245" s="11"/>
      <x:c r="J245" s="11"/>
      <x:c r="K245" s="10"/>
      <x:c r="L245" s="10"/>
      <x:c r="M245" s="10"/>
      <x:c r="N245" s="5" t="str">
        <x:f>IF(H245="not_checked_here","Сопоставить с проектом",IF(OR(H245="operational",H245="empty_success"),IF(AND(I245&lt;&gt;"",J245&lt;&gt;"",K245&lt;&gt;"",L245&lt;&gt;""),"Доказательства внесены","Дополнить дату / пример / охват"),IF(J245="","Назначить следующий срок","Исход и очередь записаны")))</x:f>
        <x:v>Сопоставить с проектом</x:v>
      </x:c>
    </x:row>
    <x:row r="246" ht="42.75" customHeight="1">
      <x:c r="A246" s="5" t="str">
        <x:v>CU-SRC-0241</x:v>
      </x:c>
      <x:c r="B246" s="5" t="str">
        <x:v>CU-0119</x:v>
      </x:c>
      <x:c r="C246" s="5" t="str">
        <x:v>https://t1.ru/about/units/t1-academy</x:v>
      </x:c>
      <x:c r="D246" s="5" t="n">
        <x:v>2</x:v>
      </x:c>
      <x:c r="E24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46" s="5" t="str">
        <x:v>HTTP/HTML или текст PDF; проверка обновлений и переход к найденным официальным разделам. RSS/API не подтверждены.</x:v>
      </x:c>
      <x:c r="G246" s="10"/>
      <x:c r="H246" s="10" t="str">
        <x:v>not_checked_here</x:v>
      </x:c>
      <x:c r="I246" s="11"/>
      <x:c r="J246" s="11"/>
      <x:c r="K246" s="10"/>
      <x:c r="L246" s="10"/>
      <x:c r="M246" s="10"/>
      <x:c r="N246" s="5" t="str">
        <x:f>IF(H246="not_checked_here","Сопоставить с проектом",IF(OR(H246="operational",H246="empty_success"),IF(AND(I246&lt;&gt;"",J246&lt;&gt;"",K246&lt;&gt;"",L246&lt;&gt;""),"Доказательства внесены","Дополнить дату / пример / охват"),IF(J246="","Назначить следующий срок","Исход и очередь записаны")))</x:f>
        <x:v>Сопоставить с проектом</x:v>
      </x:c>
    </x:row>
    <x:row r="247" ht="42.75" customHeight="1">
      <x:c r="A247" s="5" t="str">
        <x:v>CU-SRC-0242</x:v>
      </x:c>
      <x:c r="B247" s="5" t="str">
        <x:v>CU-0119</x:v>
      </x:c>
      <x:c r="C247" s="5" t="str">
        <x:v>https://t1.ru/about/contacts</x:v>
      </x:c>
      <x:c r="D247" s="5" t="n">
        <x:v>2</x:v>
      </x:c>
      <x:c r="E24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47" s="5" t="str">
        <x:v>Сохранять HTML/PDF и изменения; извлекать ссылки на карточки и документы. RSS/API не предполагаются.</x:v>
      </x:c>
      <x:c r="G247" s="10"/>
      <x:c r="H247" s="10" t="str">
        <x:v>not_checked_here</x:v>
      </x:c>
      <x:c r="I247" s="11"/>
      <x:c r="J247" s="11"/>
      <x:c r="K247" s="10"/>
      <x:c r="L247" s="10"/>
      <x:c r="M247" s="10"/>
      <x:c r="N247" s="5" t="str">
        <x:f>IF(H247="not_checked_here","Сопоставить с проектом",IF(OR(H247="operational",H247="empty_success"),IF(AND(I247&lt;&gt;"",J247&lt;&gt;"",K247&lt;&gt;"",L247&lt;&gt;""),"Доказательства внесены","Дополнить дату / пример / охват"),IF(J247="","Назначить следующий срок","Исход и очередь записаны")))</x:f>
        <x:v>Сопоставить с проектом</x:v>
      </x:c>
    </x:row>
    <x:row r="248" ht="42.75" customHeight="1">
      <x:c r="A248" s="5" t="str">
        <x:v>CU-SRC-0243</x:v>
      </x:c>
      <x:c r="B248" s="5" t="str">
        <x:v>CU-0119</x:v>
      </x:c>
      <x:c r="C248" s="5" t="str">
        <x:v>https://t1.ru/about/purchases</x:v>
      </x:c>
      <x:c r="D248" s="5" t="n">
        <x:v>2</x:v>
      </x:c>
      <x:c r="E248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48" s="5" t="str">
        <x:v>Открытые HTML/JS после проверки доступа; сохранять документы, изменения и исходные ссылки.</x:v>
      </x:c>
      <x:c r="G248" s="10"/>
      <x:c r="H248" s="10" t="str">
        <x:v>not_checked_here</x:v>
      </x:c>
      <x:c r="I248" s="11"/>
      <x:c r="J248" s="11"/>
      <x:c r="K248" s="10"/>
      <x:c r="L248" s="10"/>
      <x:c r="M248" s="10"/>
      <x:c r="N248" s="5" t="str">
        <x:f>IF(H248="not_checked_here","Сопоставить с проектом",IF(OR(H248="operational",H248="empty_success"),IF(AND(I248&lt;&gt;"",J248&lt;&gt;"",K248&lt;&gt;"",L248&lt;&gt;""),"Доказательства внесены","Дополнить дату / пример / охват"),IF(J248="","Назначить следующий срок","Исход и очередь записаны")))</x:f>
        <x:v>Сопоставить с проектом</x:v>
      </x:c>
    </x:row>
    <x:row r="249" ht="42.75" customHeight="1">
      <x:c r="A249" s="5" t="str">
        <x:v>CU-SRC-0244</x:v>
      </x:c>
      <x:c r="B249" s="5" t="str">
        <x:v>CU-0120</x:v>
      </x:c>
      <x:c r="C249" s="5" t="str">
        <x:v>https://uc1.1c.ru/</x:v>
      </x:c>
      <x:c r="D249" s="5" t="n">
        <x:v>2</x:v>
      </x:c>
      <x:c r="E249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F249" s="5" t="str">
        <x:v>Открытые HTML-страницы и календарь; API/RSS не подтверждены.</x:v>
      </x:c>
      <x:c r="G249" s="10"/>
      <x:c r="H249" s="10" t="str">
        <x:v>not_checked_here</x:v>
      </x:c>
      <x:c r="I249" s="11"/>
      <x:c r="J249" s="11"/>
      <x:c r="K249" s="10"/>
      <x:c r="L249" s="10"/>
      <x:c r="M249" s="10"/>
      <x:c r="N249" s="5" t="str">
        <x:f>IF(H249="not_checked_here","Сопоставить с проектом",IF(OR(H249="operational",H249="empty_success"),IF(AND(I249&lt;&gt;"",J249&lt;&gt;"",K249&lt;&gt;"",L249&lt;&gt;""),"Доказательства внесены","Дополнить дату / пример / охват"),IF(J249="","Назначить следующий срок","Исход и очередь записаны")))</x:f>
        <x:v>Сопоставить с проектом</x:v>
      </x:c>
    </x:row>
    <x:row r="250" ht="31.5" customHeight="1">
      <x:c r="A250" s="5" t="str">
        <x:v>CU-SRC-0245</x:v>
      </x:c>
      <x:c r="B250" s="5" t="str">
        <x:v>CU-0121</x:v>
      </x:c>
      <x:c r="C250" s="5" t="str">
        <x:v>https://rutube.ru/video/363426e9f42348c0d1d8e4388de851f7/</x:v>
      </x:c>
      <x:c r="D250" s="5" t="n">
        <x:v>3</x:v>
      </x:c>
      <x:c r="E250" s="5" t="str">
        <x:v>Найти официальное подтверждение конкретного КУ/УЦ/академии сотрудников Т-Банка; пока не включать в число подтверждённых образовательных структур.</x:v>
      </x:c>
      <x:c r="F250" s="5" t="str">
        <x:v>HTTP/HTML или текст PDF; проверка обновлений и переход к найденным официальным разделам. RSS/API не подтверждены.</x:v>
      </x:c>
      <x:c r="G250" s="10"/>
      <x:c r="H250" s="10" t="str">
        <x:v>not_checked_here</x:v>
      </x:c>
      <x:c r="I250" s="11"/>
      <x:c r="J250" s="11"/>
      <x:c r="K250" s="10"/>
      <x:c r="L250" s="10"/>
      <x:c r="M250" s="10"/>
      <x:c r="N250" s="5" t="str">
        <x:f>IF(H250="not_checked_here","Сопоставить с проектом",IF(OR(H250="operational",H250="empty_success"),IF(AND(I250&lt;&gt;"",J250&lt;&gt;"",K250&lt;&gt;"",L250&lt;&gt;""),"Доказательства внесены","Дополнить дату / пример / охват"),IF(J250="","Назначить следующий срок","Исход и очередь записаны")))</x:f>
        <x:v>Сопоставить с проектом</x:v>
      </x:c>
    </x:row>
    <x:row r="251" ht="42.75" customHeight="1">
      <x:c r="A251" s="5" t="str">
        <x:v>CU-SRC-0246</x:v>
      </x:c>
      <x:c r="B251" s="5" t="str">
        <x:v>CU-0122</x:v>
      </x:c>
      <x:c r="C251" s="5" t="str">
        <x:v>https://www.universitetrzd.ru/</x:v>
      </x:c>
      <x:c r="D251" s="5" t="n">
        <x:v>1</x:v>
      </x:c>
      <x:c r="E251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51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51" s="10"/>
      <x:c r="H251" s="10" t="str">
        <x:v>not_checked_here</x:v>
      </x:c>
      <x:c r="I251" s="11"/>
      <x:c r="J251" s="11"/>
      <x:c r="K251" s="10"/>
      <x:c r="L251" s="10"/>
      <x:c r="M251" s="10"/>
      <x:c r="N251" s="5" t="str">
        <x:f>IF(H251="not_checked_here","Сопоставить с проектом",IF(OR(H251="operational",H251="empty_success"),IF(AND(I251&lt;&gt;"",J251&lt;&gt;"",K251&lt;&gt;"",L251&lt;&gt;""),"Доказательства внесены","Дополнить дату / пример / охват"),IF(J251="","Назначить следующий срок","Исход и очередь записаны")))</x:f>
        <x:v>Сопоставить с проектом</x:v>
      </x:c>
    </x:row>
    <x:row r="252" ht="42.75" customHeight="1">
      <x:c r="A252" s="5" t="str">
        <x:v>CU-SRC-0247</x:v>
      </x:c>
      <x:c r="B252" s="5" t="str">
        <x:v>CU-0122</x:v>
      </x:c>
      <x:c r="C252" s="5" t="str">
        <x:v>https://www.portfolio.universitetrzd.ru/</x:v>
      </x:c>
      <x:c r="D252" s="5" t="n">
        <x:v>1</x:v>
      </x:c>
      <x:c r="E252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52" s="5" t="str">
        <x:v>Сбор публичного HTML/PDF и изменений; сохранять ссылки на документы и их версии</x:v>
      </x:c>
      <x:c r="G252" s="10"/>
      <x:c r="H252" s="10" t="str">
        <x:v>not_checked_here</x:v>
      </x:c>
      <x:c r="I252" s="11"/>
      <x:c r="J252" s="11"/>
      <x:c r="K252" s="10"/>
      <x:c r="L252" s="10"/>
      <x:c r="M252" s="10"/>
      <x:c r="N252" s="5" t="str">
        <x:f>IF(H252="not_checked_here","Сопоставить с проектом",IF(OR(H252="operational",H252="empty_success"),IF(AND(I252&lt;&gt;"",J252&lt;&gt;"",K252&lt;&gt;"",L252&lt;&gt;""),"Доказательства внесены","Дополнить дату / пример / охват"),IF(J252="","Назначить следующий срок","Исход и очередь записаны")))</x:f>
        <x:v>Сопоставить с проектом</x:v>
      </x:c>
    </x:row>
    <x:row r="253" ht="42.75" customHeight="1">
      <x:c r="A253" s="5" t="str">
        <x:v>CU-SRC-0248</x:v>
      </x:c>
      <x:c r="B253" s="5" t="str">
        <x:v>CU-0122</x:v>
      </x:c>
      <x:c r="C253" s="5" t="str">
        <x:v>https://www.universitetrzd.ru/contacts/</x:v>
      </x:c>
      <x:c r="D253" s="5" t="n">
        <x:v>1</x:v>
      </x:c>
      <x:c r="E253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53" s="5" t="str">
        <x:v>Сбор публичного HTML/PDF и изменений; сохранять ссылки на документы и их версии</x:v>
      </x:c>
      <x:c r="G253" s="10"/>
      <x:c r="H253" s="10" t="str">
        <x:v>not_checked_here</x:v>
      </x:c>
      <x:c r="I253" s="11"/>
      <x:c r="J253" s="11"/>
      <x:c r="K253" s="10"/>
      <x:c r="L253" s="10"/>
      <x:c r="M253" s="10"/>
      <x:c r="N253" s="5" t="str">
        <x:f>IF(H253="not_checked_here","Сопоставить с проектом",IF(OR(H253="operational",H253="empty_success"),IF(AND(I253&lt;&gt;"",J253&lt;&gt;"",K253&lt;&gt;"",L253&lt;&gt;""),"Доказательства внесены","Дополнить дату / пример / охват"),IF(J253="","Назначить следующий срок","Исход и очередь записаны")))</x:f>
        <x:v>Сопоставить с проектом</x:v>
      </x:c>
    </x:row>
    <x:row r="254" ht="42.75" customHeight="1">
      <x:c r="A254" s="5" t="str">
        <x:v>CU-SRC-0249</x:v>
      </x:c>
      <x:c r="B254" s="5" t="str">
        <x:v>CU-0123</x:v>
      </x:c>
      <x:c r="C254" s="5" t="str">
        <x:v>https://www.volga-dnepr.com/about/practice-and-work-for-young-specialists/</x:v>
      </x:c>
      <x:c r="D254" s="5" t="n">
        <x:v>1</x:v>
      </x:c>
      <x:c r="E254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54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54" s="10"/>
      <x:c r="H254" s="10" t="str">
        <x:v>not_checked_here</x:v>
      </x:c>
      <x:c r="I254" s="11"/>
      <x:c r="J254" s="11"/>
      <x:c r="K254" s="10"/>
      <x:c r="L254" s="10"/>
      <x:c r="M254" s="10"/>
      <x:c r="N254" s="5" t="str">
        <x:f>IF(H254="not_checked_here","Сопоставить с проектом",IF(OR(H254="operational",H254="empty_success"),IF(AND(I254&lt;&gt;"",J254&lt;&gt;"",K254&lt;&gt;"",L254&lt;&gt;""),"Доказательства внесены","Дополнить дату / пример / охват"),IF(J254="","Назначить следующий срок","Исход и очередь записаны")))</x:f>
        <x:v>Сопоставить с проектом</x:v>
      </x:c>
    </x:row>
    <x:row r="255" ht="42.75" customHeight="1">
      <x:c r="A255" s="5" t="str">
        <x:v>CU-SRC-0250</x:v>
      </x:c>
      <x:c r="B255" s="5" t="str">
        <x:v>CU-0124</x:v>
      </x:c>
      <x:c r="C255" s="5" t="str">
        <x:v>https://ar-university.ru/ru/about</x:v>
      </x:c>
      <x:c r="D255" s="5" t="n">
        <x:v>2</x:v>
      </x:c>
      <x:c r="E255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55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55" s="10"/>
      <x:c r="H255" s="10" t="str">
        <x:v>not_checked_here</x:v>
      </x:c>
      <x:c r="I255" s="11"/>
      <x:c r="J255" s="11"/>
      <x:c r="K255" s="10"/>
      <x:c r="L255" s="10"/>
      <x:c r="M255" s="10"/>
      <x:c r="N255" s="5" t="str">
        <x:f>IF(H255="not_checked_here","Сопоставить с проектом",IF(OR(H255="operational",H255="empty_success"),IF(AND(I255&lt;&gt;"",J255&lt;&gt;"",K255&lt;&gt;"",L255&lt;&gt;""),"Доказательства внесены","Дополнить дату / пример / охват"),IF(J255="","Назначить следующий срок","Исход и очередь записаны")))</x:f>
        <x:v>Сопоставить с проектом</x:v>
      </x:c>
    </x:row>
    <x:row r="256" ht="42.75" customHeight="1">
      <x:c r="A256" s="5" t="str">
        <x:v>CU-SRC-0251</x:v>
      </x:c>
      <x:c r="B256" s="5" t="str">
        <x:v>CU-0125</x:v>
      </x:c>
      <x:c r="C256" s="5" t="str">
        <x:v>https://pulkovoairport.ru/atc/about-educational/</x:v>
      </x:c>
      <x:c r="D256" s="5" t="n">
        <x:v>2</x:v>
      </x:c>
      <x:c r="E256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56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56" s="10"/>
      <x:c r="H256" s="10" t="str">
        <x:v>not_checked_here</x:v>
      </x:c>
      <x:c r="I256" s="11"/>
      <x:c r="J256" s="11"/>
      <x:c r="K256" s="10"/>
      <x:c r="L256" s="10"/>
      <x:c r="M256" s="10"/>
      <x:c r="N256" s="5" t="str">
        <x:f>IF(H256="not_checked_here","Сопоставить с проектом",IF(OR(H256="operational",H256="empty_success"),IF(AND(I256&lt;&gt;"",J256&lt;&gt;"",K256&lt;&gt;"",L256&lt;&gt;""),"Доказательства внесены","Дополнить дату / пример / охват"),IF(J256="","Назначить следующий срок","Исход и очередь записаны")))</x:f>
        <x:v>Сопоставить с проектом</x:v>
      </x:c>
    </x:row>
    <x:row r="257" ht="42.75" customHeight="1">
      <x:c r="A257" s="5" t="str">
        <x:v>CU-SRC-0252</x:v>
      </x:c>
      <x:c r="B257" s="5" t="str">
        <x:v>CU-0125</x:v>
      </x:c>
      <x:c r="C257" s="5" t="str">
        <x:v>https://pulkovoairport.ru/partners/tenders/</x:v>
      </x:c>
      <x:c r="D257" s="5" t="n">
        <x:v>2</x:v>
      </x:c>
      <x:c r="E257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57" s="5" t="str">
        <x:v>Сбор публичного HTML/PDF и изменений; сохранять ссылки на документы и их версии</x:v>
      </x:c>
      <x:c r="G257" s="10"/>
      <x:c r="H257" s="10" t="str">
        <x:v>not_checked_here</x:v>
      </x:c>
      <x:c r="I257" s="11"/>
      <x:c r="J257" s="11"/>
      <x:c r="K257" s="10"/>
      <x:c r="L257" s="10"/>
      <x:c r="M257" s="10"/>
      <x:c r="N257" s="5" t="str">
        <x:f>IF(H257="not_checked_here","Сопоставить с проектом",IF(OR(H257="operational",H257="empty_success"),IF(AND(I257&lt;&gt;"",J257&lt;&gt;"",K257&lt;&gt;"",L257&lt;&gt;""),"Доказательства внесены","Дополнить дату / пример / охват"),IF(J257="","Назначить следующий срок","Исход и очередь записаны")))</x:f>
        <x:v>Сопоставить с проектом</x:v>
      </x:c>
    </x:row>
    <x:row r="258" ht="42.75" customHeight="1">
      <x:c r="A258" s="5" t="str">
        <x:v>CU-SRC-0253</x:v>
      </x:c>
      <x:c r="B258" s="5" t="str">
        <x:v>CU-0125</x:v>
      </x:c>
      <x:c r="C258" s="5" t="str">
        <x:v>https://pulkovoairport.ru/atc/course_catalog/</x:v>
      </x:c>
      <x:c r="D258" s="5" t="n">
        <x:v>2</x:v>
      </x:c>
      <x:c r="E258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58" s="5" t="str">
        <x:v>Сбор публичного HTML/PDF и изменений; сохранять ссылки на документы и их версии</x:v>
      </x:c>
      <x:c r="G258" s="10"/>
      <x:c r="H258" s="10" t="str">
        <x:v>not_checked_here</x:v>
      </x:c>
      <x:c r="I258" s="11"/>
      <x:c r="J258" s="11"/>
      <x:c r="K258" s="10"/>
      <x:c r="L258" s="10"/>
      <x:c r="M258" s="10"/>
      <x:c r="N258" s="5" t="str">
        <x:f>IF(H258="not_checked_here","Сопоставить с проектом",IF(OR(H258="operational",H258="empty_success"),IF(AND(I258&lt;&gt;"",J258&lt;&gt;"",K258&lt;&gt;"",L258&lt;&gt;""),"Доказательства внесены","Дополнить дату / пример / охват"),IF(J258="","Назначить следующий срок","Исход и очередь записаны")))</x:f>
        <x:v>Сопоставить с проектом</x:v>
      </x:c>
    </x:row>
    <x:row r="259" ht="42.75" customHeight="1">
      <x:c r="A259" s="5" t="str">
        <x:v>CU-SRC-0254</x:v>
      </x:c>
      <x:c r="B259" s="5" t="str">
        <x:v>CU-0126</x:v>
      </x:c>
      <x:c r="C259" s="5" t="str">
        <x:v>https://www.s7training.ru/</x:v>
      </x:c>
      <x:c r="D259" s="5" t="n">
        <x:v>3</x:v>
      </x:c>
      <x:c r="E259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59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59" s="10"/>
      <x:c r="H259" s="10" t="str">
        <x:v>not_checked_here</x:v>
      </x:c>
      <x:c r="I259" s="11"/>
      <x:c r="J259" s="11"/>
      <x:c r="K259" s="10"/>
      <x:c r="L259" s="10"/>
      <x:c r="M259" s="10"/>
      <x:c r="N259" s="5" t="str">
        <x:f>IF(H259="not_checked_here","Сопоставить с проектом",IF(OR(H259="operational",H259="empty_success"),IF(AND(I259&lt;&gt;"",J259&lt;&gt;"",K259&lt;&gt;"",L259&lt;&gt;""),"Доказательства внесены","Дополнить дату / пример / охват"),IF(J259="","Назначить следующий срок","Исход и очередь записаны")))</x:f>
        <x:v>Сопоставить с проектом</x:v>
      </x:c>
    </x:row>
    <x:row r="260" ht="42.75" customHeight="1">
      <x:c r="A260" s="5" t="str">
        <x:v>CU-SRC-0255</x:v>
      </x:c>
      <x:c r="B260" s="5" t="str">
        <x:v>CU-0126</x:v>
      </x:c>
      <x:c r="C260" s="5" t="str">
        <x:v>https://www.s7training.ru/kontaktyi</x:v>
      </x:c>
      <x:c r="D260" s="5" t="n">
        <x:v>3</x:v>
      </x:c>
      <x:c r="E260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60" s="5" t="str">
        <x:v>Сбор публичного HTML/PDF и изменений; сохранять ссылки на документы и их версии</x:v>
      </x:c>
      <x:c r="G260" s="10"/>
      <x:c r="H260" s="10" t="str">
        <x:v>not_checked_here</x:v>
      </x:c>
      <x:c r="I260" s="11"/>
      <x:c r="J260" s="11"/>
      <x:c r="K260" s="10"/>
      <x:c r="L260" s="10"/>
      <x:c r="M260" s="10"/>
      <x:c r="N260" s="5" t="str">
        <x:f>IF(H260="not_checked_here","Сопоставить с проектом",IF(OR(H260="operational",H260="empty_success"),IF(AND(I260&lt;&gt;"",J260&lt;&gt;"",K260&lt;&gt;"",L260&lt;&gt;""),"Доказательства внесены","Дополнить дату / пример / охват"),IF(J260="","Назначить следующий срок","Исход и очередь записаны")))</x:f>
        <x:v>Сопоставить с проектом</x:v>
      </x:c>
    </x:row>
    <x:row r="261" ht="42.75" customHeight="1">
      <x:c r="A261" s="5" t="str">
        <x:v>CU-SRC-0256</x:v>
      </x:c>
      <x:c r="B261" s="5" t="str">
        <x:v>CU-0127</x:v>
      </x:c>
      <x:c r="C261" s="5" t="str">
        <x:v>https://www.avb.ru/</x:v>
      </x:c>
      <x:c r="D261" s="5" t="n">
        <x:v>2</x:v>
      </x:c>
      <x:c r="E261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61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61" s="10"/>
      <x:c r="H261" s="10" t="str">
        <x:v>not_checked_here</x:v>
      </x:c>
      <x:c r="I261" s="11"/>
      <x:c r="J261" s="11"/>
      <x:c r="K261" s="10"/>
      <x:c r="L261" s="10"/>
      <x:c r="M261" s="10"/>
      <x:c r="N261" s="5" t="str">
        <x:f>IF(H261="not_checked_here","Сопоставить с проектом",IF(OR(H261="operational",H261="empty_success"),IF(AND(I261&lt;&gt;"",J261&lt;&gt;"",K261&lt;&gt;"",L261&lt;&gt;""),"Доказательства внесены","Дополнить дату / пример / охват"),IF(J261="","Назначить следующий срок","Исход и очередь записаны")))</x:f>
        <x:v>Сопоставить с проектом</x:v>
      </x:c>
    </x:row>
    <x:row r="262" ht="42.75" customHeight="1">
      <x:c r="A262" s="5" t="str">
        <x:v>CU-SRC-0257</x:v>
      </x:c>
      <x:c r="B262" s="5" t="str">
        <x:v>CU-0128</x:v>
      </x:c>
      <x:c r="C262" s="5" t="str">
        <x:v>https://www.pochta.ru/news/item/post-156</x:v>
      </x:c>
      <x:c r="D262" s="5" t="n">
        <x:v>1</x:v>
      </x:c>
      <x:c r="E262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62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62" s="10"/>
      <x:c r="H262" s="10" t="str">
        <x:v>not_checked_here</x:v>
      </x:c>
      <x:c r="I262" s="11"/>
      <x:c r="J262" s="11"/>
      <x:c r="K262" s="10"/>
      <x:c r="L262" s="10"/>
      <x:c r="M262" s="10"/>
      <x:c r="N262" s="5" t="str">
        <x:f>IF(H262="not_checked_here","Сопоставить с проектом",IF(OR(H262="operational",H262="empty_success"),IF(AND(I262&lt;&gt;"",J262&lt;&gt;"",K262&lt;&gt;"",L262&lt;&gt;""),"Доказательства внесены","Дополнить дату / пример / охват"),IF(J262="","Назначить следующий срок","Исход и очередь записаны")))</x:f>
        <x:v>Сопоставить с проектом</x:v>
      </x:c>
    </x:row>
    <x:row r="263" ht="42.75" customHeight="1">
      <x:c r="A263" s="5" t="str">
        <x:v>CU-SRC-0258</x:v>
      </x:c>
      <x:c r="B263" s="5" t="str">
        <x:v>CU-0129</x:v>
      </x:c>
      <x:c r="C263" s="5" t="str">
        <x:v>https://sop.mosmetro.ru/</x:v>
      </x:c>
      <x:c r="D263" s="5" t="n">
        <x:v>1</x:v>
      </x:c>
      <x:c r="E263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63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63" s="10"/>
      <x:c r="H263" s="10" t="str">
        <x:v>not_checked_here</x:v>
      </x:c>
      <x:c r="I263" s="11"/>
      <x:c r="J263" s="11"/>
      <x:c r="K263" s="10"/>
      <x:c r="L263" s="10"/>
      <x:c r="M263" s="10"/>
      <x:c r="N263" s="5" t="str">
        <x:f>IF(H263="not_checked_here","Сопоставить с проектом",IF(OR(H263="operational",H263="empty_success"),IF(AND(I263&lt;&gt;"",J263&lt;&gt;"",K263&lt;&gt;"",L263&lt;&gt;""),"Доказательства внесены","Дополнить дату / пример / охват"),IF(J263="","Назначить следующий срок","Исход и очередь записаны")))</x:f>
        <x:v>Сопоставить с проектом</x:v>
      </x:c>
    </x:row>
    <x:row r="264" ht="42.75" customHeight="1">
      <x:c r="A264" s="5" t="str">
        <x:v>CU-SRC-0259</x:v>
      </x:c>
      <x:c r="B264" s="5" t="str">
        <x:v>CU-0129</x:v>
      </x:c>
      <x:c r="C264" s="5" t="str">
        <x:v>https://t.me/KY_MT</x:v>
      </x:c>
      <x:c r="D264" s="5" t="n">
        <x:v>1</x:v>
      </x:c>
      <x:c r="E264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64" s="5" t="str">
        <x:v>Сбор публичного HTML/PDF и изменений; сохранять ссылки на документы и их версии</x:v>
      </x:c>
      <x:c r="G264" s="10"/>
      <x:c r="H264" s="10" t="str">
        <x:v>not_checked_here</x:v>
      </x:c>
      <x:c r="I264" s="11"/>
      <x:c r="J264" s="11"/>
      <x:c r="K264" s="10"/>
      <x:c r="L264" s="10"/>
      <x:c r="M264" s="10"/>
      <x:c r="N264" s="5" t="str">
        <x:f>IF(H264="not_checked_here","Сопоставить с проектом",IF(OR(H264="operational",H264="empty_success"),IF(AND(I264&lt;&gt;"",J264&lt;&gt;"",K264&lt;&gt;"",L264&lt;&gt;""),"Доказательства внесены","Дополнить дату / пример / охват"),IF(J264="","Назначить следующий срок","Исход и очередь записаны")))</x:f>
        <x:v>Сопоставить с проектом</x:v>
      </x:c>
    </x:row>
    <x:row r="265" ht="42.75" customHeight="1">
      <x:c r="A265" s="5" t="str">
        <x:v>CU-SRC-0260</x:v>
      </x:c>
      <x:c r="B265" s="5" t="str">
        <x:v>CU-0130</x:v>
      </x:c>
      <x:c r="C265" s="5" t="str">
        <x:v>https://heli.utair.ru/aviationtrainingcenter</x:v>
      </x:c>
      <x:c r="D265" s="5" t="n">
        <x:v>3</x:v>
      </x:c>
      <x:c r="E265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65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65" s="10"/>
      <x:c r="H265" s="10" t="str">
        <x:v>not_checked_here</x:v>
      </x:c>
      <x:c r="I265" s="11"/>
      <x:c r="J265" s="11"/>
      <x:c r="K265" s="10"/>
      <x:c r="L265" s="10"/>
      <x:c r="M265" s="10"/>
      <x:c r="N265" s="5" t="str">
        <x:f>IF(H265="not_checked_here","Сопоставить с проектом",IF(OR(H265="operational",H265="empty_success"),IF(AND(I265&lt;&gt;"",J265&lt;&gt;"",K265&lt;&gt;"",L265&lt;&gt;""),"Доказательства внесены","Дополнить дату / пример / охват"),IF(J265="","Назначить следующий срок","Исход и очередь записаны")))</x:f>
        <x:v>Сопоставить с проектом</x:v>
      </x:c>
    </x:row>
    <x:row r="266" ht="42.75" customHeight="1">
      <x:c r="A266" s="5" t="str">
        <x:v>CU-SRC-0261</x:v>
      </x:c>
      <x:c r="B266" s="5" t="str">
        <x:v>CU-0131</x:v>
      </x:c>
      <x:c r="C266" s="5" t="str">
        <x:v>https://business.dme.ru/company/group/dt/</x:v>
      </x:c>
      <x:c r="D266" s="5" t="n">
        <x:v>2</x:v>
      </x:c>
      <x:c r="E266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66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66" s="10"/>
      <x:c r="H266" s="10" t="str">
        <x:v>not_checked_here</x:v>
      </x:c>
      <x:c r="I266" s="11"/>
      <x:c r="J266" s="11"/>
      <x:c r="K266" s="10"/>
      <x:c r="L266" s="10"/>
      <x:c r="M266" s="10"/>
      <x:c r="N266" s="5" t="str">
        <x:f>IF(H266="not_checked_here","Сопоставить с проектом",IF(OR(H266="operational",H266="empty_success"),IF(AND(I266&lt;&gt;"",J266&lt;&gt;"",K266&lt;&gt;"",L266&lt;&gt;""),"Доказательства внесены","Дополнить дату / пример / охват"),IF(J266="","Назначить следующий срок","Исход и очередь записаны")))</x:f>
        <x:v>Сопоставить с проектом</x:v>
      </x:c>
    </x:row>
    <x:row r="267" ht="42.75" customHeight="1">
      <x:c r="A267" s="5" t="str">
        <x:v>CU-SRC-0262</x:v>
      </x:c>
      <x:c r="B267" s="5" t="str">
        <x:v>CU-0131</x:v>
      </x:c>
      <x:c r="C267" s="5" t="str">
        <x:v>https://business.dme.ru/company/group/dt/about/dt/</x:v>
      </x:c>
      <x:c r="D267" s="5" t="n">
        <x:v>2</x:v>
      </x:c>
      <x:c r="E267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67" s="5" t="str">
        <x:v>Сбор публичного HTML/PDF и изменений; сохранять ссылки на документы и их версии</x:v>
      </x:c>
      <x:c r="G267" s="10"/>
      <x:c r="H267" s="10" t="str">
        <x:v>not_checked_here</x:v>
      </x:c>
      <x:c r="I267" s="11"/>
      <x:c r="J267" s="11"/>
      <x:c r="K267" s="10"/>
      <x:c r="L267" s="10"/>
      <x:c r="M267" s="10"/>
      <x:c r="N267" s="5" t="str">
        <x:f>IF(H267="not_checked_here","Сопоставить с проектом",IF(OR(H267="operational",H267="empty_success"),IF(AND(I267&lt;&gt;"",J267&lt;&gt;"",K267&lt;&gt;"",L267&lt;&gt;""),"Доказательства внесены","Дополнить дату / пример / охват"),IF(J267="","Назначить следующий срок","Исход и очередь записаны")))</x:f>
        <x:v>Сопоставить с проектом</x:v>
      </x:c>
    </x:row>
    <x:row r="268" ht="42.75" customHeight="1">
      <x:c r="A268" s="5" t="str">
        <x:v>CU-SRC-0263</x:v>
      </x:c>
      <x:c r="B268" s="5" t="str">
        <x:v>CU-0132</x:v>
      </x:c>
      <x:c r="C268" s="5" t="str">
        <x:v>https://auc.tolmachevo.ru/</x:v>
      </x:c>
      <x:c r="D268" s="5" t="n">
        <x:v>3</x:v>
      </x:c>
      <x:c r="E268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68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68" s="10"/>
      <x:c r="H268" s="10" t="str">
        <x:v>not_checked_here</x:v>
      </x:c>
      <x:c r="I268" s="11"/>
      <x:c r="J268" s="11"/>
      <x:c r="K268" s="10"/>
      <x:c r="L268" s="10"/>
      <x:c r="M268" s="10"/>
      <x:c r="N268" s="5" t="str">
        <x:f>IF(H268="not_checked_here","Сопоставить с проектом",IF(OR(H268="operational",H268="empty_success"),IF(AND(I268&lt;&gt;"",J268&lt;&gt;"",K268&lt;&gt;"",L268&lt;&gt;""),"Доказательства внесены","Дополнить дату / пример / охват"),IF(J268="","Назначить следующий срок","Исход и очередь записаны")))</x:f>
        <x:v>Сопоставить с проектом</x:v>
      </x:c>
    </x:row>
    <x:row r="269" ht="42.75" customHeight="1">
      <x:c r="A269" s="5" t="str">
        <x:v>CU-SRC-0264</x:v>
      </x:c>
      <x:c r="B269" s="5" t="str">
        <x:v>CU-0133</x:v>
      </x:c>
      <x:c r="C269" s="5" t="str">
        <x:v>https://rabota.cdek.ru/career</x:v>
      </x:c>
      <x:c r="D269" s="5" t="n">
        <x:v>1</x:v>
      </x:c>
      <x:c r="E269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69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69" s="10"/>
      <x:c r="H269" s="10" t="str">
        <x:v>not_checked_here</x:v>
      </x:c>
      <x:c r="I269" s="11"/>
      <x:c r="J269" s="11"/>
      <x:c r="K269" s="10"/>
      <x:c r="L269" s="10"/>
      <x:c r="M269" s="10"/>
      <x:c r="N269" s="5" t="str">
        <x:f>IF(H269="not_checked_here","Сопоставить с проектом",IF(OR(H269="operational",H269="empty_success"),IF(AND(I269&lt;&gt;"",J269&lt;&gt;"",K269&lt;&gt;"",L269&lt;&gt;""),"Доказательства внесены","Дополнить дату / пример / охват"),IF(J269="","Назначить следующий срок","Исход и очередь записаны")))</x:f>
        <x:v>Сопоставить с проектом</x:v>
      </x:c>
    </x:row>
    <x:row r="270" ht="42.75" customHeight="1">
      <x:c r="A270" s="5" t="str">
        <x:v>CU-SRC-0265</x:v>
      </x:c>
      <x:c r="B270" s="5" t="str">
        <x:v>CU-0133</x:v>
      </x:c>
      <x:c r="C270" s="5" t="str">
        <x:v>https://rabota.cdek.ru/blog/transformaciya-cdek-univer-my-zapustili-novuyu-platformu-obucheniya</x:v>
      </x:c>
      <x:c r="D270" s="5" t="n">
        <x:v>1</x:v>
      </x:c>
      <x:c r="E270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70" s="5" t="str">
        <x:v>Сбор публичного HTML/PDF и изменений; сохранять ссылки на документы и их версии</x:v>
      </x:c>
      <x:c r="G270" s="10"/>
      <x:c r="H270" s="10" t="str">
        <x:v>not_checked_here</x:v>
      </x:c>
      <x:c r="I270" s="11"/>
      <x:c r="J270" s="11"/>
      <x:c r="K270" s="10"/>
      <x:c r="L270" s="10"/>
      <x:c r="M270" s="10"/>
      <x:c r="N270" s="5" t="str">
        <x:f>IF(H270="not_checked_here","Сопоставить с проектом",IF(OR(H270="operational",H270="empty_success"),IF(AND(I270&lt;&gt;"",J270&lt;&gt;"",K270&lt;&gt;"",L270&lt;&gt;""),"Доказательства внесены","Дополнить дату / пример / охват"),IF(J270="","Назначить следующий срок","Исход и очередь записаны")))</x:f>
        <x:v>Сопоставить с проектом</x:v>
      </x:c>
    </x:row>
    <x:row r="271" ht="42.75" customHeight="1">
      <x:c r="A271" s="5" t="str">
        <x:v>CU-SRC-0266</x:v>
      </x:c>
      <x:c r="B271" s="5" t="str">
        <x:v>CU-0133</x:v>
      </x:c>
      <x:c r="C271" s="5" t="str">
        <x:v>https://rabota.cdek.ru/sales-school</x:v>
      </x:c>
      <x:c r="D271" s="5" t="n">
        <x:v>1</x:v>
      </x:c>
      <x:c r="E271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71" s="5" t="str">
        <x:v>Сбор публичного HTML/PDF и изменений; сохранять ссылки на документы и их версии</x:v>
      </x:c>
      <x:c r="G271" s="10"/>
      <x:c r="H271" s="10" t="str">
        <x:v>not_checked_here</x:v>
      </x:c>
      <x:c r="I271" s="11"/>
      <x:c r="J271" s="11"/>
      <x:c r="K271" s="10"/>
      <x:c r="L271" s="10"/>
      <x:c r="M271" s="10"/>
      <x:c r="N271" s="5" t="str">
        <x:f>IF(H271="not_checked_here","Сопоставить с проектом",IF(OR(H271="operational",H271="empty_success"),IF(AND(I271&lt;&gt;"",J271&lt;&gt;"",K271&lt;&gt;"",L271&lt;&gt;""),"Доказательства внесены","Дополнить дату / пример / охват"),IF(J271="","Назначить следующий срок","Исход и очередь записаны")))</x:f>
        <x:v>Сопоставить с проектом</x:v>
      </x:c>
    </x:row>
    <x:row r="272" ht="42.75" customHeight="1">
      <x:c r="A272" s="5" t="str">
        <x:v>CU-SRC-0267</x:v>
      </x:c>
      <x:c r="B272" s="5" t="str">
        <x:v>CU-0134</x:v>
      </x:c>
      <x:c r="C272" s="5" t="str">
        <x:v>https://www.fesco.ru/ru/about/fesco-academy/docs/</x:v>
      </x:c>
      <x:c r="D272" s="5" t="n">
        <x:v>2</x:v>
      </x:c>
      <x:c r="E272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72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72" s="10"/>
      <x:c r="H272" s="10" t="str">
        <x:v>not_checked_here</x:v>
      </x:c>
      <x:c r="I272" s="11"/>
      <x:c r="J272" s="11"/>
      <x:c r="K272" s="10"/>
      <x:c r="L272" s="10"/>
      <x:c r="M272" s="10"/>
      <x:c r="N272" s="5" t="str">
        <x:f>IF(H272="not_checked_here","Сопоставить с проектом",IF(OR(H272="operational",H272="empty_success"),IF(AND(I272&lt;&gt;"",J272&lt;&gt;"",K272&lt;&gt;"",L272&lt;&gt;""),"Доказательства внесены","Дополнить дату / пример / охват"),IF(J272="","Назначить следующий срок","Исход и очередь записаны")))</x:f>
        <x:v>Сопоставить с проектом</x:v>
      </x:c>
    </x:row>
    <x:row r="273" ht="42.75" customHeight="1">
      <x:c r="A273" s="5" t="str">
        <x:v>CU-SRC-0268</x:v>
      </x:c>
      <x:c r="B273" s="5" t="str">
        <x:v>CU-0135</x:v>
      </x:c>
      <x:c r="C273" s="5" t="str">
        <x:v>https://education.samoletplus.ru/local/crw/</x:v>
      </x:c>
      <x:c r="D273" s="5" t="n">
        <x:v>1</x:v>
      </x:c>
      <x:c r="E273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73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73" s="10"/>
      <x:c r="H273" s="10" t="str">
        <x:v>not_checked_here</x:v>
      </x:c>
      <x:c r="I273" s="11"/>
      <x:c r="J273" s="11"/>
      <x:c r="K273" s="10"/>
      <x:c r="L273" s="10"/>
      <x:c r="M273" s="10"/>
      <x:c r="N273" s="5" t="str">
        <x:f>IF(H273="not_checked_here","Сопоставить с проектом",IF(OR(H273="operational",H273="empty_success"),IF(AND(I273&lt;&gt;"",J273&lt;&gt;"",K273&lt;&gt;"",L273&lt;&gt;""),"Доказательства внесены","Дополнить дату / пример / охват"),IF(J273="","Назначить следующий срок","Исход и очередь записаны")))</x:f>
        <x:v>Сопоставить с проектом</x:v>
      </x:c>
    </x:row>
    <x:row r="274" ht="42.75" customHeight="1">
      <x:c r="A274" s="5" t="str">
        <x:v>CU-SRC-0269</x:v>
      </x:c>
      <x:c r="B274" s="5" t="str">
        <x:v>CU-0135</x:v>
      </x:c>
      <x:c r="C274" s="5" t="str">
        <x:v>https://education.samoletplus.ru/course/</x:v>
      </x:c>
      <x:c r="D274" s="5" t="n">
        <x:v>1</x:v>
      </x:c>
      <x:c r="E274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74" s="5" t="str">
        <x:v>Сбор публичного HTML/PDF и изменений; сохранять ссылки на документы и их версии</x:v>
      </x:c>
      <x:c r="G274" s="10"/>
      <x:c r="H274" s="10" t="str">
        <x:v>not_checked_here</x:v>
      </x:c>
      <x:c r="I274" s="11"/>
      <x:c r="J274" s="11"/>
      <x:c r="K274" s="10"/>
      <x:c r="L274" s="10"/>
      <x:c r="M274" s="10"/>
      <x:c r="N274" s="5" t="str">
        <x:f>IF(H274="not_checked_here","Сопоставить с проектом",IF(OR(H274="operational",H274="empty_success"),IF(AND(I274&lt;&gt;"",J274&lt;&gt;"",K274&lt;&gt;"",L274&lt;&gt;""),"Доказательства внесены","Дополнить дату / пример / охват"),IF(J274="","Назначить следующий срок","Исход и очередь записаны")))</x:f>
        <x:v>Сопоставить с проектом</x:v>
      </x:c>
    </x:row>
    <x:row r="275" ht="42.75" customHeight="1">
      <x:c r="A275" s="5" t="str">
        <x:v>CU-SRC-0270</x:v>
      </x:c>
      <x:c r="B275" s="5" t="str">
        <x:v>CU-0135</x:v>
      </x:c>
      <x:c r="C275" s="5" t="str">
        <x:v>https://education.samoletplus.ru/mod/forum/discuss.php?d=285</x:v>
      </x:c>
      <x:c r="D275" s="5" t="n">
        <x:v>1</x:v>
      </x:c>
      <x:c r="E275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75" s="5" t="str">
        <x:v>Сбор публичного HTML/PDF и изменений; сохранять ссылки на документы и их версии</x:v>
      </x:c>
      <x:c r="G275" s="10"/>
      <x:c r="H275" s="10" t="str">
        <x:v>not_checked_here</x:v>
      </x:c>
      <x:c r="I275" s="11"/>
      <x:c r="J275" s="11"/>
      <x:c r="K275" s="10"/>
      <x:c r="L275" s="10"/>
      <x:c r="M275" s="10"/>
      <x:c r="N275" s="5" t="str">
        <x:f>IF(H275="not_checked_here","Сопоставить с проектом",IF(OR(H275="operational",H275="empty_success"),IF(AND(I275&lt;&gt;"",J275&lt;&gt;"",K275&lt;&gt;"",L275&lt;&gt;""),"Доказательства внесены","Дополнить дату / пример / охват"),IF(J275="","Назначить следующий срок","Исход и очередь записаны")))</x:f>
        <x:v>Сопоставить с проектом</x:v>
      </x:c>
    </x:row>
    <x:row r="276" ht="42.75" customHeight="1">
      <x:c r="A276" s="5" t="str">
        <x:v>CU-SRC-0271</x:v>
      </x:c>
      <x:c r="B276" s="5" t="str">
        <x:v>CU-0136</x:v>
      </x:c>
      <x:c r="C276" s="5" t="str">
        <x:v>https://www.university.peton.ru/</x:v>
      </x:c>
      <x:c r="D276" s="5" t="n">
        <x:v>1</x:v>
      </x:c>
      <x:c r="E276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76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76" s="10"/>
      <x:c r="H276" s="10" t="str">
        <x:v>not_checked_here</x:v>
      </x:c>
      <x:c r="I276" s="11"/>
      <x:c r="J276" s="11"/>
      <x:c r="K276" s="10"/>
      <x:c r="L276" s="10"/>
      <x:c r="M276" s="10"/>
      <x:c r="N276" s="5" t="str">
        <x:f>IF(H276="not_checked_here","Сопоставить с проектом",IF(OR(H276="operational",H276="empty_success"),IF(AND(I276&lt;&gt;"",J276&lt;&gt;"",K276&lt;&gt;"",L276&lt;&gt;""),"Доказательства внесены","Дополнить дату / пример / охват"),IF(J276="","Назначить следующий срок","Исход и очередь записаны")))</x:f>
        <x:v>Сопоставить с проектом</x:v>
      </x:c>
    </x:row>
    <x:row r="277" ht="42.75" customHeight="1">
      <x:c r="A277" s="5" t="str">
        <x:v>CU-SRC-0272</x:v>
      </x:c>
      <x:c r="B277" s="5" t="str">
        <x:v>CU-0137</x:v>
      </x:c>
      <x:c r="C277" s="5" t="str">
        <x:v>https://www.tn.ru/journal/tm/novyy-etap-korporativnogo-obucheniya-v-tekhnonikol/</x:v>
      </x:c>
      <x:c r="D277" s="5" t="n">
        <x:v>1</x:v>
      </x:c>
      <x:c r="E277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77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77" s="10"/>
      <x:c r="H277" s="10" t="str">
        <x:v>not_checked_here</x:v>
      </x:c>
      <x:c r="I277" s="11"/>
      <x:c r="J277" s="11"/>
      <x:c r="K277" s="10"/>
      <x:c r="L277" s="10"/>
      <x:c r="M277" s="10"/>
      <x:c r="N277" s="5" t="str">
        <x:f>IF(H277="not_checked_here","Сопоставить с проектом",IF(OR(H277="operational",H277="empty_success"),IF(AND(I277&lt;&gt;"",J277&lt;&gt;"",K277&lt;&gt;"",L277&lt;&gt;""),"Доказательства внесены","Дополнить дату / пример / охват"),IF(J277="","Назначить следующий срок","Исход и очередь записаны")))</x:f>
        <x:v>Сопоставить с проектом</x:v>
      </x:c>
    </x:row>
    <x:row r="278" ht="42.75" customHeight="1">
      <x:c r="A278" s="5" t="str">
        <x:v>CU-SRC-0273</x:v>
      </x:c>
      <x:c r="B278" s="5" t="str">
        <x:v>CU-0137</x:v>
      </x:c>
      <x:c r="C278" s="5" t="str">
        <x:v>https://academy.tn.ru/</x:v>
      </x:c>
      <x:c r="D278" s="5" t="n">
        <x:v>1</x:v>
      </x:c>
      <x:c r="E278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78" s="5" t="str">
        <x:v>Сбор публичного HTML/PDF и изменений; сохранять ссылки на документы и их версии</x:v>
      </x:c>
      <x:c r="G278" s="10"/>
      <x:c r="H278" s="10" t="str">
        <x:v>not_checked_here</x:v>
      </x:c>
      <x:c r="I278" s="11"/>
      <x:c r="J278" s="11"/>
      <x:c r="K278" s="10"/>
      <x:c r="L278" s="10"/>
      <x:c r="M278" s="10"/>
      <x:c r="N278" s="5" t="str">
        <x:f>IF(H278="not_checked_here","Сопоставить с проектом",IF(OR(H278="operational",H278="empty_success"),IF(AND(I278&lt;&gt;"",J278&lt;&gt;"",K278&lt;&gt;"",L278&lt;&gt;""),"Доказательства внесены","Дополнить дату / пример / охват"),IF(J278="","Назначить следующий срок","Исход и очередь записаны")))</x:f>
        <x:v>Сопоставить с проектом</x:v>
      </x:c>
    </x:row>
    <x:row r="279" ht="42.75" customHeight="1">
      <x:c r="A279" s="5" t="str">
        <x:v>CU-SRC-0274</x:v>
      </x:c>
      <x:c r="B279" s="5" t="str">
        <x:v>CU-0138</x:v>
      </x:c>
      <x:c r="C279" s="5" t="str">
        <x:v>https://www.tstn.ru/protein/probiznes/otkuda_berutsya_kadry_korporativnyy_universitet_tstn/</x:v>
      </x:c>
      <x:c r="D279" s="5" t="n">
        <x:v>1</x:v>
      </x:c>
      <x:c r="E279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79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79" s="10"/>
      <x:c r="H279" s="10" t="str">
        <x:v>not_checked_here</x:v>
      </x:c>
      <x:c r="I279" s="11"/>
      <x:c r="J279" s="11"/>
      <x:c r="K279" s="10"/>
      <x:c r="L279" s="10"/>
      <x:c r="M279" s="10"/>
      <x:c r="N279" s="5" t="str">
        <x:f>IF(H279="not_checked_here","Сопоставить с проектом",IF(OR(H279="operational",H279="empty_success"),IF(AND(I279&lt;&gt;"",J279&lt;&gt;"",K279&lt;&gt;"",L279&lt;&gt;""),"Доказательства внесены","Дополнить дату / пример / охват"),IF(J279="","Назначить следующий срок","Исход и очередь записаны")))</x:f>
        <x:v>Сопоставить с проектом</x:v>
      </x:c>
    </x:row>
    <x:row r="280" ht="42.75" customHeight="1">
      <x:c r="A280" s="5" t="str">
        <x:v>CU-SRC-0275</x:v>
      </x:c>
      <x:c r="B280" s="5" t="str">
        <x:v>CU-0139</x:v>
      </x:c>
      <x:c r="C280" s="5" t="str">
        <x:v>https://www.knauf.ru/service/academy/</x:v>
      </x:c>
      <x:c r="D280" s="5" t="n">
        <x:v>3</x:v>
      </x:c>
      <x:c r="E280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80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80" s="10"/>
      <x:c r="H280" s="10" t="str">
        <x:v>not_checked_here</x:v>
      </x:c>
      <x:c r="I280" s="11"/>
      <x:c r="J280" s="11"/>
      <x:c r="K280" s="10"/>
      <x:c r="L280" s="10"/>
      <x:c r="M280" s="10"/>
      <x:c r="N280" s="5" t="str">
        <x:f>IF(H280="not_checked_here","Сопоставить с проектом",IF(OR(H280="operational",H280="empty_success"),IF(AND(I280&lt;&gt;"",J280&lt;&gt;"",K280&lt;&gt;"",L280&lt;&gt;""),"Доказательства внесены","Дополнить дату / пример / охват"),IF(J280="","Назначить следующий срок","Исход и очередь записаны")))</x:f>
        <x:v>Сопоставить с проектом</x:v>
      </x:c>
    </x:row>
    <x:row r="281" ht="42.75" customHeight="1">
      <x:c r="A281" s="5" t="str">
        <x:v>CU-SRC-0276</x:v>
      </x:c>
      <x:c r="B281" s="5" t="str">
        <x:v>CU-0139</x:v>
      </x:c>
      <x:c r="C281" s="5" t="str">
        <x:v>https://www.knauf.ru/service/academy/training-program/</x:v>
      </x:c>
      <x:c r="D281" s="5" t="n">
        <x:v>3</x:v>
      </x:c>
      <x:c r="E281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81" s="5" t="str">
        <x:v>Сбор публичного HTML/PDF и изменений; сохранять ссылки на документы и их версии</x:v>
      </x:c>
      <x:c r="G281" s="10"/>
      <x:c r="H281" s="10" t="str">
        <x:v>not_checked_here</x:v>
      </x:c>
      <x:c r="I281" s="11"/>
      <x:c r="J281" s="11"/>
      <x:c r="K281" s="10"/>
      <x:c r="L281" s="10"/>
      <x:c r="M281" s="10"/>
      <x:c r="N281" s="5" t="str">
        <x:f>IF(H281="not_checked_here","Сопоставить с проектом",IF(OR(H281="operational",H281="empty_success"),IF(AND(I281&lt;&gt;"",J281&lt;&gt;"",K281&lt;&gt;"",L281&lt;&gt;""),"Доказательства внесены","Дополнить дату / пример / охват"),IF(J281="","Назначить следующий срок","Исход и очередь записаны")))</x:f>
        <x:v>Сопоставить с проектом</x:v>
      </x:c>
    </x:row>
    <x:row r="282" ht="42.75" customHeight="1">
      <x:c r="A282" s="5" t="str">
        <x:v>CU-SRC-0277</x:v>
      </x:c>
      <x:c r="B282" s="5" t="str">
        <x:v>CU-0140</x:v>
      </x:c>
      <x:c r="C282" s="5" t="str">
        <x:v>https://ruslacto.ru/university/</x:v>
      </x:c>
      <x:c r="D282" s="5" t="n">
        <x:v>1</x:v>
      </x:c>
      <x:c r="E282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82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82" s="10"/>
      <x:c r="H282" s="10" t="str">
        <x:v>not_checked_here</x:v>
      </x:c>
      <x:c r="I282" s="11"/>
      <x:c r="J282" s="11"/>
      <x:c r="K282" s="10"/>
      <x:c r="L282" s="10"/>
      <x:c r="M282" s="10"/>
      <x:c r="N282" s="5" t="str">
        <x:f>IF(H282="not_checked_here","Сопоставить с проектом",IF(OR(H282="operational",H282="empty_success"),IF(AND(I282&lt;&gt;"",J282&lt;&gt;"",K282&lt;&gt;"",L282&lt;&gt;""),"Доказательства внесены","Дополнить дату / пример / охват"),IF(J282="","Назначить следующий срок","Исход и очередь записаны")))</x:f>
        <x:v>Сопоставить с проектом</x:v>
      </x:c>
    </x:row>
    <x:row r="283" ht="42.75" customHeight="1">
      <x:c r="A283" s="5" t="str">
        <x:v>CU-SRC-0278</x:v>
      </x:c>
      <x:c r="B283" s="5" t="str">
        <x:v>CU-0141</x:v>
      </x:c>
      <x:c r="C283" s="5" t="str">
        <x:v>https://ekoniva-apk.ru/projects</x:v>
      </x:c>
      <x:c r="D283" s="5" t="n">
        <x:v>2</x:v>
      </x:c>
      <x:c r="E283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83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83" s="10"/>
      <x:c r="H283" s="10" t="str">
        <x:v>not_checked_here</x:v>
      </x:c>
      <x:c r="I283" s="11"/>
      <x:c r="J283" s="11"/>
      <x:c r="K283" s="10"/>
      <x:c r="L283" s="10"/>
      <x:c r="M283" s="10"/>
      <x:c r="N283" s="5" t="str">
        <x:f>IF(H283="not_checked_here","Сопоставить с проектом",IF(OR(H283="operational",H283="empty_success"),IF(AND(I283&lt;&gt;"",J283&lt;&gt;"",K283&lt;&gt;"",L283&lt;&gt;""),"Доказательства внесены","Дополнить дату / пример / охват"),IF(J283="","Назначить следующий срок","Исход и очередь записаны")))</x:f>
        <x:v>Сопоставить с проектом</x:v>
      </x:c>
    </x:row>
    <x:row r="284" ht="42.75" customHeight="1">
      <x:c r="A284" s="5" t="str">
        <x:v>CU-SRC-0279</x:v>
      </x:c>
      <x:c r="B284" s="5" t="str">
        <x:v>CU-0141</x:v>
      </x:c>
      <x:c r="C284" s="5" t="str">
        <x:v>https://ekoniva-apk.ru/esg/3182-ekoniva-otkryla-novyj-sezon-osennikh-akademij-2026-uzhe-podano-bolee-400-zayavok</x:v>
      </x:c>
      <x:c r="D284" s="5" t="n">
        <x:v>2</x:v>
      </x:c>
      <x:c r="E284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84" s="5" t="str">
        <x:v>Сбор публичного HTML/PDF и изменений; сохранять ссылки на документы и их версии</x:v>
      </x:c>
      <x:c r="G284" s="10"/>
      <x:c r="H284" s="10" t="str">
        <x:v>not_checked_here</x:v>
      </x:c>
      <x:c r="I284" s="11"/>
      <x:c r="J284" s="11"/>
      <x:c r="K284" s="10"/>
      <x:c r="L284" s="10"/>
      <x:c r="M284" s="10"/>
      <x:c r="N284" s="5" t="str">
        <x:f>IF(H284="not_checked_here","Сопоставить с проектом",IF(OR(H284="operational",H284="empty_success"),IF(AND(I284&lt;&gt;"",J284&lt;&gt;"",K284&lt;&gt;"",L284&lt;&gt;""),"Доказательства внесены","Дополнить дату / пример / охват"),IF(J284="","Назначить следующий срок","Исход и очередь записаны")))</x:f>
        <x:v>Сопоставить с проектом</x:v>
      </x:c>
    </x:row>
    <x:row r="285" ht="42.75" customHeight="1">
      <x:c r="A285" s="5" t="str">
        <x:v>CU-SRC-0280</x:v>
      </x:c>
      <x:c r="B285" s="5" t="str">
        <x:v>CU-0142</x:v>
      </x:c>
      <x:c r="C285" s="5" t="str">
        <x:v>https://miratorg.ru/academy/</x:v>
      </x:c>
      <x:c r="D285" s="5" t="n">
        <x:v>3</x:v>
      </x:c>
      <x:c r="E285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85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85" s="10"/>
      <x:c r="H285" s="10" t="str">
        <x:v>not_checked_here</x:v>
      </x:c>
      <x:c r="I285" s="11"/>
      <x:c r="J285" s="11"/>
      <x:c r="K285" s="10"/>
      <x:c r="L285" s="10"/>
      <x:c r="M285" s="10"/>
      <x:c r="N285" s="5" t="str">
        <x:f>IF(H285="not_checked_here","Сопоставить с проектом",IF(OR(H285="operational",H285="empty_success"),IF(AND(I285&lt;&gt;"",J285&lt;&gt;"",K285&lt;&gt;"",L285&lt;&gt;""),"Доказательства внесены","Дополнить дату / пример / охват"),IF(J285="","Назначить следующий срок","Исход и очередь записаны")))</x:f>
        <x:v>Сопоставить с проектом</x:v>
      </x:c>
    </x:row>
    <x:row r="286" ht="42.75" customHeight="1">
      <x:c r="A286" s="5" t="str">
        <x:v>CU-SRC-0281</x:v>
      </x:c>
      <x:c r="B286" s="5" t="str">
        <x:v>CU-0143</x:v>
      </x:c>
      <x:c r="C286" s="5" t="str">
        <x:v>https://biruch.efko.ru/o-nas/</x:v>
      </x:c>
      <x:c r="D286" s="5" t="n">
        <x:v>1</x:v>
      </x:c>
      <x:c r="E286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86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86" s="10"/>
      <x:c r="H286" s="10" t="str">
        <x:v>not_checked_here</x:v>
      </x:c>
      <x:c r="I286" s="11"/>
      <x:c r="J286" s="11"/>
      <x:c r="K286" s="10"/>
      <x:c r="L286" s="10"/>
      <x:c r="M286" s="10"/>
      <x:c r="N286" s="5" t="str">
        <x:f>IF(H286="not_checked_here","Сопоставить с проектом",IF(OR(H286="operational",H286="empty_success"),IF(AND(I286&lt;&gt;"",J286&lt;&gt;"",K286&lt;&gt;"",L286&lt;&gt;""),"Доказательства внесены","Дополнить дату / пример / охват"),IF(J286="","Назначить следующий срок","Исход и очередь записаны")))</x:f>
        <x:v>Сопоставить с проектом</x:v>
      </x:c>
    </x:row>
    <x:row r="287" ht="42.75" customHeight="1">
      <x:c r="A287" s="5" t="str">
        <x:v>CU-SRC-0282</x:v>
      </x:c>
      <x:c r="B287" s="5" t="str">
        <x:v>CU-0143</x:v>
      </x:c>
      <x:c r="C287" s="5" t="str">
        <x:v>https://biruch.efko.ru/obuchenie/</x:v>
      </x:c>
      <x:c r="D287" s="5" t="n">
        <x:v>1</x:v>
      </x:c>
      <x:c r="E287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87" s="5" t="str">
        <x:v>Сбор публичного HTML/PDF и изменений; сохранять ссылки на документы и их версии</x:v>
      </x:c>
      <x:c r="G287" s="10"/>
      <x:c r="H287" s="10" t="str">
        <x:v>not_checked_here</x:v>
      </x:c>
      <x:c r="I287" s="11"/>
      <x:c r="J287" s="11"/>
      <x:c r="K287" s="10"/>
      <x:c r="L287" s="10"/>
      <x:c r="M287" s="10"/>
      <x:c r="N287" s="5" t="str">
        <x:f>IF(H287="not_checked_here","Сопоставить с проектом",IF(OR(H287="operational",H287="empty_success"),IF(AND(I287&lt;&gt;"",J287&lt;&gt;"",K287&lt;&gt;"",L287&lt;&gt;""),"Доказательства внесены","Дополнить дату / пример / охват"),IF(J287="","Назначить следующий срок","Исход и очередь записаны")))</x:f>
        <x:v>Сопоставить с проектом</x:v>
      </x:c>
    </x:row>
    <x:row r="288" ht="42.75" customHeight="1">
      <x:c r="A288" s="5" t="str">
        <x:v>CU-SRC-0283</x:v>
      </x:c>
      <x:c r="B288" s="5" t="str">
        <x:v>CU-0143</x:v>
      </x:c>
      <x:c r="C288" s="5" t="str">
        <x:v>https://www.efko.ru/news/rossiyskie-studenty-mogut-proyti-onlayn-kurs-po-menedzhmentu-ot-efko/</x:v>
      </x:c>
      <x:c r="D288" s="5" t="n">
        <x:v>1</x:v>
      </x:c>
      <x:c r="E288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88" s="5" t="str">
        <x:v>Сбор публичного HTML/PDF и изменений; сохранять ссылки на документы и их версии</x:v>
      </x:c>
      <x:c r="G288" s="10"/>
      <x:c r="H288" s="10" t="str">
        <x:v>not_checked_here</x:v>
      </x:c>
      <x:c r="I288" s="11"/>
      <x:c r="J288" s="11"/>
      <x:c r="K288" s="10"/>
      <x:c r="L288" s="10"/>
      <x:c r="M288" s="10"/>
      <x:c r="N288" s="5" t="str">
        <x:f>IF(H288="not_checked_here","Сопоставить с проектом",IF(OR(H288="operational",H288="empty_success"),IF(AND(I288&lt;&gt;"",J288&lt;&gt;"",K288&lt;&gt;"",L288&lt;&gt;""),"Доказательства внесены","Дополнить дату / пример / охват"),IF(J288="","Назначить следующий срок","Исход и очередь записаны")))</x:f>
        <x:v>Сопоставить с проектом</x:v>
      </x:c>
    </x:row>
    <x:row r="289" ht="42.75" customHeight="1">
      <x:c r="A289" s="5" t="str">
        <x:v>CU-SRC-0284</x:v>
      </x:c>
      <x:c r="B289" s="5" t="str">
        <x:v>CU-0144</x:v>
      </x:c>
      <x:c r="C289" s="5" t="str">
        <x:v>https://medsi.ru/academy/</x:v>
      </x:c>
      <x:c r="D289" s="5" t="n">
        <x:v>2</x:v>
      </x:c>
      <x:c r="E289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89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89" s="10"/>
      <x:c r="H289" s="10" t="str">
        <x:v>not_checked_here</x:v>
      </x:c>
      <x:c r="I289" s="11"/>
      <x:c r="J289" s="11"/>
      <x:c r="K289" s="10"/>
      <x:c r="L289" s="10"/>
      <x:c r="M289" s="10"/>
      <x:c r="N289" s="5" t="str">
        <x:f>IF(H289="not_checked_here","Сопоставить с проектом",IF(OR(H289="operational",H289="empty_success"),IF(AND(I289&lt;&gt;"",J289&lt;&gt;"",K289&lt;&gt;"",L289&lt;&gt;""),"Доказательства внесены","Дополнить дату / пример / охват"),IF(J289="","Назначить следующий срок","Исход и очередь записаны")))</x:f>
        <x:v>Сопоставить с проектом</x:v>
      </x:c>
    </x:row>
    <x:row r="290" ht="42.75" customHeight="1">
      <x:c r="A290" s="5" t="str">
        <x:v>CU-SRC-0285</x:v>
      </x:c>
      <x:c r="B290" s="5" t="str">
        <x:v>CU-0145</x:v>
      </x:c>
      <x:c r="C290" s="5" t="str">
        <x:v>https://www.vmsh.ru/</x:v>
      </x:c>
      <x:c r="D290" s="5" t="n">
        <x:v>2</x:v>
      </x:c>
      <x:c r="E290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90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90" s="10"/>
      <x:c r="H290" s="10" t="str">
        <x:v>not_checked_here</x:v>
      </x:c>
      <x:c r="I290" s="11"/>
      <x:c r="J290" s="11"/>
      <x:c r="K290" s="10"/>
      <x:c r="L290" s="10"/>
      <x:c r="M290" s="10"/>
      <x:c r="N290" s="5" t="str">
        <x:f>IF(H290="not_checked_here","Сопоставить с проектом",IF(OR(H290="operational",H290="empty_success"),IF(AND(I290&lt;&gt;"",J290&lt;&gt;"",K290&lt;&gt;"",L290&lt;&gt;""),"Доказательства внесены","Дополнить дату / пример / охват"),IF(J290="","Назначить следующий срок","Исход и очередь записаны")))</x:f>
        <x:v>Сопоставить с проектом</x:v>
      </x:c>
    </x:row>
    <x:row r="291" ht="42.75" customHeight="1">
      <x:c r="A291" s="5" t="str">
        <x:v>CU-SRC-0286</x:v>
      </x:c>
      <x:c r="B291" s="5" t="str">
        <x:v>CU-0145</x:v>
      </x:c>
      <x:c r="C291" s="5" t="str">
        <x:v>https://www.vmsh.ru/info/</x:v>
      </x:c>
      <x:c r="D291" s="5" t="n">
        <x:v>2</x:v>
      </x:c>
      <x:c r="E291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91" s="5" t="str">
        <x:v>Сбор публичного HTML/PDF и изменений; сохранять ссылки на документы и их версии</x:v>
      </x:c>
      <x:c r="G291" s="10"/>
      <x:c r="H291" s="10" t="str">
        <x:v>not_checked_here</x:v>
      </x:c>
      <x:c r="I291" s="11"/>
      <x:c r="J291" s="11"/>
      <x:c r="K291" s="10"/>
      <x:c r="L291" s="10"/>
      <x:c r="M291" s="10"/>
      <x:c r="N291" s="5" t="str">
        <x:f>IF(H291="not_checked_here","Сопоставить с проектом",IF(OR(H291="operational",H291="empty_success"),IF(AND(I291&lt;&gt;"",J291&lt;&gt;"",K291&lt;&gt;"",L291&lt;&gt;""),"Доказательства внесены","Дополнить дату / пример / охват"),IF(J291="","Назначить следующий срок","Исход и очередь записаны")))</x:f>
        <x:v>Сопоставить с проектом</x:v>
      </x:c>
    </x:row>
    <x:row r="292" ht="42.75" customHeight="1">
      <x:c r="A292" s="5" t="str">
        <x:v>CU-SRC-0287</x:v>
      </x:c>
      <x:c r="B292" s="5" t="str">
        <x:v>CU-0146</x:v>
      </x:c>
      <x:c r="C292" s="5" t="str">
        <x:v>https://career.biocad.ru/department/IT</x:v>
      </x:c>
      <x:c r="D292" s="5" t="n">
        <x:v>1</x:v>
      </x:c>
      <x:c r="E292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92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92" s="10"/>
      <x:c r="H292" s="10" t="str">
        <x:v>not_checked_here</x:v>
      </x:c>
      <x:c r="I292" s="11"/>
      <x:c r="J292" s="11"/>
      <x:c r="K292" s="10"/>
      <x:c r="L292" s="10"/>
      <x:c r="M292" s="10"/>
      <x:c r="N292" s="5" t="str">
        <x:f>IF(H292="not_checked_here","Сопоставить с проектом",IF(OR(H292="operational",H292="empty_success"),IF(AND(I292&lt;&gt;"",J292&lt;&gt;"",K292&lt;&gt;"",L292&lt;&gt;""),"Доказательства внесены","Дополнить дату / пример / охват"),IF(J292="","Назначить следующий срок","Исход и очередь записаны")))</x:f>
        <x:v>Сопоставить с проектом</x:v>
      </x:c>
    </x:row>
    <x:row r="293" ht="42.75" customHeight="1">
      <x:c r="A293" s="5" t="str">
        <x:v>CU-SRC-0288</x:v>
      </x:c>
      <x:c r="B293" s="5" t="str">
        <x:v>CU-0146</x:v>
      </x:c>
      <x:c r="C293" s="5" t="str">
        <x:v>https://heroes.biocad.ru/</x:v>
      </x:c>
      <x:c r="D293" s="5" t="n">
        <x:v>1</x:v>
      </x:c>
      <x:c r="E293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93" s="5" t="str">
        <x:v>Сбор публичного HTML/PDF и изменений; сохранять ссылки на документы и их версии</x:v>
      </x:c>
      <x:c r="G293" s="10"/>
      <x:c r="H293" s="10" t="str">
        <x:v>not_checked_here</x:v>
      </x:c>
      <x:c r="I293" s="11"/>
      <x:c r="J293" s="11"/>
      <x:c r="K293" s="10"/>
      <x:c r="L293" s="10"/>
      <x:c r="M293" s="10"/>
      <x:c r="N293" s="5" t="str">
        <x:f>IF(H293="not_checked_here","Сопоставить с проектом",IF(OR(H293="operational",H293="empty_success"),IF(AND(I293&lt;&gt;"",J293&lt;&gt;"",K293&lt;&gt;"",L293&lt;&gt;""),"Доказательства внесены","Дополнить дату / пример / охват"),IF(J293="","Назначить следующий срок","Исход и очередь записаны")))</x:f>
        <x:v>Сопоставить с проектом</x:v>
      </x:c>
    </x:row>
    <x:row r="294" ht="42.75" customHeight="1">
      <x:c r="A294" s="5" t="str">
        <x:v>CU-SRC-0289</x:v>
      </x:c>
      <x:c r="B294" s="5" t="str">
        <x:v>CU-0147</x:v>
      </x:c>
      <x:c r="C294" s="5" t="str">
        <x:v>https://t.me/s/rpharm_group?before=1458</x:v>
      </x:c>
      <x:c r="D294" s="5" t="n">
        <x:v>1</x:v>
      </x:c>
      <x:c r="E294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94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94" s="10"/>
      <x:c r="H294" s="10" t="str">
        <x:v>not_checked_here</x:v>
      </x:c>
      <x:c r="I294" s="11"/>
      <x:c r="J294" s="11"/>
      <x:c r="K294" s="10"/>
      <x:c r="L294" s="10"/>
      <x:c r="M294" s="10"/>
      <x:c r="N294" s="5" t="str">
        <x:f>IF(H294="not_checked_here","Сопоставить с проектом",IF(OR(H294="operational",H294="empty_success"),IF(AND(I294&lt;&gt;"",J294&lt;&gt;"",K294&lt;&gt;"",L294&lt;&gt;""),"Доказательства внесены","Дополнить дату / пример / охват"),IF(J294="","Назначить следующий срок","Исход и очередь записаны")))</x:f>
        <x:v>Сопоставить с проектом</x:v>
      </x:c>
    </x:row>
    <x:row r="295" ht="42.75" customHeight="1">
      <x:c r="A295" s="5" t="str">
        <x:v>CU-SRC-0290</x:v>
      </x:c>
      <x:c r="B295" s="5" t="str">
        <x:v>CU-0147</x:v>
      </x:c>
      <x:c r="C295" s="5" t="str">
        <x:v>https://t.me/s/rpharm_group</x:v>
      </x:c>
      <x:c r="D295" s="5" t="n">
        <x:v>1</x:v>
      </x:c>
      <x:c r="E295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95" s="5" t="str">
        <x:v>Сбор публичного HTML/PDF и изменений; сохранять ссылки на документы и их версии</x:v>
      </x:c>
      <x:c r="G295" s="10"/>
      <x:c r="H295" s="10" t="str">
        <x:v>not_checked_here</x:v>
      </x:c>
      <x:c r="I295" s="11"/>
      <x:c r="J295" s="11"/>
      <x:c r="K295" s="10"/>
      <x:c r="L295" s="10"/>
      <x:c r="M295" s="10"/>
      <x:c r="N295" s="5" t="str">
        <x:f>IF(H295="not_checked_here","Сопоставить с проектом",IF(OR(H295="operational",H295="empty_success"),IF(AND(I295&lt;&gt;"",J295&lt;&gt;"",K295&lt;&gt;"",L295&lt;&gt;""),"Доказательства внесены","Дополнить дату / пример / охват"),IF(J295="","Назначить следующий срок","Исход и очередь записаны")))</x:f>
        <x:v>Сопоставить с проектом</x:v>
      </x:c>
    </x:row>
    <x:row r="296" ht="42.75" customHeight="1">
      <x:c r="A296" s="5" t="str">
        <x:v>CU-SRC-0291</x:v>
      </x:c>
      <x:c r="B296" s="5" t="str">
        <x:v>CU-0148</x:v>
      </x:c>
      <x:c r="C296" s="5" t="str">
        <x:v>https://cosmos-academy.ru/</x:v>
      </x:c>
      <x:c r="D296" s="5" t="n">
        <x:v>1</x:v>
      </x:c>
      <x:c r="E296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96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96" s="10"/>
      <x:c r="H296" s="10" t="str">
        <x:v>not_checked_here</x:v>
      </x:c>
      <x:c r="I296" s="11"/>
      <x:c r="J296" s="11"/>
      <x:c r="K296" s="10"/>
      <x:c r="L296" s="10"/>
      <x:c r="M296" s="10"/>
      <x:c r="N296" s="5" t="str">
        <x:f>IF(H296="not_checked_here","Сопоставить с проектом",IF(OR(H296="operational",H296="empty_success"),IF(AND(I296&lt;&gt;"",J296&lt;&gt;"",K296&lt;&gt;"",L296&lt;&gt;""),"Доказательства внесены","Дополнить дату / пример / охват"),IF(J296="","Назначить следующий срок","Исход и очередь записаны")))</x:f>
        <x:v>Сопоставить с проектом</x:v>
      </x:c>
    </x:row>
    <x:row r="297" ht="42.75" customHeight="1">
      <x:c r="A297" s="5" t="str">
        <x:v>CU-SRC-0292</x:v>
      </x:c>
      <x:c r="B297" s="5" t="str">
        <x:v>CU-0148</x:v>
      </x:c>
      <x:c r="C297" s="5" t="str">
        <x:v>https://cosmos-academy.ru/courses/developers/</x:v>
      </x:c>
      <x:c r="D297" s="5" t="n">
        <x:v>1</x:v>
      </x:c>
      <x:c r="E297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97" s="5" t="str">
        <x:v>Сбор публичного HTML/PDF и изменений; сохранять ссылки на документы и их версии</x:v>
      </x:c>
      <x:c r="G297" s="10"/>
      <x:c r="H297" s="10" t="str">
        <x:v>not_checked_here</x:v>
      </x:c>
      <x:c r="I297" s="11"/>
      <x:c r="J297" s="11"/>
      <x:c r="K297" s="10"/>
      <x:c r="L297" s="10"/>
      <x:c r="M297" s="10"/>
      <x:c r="N297" s="5" t="str">
        <x:f>IF(H297="not_checked_here","Сопоставить с проектом",IF(OR(H297="operational",H297="empty_success"),IF(AND(I297&lt;&gt;"",J297&lt;&gt;"",K297&lt;&gt;"",L297&lt;&gt;""),"Доказательства внесены","Дополнить дату / пример / охват"),IF(J297="","Назначить следующий срок","Исход и очередь записаны")))</x:f>
        <x:v>Сопоставить с проектом</x:v>
      </x:c>
    </x:row>
    <x:row r="298" ht="42.75" customHeight="1">
      <x:c r="A298" s="5" t="str">
        <x:v>CU-SRC-0293</x:v>
      </x:c>
      <x:c r="B298" s="5" t="str">
        <x:v>CU-0148</x:v>
      </x:c>
      <x:c r="C298" s="5" t="str">
        <x:v>https://cosmosgroup.ru/about/press/cosmos-hotel-group-i-centr-kompetencij-v-sfere-turizma-i-gostepriimstva-sozdaut-skolu-nastavnikov-po</x:v>
      </x:c>
      <x:c r="D298" s="5" t="n">
        <x:v>1</x:v>
      </x:c>
      <x:c r="E298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98" s="5" t="str">
        <x:v>Сбор публичного HTML/PDF и изменений; сохранять ссылки на документы и их версии</x:v>
      </x:c>
      <x:c r="G298" s="10"/>
      <x:c r="H298" s="10" t="str">
        <x:v>not_checked_here</x:v>
      </x:c>
      <x:c r="I298" s="11"/>
      <x:c r="J298" s="11"/>
      <x:c r="K298" s="10"/>
      <x:c r="L298" s="10"/>
      <x:c r="M298" s="10"/>
      <x:c r="N298" s="5" t="str">
        <x:f>IF(H298="not_checked_here","Сопоставить с проектом",IF(OR(H298="operational",H298="empty_success"),IF(AND(I298&lt;&gt;"",J298&lt;&gt;"",K298&lt;&gt;"",L298&lt;&gt;""),"Доказательства внесены","Дополнить дату / пример / охват"),IF(J298="","Назначить следующий срок","Исход и очередь записаны")))</x:f>
        <x:v>Сопоставить с проектом</x:v>
      </x:c>
    </x:row>
    <x:row r="299" ht="42.75" customHeight="1">
      <x:c r="A299" s="5" t="str">
        <x:v>CU-SRC-0294</x:v>
      </x:c>
      <x:c r="B299" s="5" t="str">
        <x:v>CU-0149</x:v>
      </x:c>
      <x:c r="C299" s="5" t="str">
        <x:v>https://academy-hospitality.ru/</x:v>
      </x:c>
      <x:c r="D299" s="5" t="n">
        <x:v>1</x:v>
      </x:c>
      <x:c r="E299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299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299" s="10"/>
      <x:c r="H299" s="10" t="str">
        <x:v>not_checked_here</x:v>
      </x:c>
      <x:c r="I299" s="11"/>
      <x:c r="J299" s="11"/>
      <x:c r="K299" s="10"/>
      <x:c r="L299" s="10"/>
      <x:c r="M299" s="10"/>
      <x:c r="N299" s="5" t="str">
        <x:f>IF(H299="not_checked_here","Сопоставить с проектом",IF(OR(H299="operational",H299="empty_success"),IF(AND(I299&lt;&gt;"",J299&lt;&gt;"",K299&lt;&gt;"",L299&lt;&gt;""),"Доказательства внесены","Дополнить дату / пример / охват"),IF(J299="","Назначить следующий срок","Исход и очередь записаны")))</x:f>
        <x:v>Сопоставить с проектом</x:v>
      </x:c>
    </x:row>
    <x:row r="300" ht="42.75" customHeight="1">
      <x:c r="A300" s="5" t="str">
        <x:v>CU-SRC-0295</x:v>
      </x:c>
      <x:c r="B300" s="5" t="str">
        <x:v>CU-0149</x:v>
      </x:c>
      <x:c r="C300" s="5" t="str">
        <x:v>https://academy-hospitality.ru/programms</x:v>
      </x:c>
      <x:c r="D300" s="5" t="n">
        <x:v>1</x:v>
      </x:c>
      <x:c r="E300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00" s="5" t="str">
        <x:v>Сбор публичного HTML/PDF и изменений; сохранять ссылки на документы и их версии</x:v>
      </x:c>
      <x:c r="G300" s="10"/>
      <x:c r="H300" s="10" t="str">
        <x:v>not_checked_here</x:v>
      </x:c>
      <x:c r="I300" s="11"/>
      <x:c r="J300" s="11"/>
      <x:c r="K300" s="10"/>
      <x:c r="L300" s="10"/>
      <x:c r="M300" s="10"/>
      <x:c r="N300" s="5" t="str">
        <x:f>IF(H300="not_checked_here","Сопоставить с проектом",IF(OR(H300="operational",H300="empty_success"),IF(AND(I300&lt;&gt;"",J300&lt;&gt;"",K300&lt;&gt;"",L300&lt;&gt;""),"Доказательства внесены","Дополнить дату / пример / охват"),IF(J300="","Назначить следующий срок","Исход и очередь записаны")))</x:f>
        <x:v>Сопоставить с проектом</x:v>
      </x:c>
    </x:row>
    <x:row r="301" ht="42.75" customHeight="1">
      <x:c r="A301" s="5" t="str">
        <x:v>CU-SRC-0296</x:v>
      </x:c>
      <x:c r="B301" s="5" t="str">
        <x:v>CU-0149</x:v>
      </x:c>
      <x:c r="C301" s="5" t="str">
        <x:v>https://academy-hospitality.ru/online-courses</x:v>
      </x:c>
      <x:c r="D301" s="5" t="n">
        <x:v>1</x:v>
      </x:c>
      <x:c r="E301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01" s="5" t="str">
        <x:v>Сбор публичного HTML/PDF и изменений; сохранять ссылки на документы и их версии</x:v>
      </x:c>
      <x:c r="G301" s="10"/>
      <x:c r="H301" s="10" t="str">
        <x:v>not_checked_here</x:v>
      </x:c>
      <x:c r="I301" s="11"/>
      <x:c r="J301" s="11"/>
      <x:c r="K301" s="10"/>
      <x:c r="L301" s="10"/>
      <x:c r="M301" s="10"/>
      <x:c r="N301" s="5" t="str">
        <x:f>IF(H301="not_checked_here","Сопоставить с проектом",IF(OR(H301="operational",H301="empty_success"),IF(AND(I301&lt;&gt;"",J301&lt;&gt;"",K301&lt;&gt;"",L301&lt;&gt;""),"Доказательства внесены","Дополнить дату / пример / охват"),IF(J301="","Назначить следующий срок","Исход и очередь записаны")))</x:f>
        <x:v>Сопоставить с проектом</x:v>
      </x:c>
    </x:row>
    <x:row r="302" ht="42.75" customHeight="1">
      <x:c r="A302" s="5" t="str">
        <x:v>CU-SRC-0297</x:v>
      </x:c>
      <x:c r="B302" s="5" t="str">
        <x:v>CU-0150</x:v>
      </x:c>
      <x:c r="C302" s="5" t="str">
        <x:v>https://edu.gge.ru/</x:v>
      </x:c>
      <x:c r="D302" s="5" t="n">
        <x:v>2</x:v>
      </x:c>
      <x:c r="E302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02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302" s="10"/>
      <x:c r="H302" s="10" t="str">
        <x:v>not_checked_here</x:v>
      </x:c>
      <x:c r="I302" s="11"/>
      <x:c r="J302" s="11"/>
      <x:c r="K302" s="10"/>
      <x:c r="L302" s="10"/>
      <x:c r="M302" s="10"/>
      <x:c r="N302" s="5" t="str">
        <x:f>IF(H302="not_checked_here","Сопоставить с проектом",IF(OR(H302="operational",H302="empty_success"),IF(AND(I302&lt;&gt;"",J302&lt;&gt;"",K302&lt;&gt;"",L302&lt;&gt;""),"Доказательства внесены","Дополнить дату / пример / охват"),IF(J302="","Назначить следующий срок","Исход и очередь записаны")))</x:f>
        <x:v>Сопоставить с проектом</x:v>
      </x:c>
    </x:row>
    <x:row r="303" ht="42.75" customHeight="1">
      <x:c r="A303" s="5" t="str">
        <x:v>CU-SRC-0298</x:v>
      </x:c>
      <x:c r="B303" s="5" t="str">
        <x:v>CU-0151</x:v>
      </x:c>
      <x:c r="C303" s="5" t="str">
        <x:v>https://www.avtoban.ru/company/staff/development/</x:v>
      </x:c>
      <x:c r="D303" s="5" t="n">
        <x:v>1</x:v>
      </x:c>
      <x:c r="E303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03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303" s="10"/>
      <x:c r="H303" s="10" t="str">
        <x:v>not_checked_here</x:v>
      </x:c>
      <x:c r="I303" s="11"/>
      <x:c r="J303" s="11"/>
      <x:c r="K303" s="10"/>
      <x:c r="L303" s="10"/>
      <x:c r="M303" s="10"/>
      <x:c r="N303" s="5" t="str">
        <x:f>IF(H303="not_checked_here","Сопоставить с проектом",IF(OR(H303="operational",H303="empty_success"),IF(AND(I303&lt;&gt;"",J303&lt;&gt;"",K303&lt;&gt;"",L303&lt;&gt;""),"Доказательства внесены","Дополнить дату / пример / охват"),IF(J303="","Назначить следующий срок","Исход и очередь записаны")))</x:f>
        <x:v>Сопоставить с проектом</x:v>
      </x:c>
    </x:row>
    <x:row r="304" ht="42.75" customHeight="1">
      <x:c r="A304" s="5" t="str">
        <x:v>CU-SRC-0299</x:v>
      </x:c>
      <x:c r="B304" s="5" t="str">
        <x:v>CU-0151</x:v>
      </x:c>
      <x:c r="C304" s="5" t="str">
        <x:v>https://www.avtoban.ru/tender/</x:v>
      </x:c>
      <x:c r="D304" s="5" t="n">
        <x:v>1</x:v>
      </x:c>
      <x:c r="E304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04" s="5" t="str">
        <x:v>Сбор публичного HTML/PDF и изменений; сохранять ссылки на документы и их версии</x:v>
      </x:c>
      <x:c r="G304" s="10"/>
      <x:c r="H304" s="10" t="str">
        <x:v>not_checked_here</x:v>
      </x:c>
      <x:c r="I304" s="11"/>
      <x:c r="J304" s="11"/>
      <x:c r="K304" s="10"/>
      <x:c r="L304" s="10"/>
      <x:c r="M304" s="10"/>
      <x:c r="N304" s="5" t="str">
        <x:f>IF(H304="not_checked_here","Сопоставить с проектом",IF(OR(H304="operational",H304="empty_success"),IF(AND(I304&lt;&gt;"",J304&lt;&gt;"",K304&lt;&gt;"",L304&lt;&gt;""),"Доказательства внесены","Дополнить дату / пример / охват"),IF(J304="","Назначить следующий срок","Исход и очередь записаны")))</x:f>
        <x:v>Сопоставить с проектом</x:v>
      </x:c>
    </x:row>
    <x:row r="305" ht="42.75" customHeight="1">
      <x:c r="A305" s="5" t="str">
        <x:v>CU-SRC-0300</x:v>
      </x:c>
      <x:c r="B305" s="5" t="str">
        <x:v>CU-0151</x:v>
      </x:c>
      <x:c r="C305" s="5" t="str">
        <x:v>https://www.avtoban.ru/press/</x:v>
      </x:c>
      <x:c r="D305" s="5" t="n">
        <x:v>1</x:v>
      </x:c>
      <x:c r="E305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05" s="5" t="str">
        <x:v>Сбор публичного HTML/PDF и изменений; сохранять ссылки на документы и их версии</x:v>
      </x:c>
      <x:c r="G305" s="10"/>
      <x:c r="H305" s="10" t="str">
        <x:v>not_checked_here</x:v>
      </x:c>
      <x:c r="I305" s="11"/>
      <x:c r="J305" s="11"/>
      <x:c r="K305" s="10"/>
      <x:c r="L305" s="10"/>
      <x:c r="M305" s="10"/>
      <x:c r="N305" s="5" t="str">
        <x:f>IF(H305="not_checked_here","Сопоставить с проектом",IF(OR(H305="operational",H305="empty_success"),IF(AND(I305&lt;&gt;"",J305&lt;&gt;"",K305&lt;&gt;"",L305&lt;&gt;""),"Доказательства внесены","Дополнить дату / пример / охват"),IF(J305="","Назначить следующий срок","Исход и очередь записаны")))</x:f>
        <x:v>Сопоставить с проектом</x:v>
      </x:c>
    </x:row>
    <x:row r="306" ht="42.75" customHeight="1">
      <x:c r="A306" s="5" t="str">
        <x:v>CU-SRC-0301</x:v>
      </x:c>
      <x:c r="B306" s="5" t="str">
        <x:v>CU-0152</x:v>
      </x:c>
      <x:c r="C306" s="5" t="str">
        <x:v>https://university.scf-group.ru/</x:v>
      </x:c>
      <x:c r="D306" s="5" t="n">
        <x:v>1</x:v>
      </x:c>
      <x:c r="E306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06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306" s="10"/>
      <x:c r="H306" s="10" t="str">
        <x:v>not_checked_here</x:v>
      </x:c>
      <x:c r="I306" s="11"/>
      <x:c r="J306" s="11"/>
      <x:c r="K306" s="10"/>
      <x:c r="L306" s="10"/>
      <x:c r="M306" s="10"/>
      <x:c r="N306" s="5" t="str">
        <x:f>IF(H306="not_checked_here","Сопоставить с проектом",IF(OR(H306="operational",H306="empty_success"),IF(AND(I306&lt;&gt;"",J306&lt;&gt;"",K306&lt;&gt;"",L306&lt;&gt;""),"Доказательства внесены","Дополнить дату / пример / охват"),IF(J306="","Назначить следующий срок","Исход и очередь записаны")))</x:f>
        <x:v>Сопоставить с проектом</x:v>
      </x:c>
    </x:row>
    <x:row r="307" ht="42.75" customHeight="1">
      <x:c r="A307" s="5" t="str">
        <x:v>CU-SRC-0302</x:v>
      </x:c>
      <x:c r="B307" s="5" t="str">
        <x:v>CU-0152</x:v>
      </x:c>
      <x:c r="C307" s="5" t="str">
        <x:v>https://scf-group.ru/career/trainingcentre/st_petersburg/</x:v>
      </x:c>
      <x:c r="D307" s="5" t="n">
        <x:v>1</x:v>
      </x:c>
      <x:c r="E307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07" s="5" t="str">
        <x:v>Сбор публичного HTML/PDF и изменений; сохранять ссылки на документы и их версии</x:v>
      </x:c>
      <x:c r="G307" s="10"/>
      <x:c r="H307" s="10" t="str">
        <x:v>not_checked_here</x:v>
      </x:c>
      <x:c r="I307" s="11"/>
      <x:c r="J307" s="11"/>
      <x:c r="K307" s="10"/>
      <x:c r="L307" s="10"/>
      <x:c r="M307" s="10"/>
      <x:c r="N307" s="5" t="str">
        <x:f>IF(H307="not_checked_here","Сопоставить с проектом",IF(OR(H307="operational",H307="empty_success"),IF(AND(I307&lt;&gt;"",J307&lt;&gt;"",K307&lt;&gt;"",L307&lt;&gt;""),"Доказательства внесены","Дополнить дату / пример / охват"),IF(J307="","Назначить следующий срок","Исход и очередь записаны")))</x:f>
        <x:v>Сопоставить с проектом</x:v>
      </x:c>
    </x:row>
    <x:row r="308" ht="42.75" customHeight="1">
      <x:c r="A308" s="5" t="str">
        <x:v>CU-SRC-0303</x:v>
      </x:c>
      <x:c r="B308" s="5" t="str">
        <x:v>CU-0153</x:v>
      </x:c>
      <x:c r="C308" s="5" t="str">
        <x:v>https://www.sovcomflot.ru/career/trainingcentre/</x:v>
      </x:c>
      <x:c r="D308" s="5" t="n">
        <x:v>3</x:v>
      </x:c>
      <x:c r="E308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08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308" s="10"/>
      <x:c r="H308" s="10" t="str">
        <x:v>not_checked_here</x:v>
      </x:c>
      <x:c r="I308" s="11"/>
      <x:c r="J308" s="11"/>
      <x:c r="K308" s="10"/>
      <x:c r="L308" s="10"/>
      <x:c r="M308" s="10"/>
      <x:c r="N308" s="5" t="str">
        <x:f>IF(H308="not_checked_here","Сопоставить с проектом",IF(OR(H308="operational",H308="empty_success"),IF(AND(I308&lt;&gt;"",J308&lt;&gt;"",K308&lt;&gt;"",L308&lt;&gt;""),"Доказательства внесены","Дополнить дату / пример / охват"),IF(J308="","Назначить следующий срок","Исход и очередь записаны")))</x:f>
        <x:v>Сопоставить с проектом</x:v>
      </x:c>
    </x:row>
    <x:row r="309" ht="42.75" customHeight="1">
      <x:c r="A309" s="5" t="str">
        <x:v>CU-SRC-0304</x:v>
      </x:c>
      <x:c r="B309" s="5" t="str">
        <x:v>CU-0154</x:v>
      </x:c>
      <x:c r="C309" s="5" t="str">
        <x:v>https://sdo.locotech.ru/</x:v>
      </x:c>
      <x:c r="D309" s="5" t="n">
        <x:v>2</x:v>
      </x:c>
      <x:c r="E309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09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309" s="10"/>
      <x:c r="H309" s="10" t="str">
        <x:v>not_checked_here</x:v>
      </x:c>
      <x:c r="I309" s="11"/>
      <x:c r="J309" s="11"/>
      <x:c r="K309" s="10"/>
      <x:c r="L309" s="10"/>
      <x:c r="M309" s="10"/>
      <x:c r="N309" s="5" t="str">
        <x:f>IF(H309="not_checked_here","Сопоставить с проектом",IF(OR(H309="operational",H309="empty_success"),IF(AND(I309&lt;&gt;"",J309&lt;&gt;"",K309&lt;&gt;"",L309&lt;&gt;""),"Доказательства внесены","Дополнить дату / пример / охват"),IF(J309="","Назначить следующий срок","Исход и очередь записаны")))</x:f>
        <x:v>Сопоставить с проектом</x:v>
      </x:c>
    </x:row>
    <x:row r="310" ht="42.75" customHeight="1">
      <x:c r="A310" s="5" t="str">
        <x:v>CU-SRC-0305</x:v>
      </x:c>
      <x:c r="B310" s="5" t="str">
        <x:v>CU-0154</x:v>
      </x:c>
      <x:c r="C310" s="5" t="str">
        <x:v>https://locotech.ru/press-center/news/25551/</x:v>
      </x:c>
      <x:c r="D310" s="5" t="n">
        <x:v>2</x:v>
      </x:c>
      <x:c r="E310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10" s="5" t="str">
        <x:v>Сбор публичного HTML/PDF и изменений; сохранять ссылки на документы и их версии</x:v>
      </x:c>
      <x:c r="G310" s="10"/>
      <x:c r="H310" s="10" t="str">
        <x:v>not_checked_here</x:v>
      </x:c>
      <x:c r="I310" s="11"/>
      <x:c r="J310" s="11"/>
      <x:c r="K310" s="10"/>
      <x:c r="L310" s="10"/>
      <x:c r="M310" s="10"/>
      <x:c r="N310" s="5" t="str">
        <x:f>IF(H310="not_checked_here","Сопоставить с проектом",IF(OR(H310="operational",H310="empty_success"),IF(AND(I310&lt;&gt;"",J310&lt;&gt;"",K310&lt;&gt;"",L310&lt;&gt;""),"Доказательства внесены","Дополнить дату / пример / охват"),IF(J310="","Назначить следующий срок","Исход и очередь записаны")))</x:f>
        <x:v>Сопоставить с проектом</x:v>
      </x:c>
    </x:row>
    <x:row r="311" ht="42.75" customHeight="1">
      <x:c r="A311" s="5" t="str">
        <x:v>CU-SRC-0306</x:v>
      </x:c>
      <x:c r="B311" s="5" t="str">
        <x:v>CU-0154</x:v>
      </x:c>
      <x:c r="C311" s="5" t="str">
        <x:v>https://sdo.locotech.ru/contacts</x:v>
      </x:c>
      <x:c r="D311" s="5" t="n">
        <x:v>2</x:v>
      </x:c>
      <x:c r="E311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11" s="5" t="str">
        <x:v>Сбор публичного HTML/PDF и изменений; сохранять ссылки на документы и их версии</x:v>
      </x:c>
      <x:c r="G311" s="10"/>
      <x:c r="H311" s="10" t="str">
        <x:v>not_checked_here</x:v>
      </x:c>
      <x:c r="I311" s="11"/>
      <x:c r="J311" s="11"/>
      <x:c r="K311" s="10"/>
      <x:c r="L311" s="10"/>
      <x:c r="M311" s="10"/>
      <x:c r="N311" s="5" t="str">
        <x:f>IF(H311="not_checked_here","Сопоставить с проектом",IF(OR(H311="operational",H311="empty_success"),IF(AND(I311&lt;&gt;"",J311&lt;&gt;"",K311&lt;&gt;"",L311&lt;&gt;""),"Доказательства внесены","Дополнить дату / пример / охват"),IF(J311="","Назначить следующий срок","Исход и очередь записаны")))</x:f>
        <x:v>Сопоставить с проектом</x:v>
      </x:c>
    </x:row>
    <x:row r="312" ht="42.75" customHeight="1">
      <x:c r="A312" s="5" t="str">
        <x:v>CU-SRC-0307</x:v>
      </x:c>
      <x:c r="B312" s="5" t="str">
        <x:v>CU-0154</x:v>
      </x:c>
      <x:c r="C312" s="5" t="str">
        <x:v>https://do.locotech.ru/</x:v>
      </x:c>
      <x:c r="D312" s="5" t="n">
        <x:v>2</x:v>
      </x:c>
      <x:c r="E312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12" s="5" t="str">
        <x:v>Сбор публичного HTML/PDF и изменений; сохранять ссылки на документы и их версии</x:v>
      </x:c>
      <x:c r="G312" s="10"/>
      <x:c r="H312" s="10" t="str">
        <x:v>not_checked_here</x:v>
      </x:c>
      <x:c r="I312" s="11"/>
      <x:c r="J312" s="11"/>
      <x:c r="K312" s="10"/>
      <x:c r="L312" s="10"/>
      <x:c r="M312" s="10"/>
      <x:c r="N312" s="5" t="str">
        <x:f>IF(H312="not_checked_here","Сопоставить с проектом",IF(OR(H312="operational",H312="empty_success"),IF(AND(I312&lt;&gt;"",J312&lt;&gt;"",K312&lt;&gt;"",L312&lt;&gt;""),"Доказательства внесены","Дополнить дату / пример / охват"),IF(J312="","Назначить следующий срок","Исход и очередь записаны")))</x:f>
        <x:v>Сопоставить с проектом</x:v>
      </x:c>
    </x:row>
    <x:row r="313" ht="42.75" customHeight="1">
      <x:c r="A313" s="5" t="str">
        <x:v>CU-SRC-0308</x:v>
      </x:c>
      <x:c r="B313" s="5" t="str">
        <x:v>CU-0155</x:v>
      </x:c>
      <x:c r="C313" s="5" t="str">
        <x:v>https://university.hadassah.moscow/</x:v>
      </x:c>
      <x:c r="D313" s="5" t="n">
        <x:v>1</x:v>
      </x:c>
      <x:c r="E313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13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313" s="10"/>
      <x:c r="H313" s="10" t="str">
        <x:v>not_checked_here</x:v>
      </x:c>
      <x:c r="I313" s="11"/>
      <x:c r="J313" s="11"/>
      <x:c r="K313" s="10"/>
      <x:c r="L313" s="10"/>
      <x:c r="M313" s="10"/>
      <x:c r="N313" s="5" t="str">
        <x:f>IF(H313="not_checked_here","Сопоставить с проектом",IF(OR(H313="operational",H313="empty_success"),IF(AND(I313&lt;&gt;"",J313&lt;&gt;"",K313&lt;&gt;"",L313&lt;&gt;""),"Доказательства внесены","Дополнить дату / пример / охват"),IF(J313="","Назначить следующий срок","Исход и очередь записаны")))</x:f>
        <x:v>Сопоставить с проектом</x:v>
      </x:c>
    </x:row>
    <x:row r="314" ht="42.75" customHeight="1">
      <x:c r="A314" s="5" t="str">
        <x:v>CU-SRC-0309</x:v>
      </x:c>
      <x:c r="B314" s="5" t="str">
        <x:v>CU-0155</x:v>
      </x:c>
      <x:c r="C314" s="5" t="str">
        <x:v>https://university.hadassah.moscow/listeners/programmy-obucheniya-dlya-rukovoditelej/</x:v>
      </x:c>
      <x:c r="D314" s="5" t="n">
        <x:v>1</x:v>
      </x:c>
      <x:c r="E314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14" s="5" t="str">
        <x:v>Сбор публичного HTML/PDF и изменений; сохранять ссылки на документы и их версии</x:v>
      </x:c>
      <x:c r="G314" s="10"/>
      <x:c r="H314" s="10" t="str">
        <x:v>not_checked_here</x:v>
      </x:c>
      <x:c r="I314" s="11"/>
      <x:c r="J314" s="11"/>
      <x:c r="K314" s="10"/>
      <x:c r="L314" s="10"/>
      <x:c r="M314" s="10"/>
      <x:c r="N314" s="5" t="str">
        <x:f>IF(H314="not_checked_here","Сопоставить с проектом",IF(OR(H314="operational",H314="empty_success"),IF(AND(I314&lt;&gt;"",J314&lt;&gt;"",K314&lt;&gt;"",L314&lt;&gt;""),"Доказательства внесены","Дополнить дату / пример / охват"),IF(J314="","Назначить следующий срок","Исход и очередь записаны")))</x:f>
        <x:v>Сопоставить с проектом</x:v>
      </x:c>
    </x:row>
    <x:row r="315" ht="42.75" customHeight="1">
      <x:c r="A315" s="5" t="str">
        <x:v>CU-SRC-0310</x:v>
      </x:c>
      <x:c r="B315" s="5" t="str">
        <x:v>CU-0156</x:v>
      </x:c>
      <x:c r="C315" s="5" t="str">
        <x:v>https://www.emc-school.ru/</x:v>
      </x:c>
      <x:c r="D315" s="5" t="n">
        <x:v>2</x:v>
      </x:c>
      <x:c r="E315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15" s="5" t="str">
        <x:v>Публичный HTML/PDF: карта ссылок, дифференциальный сбор, сохранение сырого текста и вложений; внутренние разделы только при разрешённом доступе</x:v>
      </x:c>
      <x:c r="G315" s="10"/>
      <x:c r="H315" s="10" t="str">
        <x:v>not_checked_here</x:v>
      </x:c>
      <x:c r="I315" s="11"/>
      <x:c r="J315" s="11"/>
      <x:c r="K315" s="10"/>
      <x:c r="L315" s="10"/>
      <x:c r="M315" s="10"/>
      <x:c r="N315" s="5" t="str">
        <x:f>IF(H315="not_checked_here","Сопоставить с проектом",IF(OR(H315="operational",H315="empty_success"),IF(AND(I315&lt;&gt;"",J315&lt;&gt;"",K315&lt;&gt;"",L315&lt;&gt;""),"Доказательства внесены","Дополнить дату / пример / охват"),IF(J315="","Назначить следующий срок","Исход и очередь записаны")))</x:f>
        <x:v>Сопоставить с проектом</x:v>
      </x:c>
    </x:row>
    <x:row r="316" ht="42.75" customHeight="1">
      <x:c r="A316" s="5" t="str">
        <x:v>CU-SRC-0311</x:v>
      </x:c>
      <x:c r="B316" s="5" t="str">
        <x:v>CU-0156</x:v>
      </x:c>
      <x:c r="C316" s="5" t="str">
        <x:v>https://www.emc-school.ru/node/3990</x:v>
      </x:c>
      <x:c r="D316" s="5" t="n">
        <x:v>2</x:v>
      </x:c>
      <x:c r="E316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16" s="5" t="str">
        <x:v>Сбор публичного HTML/PDF и изменений; сохранять ссылки на документы и их версии</x:v>
      </x:c>
      <x:c r="G316" s="10"/>
      <x:c r="H316" s="10" t="str">
        <x:v>not_checked_here</x:v>
      </x:c>
      <x:c r="I316" s="11"/>
      <x:c r="J316" s="11"/>
      <x:c r="K316" s="10"/>
      <x:c r="L316" s="10"/>
      <x:c r="M316" s="10"/>
      <x:c r="N316" s="5" t="str">
        <x:f>IF(H316="not_checked_here","Сопоставить с проектом",IF(OR(H316="operational",H316="empty_success"),IF(AND(I316&lt;&gt;"",J316&lt;&gt;"",K316&lt;&gt;"",L316&lt;&gt;""),"Доказательства внесены","Дополнить дату / пример / охват"),IF(J316="","Назначить следующий срок","Исход и очередь записаны")))</x:f>
        <x:v>Сопоставить с проектом</x:v>
      </x:c>
    </x:row>
    <x:row r="317" ht="42.75" customHeight="1">
      <x:c r="A317" s="5" t="str">
        <x:v>CU-SRC-0312</x:v>
      </x:c>
      <x:c r="B317" s="5" t="str">
        <x:v>CU-0156</x:v>
      </x:c>
      <x:c r="C317" s="5" t="str">
        <x:v>https://www.emcmos.ru/for-specialists/</x:v>
      </x:c>
      <x:c r="D317" s="5" t="n">
        <x:v>2</x:v>
      </x:c>
      <x:c r="E317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F317" s="5" t="str">
        <x:v>Сбор публичного HTML/PDF и изменений; сохранять ссылки на документы и их версии</x:v>
      </x:c>
      <x:c r="G317" s="10"/>
      <x:c r="H317" s="10" t="str">
        <x:v>not_checked_here</x:v>
      </x:c>
      <x:c r="I317" s="11"/>
      <x:c r="J317" s="11"/>
      <x:c r="K317" s="10"/>
      <x:c r="L317" s="10"/>
      <x:c r="M317" s="10"/>
      <x:c r="N317" s="5" t="str">
        <x:f>IF(H317="not_checked_here","Сопоставить с проектом",IF(OR(H317="operational",H317="empty_success"),IF(AND(I317&lt;&gt;"",J317&lt;&gt;"",K317&lt;&gt;"",L317&lt;&gt;""),"Доказательства внесены","Дополнить дату / пример / охват"),IF(J317="","Назначить следующий срок","Исход и очередь записаны")))</x:f>
        <x:v>Сопоставить с проектом</x:v>
      </x:c>
    </x:row>
    <x:row r="318" ht="42.75" customHeight="1">
      <x:c r="A318" s="5" t="str">
        <x:v>CU-SRC-0313</x:v>
      </x:c>
      <x:c r="B318" s="5" t="str">
        <x:v>CU-0157</x:v>
      </x:c>
      <x:c r="C318" s="5" t="str">
        <x:v>https://mba.belorusneft.by/</x:v>
      </x:c>
      <x:c r="D318" s="5" t="n">
        <x:v>1</x:v>
      </x:c>
      <x:c r="E318" s="5" t="str">
        <x:v>Изучить текущий календарь курсов, выделить темы МИСБ и выяснить порядок включения внешних экспертов.</x:v>
      </x:c>
      <x:c r="F318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18" s="10"/>
      <x:c r="H318" s="10" t="str">
        <x:v>not_checked_here</x:v>
      </x:c>
      <x:c r="I318" s="11"/>
      <x:c r="J318" s="11"/>
      <x:c r="K318" s="10"/>
      <x:c r="L318" s="10"/>
      <x:c r="M318" s="10"/>
      <x:c r="N318" s="5" t="str">
        <x:f>IF(H318="not_checked_here","Сопоставить с проектом",IF(OR(H318="operational",H318="empty_success"),IF(AND(I318&lt;&gt;"",J318&lt;&gt;"",K318&lt;&gt;"",L318&lt;&gt;""),"Доказательства внесены","Дополнить дату / пример / охват"),IF(J318="","Назначить следующий срок","Исход и очередь записаны")))</x:f>
        <x:v>Сопоставить с проектом</x:v>
      </x:c>
    </x:row>
    <x:row r="319" ht="31.5" customHeight="1">
      <x:c r="A319" s="5" t="str">
        <x:v>CU-SRC-0314</x:v>
      </x:c>
      <x:c r="B319" s="5" t="str">
        <x:v>CU-0157</x:v>
      </x:c>
      <x:c r="C319" s="5" t="str">
        <x:v>https://mba.belorusneft.by/courses?lang=ru</x:v>
      </x:c>
      <x:c r="D319" s="5" t="n">
        <x:v>1</x:v>
      </x:c>
      <x:c r="E319" s="5" t="str">
        <x:v>Изучить текущий календарь курсов, выделить темы МИСБ и выяснить порядок включения внешних экспертов.</x:v>
      </x:c>
      <x:c r="F319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19" s="10"/>
      <x:c r="H319" s="10" t="str">
        <x:v>not_checked_here</x:v>
      </x:c>
      <x:c r="I319" s="11"/>
      <x:c r="J319" s="11"/>
      <x:c r="K319" s="10"/>
      <x:c r="L319" s="10"/>
      <x:c r="M319" s="10"/>
      <x:c r="N319" s="5" t="str">
        <x:f>IF(H319="not_checked_here","Сопоставить с проектом",IF(OR(H319="operational",H319="empty_success"),IF(AND(I319&lt;&gt;"",J319&lt;&gt;"",K319&lt;&gt;"",L319&lt;&gt;""),"Доказательства внесены","Дополнить дату / пример / охват"),IF(J319="","Назначить следующий срок","Исход и очередь записаны")))</x:f>
        <x:v>Сопоставить с проектом</x:v>
      </x:c>
    </x:row>
    <x:row r="320" ht="42.75" customHeight="1">
      <x:c r="A320" s="5" t="str">
        <x:v>CU-SRC-0315</x:v>
      </x:c>
      <x:c r="B320" s="5" t="str">
        <x:v>CU-0158</x:v>
      </x:c>
      <x:c r="C320" s="5" t="str">
        <x:v>https://ecbtg.by/</x:v>
      </x:c>
      <x:c r="D320" s="5" t="n">
        <x:v>2</x:v>
      </x:c>
      <x:c r="E320" s="5" t="str">
        <x:v>Получить актуальный план обучения руководителей и специалистов; отделить бизнес-компетенции от обязательной технической подготовки.</x:v>
      </x:c>
      <x:c r="F320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20" s="10"/>
      <x:c r="H320" s="10" t="str">
        <x:v>not_checked_here</x:v>
      </x:c>
      <x:c r="I320" s="11"/>
      <x:c r="J320" s="11"/>
      <x:c r="K320" s="10"/>
      <x:c r="L320" s="10"/>
      <x:c r="M320" s="10"/>
      <x:c r="N320" s="5" t="str">
        <x:f>IF(H320="not_checked_here","Сопоставить с проектом",IF(OR(H320="operational",H320="empty_success"),IF(AND(I320&lt;&gt;"",J320&lt;&gt;"",K320&lt;&gt;"",L320&lt;&gt;""),"Доказательства внесены","Дополнить дату / пример / охват"),IF(J320="","Назначить следующий срок","Исход и очередь записаны")))</x:f>
        <x:v>Сопоставить с проектом</x:v>
      </x:c>
    </x:row>
    <x:row r="321" ht="42.75" customHeight="1">
      <x:c r="A321" s="5" t="str">
        <x:v>CU-SRC-0316</x:v>
      </x:c>
      <x:c r="B321" s="5" t="str">
        <x:v>CU-0159</x:v>
      </x:c>
      <x:c r="C321" s="5" t="str">
        <x:v>https://xn--90aefa3bijdgk5j.xn--90ais/filials/ucebnyi-centr-podgotovki-personala-energetik</x:v>
      </x:c>
      <x:c r="D321" s="5" t="n">
        <x:v>2</x:v>
      </x:c>
      <x:c r="E321" s="5" t="str">
        <x:v>Разобрать перечень управленческих программ и найти действующий контакт учебно-методической службы.</x:v>
      </x:c>
      <x:c r="F321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21" s="10"/>
      <x:c r="H321" s="10" t="str">
        <x:v>not_checked_here</x:v>
      </x:c>
      <x:c r="I321" s="11"/>
      <x:c r="J321" s="11"/>
      <x:c r="K321" s="10"/>
      <x:c r="L321" s="10"/>
      <x:c r="M321" s="10"/>
      <x:c r="N321" s="5" t="str">
        <x:f>IF(H321="not_checked_here","Сопоставить с проектом",IF(OR(H321="operational",H321="empty_success"),IF(AND(I321&lt;&gt;"",J321&lt;&gt;"",K321&lt;&gt;"",L321&lt;&gt;""),"Доказательства внесены","Дополнить дату / пример / охват"),IF(J321="","Назначить следующий срок","Исход и очередь записаны")))</x:f>
        <x:v>Сопоставить с проектом</x:v>
      </x:c>
    </x:row>
    <x:row r="322" ht="42.75" customHeight="1">
      <x:c r="A322" s="5" t="str">
        <x:v>CU-SRC-0317</x:v>
      </x:c>
      <x:c r="B322" s="5" t="str">
        <x:v>CU-0160</x:v>
      </x:c>
      <x:c r="C322" s="5" t="str">
        <x:v>https://energo.grodno.by/</x:v>
      </x:c>
      <x:c r="D322" s="5" t="n">
        <x:v>2</x:v>
      </x:c>
      <x:c r="E322" s="5" t="str">
        <x:v>Найти глубокую страницу учебного центра и актуальный план обучения; затем настроить мониторинг публикаций.</x:v>
      </x:c>
      <x:c r="F322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22" s="10"/>
      <x:c r="H322" s="10" t="str">
        <x:v>not_checked_here</x:v>
      </x:c>
      <x:c r="I322" s="11"/>
      <x:c r="J322" s="11"/>
      <x:c r="K322" s="10"/>
      <x:c r="L322" s="10"/>
      <x:c r="M322" s="10"/>
      <x:c r="N322" s="5" t="str">
        <x:f>IF(H322="not_checked_here","Сопоставить с проектом",IF(OR(H322="operational",H322="empty_success"),IF(AND(I322&lt;&gt;"",J322&lt;&gt;"",K322&lt;&gt;"",L322&lt;&gt;""),"Доказательства внесены","Дополнить дату / пример / охват"),IF(J322="","Назначить следующий срок","Исход и очередь записаны")))</x:f>
        <x:v>Сопоставить с проектом</x:v>
      </x:c>
    </x:row>
    <x:row r="323" ht="31.5" customHeight="1">
      <x:c r="A323" s="5" t="str">
        <x:v>CU-SRC-0318</x:v>
      </x:c>
      <x:c r="B323" s="5" t="str">
        <x:v>CU-0160</x:v>
      </x:c>
      <x:c r="C323" s="5" t="str">
        <x:v>https://t.me/s/grodnoenergo_official/6524</x:v>
      </x:c>
      <x:c r="D323" s="5" t="n">
        <x:v>2</x:v>
      </x:c>
      <x:c r="E323" s="5" t="str">
        <x:v>Найти глубокую страницу учебного центра и актуальный план обучения; затем настроить мониторинг публикаций.</x:v>
      </x:c>
      <x:c r="F323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23" s="10"/>
      <x:c r="H323" s="10" t="str">
        <x:v>not_checked_here</x:v>
      </x:c>
      <x:c r="I323" s="11"/>
      <x:c r="J323" s="11"/>
      <x:c r="K323" s="10"/>
      <x:c r="L323" s="10"/>
      <x:c r="M323" s="10"/>
      <x:c r="N323" s="5" t="str">
        <x:f>IF(H323="not_checked_here","Сопоставить с проектом",IF(OR(H323="operational",H323="empty_success"),IF(AND(I323&lt;&gt;"",J323&lt;&gt;"",K323&lt;&gt;"",L323&lt;&gt;""),"Доказательства внесены","Дополнить дату / пример / охват"),IF(J323="","Назначить следующий срок","Исход и очередь записаны")))</x:f>
        <x:v>Сопоставить с проектом</x:v>
      </x:c>
    </x:row>
    <x:row r="324" ht="42.75" customHeight="1">
      <x:c r="A324" s="5" t="str">
        <x:v>CU-SRC-0319</x:v>
      </x:c>
      <x:c r="B324" s="5" t="str">
        <x:v>CU-0161</x:v>
      </x:c>
      <x:c r="C324" s="5" t="str">
        <x:v>https://gomelenergo.by/</x:v>
      </x:c>
      <x:c r="D324" s="5" t="n">
        <x:v>2</x:v>
      </x:c>
      <x:c r="E324" s="5" t="str">
        <x:v>Проверить актуальную страницу филиала и план подготовки руководителей.</x:v>
      </x:c>
      <x:c r="F324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24" s="10"/>
      <x:c r="H324" s="10" t="str">
        <x:v>not_checked_here</x:v>
      </x:c>
      <x:c r="I324" s="11"/>
      <x:c r="J324" s="11"/>
      <x:c r="K324" s="10"/>
      <x:c r="L324" s="10"/>
      <x:c r="M324" s="10"/>
      <x:c r="N324" s="5" t="str">
        <x:f>IF(H324="not_checked_here","Сопоставить с проектом",IF(OR(H324="operational",H324="empty_success"),IF(AND(I324&lt;&gt;"",J324&lt;&gt;"",K324&lt;&gt;"",L324&lt;&gt;""),"Доказательства внесены","Дополнить дату / пример / охват"),IF(J324="","Назначить следующий срок","Исход и очередь записаны")))</x:f>
        <x:v>Сопоставить с проектом</x:v>
      </x:c>
    </x:row>
    <x:row r="325" ht="31.5" customHeight="1">
      <x:c r="A325" s="5" t="str">
        <x:v>CU-SRC-0320</x:v>
      </x:c>
      <x:c r="B325" s="5" t="str">
        <x:v>CU-0161</x:v>
      </x:c>
      <x:c r="C325" s="5" t="str">
        <x:v>https://t.me/s/gomelenergo_by?after=3474</x:v>
      </x:c>
      <x:c r="D325" s="5" t="n">
        <x:v>2</x:v>
      </x:c>
      <x:c r="E325" s="5" t="str">
        <x:v>Проверить актуальную страницу филиала и план подготовки руководителей.</x:v>
      </x:c>
      <x:c r="F325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25" s="10"/>
      <x:c r="H325" s="10" t="str">
        <x:v>not_checked_here</x:v>
      </x:c>
      <x:c r="I325" s="11"/>
      <x:c r="J325" s="11"/>
      <x:c r="K325" s="10"/>
      <x:c r="L325" s="10"/>
      <x:c r="M325" s="10"/>
      <x:c r="N325" s="5" t="str">
        <x:f>IF(H325="not_checked_here","Сопоставить с проектом",IF(OR(H325="operational",H325="empty_success"),IF(AND(I325&lt;&gt;"",J325&lt;&gt;"",K325&lt;&gt;"",L325&lt;&gt;""),"Доказательства внесены","Дополнить дату / пример / охват"),IF(J325="","Назначить следующий срок","Исход и очередь записаны")))</x:f>
        <x:v>Сопоставить с проектом</x:v>
      </x:c>
    </x:row>
    <x:row r="326" ht="42.75" customHeight="1">
      <x:c r="A326" s="5" t="str">
        <x:v>CU-SRC-0321</x:v>
      </x:c>
      <x:c r="B326" s="5" t="str">
        <x:v>CU-0162</x:v>
      </x:c>
      <x:c r="C326" s="5" t="str">
        <x:v>https://www.vitebsk.energo.by/o-predpriyatii/filials/uchebnyi-tsentr/</x:v>
      </x:c>
      <x:c r="D326" s="5" t="n">
        <x:v>2</x:v>
      </x:c>
      <x:c r="E326" s="5" t="str">
        <x:v>Подключить официальные процедуры закупок; отдельно классифицировать образовательные и инженерные услуги центра.</x:v>
      </x:c>
      <x:c r="F326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26" s="10"/>
      <x:c r="H326" s="10" t="str">
        <x:v>not_checked_here</x:v>
      </x:c>
      <x:c r="I326" s="11"/>
      <x:c r="J326" s="11"/>
      <x:c r="K326" s="10"/>
      <x:c r="L326" s="10"/>
      <x:c r="M326" s="10"/>
      <x:c r="N326" s="5" t="str">
        <x:f>IF(H326="not_checked_here","Сопоставить с проектом",IF(OR(H326="operational",H326="empty_success"),IF(AND(I326&lt;&gt;"",J326&lt;&gt;"",K326&lt;&gt;"",L326&lt;&gt;""),"Доказательства внесены","Дополнить дату / пример / охват"),IF(J326="","Назначить следующий срок","Исход и очередь записаны")))</x:f>
        <x:v>Сопоставить с проектом</x:v>
      </x:c>
    </x:row>
    <x:row r="327" ht="31.5" customHeight="1">
      <x:c r="A327" s="5" t="str">
        <x:v>CU-SRC-0322</x:v>
      </x:c>
      <x:c r="B327" s="5" t="str">
        <x:v>CU-0162</x:v>
      </x:c>
      <x:c r="C327" s="5" t="str">
        <x:v>https://www.vitebsk.energo.by/deyatelnost/zakupki/procedury-zakupok/</x:v>
      </x:c>
      <x:c r="D327" s="5" t="n">
        <x:v>2</x:v>
      </x:c>
      <x:c r="E327" s="5" t="str">
        <x:v>Подключить официальные процедуры закупок; отдельно классифицировать образовательные и инженерные услуги центра.</x:v>
      </x:c>
      <x:c r="F327" s="5" t="str">
        <x:v>Проверять дважды в неделю; извлекать предмет, срок, требования и ссылку на первичный документ. Архив хранить отдельно от активных приглашений.</x:v>
      </x:c>
      <x:c r="G327" s="10"/>
      <x:c r="H327" s="10" t="str">
        <x:v>not_checked_here</x:v>
      </x:c>
      <x:c r="I327" s="11"/>
      <x:c r="J327" s="11"/>
      <x:c r="K327" s="10"/>
      <x:c r="L327" s="10"/>
      <x:c r="M327" s="10"/>
      <x:c r="N327" s="5" t="str">
        <x:f>IF(H327="not_checked_here","Сопоставить с проектом",IF(OR(H327="operational",H327="empty_success"),IF(AND(I327&lt;&gt;"",J327&lt;&gt;"",K327&lt;&gt;"",L327&lt;&gt;""),"Доказательства внесены","Дополнить дату / пример / охват"),IF(J327="","Назначить следующий срок","Исход и очередь записаны")))</x:f>
        <x:v>Сопоставить с проектом</x:v>
      </x:c>
    </x:row>
    <x:row r="328" ht="42.75" customHeight="1">
      <x:c r="A328" s="5" t="str">
        <x:v>CU-SRC-0323</x:v>
      </x:c>
      <x:c r="B328" s="5" t="str">
        <x:v>CU-0163</x:v>
      </x:c>
      <x:c r="C328" s="5" t="str">
        <x:v>https://mogilev.energo.by/</x:v>
      </x:c>
      <x:c r="D328" s="5" t="n">
        <x:v>3</x:v>
      </x:c>
      <x:c r="E328" s="5" t="str">
        <x:v>Перепроверить актуальное организационное подчинение и действующий самостоятельный учебный центр.</x:v>
      </x:c>
      <x:c r="F328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28" s="10"/>
      <x:c r="H328" s="10" t="str">
        <x:v>not_checked_here</x:v>
      </x:c>
      <x:c r="I328" s="11"/>
      <x:c r="J328" s="11"/>
      <x:c r="K328" s="10"/>
      <x:c r="L328" s="10"/>
      <x:c r="M328" s="10"/>
      <x:c r="N328" s="5" t="str">
        <x:f>IF(H328="not_checked_here","Сопоставить с проектом",IF(OR(H328="operational",H328="empty_success"),IF(AND(I328&lt;&gt;"",J328&lt;&gt;"",K328&lt;&gt;"",L328&lt;&gt;""),"Доказательства внесены","Дополнить дату / пример / охват"),IF(J328="","Назначить следующий срок","Исход и очередь записаны")))</x:f>
        <x:v>Сопоставить с проектом</x:v>
      </x:c>
    </x:row>
    <x:row r="329" ht="31.5" customHeight="1">
      <x:c r="A329" s="5" t="str">
        <x:v>CU-SRC-0324</x:v>
      </x:c>
      <x:c r="B329" s="5" t="str">
        <x:v>CU-0163</x:v>
      </x:c>
      <x:c r="C329" s="5" t="str">
        <x:v>https://mogilev.energo.by/about/zakupki-tovarov-rabot-uslug.php</x:v>
      </x:c>
      <x:c r="D329" s="5" t="n">
        <x:v>3</x:v>
      </x:c>
      <x:c r="E329" s="5" t="str">
        <x:v>Перепроверить актуальное организационное подчинение и действующий самостоятельный учебный центр.</x:v>
      </x:c>
      <x:c r="F329" s="5" t="str">
        <x:v>Проверять дважды в неделю; извлекать предмет, срок, требования и ссылку на первичный документ. Архив хранить отдельно от активных приглашений.</x:v>
      </x:c>
      <x:c r="G329" s="10"/>
      <x:c r="H329" s="10" t="str">
        <x:v>not_checked_here</x:v>
      </x:c>
      <x:c r="I329" s="11"/>
      <x:c r="J329" s="11"/>
      <x:c r="K329" s="10"/>
      <x:c r="L329" s="10"/>
      <x:c r="M329" s="10"/>
      <x:c r="N329" s="5" t="str">
        <x:f>IF(H329="not_checked_here","Сопоставить с проектом",IF(OR(H329="operational",H329="empty_success"),IF(AND(I329&lt;&gt;"",J329&lt;&gt;"",K329&lt;&gt;"",L329&lt;&gt;""),"Доказательства внесены","Дополнить дату / пример / охват"),IF(J329="","Назначить следующий срок","Исход и очередь записаны")))</x:f>
        <x:v>Сопоставить с проектом</x:v>
      </x:c>
    </x:row>
    <x:row r="330" ht="42.75" customHeight="1">
      <x:c r="A330" s="5" t="str">
        <x:v>CU-SRC-0325</x:v>
      </x:c>
      <x:c r="B330" s="5" t="str">
        <x:v>CU-0164</x:v>
      </x:c>
      <x:c r="C330" s="5" t="str">
        <x:v>https://web.minskenergo.by/filialy/uchebnyj-tsentr/obrazovatelnye-uslugi/</x:v>
      </x:c>
      <x:c r="D330" s="5" t="n">
        <x:v>2</x:v>
      </x:c>
      <x:c r="E330" s="5" t="str">
        <x:v>Сопоставить календарь учебного центра с разделом закупок, найти темы для внешнего преподавателя.</x:v>
      </x:c>
      <x:c r="F330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30" s="10"/>
      <x:c r="H330" s="10" t="str">
        <x:v>not_checked_here</x:v>
      </x:c>
      <x:c r="I330" s="11"/>
      <x:c r="J330" s="11"/>
      <x:c r="K330" s="10"/>
      <x:c r="L330" s="10"/>
      <x:c r="M330" s="10"/>
      <x:c r="N330" s="5" t="str">
        <x:f>IF(H330="not_checked_here","Сопоставить с проектом",IF(OR(H330="operational",H330="empty_success"),IF(AND(I330&lt;&gt;"",J330&lt;&gt;"",K330&lt;&gt;"",L330&lt;&gt;""),"Доказательства внесены","Дополнить дату / пример / охват"),IF(J330="","Назначить следующий срок","Исход и очередь записаны")))</x:f>
        <x:v>Сопоставить с проектом</x:v>
      </x:c>
    </x:row>
    <x:row r="331" ht="31.5" customHeight="1">
      <x:c r="A331" s="5" t="str">
        <x:v>CU-SRC-0326</x:v>
      </x:c>
      <x:c r="B331" s="5" t="str">
        <x:v>CU-0164</x:v>
      </x:c>
      <x:c r="C331" s="5" t="str">
        <x:v>https://web.minskenergo.by/zakupki/</x:v>
      </x:c>
      <x:c r="D331" s="5" t="n">
        <x:v>2</x:v>
      </x:c>
      <x:c r="E331" s="5" t="str">
        <x:v>Сопоставить календарь учебного центра с разделом закупок, найти темы для внешнего преподавателя.</x:v>
      </x:c>
      <x:c r="F331" s="5" t="str">
        <x:v>Проверять дважды в неделю; извлекать предмет, срок, требования и ссылку на первичный документ. Архив хранить отдельно от активных приглашений.</x:v>
      </x:c>
      <x:c r="G331" s="10"/>
      <x:c r="H331" s="10" t="str">
        <x:v>not_checked_here</x:v>
      </x:c>
      <x:c r="I331" s="11"/>
      <x:c r="J331" s="11"/>
      <x:c r="K331" s="10"/>
      <x:c r="L331" s="10"/>
      <x:c r="M331" s="10"/>
      <x:c r="N331" s="5" t="str">
        <x:f>IF(H331="not_checked_here","Сопоставить с проектом",IF(OR(H331="operational",H331="empty_success"),IF(AND(I331&lt;&gt;"",J331&lt;&gt;"",K331&lt;&gt;"",L331&lt;&gt;""),"Доказательства внесены","Дополнить дату / пример / охват"),IF(J331="","Назначить следующий срок","Исход и очередь записаны")))</x:f>
        <x:v>Сопоставить с проектом</x:v>
      </x:c>
    </x:row>
    <x:row r="332" ht="42.75" customHeight="1">
      <x:c r="A332" s="5" t="str">
        <x:v>CU-SRC-0327</x:v>
      </x:c>
      <x:c r="B332" s="5" t="str">
        <x:v>CU-0165</x:v>
      </x:c>
      <x:c r="C332" s="5" t="str">
        <x:v>https://gazinstitut.by/</x:v>
      </x:c>
      <x:c r="D332" s="5" t="n">
        <x:v>1</x:v>
      </x:c>
      <x:c r="E332" s="5" t="str">
        <x:v>Сопоставить управленческую линейку с экспертами МИСБ; проверить порядок привлечения внешних преподавателей.</x:v>
      </x:c>
      <x:c r="F332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32" s="10"/>
      <x:c r="H332" s="10" t="str">
        <x:v>not_checked_here</x:v>
      </x:c>
      <x:c r="I332" s="11"/>
      <x:c r="J332" s="11"/>
      <x:c r="K332" s="10"/>
      <x:c r="L332" s="10"/>
      <x:c r="M332" s="10"/>
      <x:c r="N332" s="5" t="str">
        <x:f>IF(H332="not_checked_here","Сопоставить с проектом",IF(OR(H332="operational",H332="empty_success"),IF(AND(I332&lt;&gt;"",J332&lt;&gt;"",K332&lt;&gt;"",L332&lt;&gt;""),"Доказательства внесены","Дополнить дату / пример / охват"),IF(J332="","Назначить следующий срок","Исход и очередь записаны")))</x:f>
        <x:v>Сопоставить с проектом</x:v>
      </x:c>
    </x:row>
    <x:row r="333" ht="31.5" customHeight="1">
      <x:c r="A333" s="5" t="str">
        <x:v>CU-SRC-0328</x:v>
      </x:c>
      <x:c r="B333" s="5" t="str">
        <x:v>CU-0165</x:v>
      </x:c>
      <x:c r="C333" s="5" t="str">
        <x:v>https://gazinstitut.by/moreaboutus/</x:v>
      </x:c>
      <x:c r="D333" s="5" t="n">
        <x:v>1</x:v>
      </x:c>
      <x:c r="E333" s="5" t="str">
        <x:v>Сопоставить управленческую линейку с экспертами МИСБ; проверить порядок привлечения внешних преподавателей.</x:v>
      </x:c>
      <x:c r="F333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33" s="10"/>
      <x:c r="H333" s="10" t="str">
        <x:v>not_checked_here</x:v>
      </x:c>
      <x:c r="I333" s="11"/>
      <x:c r="J333" s="11"/>
      <x:c r="K333" s="10"/>
      <x:c r="L333" s="10"/>
      <x:c r="M333" s="10"/>
      <x:c r="N333" s="5" t="str">
        <x:f>IF(H333="not_checked_here","Сопоставить с проектом",IF(OR(H333="operational",H333="empty_success"),IF(AND(I333&lt;&gt;"",J333&lt;&gt;"",K333&lt;&gt;"",L333&lt;&gt;""),"Доказательства внесены","Дополнить дату / пример / охват"),IF(J333="","Назначить следующий срок","Исход и очередь записаны")))</x:f>
        <x:v>Сопоставить с проектом</x:v>
      </x:c>
    </x:row>
    <x:row r="334" ht="42.75" customHeight="1">
      <x:c r="A334" s="5" t="str">
        <x:v>CU-SRC-0329</x:v>
      </x:c>
      <x:c r="B334" s="5" t="str">
        <x:v>CU-0166</x:v>
      </x:c>
      <x:c r="C334" s="5" t="str">
        <x:v>https://www.rw.by/corporate/structure/dorozhnij_centr_po_podgotovke_perepodgot/</x:v>
      </x:c>
      <x:c r="D334" s="5" t="n">
        <x:v>2</x:v>
      </x:c>
      <x:c r="E334" s="5" t="str">
        <x:v>Собрать страницы подразделений и общий план управленческой подготовки, объединяя записи по одному центру.</x:v>
      </x:c>
      <x:c r="F334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34" s="10"/>
      <x:c r="H334" s="10" t="str">
        <x:v>not_checked_here</x:v>
      </x:c>
      <x:c r="I334" s="11"/>
      <x:c r="J334" s="11"/>
      <x:c r="K334" s="10"/>
      <x:c r="L334" s="10"/>
      <x:c r="M334" s="10"/>
      <x:c r="N334" s="5" t="str">
        <x:f>IF(H334="not_checked_here","Сопоставить с проектом",IF(OR(H334="operational",H334="empty_success"),IF(AND(I334&lt;&gt;"",J334&lt;&gt;"",K334&lt;&gt;"",L334&lt;&gt;""),"Доказательства внесены","Дополнить дату / пример / охват"),IF(J334="","Назначить следующий срок","Исход и очередь записаны")))</x:f>
        <x:v>Сопоставить с проектом</x:v>
      </x:c>
    </x:row>
    <x:row r="335" ht="31.5" customHeight="1">
      <x:c r="A335" s="5" t="str">
        <x:v>CU-SRC-0330</x:v>
      </x:c>
      <x:c r="B335" s="5" t="str">
        <x:v>CU-0166</x:v>
      </x:c>
      <x:c r="C335" s="5" t="str">
        <x:v>https://www.rw.by/corporate/structure/dorozhnij_centr_po_podgotovke_perepodgot/baranovichskoe_podrazdelenie_dorozhnogo/</x:v>
      </x:c>
      <x:c r="D335" s="5" t="n">
        <x:v>2</x:v>
      </x:c>
      <x:c r="E335" s="5" t="str">
        <x:v>Собрать страницы подразделений и общий план управленческой подготовки, объединяя записи по одному центру.</x:v>
      </x:c>
      <x:c r="F335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35" s="10"/>
      <x:c r="H335" s="10" t="str">
        <x:v>not_checked_here</x:v>
      </x:c>
      <x:c r="I335" s="11"/>
      <x:c r="J335" s="11"/>
      <x:c r="K335" s="10"/>
      <x:c r="L335" s="10"/>
      <x:c r="M335" s="10"/>
      <x:c r="N335" s="5" t="str">
        <x:f>IF(H335="not_checked_here","Сопоставить с проектом",IF(OR(H335="operational",H335="empty_success"),IF(AND(I335&lt;&gt;"",J335&lt;&gt;"",K335&lt;&gt;"",L335&lt;&gt;""),"Доказательства внесены","Дополнить дату / пример / охват"),IF(J335="","Назначить следующий срок","Исход и очередь записаны")))</x:f>
        <x:v>Сопоставить с проектом</x:v>
      </x:c>
    </x:row>
    <x:row r="336" ht="42.75" customHeight="1">
      <x:c r="A336" s="5" t="str">
        <x:v>CU-SRC-0331</x:v>
      </x:c>
      <x:c r="B336" s="5" t="str">
        <x:v>CU-0167</x:v>
      </x:c>
      <x:c r="C336" s="5" t="str">
        <x:v>https://www.instituteiba.by/</x:v>
      </x:c>
      <x:c r="D336" s="5" t="n">
        <x:v>1</x:v>
      </x:c>
      <x:c r="E336" s="5" t="str">
        <x:v>Проверить текущую связь с группой и список преподавательских потребностей, предложить конкретную тему.</x:v>
      </x:c>
      <x:c r="F336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36" s="10"/>
      <x:c r="H336" s="10" t="str">
        <x:v>not_checked_here</x:v>
      </x:c>
      <x:c r="I336" s="11"/>
      <x:c r="J336" s="11"/>
      <x:c r="K336" s="10"/>
      <x:c r="L336" s="10"/>
      <x:c r="M336" s="10"/>
      <x:c r="N336" s="5" t="str">
        <x:f>IF(H336="not_checked_here","Сопоставить с проектом",IF(OR(H336="operational",H336="empty_success"),IF(AND(I336&lt;&gt;"",J336&lt;&gt;"",K336&lt;&gt;"",L336&lt;&gt;""),"Доказательства внесены","Дополнить дату / пример / охват"),IF(J336="","Назначить следующий срок","Исход и очередь записаны")))</x:f>
        <x:v>Сопоставить с проектом</x:v>
      </x:c>
    </x:row>
    <x:row r="337" ht="31.5" customHeight="1">
      <x:c r="A337" s="5" t="str">
        <x:v>CU-SRC-0332</x:v>
      </x:c>
      <x:c r="B337" s="5" t="str">
        <x:v>CU-0167</x:v>
      </x:c>
      <x:c r="C337" s="5" t="str">
        <x:v>https://www.instituteiba.by/about/</x:v>
      </x:c>
      <x:c r="D337" s="5" t="n">
        <x:v>1</x:v>
      </x:c>
      <x:c r="E337" s="5" t="str">
        <x:v>Проверить текущую связь с группой и список преподавательских потребностей, предложить конкретную тему.</x:v>
      </x:c>
      <x:c r="F337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37" s="10"/>
      <x:c r="H337" s="10" t="str">
        <x:v>not_checked_here</x:v>
      </x:c>
      <x:c r="I337" s="11"/>
      <x:c r="J337" s="11"/>
      <x:c r="K337" s="10"/>
      <x:c r="L337" s="10"/>
      <x:c r="M337" s="10"/>
      <x:c r="N337" s="5" t="str">
        <x:f>IF(H337="not_checked_here","Сопоставить с проектом",IF(OR(H337="operational",H337="empty_success"),IF(AND(I337&lt;&gt;"",J337&lt;&gt;"",K337&lt;&gt;"",L337&lt;&gt;""),"Доказательства внесены","Дополнить дату / пример / охват"),IF(J337="","Назначить следующий срок","Исход и очередь записаны")))</x:f>
        <x:v>Сопоставить с проектом</x:v>
      </x:c>
    </x:row>
    <x:row r="338" ht="31.5" customHeight="1">
      <x:c r="A338" s="5" t="str">
        <x:v>CU-SRC-0333</x:v>
      </x:c>
      <x:c r="B338" s="5" t="str">
        <x:v>CU-0167</x:v>
      </x:c>
      <x:c r="C338" s="5" t="str">
        <x:v>https://www.instituteiba.by/about/learning/</x:v>
      </x:c>
      <x:c r="D338" s="5" t="n">
        <x:v>1</x:v>
      </x:c>
      <x:c r="E338" s="5" t="str">
        <x:v>Проверить текущую связь с группой и список преподавательских потребностей, предложить конкретную тему.</x:v>
      </x:c>
      <x:c r="F338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38" s="10"/>
      <x:c r="H338" s="10" t="str">
        <x:v>not_checked_here</x:v>
      </x:c>
      <x:c r="I338" s="11"/>
      <x:c r="J338" s="11"/>
      <x:c r="K338" s="10"/>
      <x:c r="L338" s="10"/>
      <x:c r="M338" s="10"/>
      <x:c r="N338" s="5" t="str">
        <x:f>IF(H338="not_checked_here","Сопоставить с проектом",IF(OR(H338="operational",H338="empty_success"),IF(AND(I338&lt;&gt;"",J338&lt;&gt;"",K338&lt;&gt;"",L338&lt;&gt;""),"Доказательства внесены","Дополнить дату / пример / охват"),IF(J338="","Назначить следующий срок","Исход и очередь записаны")))</x:f>
        <x:v>Сопоставить с проектом</x:v>
      </x:c>
    </x:row>
    <x:row r="339" ht="42.75" customHeight="1">
      <x:c r="A339" s="5" t="str">
        <x:v>CU-SRC-0334</x:v>
      </x:c>
      <x:c r="B339" s="5" t="str">
        <x:v>CU-0168</x:v>
      </x:c>
      <x:c r="C339" s="5" t="str">
        <x:v>https://www.itransition.com/careers/training</x:v>
      </x:c>
      <x:c r="D339" s="5" t="n">
        <x:v>2</x:v>
      </x:c>
      <x:c r="E339" s="5" t="str">
        <x:v>Проверить текущую белорусскую географию центра и потребность в нетехнических модулях.</x:v>
      </x:c>
      <x:c r="F339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39" s="10"/>
      <x:c r="H339" s="10" t="str">
        <x:v>not_checked_here</x:v>
      </x:c>
      <x:c r="I339" s="11"/>
      <x:c r="J339" s="11"/>
      <x:c r="K339" s="10"/>
      <x:c r="L339" s="10"/>
      <x:c r="M339" s="10"/>
      <x:c r="N339" s="5" t="str">
        <x:f>IF(H339="not_checked_here","Сопоставить с проектом",IF(OR(H339="operational",H339="empty_success"),IF(AND(I339&lt;&gt;"",J339&lt;&gt;"",K339&lt;&gt;"",L339&lt;&gt;""),"Доказательства внесены","Дополнить дату / пример / охват"),IF(J339="","Назначить следующий срок","Исход и очередь записаны")))</x:f>
        <x:v>Сопоставить с проектом</x:v>
      </x:c>
    </x:row>
    <x:row r="340" ht="42.75" customHeight="1">
      <x:c r="A340" s="5" t="str">
        <x:v>CU-SRC-0335</x:v>
      </x:c>
      <x:c r="B340" s="5" t="str">
        <x:v>CU-0169</x:v>
      </x:c>
      <x:c r="C340" s="5" t="str">
        <x:v>https://issoft.by/training-center/</x:v>
      </x:c>
      <x:c r="D340" s="5" t="n">
        <x:v>2</x:v>
      </x:c>
      <x:c r="E340" s="5" t="str">
        <x:v>Разделить открытые школы для новичков и внутреннюю подготовку руководителей, проверить внешний преподавательский контур.</x:v>
      </x:c>
      <x:c r="F340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40" s="10"/>
      <x:c r="H340" s="10" t="str">
        <x:v>not_checked_here</x:v>
      </x:c>
      <x:c r="I340" s="11"/>
      <x:c r="J340" s="11"/>
      <x:c r="K340" s="10"/>
      <x:c r="L340" s="10"/>
      <x:c r="M340" s="10"/>
      <x:c r="N340" s="5" t="str">
        <x:f>IF(H340="not_checked_here","Сопоставить с проектом",IF(OR(H340="operational",H340="empty_success"),IF(AND(I340&lt;&gt;"",J340&lt;&gt;"",K340&lt;&gt;"",L340&lt;&gt;""),"Доказательства внесены","Дополнить дату / пример / охват"),IF(J340="","Назначить следующий срок","Исход и очередь записаны")))</x:f>
        <x:v>Сопоставить с проектом</x:v>
      </x:c>
    </x:row>
    <x:row r="341" ht="31.5" customHeight="1">
      <x:c r="A341" s="5" t="str">
        <x:v>CU-SRC-0336</x:v>
      </x:c>
      <x:c r="B341" s="5" t="str">
        <x:v>CU-0169</x:v>
      </x:c>
      <x:c r="C341" s="5" t="str">
        <x:v>https://issoft.by/school-of-development/</x:v>
      </x:c>
      <x:c r="D341" s="5" t="n">
        <x:v>2</x:v>
      </x:c>
      <x:c r="E341" s="5" t="str">
        <x:v>Разделить открытые школы для новичков и внутреннюю подготовку руководителей, проверить внешний преподавательский контур.</x:v>
      </x:c>
      <x:c r="F341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41" s="10"/>
      <x:c r="H341" s="10" t="str">
        <x:v>not_checked_here</x:v>
      </x:c>
      <x:c r="I341" s="11"/>
      <x:c r="J341" s="11"/>
      <x:c r="K341" s="10"/>
      <x:c r="L341" s="10"/>
      <x:c r="M341" s="10"/>
      <x:c r="N341" s="5" t="str">
        <x:f>IF(H341="not_checked_here","Сопоставить с проектом",IF(OR(H341="operational",H341="empty_success"),IF(AND(I341&lt;&gt;"",J341&lt;&gt;"",K341&lt;&gt;"",L341&lt;&gt;""),"Доказательства внесены","Дополнить дату / пример / охват"),IF(J341="","Назначить следующий срок","Исход и очередь записаны")))</x:f>
        <x:v>Сопоставить с проектом</x:v>
      </x:c>
    </x:row>
    <x:row r="342" ht="42.75" customHeight="1">
      <x:c r="A342" s="5" t="str">
        <x:v>CU-SRC-0337</x:v>
      </x:c>
      <x:c r="B342" s="5" t="str">
        <x:v>CU-0170</x:v>
      </x:c>
      <x:c r="C342" s="5" t="str">
        <x:v>https://alutech-group.com/cis-ru/diler-rva/publikacii/novosti/obnovlen-uchebnyy-portal/</x:v>
      </x:c>
      <x:c r="D342" s="5" t="n">
        <x:v>2</x:v>
      </x:c>
      <x:c r="E342" s="5" t="str">
        <x:v>Найти действующий адрес портала и владельца обучения; проверить, продолжает ли использоваться бренд КУ.</x:v>
      </x:c>
      <x:c r="F342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42" s="10"/>
      <x:c r="H342" s="10" t="str">
        <x:v>not_checked_here</x:v>
      </x:c>
      <x:c r="I342" s="11"/>
      <x:c r="J342" s="11"/>
      <x:c r="K342" s="10"/>
      <x:c r="L342" s="10"/>
      <x:c r="M342" s="10"/>
      <x:c r="N342" s="5" t="str">
        <x:f>IF(H342="not_checked_here","Сопоставить с проектом",IF(OR(H342="operational",H342="empty_success"),IF(AND(I342&lt;&gt;"",J342&lt;&gt;"",K342&lt;&gt;"",L342&lt;&gt;""),"Доказательства внесены","Дополнить дату / пример / охват"),IF(J342="","Назначить следующий срок","Исход и очередь записаны")))</x:f>
        <x:v>Сопоставить с проектом</x:v>
      </x:c>
    </x:row>
    <x:row r="343" ht="31.5" customHeight="1">
      <x:c r="A343" s="5" t="str">
        <x:v>CU-SRC-0338</x:v>
      </x:c>
      <x:c r="B343" s="5" t="str">
        <x:v>CU-0170</x:v>
      </x:c>
      <x:c r="C343" s="5" t="str">
        <x:v>https://alutech-group.com/cis-ru/inzhenerno-tekhnicheskij-czentr/uchebnyj-czentr/</x:v>
      </x:c>
      <x:c r="D343" s="5" t="n">
        <x:v>2</x:v>
      </x:c>
      <x:c r="E343" s="5" t="str">
        <x:v>Найти действующий адрес портала и владельца обучения; проверить, продолжает ли использоваться бренд КУ.</x:v>
      </x:c>
      <x:c r="F343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43" s="10"/>
      <x:c r="H343" s="10" t="str">
        <x:v>not_checked_here</x:v>
      </x:c>
      <x:c r="I343" s="11"/>
      <x:c r="J343" s="11"/>
      <x:c r="K343" s="10"/>
      <x:c r="L343" s="10"/>
      <x:c r="M343" s="10"/>
      <x:c r="N343" s="5" t="str">
        <x:f>IF(H343="not_checked_here","Сопоставить с проектом",IF(OR(H343="operational",H343="empty_success"),IF(AND(I343&lt;&gt;"",J343&lt;&gt;"",K343&lt;&gt;"",L343&lt;&gt;""),"Доказательства внесены","Дополнить дату / пример / охват"),IF(J343="","Назначить следующий срок","Исход и очередь записаны")))</x:f>
        <x:v>Сопоставить с проектом</x:v>
      </x:c>
    </x:row>
    <x:row r="344" ht="42.75" customHeight="1">
      <x:c r="A344" s="5" t="str">
        <x:v>CU-SRC-0339</x:v>
      </x:c>
      <x:c r="B344" s="5" t="str">
        <x:v>CU-0171</x:v>
      </x:c>
      <x:c r="C344" s="5" t="str">
        <x:v>https://www.a-100.by/group-of-companies/</x:v>
      </x:c>
      <x:c r="D344" s="5" t="n">
        <x:v>1</x:v>
      </x:c>
      <x:c r="E344" s="5" t="str">
        <x:v>Найти самостоятельную страницу академии и текущую программу, уточнить формат привлечения тренеров.</x:v>
      </x:c>
      <x:c r="F344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44" s="10"/>
      <x:c r="H344" s="10" t="str">
        <x:v>not_checked_here</x:v>
      </x:c>
      <x:c r="I344" s="11"/>
      <x:c r="J344" s="11"/>
      <x:c r="K344" s="10"/>
      <x:c r="L344" s="10"/>
      <x:c r="M344" s="10"/>
      <x:c r="N344" s="5" t="str">
        <x:f>IF(H344="not_checked_here","Сопоставить с проектом",IF(OR(H344="operational",H344="empty_success"),IF(AND(I344&lt;&gt;"",J344&lt;&gt;"",K344&lt;&gt;"",L344&lt;&gt;""),"Доказательства внесены","Дополнить дату / пример / охват"),IF(J344="","Назначить следующий срок","Исход и очередь записаны")))</x:f>
        <x:v>Сопоставить с проектом</x:v>
      </x:c>
    </x:row>
    <x:row r="345" ht="42.75" customHeight="1">
      <x:c r="A345" s="5" t="str">
        <x:v>CU-SRC-0340</x:v>
      </x:c>
      <x:c r="B345" s="5" t="str">
        <x:v>CU-0172</x:v>
      </x:c>
      <x:c r="C345" s="5" t="str">
        <x:v>https://www.belapb.by/about/karera-v-banke/razvitie-personala/</x:v>
      </x:c>
      <x:c r="D345" s="5" t="n">
        <x:v>1</x:v>
      </x:c>
      <x:c r="E345" s="5" t="str">
        <x:v>Определить текущий календарь программ и процедуру отбора внешних экспертов.</x:v>
      </x:c>
      <x:c r="F345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45" s="10"/>
      <x:c r="H345" s="10" t="str">
        <x:v>not_checked_here</x:v>
      </x:c>
      <x:c r="I345" s="11"/>
      <x:c r="J345" s="11"/>
      <x:c r="K345" s="10"/>
      <x:c r="L345" s="10"/>
      <x:c r="M345" s="10"/>
      <x:c r="N345" s="5" t="str">
        <x:f>IF(H345="not_checked_here","Сопоставить с проектом",IF(OR(H345="operational",H345="empty_success"),IF(AND(I345&lt;&gt;"",J345&lt;&gt;"",K345&lt;&gt;"",L345&lt;&gt;""),"Доказательства внесены","Дополнить дату / пример / охват"),IF(J345="","Назначить следующий срок","Исход и очередь записаны")))</x:f>
        <x:v>Сопоставить с проектом</x:v>
      </x:c>
    </x:row>
    <x:row r="346" ht="42.75" customHeight="1">
      <x:c r="A346" s="5" t="str">
        <x:v>CU-SRC-0341</x:v>
      </x:c>
      <x:c r="B346" s="5" t="str">
        <x:v>CU-0173</x:v>
      </x:c>
      <x:c r="C346" s="5" t="str">
        <x:v>https://m.belaz.by/services/training/</x:v>
      </x:c>
      <x:c r="D346" s="5" t="n">
        <x:v>3</x:v>
      </x:c>
      <x:c r="E346" s="5" t="str">
        <x:v>Уточнить заказчика обучения сервисной сети и наличие управленческих/методических потребностей.</x:v>
      </x:c>
      <x:c r="F346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46" s="10"/>
      <x:c r="H346" s="10" t="str">
        <x:v>not_checked_here</x:v>
      </x:c>
      <x:c r="I346" s="11"/>
      <x:c r="J346" s="11"/>
      <x:c r="K346" s="10"/>
      <x:c r="L346" s="10"/>
      <x:c r="M346" s="10"/>
      <x:c r="N346" s="5" t="str">
        <x:f>IF(H346="not_checked_here","Сопоставить с проектом",IF(OR(H346="operational",H346="empty_success"),IF(AND(I346&lt;&gt;"",J346&lt;&gt;"",K346&lt;&gt;"",L346&lt;&gt;""),"Доказательства внесены","Дополнить дату / пример / охват"),IF(J346="","Назначить следующий срок","Исход и очередь записаны")))</x:f>
        <x:v>Сопоставить с проектом</x:v>
      </x:c>
    </x:row>
    <x:row r="347" ht="42.75" customHeight="1">
      <x:c r="A347" s="5" t="str">
        <x:v>CU-SRC-0342</x:v>
      </x:c>
      <x:c r="B347" s="5" t="str">
        <x:v>CU-0174</x:v>
      </x:c>
      <x:c r="C347" s="5" t="str">
        <x:v>https://metallurg.belsteel.com/?p=17054</x:v>
      </x:c>
      <x:c r="D347" s="5" t="n">
        <x:v>2</x:v>
      </x:c>
      <x:c r="E347" s="5" t="str">
        <x:v>Проверить текущие программы для руководителей и специалистов, не смешивать их с рабочими профессиями.</x:v>
      </x:c>
      <x:c r="F347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47" s="10"/>
      <x:c r="H347" s="10" t="str">
        <x:v>not_checked_here</x:v>
      </x:c>
      <x:c r="I347" s="11"/>
      <x:c r="J347" s="11"/>
      <x:c r="K347" s="10"/>
      <x:c r="L347" s="10"/>
      <x:c r="M347" s="10"/>
      <x:c r="N347" s="5" t="str">
        <x:f>IF(H347="not_checked_here","Сопоставить с проектом",IF(OR(H347="operational",H347="empty_success"),IF(AND(I347&lt;&gt;"",J347&lt;&gt;"",K347&lt;&gt;"",L347&lt;&gt;""),"Доказательства внесены","Дополнить дату / пример / охват"),IF(J347="","Назначить следующий срок","Исход и очередь записаны")))</x:f>
        <x:v>Сопоставить с проектом</x:v>
      </x:c>
    </x:row>
    <x:row r="348" ht="31.5" customHeight="1">
      <x:c r="A348" s="5" t="str">
        <x:v>CU-SRC-0343</x:v>
      </x:c>
      <x:c r="B348" s="5" t="str">
        <x:v>CU-0174</x:v>
      </x:c>
      <x:c r="C348" s="5" t="str">
        <x:v>https://belsteel.com/press/novosti.php?id=1761</x:v>
      </x:c>
      <x:c r="D348" s="5" t="n">
        <x:v>2</x:v>
      </x:c>
      <x:c r="E348" s="5" t="str">
        <x:v>Проверить текущие программы для руководителей и специалистов, не смешивать их с рабочими профессиями.</x:v>
      </x:c>
      <x:c r="F348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48" s="10"/>
      <x:c r="H348" s="10" t="str">
        <x:v>not_checked_here</x:v>
      </x:c>
      <x:c r="I348" s="11"/>
      <x:c r="J348" s="11"/>
      <x:c r="K348" s="10"/>
      <x:c r="L348" s="10"/>
      <x:c r="M348" s="10"/>
      <x:c r="N348" s="5" t="str">
        <x:f>IF(H348="not_checked_here","Сопоставить с проектом",IF(OR(H348="operational",H348="empty_success"),IF(AND(I348&lt;&gt;"",J348&lt;&gt;"",K348&lt;&gt;"",L348&lt;&gt;""),"Доказательства внесены","Дополнить дату / пример / охват"),IF(J348="","Назначить следующий срок","Исход и очередь записаны")))</x:f>
        <x:v>Сопоставить с проектом</x:v>
      </x:c>
    </x:row>
    <x:row r="349" ht="42.75" customHeight="1">
      <x:c r="A349" s="5" t="str">
        <x:v>CU-SRC-0344</x:v>
      </x:c>
      <x:c r="B349" s="5" t="str">
        <x:v>CU-0175</x:v>
      </x:c>
      <x:c r="C349" s="5" t="str">
        <x:v>https://www.nbrb.by/branches/educenter</x:v>
      </x:c>
      <x:c r="D349" s="5" t="n">
        <x:v>1</x:v>
      </x:c>
      <x:c r="E349" s="5" t="str">
        <x:v>Первым подключить мониторинг раздела приглашений; извлекать дедлайн, тему, адрес подачи и требования, не считать архивный документ действующим.</x:v>
      </x:c>
      <x:c r="F349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49" s="10"/>
      <x:c r="H349" s="10" t="str">
        <x:v>not_checked_here</x:v>
      </x:c>
      <x:c r="I349" s="11"/>
      <x:c r="J349" s="11"/>
      <x:c r="K349" s="10"/>
      <x:c r="L349" s="10"/>
      <x:c r="M349" s="10"/>
      <x:c r="N349" s="5" t="str">
        <x:f>IF(H349="not_checked_here","Сопоставить с проектом",IF(OR(H349="operational",H349="empty_success"),IF(AND(I349&lt;&gt;"",J349&lt;&gt;"",K349&lt;&gt;"",L349&lt;&gt;""),"Доказательства внесены","Дополнить дату / пример / охват"),IF(J349="","Назначить следующий срок","Исход и очередь записаны")))</x:f>
        <x:v>Сопоставить с проектом</x:v>
      </x:c>
    </x:row>
    <x:row r="350" ht="31.5" customHeight="1">
      <x:c r="A350" s="5" t="str">
        <x:v>CU-SRC-0345</x:v>
      </x:c>
      <x:c r="B350" s="5" t="str">
        <x:v>CU-0175</x:v>
      </x:c>
      <x:c r="C350" s="5" t="str">
        <x:v>https://www.nbrb.by/info/education</x:v>
      </x:c>
      <x:c r="D350" s="5" t="n">
        <x:v>1</x:v>
      </x:c>
      <x:c r="E350" s="5" t="str">
        <x:v>Первым подключить мониторинг раздела приглашений; извлекать дедлайн, тему, адрес подачи и требования, не считать архивный документ действующим.</x:v>
      </x:c>
      <x:c r="F350" s="5" t="str">
        <x:v>Проверять дважды в неделю; извлекать предмет, срок, требования и ссылку на первичный документ. Архив хранить отдельно от активных приглашений.</x:v>
      </x:c>
      <x:c r="G350" s="10"/>
      <x:c r="H350" s="10" t="str">
        <x:v>not_checked_here</x:v>
      </x:c>
      <x:c r="I350" s="11"/>
      <x:c r="J350" s="11"/>
      <x:c r="K350" s="10"/>
      <x:c r="L350" s="10"/>
      <x:c r="M350" s="10"/>
      <x:c r="N350" s="5" t="str">
        <x:f>IF(H350="not_checked_here","Сопоставить с проектом",IF(OR(H350="operational",H350="empty_success"),IF(AND(I350&lt;&gt;"",J350&lt;&gt;"",K350&lt;&gt;"",L350&lt;&gt;""),"Доказательства внесены","Дополнить дату / пример / охват"),IF(J350="","Назначить следующий срок","Исход и очередь записаны")))</x:f>
        <x:v>Сопоставить с проектом</x:v>
      </x:c>
    </x:row>
    <x:row r="351" ht="42.75" customHeight="1">
      <x:c r="A351" s="5" t="str">
        <x:v>CU-SRC-0346</x:v>
      </x:c>
      <x:c r="B351" s="5" t="str">
        <x:v>CU-0176</x:v>
      </x:c>
      <x:c r="C351" s="5" t="str">
        <x:v>https://www.mtz-td.ru/educatcenter</x:v>
      </x:c>
      <x:c r="D351" s="5" t="n">
        <x:v>3</x:v>
      </x:c>
      <x:c r="E351" s="5" t="str">
        <x:v>Найти актуальную страницу центра на сайте завода и текущий план, проверить возможность нетехнического модуля.</x:v>
      </x:c>
      <x:c r="F351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51" s="10"/>
      <x:c r="H351" s="10" t="str">
        <x:v>not_checked_here</x:v>
      </x:c>
      <x:c r="I351" s="11"/>
      <x:c r="J351" s="11"/>
      <x:c r="K351" s="10"/>
      <x:c r="L351" s="10"/>
      <x:c r="M351" s="10"/>
      <x:c r="N351" s="5" t="str">
        <x:f>IF(H351="not_checked_here","Сопоставить с проектом",IF(OR(H351="operational",H351="empty_success"),IF(AND(I351&lt;&gt;"",J351&lt;&gt;"",K351&lt;&gt;"",L351&lt;&gt;""),"Доказательства внесены","Дополнить дату / пример / охват"),IF(J351="","Назначить следующий срок","Исход и очередь записаны")))</x:f>
        <x:v>Сопоставить с проектом</x:v>
      </x:c>
    </x:row>
    <x:row r="352" ht="31.5" customHeight="1">
      <x:c r="A352" s="5" t="str">
        <x:v>CU-SRC-0347</x:v>
      </x:c>
      <x:c r="B352" s="5" t="str">
        <x:v>CU-0176</x:v>
      </x:c>
      <x:c r="C352" s="5" t="str">
        <x:v>https://belarus-tractor.com/mtz/company/servis/</x:v>
      </x:c>
      <x:c r="D352" s="5" t="n">
        <x:v>3</x:v>
      </x:c>
      <x:c r="E352" s="5" t="str">
        <x:v>Найти актуальную страницу центра на сайте завода и текущий план, проверить возможность нетехнического модуля.</x:v>
      </x:c>
      <x:c r="F352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52" s="10"/>
      <x:c r="H352" s="10" t="str">
        <x:v>not_checked_here</x:v>
      </x:c>
      <x:c r="I352" s="11"/>
      <x:c r="J352" s="11"/>
      <x:c r="K352" s="10"/>
      <x:c r="L352" s="10"/>
      <x:c r="M352" s="10"/>
      <x:c r="N352" s="5" t="str">
        <x:f>IF(H352="not_checked_here","Сопоставить с проектом",IF(OR(H352="operational",H352="empty_success"),IF(AND(I352&lt;&gt;"",J352&lt;&gt;"",K352&lt;&gt;"",L352&lt;&gt;""),"Доказательства внесены","Дополнить дату / пример / охват"),IF(J352="","Назначить следующий срок","Исход и очередь записаны")))</x:f>
        <x:v>Сопоставить с проектом</x:v>
      </x:c>
    </x:row>
    <x:row r="353" ht="42.75" customHeight="1">
      <x:c r="A353" s="5" t="str">
        <x:v>CU-SRC-0348</x:v>
      </x:c>
      <x:c r="B353" s="5" t="str">
        <x:v>CU-0177</x:v>
      </x:c>
      <x:c r="C353" s="5" t="str">
        <x:v>https://beltuv.by/uc/</x:v>
      </x:c>
      <x:c r="D353" s="5" t="n">
        <x:v>2</x:v>
      </x:c>
      <x:c r="E353" s="5" t="str">
        <x:v>Просмотреть вакансии и программы руководителей, отделив подтвержденный внешний спрос от продвижения собственных курсов.</x:v>
      </x:c>
      <x:c r="F353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53" s="10"/>
      <x:c r="H353" s="10" t="str">
        <x:v>not_checked_here</x:v>
      </x:c>
      <x:c r="I353" s="11"/>
      <x:c r="J353" s="11"/>
      <x:c r="K353" s="10"/>
      <x:c r="L353" s="10"/>
      <x:c r="M353" s="10"/>
      <x:c r="N353" s="5" t="str">
        <x:f>IF(H353="not_checked_here","Сопоставить с проектом",IF(OR(H353="operational",H353="empty_success"),IF(AND(I353&lt;&gt;"",J353&lt;&gt;"",K353&lt;&gt;"",L353&lt;&gt;""),"Доказательства внесены","Дополнить дату / пример / охват"),IF(J353="","Назначить следующий срок","Исход и очередь записаны")))</x:f>
        <x:v>Сопоставить с проектом</x:v>
      </x:c>
    </x:row>
    <x:row r="354" ht="31.5" customHeight="1">
      <x:c r="A354" s="5" t="str">
        <x:v>CU-SRC-0349</x:v>
      </x:c>
      <x:c r="B354" s="5" t="str">
        <x:v>CU-0177</x:v>
      </x:c>
      <x:c r="C354" s="5" t="str">
        <x:v>https://beltuv.by/vakansii</x:v>
      </x:c>
      <x:c r="D354" s="5" t="n">
        <x:v>2</x:v>
      </x:c>
      <x:c r="E354" s="5" t="str">
        <x:v>Просмотреть вакансии и программы руководителей, отделив подтвержденный внешний спрос от продвижения собственных курсов.</x:v>
      </x:c>
      <x:c r="F354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54" s="10"/>
      <x:c r="H354" s="10" t="str">
        <x:v>not_checked_here</x:v>
      </x:c>
      <x:c r="I354" s="11"/>
      <x:c r="J354" s="11"/>
      <x:c r="K354" s="10"/>
      <x:c r="L354" s="10"/>
      <x:c r="M354" s="10"/>
      <x:c r="N354" s="5" t="str">
        <x:f>IF(H354="not_checked_here","Сопоставить с проектом",IF(OR(H354="operational",H354="empty_success"),IF(AND(I354&lt;&gt;"",J354&lt;&gt;"",K354&lt;&gt;"",L354&lt;&gt;""),"Доказательства внесены","Дополнить дату / пример / охват"),IF(J354="","Назначить следующий срок","Исход и очередь записаны")))</x:f>
        <x:v>Сопоставить с проектом</x:v>
      </x:c>
    </x:row>
    <x:row r="355" ht="31.5" customHeight="1">
      <x:c r="A355" s="5" t="str">
        <x:v>CU-SRC-0350</x:v>
      </x:c>
      <x:c r="B355" s="5" t="str">
        <x:v>CU-0177</x:v>
      </x:c>
      <x:c r="C355" s="5" t="str">
        <x:v>https://beltuv.by/uc/obuchayushhie-kursy</x:v>
      </x:c>
      <x:c r="D355" s="5" t="n">
        <x:v>2</x:v>
      </x:c>
      <x:c r="E355" s="5" t="str">
        <x:v>Просмотреть вакансии и программы руководителей, отделив подтвержденный внешний спрос от продвижения собственных курсов.</x:v>
      </x:c>
      <x:c r="F355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55" s="10"/>
      <x:c r="H355" s="10" t="str">
        <x:v>not_checked_here</x:v>
      </x:c>
      <x:c r="I355" s="11"/>
      <x:c r="J355" s="11"/>
      <x:c r="K355" s="10"/>
      <x:c r="L355" s="10"/>
      <x:c r="M355" s="10"/>
      <x:c r="N355" s="5" t="str">
        <x:f>IF(H355="not_checked_here","Сопоставить с проектом",IF(OR(H355="operational",H355="empty_success"),IF(AND(I355&lt;&gt;"",J355&lt;&gt;"",K355&lt;&gt;"",L355&lt;&gt;""),"Доказательства внесены","Дополнить дату / пример / охват"),IF(J355="","Назначить следующий срок","Исход и очередь записаны")))</x:f>
        <x:v>Сопоставить с проектом</x:v>
      </x:c>
    </x:row>
    <x:row r="356" ht="42.75" customHeight="1">
      <x:c r="A356" s="5" t="str">
        <x:v>CU-SRC-0351</x:v>
      </x:c>
      <x:c r="B356" s="5" t="str">
        <x:v>CU-0178</x:v>
      </x:c>
      <x:c r="C356" s="5" t="str">
        <x:v>https://icao.airport.by/</x:v>
      </x:c>
      <x:c r="D356" s="5" t="n">
        <x:v>2</x:v>
      </x:c>
      <x:c r="E356" s="5" t="str">
        <x:v>Сопоставить расписание с темами МИСБ и уточнить возможности приглашенного преподавателя.</x:v>
      </x:c>
      <x:c r="F356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56" s="10"/>
      <x:c r="H356" s="10" t="str">
        <x:v>not_checked_here</x:v>
      </x:c>
      <x:c r="I356" s="11"/>
      <x:c r="J356" s="11"/>
      <x:c r="K356" s="10"/>
      <x:c r="L356" s="10"/>
      <x:c r="M356" s="10"/>
      <x:c r="N356" s="5" t="str">
        <x:f>IF(H356="not_checked_here","Сопоставить с проектом",IF(OR(H356="operational",H356="empty_success"),IF(AND(I356&lt;&gt;"",J356&lt;&gt;"",K356&lt;&gt;"",L356&lt;&gt;""),"Доказательства внесены","Дополнить дату / пример / охват"),IF(J356="","Назначить следующий срок","Исход и очередь записаны")))</x:f>
        <x:v>Сопоставить с проектом</x:v>
      </x:c>
    </x:row>
    <x:row r="357" ht="31.5" customHeight="1">
      <x:c r="A357" s="5" t="str">
        <x:v>CU-SRC-0352</x:v>
      </x:c>
      <x:c r="B357" s="5" t="str">
        <x:v>CU-0178</x:v>
      </x:c>
      <x:c r="C357" s="5" t="str">
        <x:v>https://icao.airport.by/schedule</x:v>
      </x:c>
      <x:c r="D357" s="5" t="n">
        <x:v>2</x:v>
      </x:c>
      <x:c r="E357" s="5" t="str">
        <x:v>Сопоставить расписание с темами МИСБ и уточнить возможности приглашенного преподавателя.</x:v>
      </x:c>
      <x:c r="F357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57" s="10"/>
      <x:c r="H357" s="10" t="str">
        <x:v>not_checked_here</x:v>
      </x:c>
      <x:c r="I357" s="11"/>
      <x:c r="J357" s="11"/>
      <x:c r="K357" s="10"/>
      <x:c r="L357" s="10"/>
      <x:c r="M357" s="10"/>
      <x:c r="N357" s="5" t="str">
        <x:f>IF(H357="not_checked_here","Сопоставить с проектом",IF(OR(H357="operational",H357="empty_success"),IF(AND(I357&lt;&gt;"",J357&lt;&gt;"",K357&lt;&gt;"",L357&lt;&gt;""),"Доказательства внесены","Дополнить дату / пример / охват"),IF(J357="","Назначить следующий срок","Исход и очередь записаны")))</x:f>
        <x:v>Сопоставить с проектом</x:v>
      </x:c>
    </x:row>
    <x:row r="358" ht="31.5" customHeight="1">
      <x:c r="A358" s="5" t="str">
        <x:v>CU-SRC-0353</x:v>
      </x:c>
      <x:c r="B358" s="5" t="str">
        <x:v>CU-0178</x:v>
      </x:c>
      <x:c r="C358" s="5" t="str">
        <x:v>https://icao.airport.by/contacts</x:v>
      </x:c>
      <x:c r="D358" s="5" t="n">
        <x:v>2</x:v>
      </x:c>
      <x:c r="E358" s="5" t="str">
        <x:v>Сопоставить расписание с темами МИСБ и уточнить возможности приглашенного преподавателя.</x:v>
      </x:c>
      <x:c r="F358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58" s="10"/>
      <x:c r="H358" s="10" t="str">
        <x:v>not_checked_here</x:v>
      </x:c>
      <x:c r="I358" s="11"/>
      <x:c r="J358" s="11"/>
      <x:c r="K358" s="10"/>
      <x:c r="L358" s="10"/>
      <x:c r="M358" s="10"/>
      <x:c r="N358" s="5" t="str">
        <x:f>IF(H358="not_checked_here","Сопоставить с проектом",IF(OR(H358="operational",H358="empty_success"),IF(AND(I358&lt;&gt;"",J358&lt;&gt;"",K358&lt;&gt;"",L358&lt;&gt;""),"Доказательства внесены","Дополнить дату / пример / охват"),IF(J358="","Назначить следующий срок","Исход и очередь записаны")))</x:f>
        <x:v>Сопоставить с проектом</x:v>
      </x:c>
    </x:row>
    <x:row r="359" ht="42.75" customHeight="1">
      <x:c r="A359" s="5" t="str">
        <x:v>CU-SRC-0354</x:v>
      </x:c>
      <x:c r="B359" s="5" t="str">
        <x:v>CU-0179</x:v>
      </x:c>
      <x:c r="C359" s="5" t="str">
        <x:v>https://belaes.by/ru/obrazovatelnaya-deyatelnost.html</x:v>
      </x:c>
      <x:c r="D359" s="5" t="n">
        <x:v>2</x:v>
      </x:c>
      <x:c r="E359" s="5" t="str">
        <x:v>Прочитать план руководителей и специалистов и выяснить актуальные нетехнические потребности.</x:v>
      </x:c>
      <x:c r="F359" s="5" t="str">
        <x:v>Еженедельно читать публичную страницу и извлекать изменения текста; сохранять URL, дату обнаружения и короткое доказательство. Затем расширить обход по наблюдаемым ссылкам.</x:v>
      </x:c>
      <x:c r="G359" s="10"/>
      <x:c r="H359" s="10" t="str">
        <x:v>not_checked_here</x:v>
      </x:c>
      <x:c r="I359" s="11"/>
      <x:c r="J359" s="11"/>
      <x:c r="K359" s="10"/>
      <x:c r="L359" s="10"/>
      <x:c r="M359" s="10"/>
      <x:c r="N359" s="5" t="str">
        <x:f>IF(H359="not_checked_here","Сопоставить с проектом",IF(OR(H359="operational",H359="empty_success"),IF(AND(I359&lt;&gt;"",J359&lt;&gt;"",K359&lt;&gt;"",L359&lt;&gt;""),"Доказательства внесены","Дополнить дату / пример / охват"),IF(J359="","Назначить следующий срок","Исход и очередь записаны")))</x:f>
        <x:v>Сопоставить с проектом</x:v>
      </x:c>
    </x:row>
    <x:row r="360" ht="31.5" customHeight="1">
      <x:c r="A360" s="5" t="str">
        <x:v>CU-SRC-0355</x:v>
      </x:c>
      <x:c r="B360" s="5" t="str">
        <x:v>CU-0179</x:v>
      </x:c>
      <x:c r="C360" s="5" t="str">
        <x:v>https://belaes.by/ru/obrazovatelnaya-deyatelnost/kontakty-utts.html</x:v>
      </x:c>
      <x:c r="D360" s="5" t="n">
        <x:v>2</x:v>
      </x:c>
      <x:c r="E360" s="5" t="str">
        <x:v>Прочитать план руководителей и специалистов и выяснить актуальные нетехнические потребности.</x:v>
      </x:c>
      <x:c r="F360" s="5" t="str">
        <x:v>Еженедельно проверять новые публикации и изменения; переносить подтвержденные потребности в отдельный реестр лидов.</x:v>
      </x:c>
      <x:c r="G360" s="10"/>
      <x:c r="H360" s="10" t="str">
        <x:v>not_checked_here</x:v>
      </x:c>
      <x:c r="I360" s="11"/>
      <x:c r="J360" s="11"/>
      <x:c r="K360" s="10"/>
      <x:c r="L360" s="10"/>
      <x:c r="M360" s="10"/>
      <x:c r="N360" s="5" t="str">
        <x:f>IF(H360="not_checked_here","Сопоставить с проектом",IF(OR(H360="operational",H360="empty_success"),IF(AND(I360&lt;&gt;"",J360&lt;&gt;"",K360&lt;&gt;"",L360&lt;&gt;""),"Доказательства внесены","Дополнить дату / пример / охват"),IF(J360="","Назначить следующий срок","Исход и очередь записаны")))</x:f>
        <x:v>Сопоставить с проектом</x:v>
      </x:c>
    </x:row>
    <x:row r="361" ht="42.75" customHeight="1">
      <x:c r="A361" s="5" t="str">
        <x:v>CU-SRC-0356</x:v>
      </x:c>
      <x:c r="B361" s="5" t="str">
        <x:v>CU-0180</x:v>
      </x:c>
      <x:c r="C361" s="5" t="str">
        <x:v>https://maz.by/media/news/2022/04/18/vladimir-semashko-posetil-maz</x:v>
      </x:c>
      <x:c r="D361" s="5" t="n">
        <x:v>3</x:v>
      </x:c>
      <x:c r="E361" s="5" t="str">
        <x:v>Проверить учредительную принадлежность, постоянную команду, программу взрослых сотрудников и актуальное состояние; при подтверждении перенести в основной реестр.</x:v>
      </x:c>
      <x:c r="F361" s="5" t="str">
        <x:v>Повторно прочитать первичный документ; найти свежую корпоративную страницу и доказательство принадлежности.</x:v>
      </x:c>
      <x:c r="G361" s="10"/>
      <x:c r="H361" s="10" t="str">
        <x:v>not_checked_here</x:v>
      </x:c>
      <x:c r="I361" s="11"/>
      <x:c r="J361" s="11"/>
      <x:c r="K361" s="10"/>
      <x:c r="L361" s="10"/>
      <x:c r="M361" s="10"/>
      <x:c r="N361" s="5" t="str">
        <x:f>IF(H361="not_checked_here","Сопоставить с проектом",IF(OR(H361="operational",H361="empty_success"),IF(AND(I361&lt;&gt;"",J361&lt;&gt;"",K361&lt;&gt;"",L361&lt;&gt;""),"Доказательства внесены","Дополнить дату / пример / охват"),IF(J361="","Назначить следующий срок","Исход и очередь записаны")))</x:f>
        <x:v>Сопоставить с проектом</x:v>
      </x:c>
    </x:row>
    <x:row r="362" ht="31.5" customHeight="1">
      <x:c r="A362" s="5" t="str">
        <x:v>CU-SRC-0357</x:v>
      </x:c>
      <x:c r="B362" s="5" t="str">
        <x:v>CU-0181</x:v>
      </x:c>
      <x:c r="C362" s="5" t="str">
        <x:v>https://gazeta.naftan.by/mastera-svoego-dela</x:v>
      </x:c>
      <x:c r="D362" s="5" t="n">
        <x:v>3</x:v>
      </x:c>
      <x:c r="E362" s="5" t="str">
        <x:v>Прочитать публикацию полностью, установить какое предприятие владеет упомянутым центром; не считать подтвержденным центром Нафтана по сниппету.</x:v>
      </x:c>
      <x:c r="F362" s="5" t="str">
        <x:v>Повторно прочитать первичный документ; найти свежую корпоративную страницу и доказательство принадлежности.</x:v>
      </x:c>
      <x:c r="G362" s="10"/>
      <x:c r="H362" s="10" t="str">
        <x:v>not_checked_here</x:v>
      </x:c>
      <x:c r="I362" s="11"/>
      <x:c r="J362" s="11"/>
      <x:c r="K362" s="10"/>
      <x:c r="L362" s="10"/>
      <x:c r="M362" s="10"/>
      <x:c r="N362" s="5" t="str">
        <x:f>IF(H362="not_checked_here","Сопоставить с проектом",IF(OR(H362="operational",H362="empty_success"),IF(AND(I362&lt;&gt;"",J362&lt;&gt;"",K362&lt;&gt;"",L362&lt;&gt;""),"Доказательства внесены","Дополнить дату / пример / охват"),IF(J362="","Назначить следующий срок","Исход и очередь записаны")))</x:f>
        <x:v>Сопоставить с проектом</x:v>
      </x:c>
    </x:row>
    <x:row r="363" ht="31.5" customHeight="1">
      <x:c r="A363" s="5" t="str">
        <x:v>CU-SRC-0358</x:v>
      </x:c>
      <x:c r="B363" s="5" t="str">
        <x:v>CU-0182</x:v>
      </x:c>
      <x:c r="C363" s="5" t="str">
        <x:v>https://minsktrans.by/wp-content/uploads/2020/11/vypusk-833.pdf</x:v>
      </x:c>
      <x:c r="D363" s="5" t="n">
        <x:v>3</x:v>
      </x:c>
      <x:c r="E363" s="5" t="str">
        <x:v>Проверить, сохранился ли центр как подразделение и не передано ли обучение внешнему колледжу.</x:v>
      </x:c>
      <x:c r="F363" s="5" t="str">
        <x:v>Повторно прочитать первичный документ; найти свежую корпоративную страницу и доказательство принадлежности.</x:v>
      </x:c>
      <x:c r="G363" s="10"/>
      <x:c r="H363" s="10" t="str">
        <x:v>not_checked_here</x:v>
      </x:c>
      <x:c r="I363" s="11"/>
      <x:c r="J363" s="11"/>
      <x:c r="K363" s="10"/>
      <x:c r="L363" s="10"/>
      <x:c r="M363" s="10"/>
      <x:c r="N363" s="5" t="str">
        <x:f>IF(H363="not_checked_here","Сопоставить с проектом",IF(OR(H363="operational",H363="empty_success"),IF(AND(I363&lt;&gt;"",J363&lt;&gt;"",K363&lt;&gt;"",L363&lt;&gt;""),"Доказательства внесены","Дополнить дату / пример / охват"),IF(J363="","Назначить следующий срок","Исход и очередь записаны")))</x:f>
        <x:v>Сопоставить с проектом</x:v>
      </x:c>
    </x:row>
    <x:row r="364" ht="42.75" customHeight="1">
      <x:c r="A364" s="5" t="str">
        <x:v>CU-SRC-0359</x:v>
      </x:c>
      <x:c r="B364" s="5" t="str">
        <x:v>CU-0183</x:v>
      </x:c>
      <x:c r="C364" s="5" t="str">
        <x:v>https://career.leverx.com/courses</x:v>
      </x:c>
      <x:c r="D364" s="5" t="n">
        <x:v>3</x:v>
      </x:c>
      <x:c r="E364" s="5" t="str">
        <x:v>Проверить текущие города обучения, локальное юридическое лицо и структуру learning hub; не считать международный бренд отдельным КУ Беларуси автоматически.</x:v>
      </x:c>
      <x:c r="F364" s="5" t="str">
        <x:v>Повторно прочитать первичный документ; найти свежую корпоративную страницу и доказательство принадлежности.</x:v>
      </x:c>
      <x:c r="G364" s="10"/>
      <x:c r="H364" s="10" t="str">
        <x:v>not_checked_here</x:v>
      </x:c>
      <x:c r="I364" s="11"/>
      <x:c r="J364" s="11"/>
      <x:c r="K364" s="10"/>
      <x:c r="L364" s="10"/>
      <x:c r="M364" s="10"/>
      <x:c r="N364" s="5" t="str">
        <x:f>IF(H364="not_checked_here","Сопоставить с проектом",IF(OR(H364="operational",H364="empty_success"),IF(AND(I364&lt;&gt;"",J364&lt;&gt;"",K364&lt;&gt;"",L364&lt;&gt;""),"Доказательства внесены","Дополнить дату / пример / охват"),IF(J364="","Назначить следующий срок","Исход и очередь записаны")))</x:f>
        <x:v>Сопоставить с проектом</x:v>
      </x:c>
    </x:row>
    <x:row r="365" ht="31.5" customHeight="1">
      <x:c r="A365" s="5" t="str">
        <x:v>CU-SRC-0360</x:v>
      </x:c>
      <x:c r="B365" s="5" t="str">
        <x:v>CU-0184</x:v>
      </x:c>
      <x:c r="C365" s="5" t="str">
        <x:v>https://people.andersenlab.com/trainee/courses</x:v>
      </x:c>
      <x:c r="D365" s="5" t="n">
        <x:v>3</x:v>
      </x:c>
      <x:c r="E365" s="5" t="str">
        <x:v>Искать именованное учебное подразделение, постоянную команду и бюджет обучения; пока сохранять как источник сигналов о корпоративном обучении.</x:v>
      </x:c>
      <x:c r="F365" s="5" t="str">
        <x:v>Повторно прочитать первичный документ; найти свежую корпоративную страницу и доказательство принадлежности.</x:v>
      </x:c>
      <x:c r="G365" s="10"/>
      <x:c r="H365" s="10" t="str">
        <x:v>not_checked_here</x:v>
      </x:c>
      <x:c r="I365" s="11"/>
      <x:c r="J365" s="11"/>
      <x:c r="K365" s="10"/>
      <x:c r="L365" s="10"/>
      <x:c r="M365" s="10"/>
      <x:c r="N365" s="5" t="str">
        <x:f>IF(H365="not_checked_here","Сопоставить с проектом",IF(OR(H365="operational",H365="empty_success"),IF(AND(I365&lt;&gt;"",J365&lt;&gt;"",K365&lt;&gt;"",L365&lt;&gt;""),"Доказательства внесены","Дополнить дату / пример / охват"),IF(J365="","Назначить следующий срок","Исход и очередь записаны")))</x:f>
        <x:v>Сопоставить с проектом</x:v>
      </x:c>
    </x:row>
    <x:row r="366" ht="42.75" customHeight="1">
      <x:c r="A366" s="5" t="str">
        <x:v>CU-SRC-0361</x:v>
      </x:c>
      <x:c r="B366" s="5" t="str">
        <x:v>CU-0185</x:v>
      </x:c>
      <x:c r="C366" s="5" t="str">
        <x:v>https://sba.kz/</x:v>
      </x:c>
      <x:c r="D366" s="5" t="n">
        <x:v>1</x:v>
      </x:c>
      <x:c r="E36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66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66" s="10"/>
      <x:c r="H366" s="10" t="str">
        <x:v>not_checked_here</x:v>
      </x:c>
      <x:c r="I366" s="11"/>
      <x:c r="J366" s="11"/>
      <x:c r="K366" s="10"/>
      <x:c r="L366" s="10"/>
      <x:c r="M366" s="10"/>
      <x:c r="N366" s="5" t="str">
        <x:f>IF(H366="not_checked_here","Сопоставить с проектом",IF(OR(H366="operational",H366="empty_success"),IF(AND(I366&lt;&gt;"",J366&lt;&gt;"",K366&lt;&gt;"",L366&lt;&gt;""),"Доказательства внесены","Дополнить дату / пример / охват"),IF(J366="","Назначить следующий срок","Исход и очередь записаны")))</x:f>
        <x:v>Сопоставить с проектом</x:v>
      </x:c>
    </x:row>
    <x:row r="367" ht="42.75" customHeight="1">
      <x:c r="A367" s="5" t="str">
        <x:v>CU-SRC-0362</x:v>
      </x:c>
      <x:c r="B367" s="5" t="str">
        <x:v>CU-0185</x:v>
      </x:c>
      <x:c r="C367" s="5" t="str">
        <x:v>https://sba.kz/education?index=1</x:v>
      </x:c>
      <x:c r="D367" s="5" t="n">
        <x:v>1</x:v>
      </x:c>
      <x:c r="E36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67" s="5" t="str">
        <x:v>Публичные HTML/PDF, история версий; сохранить raw до квалификации; API не установлен.</x:v>
      </x:c>
      <x:c r="G367" s="10"/>
      <x:c r="H367" s="10" t="str">
        <x:v>not_checked_here</x:v>
      </x:c>
      <x:c r="I367" s="11"/>
      <x:c r="J367" s="11"/>
      <x:c r="K367" s="10"/>
      <x:c r="L367" s="10"/>
      <x:c r="M367" s="10"/>
      <x:c r="N367" s="5" t="str">
        <x:f>IF(H367="not_checked_here","Сопоставить с проектом",IF(OR(H367="operational",H367="empty_success"),IF(AND(I367&lt;&gt;"",J367&lt;&gt;"",K367&lt;&gt;"",L367&lt;&gt;""),"Доказательства внесены","Дополнить дату / пример / охват"),IF(J367="","Назначить следующий срок","Исход и очередь записаны")))</x:f>
        <x:v>Сопоставить с проектом</x:v>
      </x:c>
    </x:row>
    <x:row r="368" ht="42.75" customHeight="1">
      <x:c r="A368" s="5" t="str">
        <x:v>CU-SRC-0363</x:v>
      </x:c>
      <x:c r="B368" s="5" t="str">
        <x:v>CU-0185</x:v>
      </x:c>
      <x:c r="C368" s="5" t="str">
        <x:v>https://sba.kz/education?index=3</x:v>
      </x:c>
      <x:c r="D368" s="5" t="n">
        <x:v>1</x:v>
      </x:c>
      <x:c r="E36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68" s="5" t="str">
        <x:v>Публичные HTML/PDF, история версий; сохранить raw до квалификации; API не установлен.</x:v>
      </x:c>
      <x:c r="G368" s="10"/>
      <x:c r="H368" s="10" t="str">
        <x:v>not_checked_here</x:v>
      </x:c>
      <x:c r="I368" s="11"/>
      <x:c r="J368" s="11"/>
      <x:c r="K368" s="10"/>
      <x:c r="L368" s="10"/>
      <x:c r="M368" s="10"/>
      <x:c r="N368" s="5" t="str">
        <x:f>IF(H368="not_checked_here","Сопоставить с проектом",IF(OR(H368="operational",H368="empty_success"),IF(AND(I368&lt;&gt;"",J368&lt;&gt;"",K368&lt;&gt;"",L368&lt;&gt;""),"Доказательства внесены","Дополнить дату / пример / охват"),IF(J368="","Назначить следующий срок","Исход и очередь записаны")))</x:f>
        <x:v>Сопоставить с проектом</x:v>
      </x:c>
    </x:row>
    <x:row r="369" ht="42.75" customHeight="1">
      <x:c r="A369" s="5" t="str">
        <x:v>CU-SRC-0364</x:v>
      </x:c>
      <x:c r="B369" s="5" t="str">
        <x:v>CU-0186</x:v>
      </x:c>
      <x:c r="C369" s="5" t="str">
        <x:v>https://www.erg.kz/ru/career</x:v>
      </x:c>
      <x:c r="D369" s="5" t="n">
        <x:v>1</x:v>
      </x:c>
      <x:c r="E36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69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69" s="10"/>
      <x:c r="H369" s="10" t="str">
        <x:v>not_checked_here</x:v>
      </x:c>
      <x:c r="I369" s="11"/>
      <x:c r="J369" s="11"/>
      <x:c r="K369" s="10"/>
      <x:c r="L369" s="10"/>
      <x:c r="M369" s="10"/>
      <x:c r="N369" s="5" t="str">
        <x:f>IF(H369="not_checked_here","Сопоставить с проектом",IF(OR(H369="operational",H369="empty_success"),IF(AND(I369&lt;&gt;"",J369&lt;&gt;"",K369&lt;&gt;"",L369&lt;&gt;""),"Доказательства внесены","Дополнить дату / пример / охват"),IF(J369="","Назначить следующий срок","Исход и очередь записаны")))</x:f>
        <x:v>Сопоставить с проектом</x:v>
      </x:c>
    </x:row>
    <x:row r="370" ht="42.75" customHeight="1">
      <x:c r="A370" s="5" t="str">
        <x:v>CU-SRC-0365</x:v>
      </x:c>
      <x:c r="B370" s="5" t="str">
        <x:v>CU-0186</x:v>
      </x:c>
      <x:c r="C370" s="5" t="str">
        <x:v>https://www.erg.kz/ru/purchases</x:v>
      </x:c>
      <x:c r="D370" s="5" t="n">
        <x:v>1</x:v>
      </x:c>
      <x:c r="E37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70" s="5" t="str">
        <x:v>Публичные HTML/PDF, история версий; сохранить raw до квалификации; API не установлен.</x:v>
      </x:c>
      <x:c r="G370" s="10"/>
      <x:c r="H370" s="10" t="str">
        <x:v>not_checked_here</x:v>
      </x:c>
      <x:c r="I370" s="11"/>
      <x:c r="J370" s="11"/>
      <x:c r="K370" s="10"/>
      <x:c r="L370" s="10"/>
      <x:c r="M370" s="10"/>
      <x:c r="N370" s="5" t="str">
        <x:f>IF(H370="not_checked_here","Сопоставить с проектом",IF(OR(H370="operational",H370="empty_success"),IF(AND(I370&lt;&gt;"",J370&lt;&gt;"",K370&lt;&gt;"",L370&lt;&gt;""),"Доказательства внесены","Дополнить дату / пример / охват"),IF(J370="","Назначить следующий срок","Исход и очередь записаны")))</x:f>
        <x:v>Сопоставить с проектом</x:v>
      </x:c>
    </x:row>
    <x:row r="371" ht="42.75" customHeight="1">
      <x:c r="A371" s="5" t="str">
        <x:v>CU-SRC-0366</x:v>
      </x:c>
      <x:c r="B371" s="5" t="str">
        <x:v>CU-0186</x:v>
      </x:c>
      <x:c r="C371" s="5" t="str">
        <x:v>https://www.erg.kz/files/%D0%9E%D0%B1%D0%B7%D0%BE%D1%80_%D0%9A%D0%A3_%D0%93%D0%9C%D0%9A_%D0%92%D0%A1_31.07.2025_RU.pdf</x:v>
      </x:c>
      <x:c r="D371" s="5" t="n">
        <x:v>1</x:v>
      </x:c>
      <x:c r="E37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71" s="5" t="str">
        <x:v>Публичные HTML/PDF, история версий; сохранить raw до квалификации; API не установлен.</x:v>
      </x:c>
      <x:c r="G371" s="10"/>
      <x:c r="H371" s="10" t="str">
        <x:v>not_checked_here</x:v>
      </x:c>
      <x:c r="I371" s="11"/>
      <x:c r="J371" s="11"/>
      <x:c r="K371" s="10"/>
      <x:c r="L371" s="10"/>
      <x:c r="M371" s="10"/>
      <x:c r="N371" s="5" t="str">
        <x:f>IF(H371="not_checked_here","Сопоставить с проектом",IF(OR(H371="operational",H371="empty_success"),IF(AND(I371&lt;&gt;"",J371&lt;&gt;"",K371&lt;&gt;"",L371&lt;&gt;""),"Доказательства внесены","Дополнить дату / пример / охват"),IF(J371="","Назначить следующий срок","Исход и очередь записаны")))</x:f>
        <x:v>Сопоставить с проектом</x:v>
      </x:c>
    </x:row>
    <x:row r="372" ht="42.75" customHeight="1">
      <x:c r="A372" s="5" t="str">
        <x:v>CU-SRC-0367</x:v>
      </x:c>
      <x:c r="B372" s="5" t="str">
        <x:v>CU-0187</x:v>
      </x:c>
      <x:c r="C372" s="5" t="str">
        <x:v>https://www.biu.kz/</x:v>
      </x:c>
      <x:c r="D372" s="5" t="n">
        <x:v>1</x:v>
      </x:c>
      <x:c r="E37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72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72" s="10"/>
      <x:c r="H372" s="10" t="str">
        <x:v>not_checked_here</x:v>
      </x:c>
      <x:c r="I372" s="11"/>
      <x:c r="J372" s="11"/>
      <x:c r="K372" s="10"/>
      <x:c r="L372" s="10"/>
      <x:c r="M372" s="10"/>
      <x:c r="N372" s="5" t="str">
        <x:f>IF(H372="not_checked_here","Сопоставить с проектом",IF(OR(H372="operational",H372="empty_success"),IF(AND(I372&lt;&gt;"",J372&lt;&gt;"",K372&lt;&gt;"",L372&lt;&gt;""),"Доказательства внесены","Дополнить дату / пример / охват"),IF(J372="","Назначить следующий срок","Исход и очередь записаны")))</x:f>
        <x:v>Сопоставить с проектом</x:v>
      </x:c>
    </x:row>
    <x:row r="373" ht="42.75" customHeight="1">
      <x:c r="A373" s="5" t="str">
        <x:v>CU-SRC-0368</x:v>
      </x:c>
      <x:c r="B373" s="5" t="str">
        <x:v>CU-0187</x:v>
      </x:c>
      <x:c r="C373" s="5" t="str">
        <x:v>https://biu.kz/us</x:v>
      </x:c>
      <x:c r="D373" s="5" t="n">
        <x:v>1</x:v>
      </x:c>
      <x:c r="E37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73" s="5" t="str">
        <x:v>Публичные HTML/PDF, история версий; сохранить raw до квалификации; API не установлен.</x:v>
      </x:c>
      <x:c r="G373" s="10"/>
      <x:c r="H373" s="10" t="str">
        <x:v>not_checked_here</x:v>
      </x:c>
      <x:c r="I373" s="11"/>
      <x:c r="J373" s="11"/>
      <x:c r="K373" s="10"/>
      <x:c r="L373" s="10"/>
      <x:c r="M373" s="10"/>
      <x:c r="N373" s="5" t="str">
        <x:f>IF(H373="not_checked_here","Сопоставить с проектом",IF(OR(H373="operational",H373="empty_success"),IF(AND(I373&lt;&gt;"",J373&lt;&gt;"",K373&lt;&gt;"",L373&lt;&gt;""),"Доказательства внесены","Дополнить дату / пример / охват"),IF(J373="","Назначить следующий срок","Исход и очередь записаны")))</x:f>
        <x:v>Сопоставить с проектом</x:v>
      </x:c>
    </x:row>
    <x:row r="374" ht="42.75" customHeight="1">
      <x:c r="A374" s="5" t="str">
        <x:v>CU-SRC-0369</x:v>
      </x:c>
      <x:c r="B374" s="5" t="str">
        <x:v>CU-0187</x:v>
      </x:c>
      <x:c r="C374" s="5" t="str">
        <x:v>https://www.biu.kz/</x:v>
      </x:c>
      <x:c r="D374" s="5" t="n">
        <x:v>1</x:v>
      </x:c>
      <x:c r="E37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74" s="5" t="str">
        <x:v>Публичные HTML/PDF, история версий; сохранить raw до квалификации; API не установлен.</x:v>
      </x:c>
      <x:c r="G374" s="10"/>
      <x:c r="H374" s="10" t="str">
        <x:v>not_checked_here</x:v>
      </x:c>
      <x:c r="I374" s="11"/>
      <x:c r="J374" s="11"/>
      <x:c r="K374" s="10"/>
      <x:c r="L374" s="10"/>
      <x:c r="M374" s="10"/>
      <x:c r="N374" s="5" t="str">
        <x:f>IF(H374="not_checked_here","Сопоставить с проектом",IF(OR(H374="operational",H374="empty_success"),IF(AND(I374&lt;&gt;"",J374&lt;&gt;"",K374&lt;&gt;"",L374&lt;&gt;""),"Доказательства внесены","Дополнить дату / пример / охват"),IF(J374="","Назначить следующий срок","Исход и очередь записаны")))</x:f>
        <x:v>Сопоставить с проектом</x:v>
      </x:c>
    </x:row>
    <x:row r="375" ht="42.75" customHeight="1">
      <x:c r="A375" s="5" t="str">
        <x:v>CU-SRC-0370</x:v>
      </x:c>
      <x:c r="B375" s="5" t="str">
        <x:v>CU-0188</x:v>
      </x:c>
      <x:c r="C375" s="5" t="str">
        <x:v>https://qarmet.kz/ru/</x:v>
      </x:c>
      <x:c r="D375" s="5" t="n">
        <x:v>1</x:v>
      </x:c>
      <x:c r="E37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75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75" s="10"/>
      <x:c r="H375" s="10" t="str">
        <x:v>not_checked_here</x:v>
      </x:c>
      <x:c r="I375" s="11"/>
      <x:c r="J375" s="11"/>
      <x:c r="K375" s="10"/>
      <x:c r="L375" s="10"/>
      <x:c r="M375" s="10"/>
      <x:c r="N375" s="5" t="str">
        <x:f>IF(H375="not_checked_here","Сопоставить с проектом",IF(OR(H375="operational",H375="empty_success"),IF(AND(I375&lt;&gt;"",J375&lt;&gt;"",K375&lt;&gt;"",L375&lt;&gt;""),"Доказательства внесены","Дополнить дату / пример / охват"),IF(J375="","Назначить следующий срок","Исход и очередь записаны")))</x:f>
        <x:v>Сопоставить с проектом</x:v>
      </x:c>
    </x:row>
    <x:row r="376" ht="42.75" customHeight="1">
      <x:c r="A376" s="5" t="str">
        <x:v>CU-SRC-0371</x:v>
      </x:c>
      <x:c r="B376" s="5" t="str">
        <x:v>CU-0188</x:v>
      </x:c>
      <x:c r="C376" s="5" t="str">
        <x:v>https://job.qarmet.kz/</x:v>
      </x:c>
      <x:c r="D376" s="5" t="n">
        <x:v>1</x:v>
      </x:c>
      <x:c r="E37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76" s="5" t="str">
        <x:v>Публичные HTML/PDF, история версий; сохранить raw до квалификации; API не установлен.</x:v>
      </x:c>
      <x:c r="G376" s="10"/>
      <x:c r="H376" s="10" t="str">
        <x:v>not_checked_here</x:v>
      </x:c>
      <x:c r="I376" s="11"/>
      <x:c r="J376" s="11"/>
      <x:c r="K376" s="10"/>
      <x:c r="L376" s="10"/>
      <x:c r="M376" s="10"/>
      <x:c r="N376" s="5" t="str">
        <x:f>IF(H376="not_checked_here","Сопоставить с проектом",IF(OR(H376="operational",H376="empty_success"),IF(AND(I376&lt;&gt;"",J376&lt;&gt;"",K376&lt;&gt;"",L376&lt;&gt;""),"Доказательства внесены","Дополнить дату / пример / охват"),IF(J376="","Назначить следующий срок","Исход и очередь записаны")))</x:f>
        <x:v>Сопоставить с проектом</x:v>
      </x:c>
    </x:row>
    <x:row r="377" ht="42.75" customHeight="1">
      <x:c r="A377" s="5" t="str">
        <x:v>CU-SRC-0372</x:v>
      </x:c>
      <x:c r="B377" s="5" t="str">
        <x:v>CU-0189</x:v>
      </x:c>
      <x:c r="C377" s="5" t="str">
        <x:v>https://university.qaztehna.kz/</x:v>
      </x:c>
      <x:c r="D377" s="5" t="n">
        <x:v>1</x:v>
      </x:c>
      <x:c r="E37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77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77" s="10"/>
      <x:c r="H377" s="10" t="str">
        <x:v>not_checked_here</x:v>
      </x:c>
      <x:c r="I377" s="11"/>
      <x:c r="J377" s="11"/>
      <x:c r="K377" s="10"/>
      <x:c r="L377" s="10"/>
      <x:c r="M377" s="10"/>
      <x:c r="N377" s="5" t="str">
        <x:f>IF(H377="not_checked_here","Сопоставить с проектом",IF(OR(H377="operational",H377="empty_success"),IF(AND(I377&lt;&gt;"",J377&lt;&gt;"",K377&lt;&gt;"",L377&lt;&gt;""),"Доказательства внесены","Дополнить дату / пример / охват"),IF(J377="","Назначить следующий срок","Исход и очередь записаны")))</x:f>
        <x:v>Сопоставить с проектом</x:v>
      </x:c>
    </x:row>
    <x:row r="378" ht="42.75" customHeight="1">
      <x:c r="A378" s="5" t="str">
        <x:v>CU-SRC-0373</x:v>
      </x:c>
      <x:c r="B378" s="5" t="str">
        <x:v>CU-0189</x:v>
      </x:c>
      <x:c r="C378" s="5" t="str">
        <x:v>https://university.qaztehna.kz/</x:v>
      </x:c>
      <x:c r="D378" s="5" t="n">
        <x:v>1</x:v>
      </x:c>
      <x:c r="E37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78" s="5" t="str">
        <x:v>Публичные HTML/PDF, история версий; сохранить raw до квалификации; API не установлен.</x:v>
      </x:c>
      <x:c r="G378" s="10"/>
      <x:c r="H378" s="10" t="str">
        <x:v>not_checked_here</x:v>
      </x:c>
      <x:c r="I378" s="11"/>
      <x:c r="J378" s="11"/>
      <x:c r="K378" s="10"/>
      <x:c r="L378" s="10"/>
      <x:c r="M378" s="10"/>
      <x:c r="N378" s="5" t="str">
        <x:f>IF(H378="not_checked_here","Сопоставить с проектом",IF(OR(H378="operational",H378="empty_success"),IF(AND(I378&lt;&gt;"",J378&lt;&gt;"",K378&lt;&gt;"",L378&lt;&gt;""),"Доказательства внесены","Дополнить дату / пример / охват"),IF(J378="","Назначить следующий срок","Исход и очередь записаны")))</x:f>
        <x:v>Сопоставить с проектом</x:v>
      </x:c>
    </x:row>
    <x:row r="379" ht="42.75" customHeight="1">
      <x:c r="A379" s="5" t="str">
        <x:v>CU-SRC-0374</x:v>
      </x:c>
      <x:c r="B379" s="5" t="str">
        <x:v>CU-0190</x:v>
      </x:c>
      <x:c r="C379" s="5" t="str">
        <x:v>https://kazniisa.kz/centres/corporate-university</x:v>
      </x:c>
      <x:c r="D379" s="5" t="n">
        <x:v>2</x:v>
      </x:c>
      <x:c r="E37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79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79" s="10"/>
      <x:c r="H379" s="10" t="str">
        <x:v>not_checked_here</x:v>
      </x:c>
      <x:c r="I379" s="11"/>
      <x:c r="J379" s="11"/>
      <x:c r="K379" s="10"/>
      <x:c r="L379" s="10"/>
      <x:c r="M379" s="10"/>
      <x:c r="N379" s="5" t="str">
        <x:f>IF(H379="not_checked_here","Сопоставить с проектом",IF(OR(H379="operational",H379="empty_success"),IF(AND(I379&lt;&gt;"",J379&lt;&gt;"",K379&lt;&gt;"",L379&lt;&gt;""),"Доказательства внесены","Дополнить дату / пример / охват"),IF(J379="","Назначить следующий срок","Исход и очередь записаны")))</x:f>
        <x:v>Сопоставить с проектом</x:v>
      </x:c>
    </x:row>
    <x:row r="380" ht="42.75" customHeight="1">
      <x:c r="A380" s="5" t="str">
        <x:v>CU-SRC-0375</x:v>
      </x:c>
      <x:c r="B380" s="5" t="str">
        <x:v>CU-0191</x:v>
      </x:c>
      <x:c r="C380" s="5" t="str">
        <x:v>https://alina.kz/akku/</x:v>
      </x:c>
      <x:c r="D380" s="5" t="n">
        <x:v>1</x:v>
      </x:c>
      <x:c r="E38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80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80" s="10"/>
      <x:c r="H380" s="10" t="str">
        <x:v>not_checked_here</x:v>
      </x:c>
      <x:c r="I380" s="11"/>
      <x:c r="J380" s="11"/>
      <x:c r="K380" s="10"/>
      <x:c r="L380" s="10"/>
      <x:c r="M380" s="10"/>
      <x:c r="N380" s="5" t="str">
        <x:f>IF(H380="not_checked_here","Сопоставить с проектом",IF(OR(H380="operational",H380="empty_success"),IF(AND(I380&lt;&gt;"",J380&lt;&gt;"",K380&lt;&gt;"",L380&lt;&gt;""),"Доказательства внесены","Дополнить дату / пример / охват"),IF(J380="","Назначить следующий срок","Исход и очередь записаны")))</x:f>
        <x:v>Сопоставить с проектом</x:v>
      </x:c>
    </x:row>
    <x:row r="381" ht="42.75" customHeight="1">
      <x:c r="A381" s="5" t="str">
        <x:v>CU-SRC-0376</x:v>
      </x:c>
      <x:c r="B381" s="5" t="str">
        <x:v>CU-0192</x:v>
      </x:c>
      <x:c r="C381" s="5" t="str">
        <x:v>https://knu.kazatomprom.kz/ru</x:v>
      </x:c>
      <x:c r="D381" s="5" t="n">
        <x:v>1</x:v>
      </x:c>
      <x:c r="E38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81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81" s="10"/>
      <x:c r="H381" s="10" t="str">
        <x:v>not_checked_here</x:v>
      </x:c>
      <x:c r="I381" s="11"/>
      <x:c r="J381" s="11"/>
      <x:c r="K381" s="10"/>
      <x:c r="L381" s="10"/>
      <x:c r="M381" s="10"/>
      <x:c r="N381" s="5" t="str">
        <x:f>IF(H381="not_checked_here","Сопоставить с проектом",IF(OR(H381="operational",H381="empty_success"),IF(AND(I381&lt;&gt;"",J381&lt;&gt;"",K381&lt;&gt;"",L381&lt;&gt;""),"Доказательства внесены","Дополнить дату / пример / охват"),IF(J381="","Назначить следующий срок","Исход и очередь записаны")))</x:f>
        <x:v>Сопоставить с проектом</x:v>
      </x:c>
    </x:row>
    <x:row r="382" ht="42.75" customHeight="1">
      <x:c r="A382" s="5" t="str">
        <x:v>CU-SRC-0377</x:v>
      </x:c>
      <x:c r="B382" s="5" t="str">
        <x:v>CU-0192</x:v>
      </x:c>
      <x:c r="C382" s="5" t="str">
        <x:v>https://knu.kazatomprom.kz/ru/subsection/postavshchikam</x:v>
      </x:c>
      <x:c r="D382" s="5" t="n">
        <x:v>1</x:v>
      </x:c>
      <x:c r="E38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82" s="5" t="str">
        <x:v>Публичные HTML/PDF, история версий; сохранить raw до квалификации; API не установлен.</x:v>
      </x:c>
      <x:c r="G382" s="10"/>
      <x:c r="H382" s="10" t="str">
        <x:v>not_checked_here</x:v>
      </x:c>
      <x:c r="I382" s="11"/>
      <x:c r="J382" s="11"/>
      <x:c r="K382" s="10"/>
      <x:c r="L382" s="10"/>
      <x:c r="M382" s="10"/>
      <x:c r="N382" s="5" t="str">
        <x:f>IF(H382="not_checked_here","Сопоставить с проектом",IF(OR(H382="operational",H382="empty_success"),IF(AND(I382&lt;&gt;"",J382&lt;&gt;"",K382&lt;&gt;"",L382&lt;&gt;""),"Доказательства внесены","Дополнить дату / пример / охват"),IF(J382="","Назначить следующий срок","Исход и очередь записаны")))</x:f>
        <x:v>Сопоставить с проектом</x:v>
      </x:c>
    </x:row>
    <x:row r="383" ht="42.75" customHeight="1">
      <x:c r="A383" s="5" t="str">
        <x:v>CU-SRC-0378</x:v>
      </x:c>
      <x:c r="B383" s="5" t="str">
        <x:v>CU-0192</x:v>
      </x:c>
      <x:c r="C383" s="5" t="str">
        <x:v>https://knu.kazatomprom.kz/ru/subsection/resheniya-dlya-vas</x:v>
      </x:c>
      <x:c r="D383" s="5" t="n">
        <x:v>1</x:v>
      </x:c>
      <x:c r="E38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83" s="5" t="str">
        <x:v>Публичные HTML/PDF, история версий; сохранить raw до квалификации; API не установлен.</x:v>
      </x:c>
      <x:c r="G383" s="10"/>
      <x:c r="H383" s="10" t="str">
        <x:v>not_checked_here</x:v>
      </x:c>
      <x:c r="I383" s="11"/>
      <x:c r="J383" s="11"/>
      <x:c r="K383" s="10"/>
      <x:c r="L383" s="10"/>
      <x:c r="M383" s="10"/>
      <x:c r="N383" s="5" t="str">
        <x:f>IF(H383="not_checked_here","Сопоставить с проектом",IF(OR(H383="operational",H383="empty_success"),IF(AND(I383&lt;&gt;"",J383&lt;&gt;"",K383&lt;&gt;"",L383&lt;&gt;""),"Доказательства внесены","Дополнить дату / пример / охват"),IF(J383="","Назначить следующий срок","Исход и очередь записаны")))</x:f>
        <x:v>Сопоставить с проектом</x:v>
      </x:c>
    </x:row>
    <x:row r="384" ht="42.75" customHeight="1">
      <x:c r="A384" s="5" t="str">
        <x:v>CU-SRC-0379</x:v>
      </x:c>
      <x:c r="B384" s="5" t="str">
        <x:v>CU-0192</x:v>
      </x:c>
      <x:c r="C384" s="5" t="str">
        <x:v>https://knu.kazatomprom.kz/ru/sub-news</x:v>
      </x:c>
      <x:c r="D384" s="5" t="n">
        <x:v>1</x:v>
      </x:c>
      <x:c r="E38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84" s="5" t="str">
        <x:v>Публичные HTML/PDF, история версий; сохранить raw до квалификации; API не установлен.</x:v>
      </x:c>
      <x:c r="G384" s="10"/>
      <x:c r="H384" s="10" t="str">
        <x:v>not_checked_here</x:v>
      </x:c>
      <x:c r="I384" s="11"/>
      <x:c r="J384" s="11"/>
      <x:c r="K384" s="10"/>
      <x:c r="L384" s="10"/>
      <x:c r="M384" s="10"/>
      <x:c r="N384" s="5" t="str">
        <x:f>IF(H384="not_checked_here","Сопоставить с проектом",IF(OR(H384="operational",H384="empty_success"),IF(AND(I384&lt;&gt;"",J384&lt;&gt;"",K384&lt;&gt;"",L384&lt;&gt;""),"Доказательства внесены","Дополнить дату / пример / охват"),IF(J384="","Назначить следующий срок","Исход и очередь записаны")))</x:f>
        <x:v>Сопоставить с проектом</x:v>
      </x:c>
    </x:row>
    <x:row r="385" ht="42.75" customHeight="1">
      <x:c r="A385" s="5" t="str">
        <x:v>CU-SRC-0380</x:v>
      </x:c>
      <x:c r="B385" s="5" t="str">
        <x:v>CU-0193</x:v>
      </x:c>
      <x:c r="C385" s="5" t="str">
        <x:v>https://www.kazzinc.com/eng/stazhirovka-i-karera</x:v>
      </x:c>
      <x:c r="D385" s="5" t="n">
        <x:v>1</x:v>
      </x:c>
      <x:c r="E38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85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85" s="10"/>
      <x:c r="H385" s="10" t="str">
        <x:v>not_checked_here</x:v>
      </x:c>
      <x:c r="I385" s="11"/>
      <x:c r="J385" s="11"/>
      <x:c r="K385" s="10"/>
      <x:c r="L385" s="10"/>
      <x:c r="M385" s="10"/>
      <x:c r="N385" s="5" t="str">
        <x:f>IF(H385="not_checked_here","Сопоставить с проектом",IF(OR(H385="operational",H385="empty_success"),IF(AND(I385&lt;&gt;"",J385&lt;&gt;"",K385&lt;&gt;"",L385&lt;&gt;""),"Доказательства внесены","Дополнить дату / пример / охват"),IF(J385="","Назначить следующий срок","Исход и очередь записаны")))</x:f>
        <x:v>Сопоставить с проектом</x:v>
      </x:c>
    </x:row>
    <x:row r="386" ht="42.75" customHeight="1">
      <x:c r="A386" s="5" t="str">
        <x:v>CU-SRC-0381</x:v>
      </x:c>
      <x:c r="B386" s="5" t="str">
        <x:v>CU-0194</x:v>
      </x:c>
      <x:c r="C386" s="5" t="str">
        <x:v>https://www.kazakhmys.kz/ru</x:v>
      </x:c>
      <x:c r="D386" s="5" t="n">
        <x:v>1</x:v>
      </x:c>
      <x:c r="E38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86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86" s="10"/>
      <x:c r="H386" s="10" t="str">
        <x:v>not_checked_here</x:v>
      </x:c>
      <x:c r="I386" s="11"/>
      <x:c r="J386" s="11"/>
      <x:c r="K386" s="10"/>
      <x:c r="L386" s="10"/>
      <x:c r="M386" s="10"/>
      <x:c r="N386" s="5" t="str">
        <x:f>IF(H386="not_checked_here","Сопоставить с проектом",IF(OR(H386="operational",H386="empty_success"),IF(AND(I386&lt;&gt;"",J386&lt;&gt;"",K386&lt;&gt;"",L386&lt;&gt;""),"Доказательства внесены","Дополнить дату / пример / охват"),IF(J386="","Назначить следующий срок","Исход и очередь записаны")))</x:f>
        <x:v>Сопоставить с проектом</x:v>
      </x:c>
    </x:row>
    <x:row r="387" ht="42.75" customHeight="1">
      <x:c r="A387" s="5" t="str">
        <x:v>CU-SRC-0382</x:v>
      </x:c>
      <x:c r="B387" s="5" t="str">
        <x:v>CU-0195</x:v>
      </x:c>
      <x:c r="C387" s="5" t="str">
        <x:v>https://www.altynalmas.kz/blog/news/73</x:v>
      </x:c>
      <x:c r="D387" s="5" t="n">
        <x:v>2</x:v>
      </x:c>
      <x:c r="E38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87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87" s="10"/>
      <x:c r="H387" s="10" t="str">
        <x:v>not_checked_here</x:v>
      </x:c>
      <x:c r="I387" s="11"/>
      <x:c r="J387" s="11"/>
      <x:c r="K387" s="10"/>
      <x:c r="L387" s="10"/>
      <x:c r="M387" s="10"/>
      <x:c r="N387" s="5" t="str">
        <x:f>IF(H387="not_checked_here","Сопоставить с проектом",IF(OR(H387="operational",H387="empty_success"),IF(AND(I387&lt;&gt;"",J387&lt;&gt;"",K387&lt;&gt;"",L387&lt;&gt;""),"Доказательства внесены","Дополнить дату / пример / охват"),IF(J387="","Назначить следующий срок","Исход и очередь записаны")))</x:f>
        <x:v>Сопоставить с проектом</x:v>
      </x:c>
    </x:row>
    <x:row r="388" ht="42.75" customHeight="1">
      <x:c r="A388" s="5" t="str">
        <x:v>CU-SRC-0383</x:v>
      </x:c>
      <x:c r="B388" s="5" t="str">
        <x:v>CU-0195</x:v>
      </x:c>
      <x:c r="C388" s="5" t="str">
        <x:v>https://www.altynalmas.kz/blog/news/95</x:v>
      </x:c>
      <x:c r="D388" s="5" t="n">
        <x:v>2</x:v>
      </x:c>
      <x:c r="E38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88" s="5" t="str">
        <x:v>Публичные HTML/PDF, история версий; сохранить raw до квалификации; API не установлен.</x:v>
      </x:c>
      <x:c r="G388" s="10"/>
      <x:c r="H388" s="10" t="str">
        <x:v>not_checked_here</x:v>
      </x:c>
      <x:c r="I388" s="11"/>
      <x:c r="J388" s="11"/>
      <x:c r="K388" s="10"/>
      <x:c r="L388" s="10"/>
      <x:c r="M388" s="10"/>
      <x:c r="N388" s="5" t="str">
        <x:f>IF(H388="not_checked_here","Сопоставить с проектом",IF(OR(H388="operational",H388="empty_success"),IF(AND(I388&lt;&gt;"",J388&lt;&gt;"",K388&lt;&gt;"",L388&lt;&gt;""),"Доказательства внесены","Дополнить дату / пример / охват"),IF(J388="","Назначить следующий срок","Исход и очередь записаны")))</x:f>
        <x:v>Сопоставить с проектом</x:v>
      </x:c>
    </x:row>
    <x:row r="389" ht="42.75" customHeight="1">
      <x:c r="A389" s="5" t="str">
        <x:v>CU-SRC-0384</x:v>
      </x:c>
      <x:c r="B389" s="5" t="str">
        <x:v>CU-0196</x:v>
      </x:c>
      <x:c r="C389" s="5" t="str">
        <x:v>https://edutransport.railways.kz/</x:v>
      </x:c>
      <x:c r="D389" s="5" t="n">
        <x:v>1</x:v>
      </x:c>
      <x:c r="E38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89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89" s="10"/>
      <x:c r="H389" s="10" t="str">
        <x:v>not_checked_here</x:v>
      </x:c>
      <x:c r="I389" s="11"/>
      <x:c r="J389" s="11"/>
      <x:c r="K389" s="10"/>
      <x:c r="L389" s="10"/>
      <x:c r="M389" s="10"/>
      <x:c r="N389" s="5" t="str">
        <x:f>IF(H389="not_checked_here","Сопоставить с проектом",IF(OR(H389="operational",H389="empty_success"),IF(AND(I389&lt;&gt;"",J389&lt;&gt;"",K389&lt;&gt;"",L389&lt;&gt;""),"Доказательства внесены","Дополнить дату / пример / охват"),IF(J389="","Назначить следующий срок","Исход и очередь записаны")))</x:f>
        <x:v>Сопоставить с проектом</x:v>
      </x:c>
    </x:row>
    <x:row r="390" ht="42.75" customHeight="1">
      <x:c r="A390" s="5" t="str">
        <x:v>CU-SRC-0385</x:v>
      </x:c>
      <x:c r="B390" s="5" t="str">
        <x:v>CU-0196</x:v>
      </x:c>
      <x:c r="C390" s="5" t="str">
        <x:v>https://edutransport.railways.kz/courses/branch/Taraz/</x:v>
      </x:c>
      <x:c r="D390" s="5" t="n">
        <x:v>1</x:v>
      </x:c>
      <x:c r="E39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90" s="5" t="str">
        <x:v>Публичные HTML/PDF, история версий; сохранить raw до квалификации; API не установлен.</x:v>
      </x:c>
      <x:c r="G390" s="10"/>
      <x:c r="H390" s="10" t="str">
        <x:v>not_checked_here</x:v>
      </x:c>
      <x:c r="I390" s="11"/>
      <x:c r="J390" s="11"/>
      <x:c r="K390" s="10"/>
      <x:c r="L390" s="10"/>
      <x:c r="M390" s="10"/>
      <x:c r="N390" s="5" t="str">
        <x:f>IF(H390="not_checked_here","Сопоставить с проектом",IF(OR(H390="operational",H390="empty_success"),IF(AND(I390&lt;&gt;"",J390&lt;&gt;"",K390&lt;&gt;"",L390&lt;&gt;""),"Доказательства внесены","Дополнить дату / пример / охват"),IF(J390="","Назначить следующий срок","Исход и очередь записаны")))</x:f>
        <x:v>Сопоставить с проектом</x:v>
      </x:c>
    </x:row>
    <x:row r="391" ht="42.75" customHeight="1">
      <x:c r="A391" s="5" t="str">
        <x:v>CU-SRC-0386</x:v>
      </x:c>
      <x:c r="B391" s="5" t="str">
        <x:v>CU-0196</x:v>
      </x:c>
      <x:c r="C391" s="5" t="str">
        <x:v>https://edutransport.railways.kz/courses/branch/Karaganda/</x:v>
      </x:c>
      <x:c r="D391" s="5" t="n">
        <x:v>1</x:v>
      </x:c>
      <x:c r="E39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91" s="5" t="str">
        <x:v>Публичные HTML/PDF, история версий; сохранить raw до квалификации; API не установлен.</x:v>
      </x:c>
      <x:c r="G391" s="10"/>
      <x:c r="H391" s="10" t="str">
        <x:v>not_checked_here</x:v>
      </x:c>
      <x:c r="I391" s="11"/>
      <x:c r="J391" s="11"/>
      <x:c r="K391" s="10"/>
      <x:c r="L391" s="10"/>
      <x:c r="M391" s="10"/>
      <x:c r="N391" s="5" t="str">
        <x:f>IF(H391="not_checked_here","Сопоставить с проектом",IF(OR(H391="operational",H391="empty_success"),IF(AND(I391&lt;&gt;"",J391&lt;&gt;"",K391&lt;&gt;"",L391&lt;&gt;""),"Доказательства внесены","Дополнить дату / пример / охват"),IF(J391="","Назначить следующий срок","Исход и очередь записаны")))</x:f>
        <x:v>Сопоставить с проектом</x:v>
      </x:c>
    </x:row>
    <x:row r="392" ht="42.75" customHeight="1">
      <x:c r="A392" s="5" t="str">
        <x:v>CU-SRC-0387</x:v>
      </x:c>
      <x:c r="B392" s="5" t="str">
        <x:v>CU-0197</x:v>
      </x:c>
      <x:c r="C392" s="5" t="str">
        <x:v>https://telecom.kz/ru/pages/11865/172287</x:v>
      </x:c>
      <x:c r="D392" s="5" t="n">
        <x:v>1</x:v>
      </x:c>
      <x:c r="E39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92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92" s="10"/>
      <x:c r="H392" s="10" t="str">
        <x:v>not_checked_here</x:v>
      </x:c>
      <x:c r="I392" s="11"/>
      <x:c r="J392" s="11"/>
      <x:c r="K392" s="10"/>
      <x:c r="L392" s="10"/>
      <x:c r="M392" s="10"/>
      <x:c r="N392" s="5" t="str">
        <x:f>IF(H392="not_checked_here","Сопоставить с проектом",IF(OR(H392="operational",H392="empty_success"),IF(AND(I392&lt;&gt;"",J392&lt;&gt;"",K392&lt;&gt;"",L392&lt;&gt;""),"Доказательства внесены","Дополнить дату / пример / охват"),IF(J392="","Назначить следующий срок","Исход и очередь записаны")))</x:f>
        <x:v>Сопоставить с проектом</x:v>
      </x:c>
    </x:row>
    <x:row r="393" ht="42.75" customHeight="1">
      <x:c r="A393" s="5" t="str">
        <x:v>CU-SRC-0388</x:v>
      </x:c>
      <x:c r="B393" s="5" t="str">
        <x:v>CU-0197</x:v>
      </x:c>
      <x:c r="C393" s="5" t="str">
        <x:v>https://ar2024.telecom.kz/ru/workforce-size-and-structure.html</x:v>
      </x:c>
      <x:c r="D393" s="5" t="n">
        <x:v>1</x:v>
      </x:c>
      <x:c r="E39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93" s="5" t="str">
        <x:v>Публичные HTML/PDF, история версий; сохранить raw до квалификации; API не установлен.</x:v>
      </x:c>
      <x:c r="G393" s="10"/>
      <x:c r="H393" s="10" t="str">
        <x:v>not_checked_here</x:v>
      </x:c>
      <x:c r="I393" s="11"/>
      <x:c r="J393" s="11"/>
      <x:c r="K393" s="10"/>
      <x:c r="L393" s="10"/>
      <x:c r="M393" s="10"/>
      <x:c r="N393" s="5" t="str">
        <x:f>IF(H393="not_checked_here","Сопоставить с проектом",IF(OR(H393="operational",H393="empty_success"),IF(AND(I393&lt;&gt;"",J393&lt;&gt;"",K393&lt;&gt;"",L393&lt;&gt;""),"Доказательства внесены","Дополнить дату / пример / охват"),IF(J393="","Назначить следующий срок","Исход и очередь записаны")))</x:f>
        <x:v>Сопоставить с проектом</x:v>
      </x:c>
    </x:row>
    <x:row r="394" ht="42.75" customHeight="1">
      <x:c r="A394" s="5" t="str">
        <x:v>CU-SRC-0389</x:v>
      </x:c>
      <x:c r="B394" s="5" t="str">
        <x:v>CU-0197</x:v>
      </x:c>
      <x:c r="C394" s="5" t="str">
        <x:v>https://ar2022.telecom.kz/index.php/ru/priority-sustainable-development-goals.html</x:v>
      </x:c>
      <x:c r="D394" s="5" t="n">
        <x:v>1</x:v>
      </x:c>
      <x:c r="E39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94" s="5" t="str">
        <x:v>Публичные HTML/PDF, история версий; сохранить raw до квалификации; API не установлен.</x:v>
      </x:c>
      <x:c r="G394" s="10"/>
      <x:c r="H394" s="10" t="str">
        <x:v>not_checked_here</x:v>
      </x:c>
      <x:c r="I394" s="11"/>
      <x:c r="J394" s="11"/>
      <x:c r="K394" s="10"/>
      <x:c r="L394" s="10"/>
      <x:c r="M394" s="10"/>
      <x:c r="N394" s="5" t="str">
        <x:f>IF(H394="not_checked_here","Сопоставить с проектом",IF(OR(H394="operational",H394="empty_success"),IF(AND(I394&lt;&gt;"",J394&lt;&gt;"",K394&lt;&gt;"",L394&lt;&gt;""),"Доказательства внесены","Дополнить дату / пример / охват"),IF(J394="","Назначить следующий срок","Исход и очередь записаны")))</x:f>
        <x:v>Сопоставить с проектом</x:v>
      </x:c>
    </x:row>
    <x:row r="395" ht="42.75" customHeight="1">
      <x:c r="A395" s="5" t="str">
        <x:v>CU-SRC-0390</x:v>
      </x:c>
      <x:c r="B395" s="5" t="str">
        <x:v>CU-0198</x:v>
      </x:c>
      <x:c r="C395" s="5" t="str">
        <x:v>https://qgrnd.kz/direction/or/</x:v>
      </x:c>
      <x:c r="D395" s="5" t="n">
        <x:v>1</x:v>
      </x:c>
      <x:c r="E39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95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95" s="10"/>
      <x:c r="H395" s="10" t="str">
        <x:v>not_checked_here</x:v>
      </x:c>
      <x:c r="I395" s="11"/>
      <x:c r="J395" s="11"/>
      <x:c r="K395" s="10"/>
      <x:c r="L395" s="10"/>
      <x:c r="M395" s="10"/>
      <x:c r="N395" s="5" t="str">
        <x:f>IF(H395="not_checked_here","Сопоставить с проектом",IF(OR(H395="operational",H395="empty_success"),IF(AND(I395&lt;&gt;"",J395&lt;&gt;"",K395&lt;&gt;"",L395&lt;&gt;""),"Доказательства внесены","Дополнить дату / пример / охват"),IF(J395="","Назначить следующий срок","Исход и очередь записаны")))</x:f>
        <x:v>Сопоставить с проектом</x:v>
      </x:c>
    </x:row>
    <x:row r="396" ht="42.75" customHeight="1">
      <x:c r="A396" s="5" t="str">
        <x:v>CU-SRC-0391</x:v>
      </x:c>
      <x:c r="B396" s="5" t="str">
        <x:v>CU-0198</x:v>
      </x:c>
      <x:c r="C396" s="5" t="str">
        <x:v>https://qgrnd.kz/purchase/</x:v>
      </x:c>
      <x:c r="D396" s="5" t="n">
        <x:v>1</x:v>
      </x:c>
      <x:c r="E39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96" s="5" t="str">
        <x:v>Публичные HTML/PDF, история версий; сохранить raw до квалификации; API не установлен.</x:v>
      </x:c>
      <x:c r="G396" s="10"/>
      <x:c r="H396" s="10" t="str">
        <x:v>not_checked_here</x:v>
      </x:c>
      <x:c r="I396" s="11"/>
      <x:c r="J396" s="11"/>
      <x:c r="K396" s="10"/>
      <x:c r="L396" s="10"/>
      <x:c r="M396" s="10"/>
      <x:c r="N396" s="5" t="str">
        <x:f>IF(H396="not_checked_here","Сопоставить с проектом",IF(OR(H396="operational",H396="empty_success"),IF(AND(I396&lt;&gt;"",J396&lt;&gt;"",K396&lt;&gt;"",L396&lt;&gt;""),"Доказательства внесены","Дополнить дату / пример / охват"),IF(J396="","Назначить следующий срок","Исход и очередь записаны")))</x:f>
        <x:v>Сопоставить с проектом</x:v>
      </x:c>
    </x:row>
    <x:row r="397" ht="42.75" customHeight="1">
      <x:c r="A397" s="5" t="str">
        <x:v>CU-SRC-0392</x:v>
      </x:c>
      <x:c r="B397" s="5" t="str">
        <x:v>CU-0198</x:v>
      </x:c>
      <x:c r="C397" s="5" t="str">
        <x:v>https://qgrnd.kz/education/</x:v>
      </x:c>
      <x:c r="D397" s="5" t="n">
        <x:v>1</x:v>
      </x:c>
      <x:c r="E39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97" s="5" t="str">
        <x:v>Публичные HTML/PDF, история версий; сохранить raw до квалификации; API не установлен.</x:v>
      </x:c>
      <x:c r="G397" s="10"/>
      <x:c r="H397" s="10" t="str">
        <x:v>not_checked_here</x:v>
      </x:c>
      <x:c r="I397" s="11"/>
      <x:c r="J397" s="11"/>
      <x:c r="K397" s="10"/>
      <x:c r="L397" s="10"/>
      <x:c r="M397" s="10"/>
      <x:c r="N397" s="5" t="str">
        <x:f>IF(H397="not_checked_here","Сопоставить с проектом",IF(OR(H397="operational",H397="empty_success"),IF(AND(I397&lt;&gt;"",J397&lt;&gt;"",K397&lt;&gt;"",L397&lt;&gt;""),"Доказательства внесены","Дополнить дату / пример / охват"),IF(J397="","Назначить следующий срок","Исход и очередь записаны")))</x:f>
        <x:v>Сопоставить с проектом</x:v>
      </x:c>
    </x:row>
    <x:row r="398" ht="42.75" customHeight="1">
      <x:c r="A398" s="5" t="str">
        <x:v>CU-SRC-0393</x:v>
      </x:c>
      <x:c r="B398" s="5" t="str">
        <x:v>CU-0199</x:v>
      </x:c>
      <x:c r="C398" s="5" t="str">
        <x:v>https://intergas.kz/ru/ukk/</x:v>
      </x:c>
      <x:c r="D398" s="5" t="n">
        <x:v>2</x:v>
      </x:c>
      <x:c r="E39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98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98" s="10"/>
      <x:c r="H398" s="10" t="str">
        <x:v>not_checked_here</x:v>
      </x:c>
      <x:c r="I398" s="11"/>
      <x:c r="J398" s="11"/>
      <x:c r="K398" s="10"/>
      <x:c r="L398" s="10"/>
      <x:c r="M398" s="10"/>
      <x:c r="N398" s="5" t="str">
        <x:f>IF(H398="not_checked_here","Сопоставить с проектом",IF(OR(H398="operational",H398="empty_success"),IF(AND(I398&lt;&gt;"",J398&lt;&gt;"",K398&lt;&gt;"",L398&lt;&gt;""),"Доказательства внесены","Дополнить дату / пример / охват"),IF(J398="","Назначить следующий срок","Исход и очередь записаны")))</x:f>
        <x:v>Сопоставить с проектом</x:v>
      </x:c>
    </x:row>
    <x:row r="399" ht="42.75" customHeight="1">
      <x:c r="A399" s="5" t="str">
        <x:v>CU-SRC-0394</x:v>
      </x:c>
      <x:c r="B399" s="5" t="str">
        <x:v>CU-0200</x:v>
      </x:c>
      <x:c r="C399" s="5" t="str">
        <x:v>https://ir.airastana.com/en/about-us/company-news/air-astana-commissions-new-flight-training-centre/</x:v>
      </x:c>
      <x:c r="D399" s="5" t="n">
        <x:v>2</x:v>
      </x:c>
      <x:c r="E39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399" s="5" t="str">
        <x:v>Публичные HTML/PDF: периодическая загрузка с историей версий; навигационные ссылки раскрыть отдельно. API не подтверждён.</x:v>
      </x:c>
      <x:c r="G399" s="10"/>
      <x:c r="H399" s="10" t="str">
        <x:v>not_checked_here</x:v>
      </x:c>
      <x:c r="I399" s="11"/>
      <x:c r="J399" s="11"/>
      <x:c r="K399" s="10"/>
      <x:c r="L399" s="10"/>
      <x:c r="M399" s="10"/>
      <x:c r="N399" s="5" t="str">
        <x:f>IF(H399="not_checked_here","Сопоставить с проектом",IF(OR(H399="operational",H399="empty_success"),IF(AND(I399&lt;&gt;"",J399&lt;&gt;"",K399&lt;&gt;"",L399&lt;&gt;""),"Доказательства внесены","Дополнить дату / пример / охват"),IF(J399="","Назначить следующий срок","Исход и очередь записаны")))</x:f>
        <x:v>Сопоставить с проектом</x:v>
      </x:c>
    </x:row>
    <x:row r="400" ht="42.75" customHeight="1">
      <x:c r="A400" s="5" t="str">
        <x:v>CU-SRC-0395</x:v>
      </x:c>
      <x:c r="B400" s="5" t="str">
        <x:v>CU-0200</x:v>
      </x:c>
      <x:c r="C400" s="5" t="str">
        <x:v>https://ir.airastana.com/en/about-us/our-strategy/</x:v>
      </x:c>
      <x:c r="D400" s="5" t="n">
        <x:v>2</x:v>
      </x:c>
      <x:c r="E40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00" s="5" t="str">
        <x:v>Публичные HTML/PDF, история версий; сохранить raw до квалификации; API не установлен.</x:v>
      </x:c>
      <x:c r="G400" s="10"/>
      <x:c r="H400" s="10" t="str">
        <x:v>not_checked_here</x:v>
      </x:c>
      <x:c r="I400" s="11"/>
      <x:c r="J400" s="11"/>
      <x:c r="K400" s="10"/>
      <x:c r="L400" s="10"/>
      <x:c r="M400" s="10"/>
      <x:c r="N400" s="5" t="str">
        <x:f>IF(H400="not_checked_here","Сопоставить с проектом",IF(OR(H400="operational",H400="empty_success"),IF(AND(I400&lt;&gt;"",J400&lt;&gt;"",K400&lt;&gt;"",L400&lt;&gt;""),"Доказательства внесены","Дополнить дату / пример / охват"),IF(J400="","Назначить следующий срок","Исход и очередь записаны")))</x:f>
        <x:v>Сопоставить с проектом</x:v>
      </x:c>
    </x:row>
    <x:row r="401" ht="42.75" customHeight="1">
      <x:c r="A401" s="5" t="str">
        <x:v>CU-SRC-0396</x:v>
      </x:c>
      <x:c r="B401" s="5" t="str">
        <x:v>CU-0201</x:v>
      </x:c>
      <x:c r="C401" s="5" t="str">
        <x:v>https://www.scat.kz/ru/scat-aviation-training-center/</x:v>
      </x:c>
      <x:c r="D401" s="5" t="n">
        <x:v>2</x:v>
      </x:c>
      <x:c r="E40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01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01" s="10"/>
      <x:c r="H401" s="10" t="str">
        <x:v>not_checked_here</x:v>
      </x:c>
      <x:c r="I401" s="11"/>
      <x:c r="J401" s="11"/>
      <x:c r="K401" s="10"/>
      <x:c r="L401" s="10"/>
      <x:c r="M401" s="10"/>
      <x:c r="N401" s="5" t="str">
        <x:f>IF(H401="not_checked_here","Сопоставить с проектом",IF(OR(H401="operational",H401="empty_success"),IF(AND(I401&lt;&gt;"",J401&lt;&gt;"",K401&lt;&gt;"",L401&lt;&gt;""),"Доказательства внесены","Дополнить дату / пример / охват"),IF(J401="","Назначить следующий срок","Исход и очередь записаны")))</x:f>
        <x:v>Сопоставить с проектом</x:v>
      </x:c>
    </x:row>
    <x:row r="402" ht="42.75" customHeight="1">
      <x:c r="A402" s="5" t="str">
        <x:v>CU-SRC-0397</x:v>
      </x:c>
      <x:c r="B402" s="5" t="str">
        <x:v>CU-0202</x:v>
      </x:c>
      <x:c r="C402" s="5" t="str">
        <x:v>https://training.ans.kz/</x:v>
      </x:c>
      <x:c r="D402" s="5" t="n">
        <x:v>2</x:v>
      </x:c>
      <x:c r="E40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02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02" s="10"/>
      <x:c r="H402" s="10" t="str">
        <x:v>not_checked_here</x:v>
      </x:c>
      <x:c r="I402" s="11"/>
      <x:c r="J402" s="11"/>
      <x:c r="K402" s="10"/>
      <x:c r="L402" s="10"/>
      <x:c r="M402" s="10"/>
      <x:c r="N402" s="5" t="str">
        <x:f>IF(H402="not_checked_here","Сопоставить с проектом",IF(OR(H402="operational",H402="empty_success"),IF(AND(I402&lt;&gt;"",J402&lt;&gt;"",K402&lt;&gt;"",L402&lt;&gt;""),"Доказательства внесены","Дополнить дату / пример / охват"),IF(J402="","Назначить следующий срок","Исход и очередь записаны")))</x:f>
        <x:v>Сопоставить с проектом</x:v>
      </x:c>
    </x:row>
    <x:row r="403" ht="42.75" customHeight="1">
      <x:c r="A403" s="5" t="str">
        <x:v>CU-SRC-0398</x:v>
      </x:c>
      <x:c r="B403" s="5" t="str">
        <x:v>CU-0202</x:v>
      </x:c>
      <x:c r="C403" s="5" t="str">
        <x:v>https://training.ans.kz/courses</x:v>
      </x:c>
      <x:c r="D403" s="5" t="n">
        <x:v>2</x:v>
      </x:c>
      <x:c r="E40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03" s="5" t="str">
        <x:v>Публичные HTML/PDF, история версий; сохранить raw до квалификации; API не установлен.</x:v>
      </x:c>
      <x:c r="G403" s="10"/>
      <x:c r="H403" s="10" t="str">
        <x:v>not_checked_here</x:v>
      </x:c>
      <x:c r="I403" s="11"/>
      <x:c r="J403" s="11"/>
      <x:c r="K403" s="10"/>
      <x:c r="L403" s="10"/>
      <x:c r="M403" s="10"/>
      <x:c r="N403" s="5" t="str">
        <x:f>IF(H403="not_checked_here","Сопоставить с проектом",IF(OR(H403="operational",H403="empty_success"),IF(AND(I403&lt;&gt;"",J403&lt;&gt;"",K403&lt;&gt;"",L403&lt;&gt;""),"Доказательства внесены","Дополнить дату / пример / охват"),IF(J403="","Назначить следующий срок","Исход и очередь записаны")))</x:f>
        <x:v>Сопоставить с проектом</x:v>
      </x:c>
    </x:row>
    <x:row r="404" ht="42.75" customHeight="1">
      <x:c r="A404" s="5" t="str">
        <x:v>CU-SRC-0399</x:v>
      </x:c>
      <x:c r="B404" s="5" t="str">
        <x:v>CU-0202</x:v>
      </x:c>
      <x:c r="C404" s="5" t="str">
        <x:v>https://ans.kz/ru/activities/PTC</x:v>
      </x:c>
      <x:c r="D404" s="5" t="n">
        <x:v>2</x:v>
      </x:c>
      <x:c r="E40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04" s="5" t="str">
        <x:v>Публичные HTML/PDF, история версий; сохранить raw до квалификации; API не установлен.</x:v>
      </x:c>
      <x:c r="G404" s="10"/>
      <x:c r="H404" s="10" t="str">
        <x:v>not_checked_here</x:v>
      </x:c>
      <x:c r="I404" s="11"/>
      <x:c r="J404" s="11"/>
      <x:c r="K404" s="10"/>
      <x:c r="L404" s="10"/>
      <x:c r="M404" s="10"/>
      <x:c r="N404" s="5" t="str">
        <x:f>IF(H404="not_checked_here","Сопоставить с проектом",IF(OR(H404="operational",H404="empty_success"),IF(AND(I404&lt;&gt;"",J404&lt;&gt;"",K404&lt;&gt;"",L404&lt;&gt;""),"Доказательства внесены","Дополнить дату / пример / охват"),IF(J404="","Назначить следующий срок","Исход и очередь записаны")))</x:f>
        <x:v>Сопоставить с проектом</x:v>
      </x:c>
    </x:row>
    <x:row r="405" ht="42.75" customHeight="1">
      <x:c r="A405" s="5" t="str">
        <x:v>CU-SRC-0400</x:v>
      </x:c>
      <x:c r="B405" s="5" t="str">
        <x:v>CU-0203</x:v>
      </x:c>
      <x:c r="C405" s="5" t="str">
        <x:v>https://www.airbus.com/en/products-services/helicopters/hcare-services/training-flight-operations/airbus-helicopters-training-academy-kazakhstan</x:v>
      </x:c>
      <x:c r="D405" s="5" t="n">
        <x:v>2</x:v>
      </x:c>
      <x:c r="E40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05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05" s="10"/>
      <x:c r="H405" s="10" t="str">
        <x:v>not_checked_here</x:v>
      </x:c>
      <x:c r="I405" s="11"/>
      <x:c r="J405" s="11"/>
      <x:c r="K405" s="10"/>
      <x:c r="L405" s="10"/>
      <x:c r="M405" s="10"/>
      <x:c r="N405" s="5" t="str">
        <x:f>IF(H405="not_checked_here","Сопоставить с проектом",IF(OR(H405="operational",H405="empty_success"),IF(AND(I405&lt;&gt;"",J405&lt;&gt;"",K405&lt;&gt;"",L405&lt;&gt;""),"Доказательства внесены","Дополнить дату / пример / охват"),IF(J405="","Назначить следующий срок","Исход и очередь записаны")))</x:f>
        <x:v>Сопоставить с проектом</x:v>
      </x:c>
    </x:row>
    <x:row r="406" ht="42.75" customHeight="1">
      <x:c r="A406" s="5" t="str">
        <x:v>CU-SRC-0401</x:v>
      </x:c>
      <x:c r="B406" s="5" t="str">
        <x:v>CU-0203</x:v>
      </x:c>
      <x:c r="C406" s="5" t="str">
        <x:v>https://eurocopterke.ke.kz/ru/company/production/1033/</x:v>
      </x:c>
      <x:c r="D406" s="5" t="n">
        <x:v>2</x:v>
      </x:c>
      <x:c r="E40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06" s="5" t="str">
        <x:v>Публичные HTML/PDF, история версий; сохранить raw до квалификации; API не установлен.</x:v>
      </x:c>
      <x:c r="G406" s="10"/>
      <x:c r="H406" s="10" t="str">
        <x:v>not_checked_here</x:v>
      </x:c>
      <x:c r="I406" s="11"/>
      <x:c r="J406" s="11"/>
      <x:c r="K406" s="10"/>
      <x:c r="L406" s="10"/>
      <x:c r="M406" s="10"/>
      <x:c r="N406" s="5" t="str">
        <x:f>IF(H406="not_checked_here","Сопоставить с проектом",IF(OR(H406="operational",H406="empty_success"),IF(AND(I406&lt;&gt;"",J406&lt;&gt;"",K406&lt;&gt;"",L406&lt;&gt;""),"Доказательства внесены","Дополнить дату / пример / охват"),IF(J406="","Назначить следующий срок","Исход и очередь записаны")))</x:f>
        <x:v>Сопоставить с проектом</x:v>
      </x:c>
    </x:row>
    <x:row r="407" ht="42.75" customHeight="1">
      <x:c r="A407" s="5" t="str">
        <x:v>CU-SRC-0402</x:v>
      </x:c>
      <x:c r="B407" s="5" t="str">
        <x:v>CU-0204</x:v>
      </x:c>
      <x:c r="C407" s="5" t="str">
        <x:v>https://kaztransoil.kz/ru/</x:v>
      </x:c>
      <x:c r="D407" s="5" t="n">
        <x:v>2</x:v>
      </x:c>
      <x:c r="E40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07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07" s="10"/>
      <x:c r="H407" s="10" t="str">
        <x:v>not_checked_here</x:v>
      </x:c>
      <x:c r="I407" s="11"/>
      <x:c r="J407" s="11"/>
      <x:c r="K407" s="10"/>
      <x:c r="L407" s="10"/>
      <x:c r="M407" s="10"/>
      <x:c r="N407" s="5" t="str">
        <x:f>IF(H407="not_checked_here","Сопоставить с проектом",IF(OR(H407="operational",H407="empty_success"),IF(AND(I407&lt;&gt;"",J407&lt;&gt;"",K407&lt;&gt;"",L407&lt;&gt;""),"Доказательства внесены","Дополнить дату / пример / охват"),IF(J407="","Назначить следующий срок","Исход и очередь записаны")))</x:f>
        <x:v>Сопоставить с проектом</x:v>
      </x:c>
    </x:row>
    <x:row r="408" ht="42.75" customHeight="1">
      <x:c r="A408" s="5" t="str">
        <x:v>CU-SRC-0403</x:v>
      </x:c>
      <x:c r="B408" s="5" t="str">
        <x:v>CU-0205</x:v>
      </x:c>
      <x:c r="C408" s="5" t="str">
        <x:v>https://www.kmga.kz/</x:v>
      </x:c>
      <x:c r="D408" s="5" t="n">
        <x:v>2</x:v>
      </x:c>
      <x:c r="E40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08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08" s="10"/>
      <x:c r="H408" s="10" t="str">
        <x:v>not_checked_here</x:v>
      </x:c>
      <x:c r="I408" s="11"/>
      <x:c r="J408" s="11"/>
      <x:c r="K408" s="10"/>
      <x:c r="L408" s="10"/>
      <x:c r="M408" s="10"/>
      <x:c r="N408" s="5" t="str">
        <x:f>IF(H408="not_checked_here","Сопоставить с проектом",IF(OR(H408="operational",H408="empty_success"),IF(AND(I408&lt;&gt;"",J408&lt;&gt;"",K408&lt;&gt;"",L408&lt;&gt;""),"Доказательства внесены","Дополнить дату / пример / охват"),IF(J408="","Назначить следующий срок","Исход и очередь записаны")))</x:f>
        <x:v>Сопоставить с проектом</x:v>
      </x:c>
    </x:row>
    <x:row r="409" ht="42.75" customHeight="1">
      <x:c r="A409" s="5" t="str">
        <x:v>CU-SRC-0404</x:v>
      </x:c>
      <x:c r="B409" s="5" t="str">
        <x:v>CU-0206</x:v>
      </x:c>
      <x:c r="C409" s="5" t="str">
        <x:v>https://www.pnhz.kz/refinery/human_resources_policy/</x:v>
      </x:c>
      <x:c r="D409" s="5" t="n">
        <x:v>2</x:v>
      </x:c>
      <x:c r="E40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09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09" s="10"/>
      <x:c r="H409" s="10" t="str">
        <x:v>not_checked_here</x:v>
      </x:c>
      <x:c r="I409" s="11"/>
      <x:c r="J409" s="11"/>
      <x:c r="K409" s="10"/>
      <x:c r="L409" s="10"/>
      <x:c r="M409" s="10"/>
      <x:c r="N409" s="5" t="str">
        <x:f>IF(H409="not_checked_here","Сопоставить с проектом",IF(OR(H409="operational",H409="empty_success"),IF(AND(I409&lt;&gt;"",J409&lt;&gt;"",K409&lt;&gt;"",L409&lt;&gt;""),"Доказательства внесены","Дополнить дату / пример / охват"),IF(J409="","Назначить следующий срок","Исход и очередь записаны")))</x:f>
        <x:v>Сопоставить с проектом</x:v>
      </x:c>
    </x:row>
    <x:row r="410" ht="42.75" customHeight="1">
      <x:c r="A410" s="5" t="str">
        <x:v>CU-SRC-0405</x:v>
      </x:c>
      <x:c r="B410" s="5" t="str">
        <x:v>CU-0206</x:v>
      </x:c>
      <x:c r="C410" s="5" t="str">
        <x:v>https://www.pnhz.kz/press_center/news/?PAGEN_1=4</x:v>
      </x:c>
      <x:c r="D410" s="5" t="n">
        <x:v>2</x:v>
      </x:c>
      <x:c r="E41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10" s="5" t="str">
        <x:v>Публичные HTML/PDF, история версий; сохранить raw до квалификации; API не установлен.</x:v>
      </x:c>
      <x:c r="G410" s="10"/>
      <x:c r="H410" s="10" t="str">
        <x:v>not_checked_here</x:v>
      </x:c>
      <x:c r="I410" s="11"/>
      <x:c r="J410" s="11"/>
      <x:c r="K410" s="10"/>
      <x:c r="L410" s="10"/>
      <x:c r="M410" s="10"/>
      <x:c r="N410" s="5" t="str">
        <x:f>IF(H410="not_checked_here","Сопоставить с проектом",IF(OR(H410="operational",H410="empty_success"),IF(AND(I410&lt;&gt;"",J410&lt;&gt;"",K410&lt;&gt;"",L410&lt;&gt;""),"Доказательства внесены","Дополнить дату / пример / охват"),IF(J410="","Назначить следующий срок","Исход и очередь записаны")))</x:f>
        <x:v>Сопоставить с проектом</x:v>
      </x:c>
    </x:row>
    <x:row r="411" ht="42.75" customHeight="1">
      <x:c r="A411" s="5" t="str">
        <x:v>CU-SRC-0406</x:v>
      </x:c>
      <x:c r="B411" s="5" t="str">
        <x:v>CU-0207</x:v>
      </x:c>
      <x:c r="C411" s="5" t="str">
        <x:v>https://www.anpz.kz/social_sphere/training/</x:v>
      </x:c>
      <x:c r="D411" s="5" t="n">
        <x:v>2</x:v>
      </x:c>
      <x:c r="E41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11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11" s="10"/>
      <x:c r="H411" s="10" t="str">
        <x:v>not_checked_here</x:v>
      </x:c>
      <x:c r="I411" s="11"/>
      <x:c r="J411" s="11"/>
      <x:c r="K411" s="10"/>
      <x:c r="L411" s="10"/>
      <x:c r="M411" s="10"/>
      <x:c r="N411" s="5" t="str">
        <x:f>IF(H411="not_checked_here","Сопоставить с проектом",IF(OR(H411="operational",H411="empty_success"),IF(AND(I411&lt;&gt;"",J411&lt;&gt;"",K411&lt;&gt;"",L411&lt;&gt;""),"Доказательства внесены","Дополнить дату / пример / охват"),IF(J411="","Назначить следующий срок","Исход и очередь записаны")))</x:f>
        <x:v>Сопоставить с проектом</x:v>
      </x:c>
    </x:row>
    <x:row r="412" ht="42.75" customHeight="1">
      <x:c r="A412" s="5" t="str">
        <x:v>CU-SRC-0407</x:v>
      </x:c>
      <x:c r="B412" s="5" t="str">
        <x:v>CU-0208</x:v>
      </x:c>
      <x:c r="C412" s="5" t="str">
        <x:v>https://www.tengizchevroil.com/</x:v>
      </x:c>
      <x:c r="D412" s="5" t="n">
        <x:v>2</x:v>
      </x:c>
      <x:c r="E41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12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12" s="10"/>
      <x:c r="H412" s="10" t="str">
        <x:v>not_checked_here</x:v>
      </x:c>
      <x:c r="I412" s="11"/>
      <x:c r="J412" s="11"/>
      <x:c r="K412" s="10"/>
      <x:c r="L412" s="10"/>
      <x:c r="M412" s="10"/>
      <x:c r="N412" s="5" t="str">
        <x:f>IF(H412="not_checked_here","Сопоставить с проектом",IF(OR(H412="operational",H412="empty_success"),IF(AND(I412&lt;&gt;"",J412&lt;&gt;"",K412&lt;&gt;"",L412&lt;&gt;""),"Доказательства внесены","Дополнить дату / пример / охват"),IF(J412="","Назначить следующий срок","Исход и очередь записаны")))</x:f>
        <x:v>Сопоставить с проектом</x:v>
      </x:c>
    </x:row>
    <x:row r="413" ht="42.75" customHeight="1">
      <x:c r="A413" s="5" t="str">
        <x:v>CU-SRC-0408</x:v>
      </x:c>
      <x:c r="B413" s="5" t="str">
        <x:v>CU-0208</x:v>
      </x:c>
      <x:c r="C413" s="5" t="str">
        <x:v>https://www.tengizchevroil.com/ru/tco-news/detail/2026/05/15/the-results-of-the-training-program-for-unemployed-citizens-supported-by-tengizchevroil-were-summarized</x:v>
      </x:c>
      <x:c r="D413" s="5" t="n">
        <x:v>2</x:v>
      </x:c>
      <x:c r="E41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13" s="5" t="str">
        <x:v>Публичные HTML/PDF, история версий; сохранить raw до квалификации; API не установлен.</x:v>
      </x:c>
      <x:c r="G413" s="10"/>
      <x:c r="H413" s="10" t="str">
        <x:v>not_checked_here</x:v>
      </x:c>
      <x:c r="I413" s="11"/>
      <x:c r="J413" s="11"/>
      <x:c r="K413" s="10"/>
      <x:c r="L413" s="10"/>
      <x:c r="M413" s="10"/>
      <x:c r="N413" s="5" t="str">
        <x:f>IF(H413="not_checked_here","Сопоставить с проектом",IF(OR(H413="operational",H413="empty_success"),IF(AND(I413&lt;&gt;"",J413&lt;&gt;"",K413&lt;&gt;"",L413&lt;&gt;""),"Доказательства внесены","Дополнить дату / пример / охват"),IF(J413="","Назначить следующий срок","Исход и очередь записаны")))</x:f>
        <x:v>Сопоставить с проектом</x:v>
      </x:c>
    </x:row>
    <x:row r="414" ht="42.75" customHeight="1">
      <x:c r="A414" s="5" t="str">
        <x:v>CU-SRC-0409</x:v>
      </x:c>
      <x:c r="B414" s="5" t="str">
        <x:v>CU-0209</x:v>
      </x:c>
      <x:c r="C414" s="5" t="str">
        <x:v>https://www.kpo.kz/</x:v>
      </x:c>
      <x:c r="D414" s="5" t="n">
        <x:v>2</x:v>
      </x:c>
      <x:c r="E41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14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14" s="10"/>
      <x:c r="H414" s="10" t="str">
        <x:v>not_checked_here</x:v>
      </x:c>
      <x:c r="I414" s="11"/>
      <x:c r="J414" s="11"/>
      <x:c r="K414" s="10"/>
      <x:c r="L414" s="10"/>
      <x:c r="M414" s="10"/>
      <x:c r="N414" s="5" t="str">
        <x:f>IF(H414="not_checked_here","Сопоставить с проектом",IF(OR(H414="operational",H414="empty_success"),IF(AND(I414&lt;&gt;"",J414&lt;&gt;"",K414&lt;&gt;"",L414&lt;&gt;""),"Доказательства внесены","Дополнить дату / пример / охват"),IF(J414="","Назначить следующий срок","Исход и очередь записаны")))</x:f>
        <x:v>Сопоставить с проектом</x:v>
      </x:c>
    </x:row>
    <x:row r="415" ht="42.75" customHeight="1">
      <x:c r="A415" s="5" t="str">
        <x:v>CU-SRC-0410</x:v>
      </x:c>
      <x:c r="B415" s="5" t="str">
        <x:v>CU-0209</x:v>
      </x:c>
      <x:c r="C415" s="5" t="str">
        <x:v>https://hr.kpo.kz/vacancy/586</x:v>
      </x:c>
      <x:c r="D415" s="5" t="n">
        <x:v>2</x:v>
      </x:c>
      <x:c r="E41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15" s="5" t="str">
        <x:v>Публичные HTML/PDF, история версий; сохранить raw до квалификации; API не установлен.</x:v>
      </x:c>
      <x:c r="G415" s="10"/>
      <x:c r="H415" s="10" t="str">
        <x:v>not_checked_here</x:v>
      </x:c>
      <x:c r="I415" s="11"/>
      <x:c r="J415" s="11"/>
      <x:c r="K415" s="10"/>
      <x:c r="L415" s="10"/>
      <x:c r="M415" s="10"/>
      <x:c r="N415" s="5" t="str">
        <x:f>IF(H415="not_checked_here","Сопоставить с проектом",IF(OR(H415="operational",H415="empty_success"),IF(AND(I415&lt;&gt;"",J415&lt;&gt;"",K415&lt;&gt;"",L415&lt;&gt;""),"Доказательства внесены","Дополнить дату / пример / охват"),IF(J415="","Назначить следующий срок","Исход и очередь записаны")))</x:f>
        <x:v>Сопоставить с проектом</x:v>
      </x:c>
    </x:row>
    <x:row r="416" ht="42.75" customHeight="1">
      <x:c r="A416" s="5" t="str">
        <x:v>CU-SRC-0411</x:v>
      </x:c>
      <x:c r="B416" s="5" t="str">
        <x:v>CU-0210</x:v>
      </x:c>
      <x:c r="C416" s="5" t="str">
        <x:v>https://www.ncoc.kz/public/publications/ncoc/LocalContentBrochureRus.pdf</x:v>
      </x:c>
      <x:c r="D416" s="5" t="n">
        <x:v>2</x:v>
      </x:c>
      <x:c r="E41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16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16" s="10"/>
      <x:c r="H416" s="10" t="str">
        <x:v>not_checked_here</x:v>
      </x:c>
      <x:c r="I416" s="11"/>
      <x:c r="J416" s="11"/>
      <x:c r="K416" s="10"/>
      <x:c r="L416" s="10"/>
      <x:c r="M416" s="10"/>
      <x:c r="N416" s="5" t="str">
        <x:f>IF(H416="not_checked_here","Сопоставить с проектом",IF(OR(H416="operational",H416="empty_success"),IF(AND(I416&lt;&gt;"",J416&lt;&gt;"",K416&lt;&gt;"",L416&lt;&gt;""),"Доказательства внесены","Дополнить дату / пример / охват"),IF(J416="","Назначить следующий срок","Исход и очередь записаны")))</x:f>
        <x:v>Сопоставить с проектом</x:v>
      </x:c>
    </x:row>
    <x:row r="417" ht="42.75" customHeight="1">
      <x:c r="A417" s="5" t="str">
        <x:v>CU-SRC-0412</x:v>
      </x:c>
      <x:c r="B417" s="5" t="str">
        <x:v>CU-0210</x:v>
      </x:c>
      <x:c r="C417" s="5" t="str">
        <x:v>https://www.ncoc.kz/en/sustainability/2020/reports</x:v>
      </x:c>
      <x:c r="D417" s="5" t="n">
        <x:v>2</x:v>
      </x:c>
      <x:c r="E41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17" s="5" t="str">
        <x:v>Публичные HTML/PDF, история версий; сохранить raw до квалификации; API не установлен.</x:v>
      </x:c>
      <x:c r="G417" s="10"/>
      <x:c r="H417" s="10" t="str">
        <x:v>not_checked_here</x:v>
      </x:c>
      <x:c r="I417" s="11"/>
      <x:c r="J417" s="11"/>
      <x:c r="K417" s="10"/>
      <x:c r="L417" s="10"/>
      <x:c r="M417" s="10"/>
      <x:c r="N417" s="5" t="str">
        <x:f>IF(H417="not_checked_here","Сопоставить с проектом",IF(OR(H417="operational",H417="empty_success"),IF(AND(I417&lt;&gt;"",J417&lt;&gt;"",K417&lt;&gt;"",L417&lt;&gt;""),"Доказательства внесены","Дополнить дату / пример / охват"),IF(J417="","Назначить следующий срок","Исход и очередь записаны")))</x:f>
        <x:v>Сопоставить с проектом</x:v>
      </x:c>
    </x:row>
    <x:row r="418" ht="42.75" customHeight="1">
      <x:c r="A418" s="5" t="str">
        <x:v>CU-SRC-0413</x:v>
      </x:c>
      <x:c r="B418" s="5" t="str">
        <x:v>CU-0210</x:v>
      </x:c>
      <x:c r="C418" s="5" t="str">
        <x:v>https://www.ncoc.kz/en/news/news-799</x:v>
      </x:c>
      <x:c r="D418" s="5" t="n">
        <x:v>2</x:v>
      </x:c>
      <x:c r="E41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18" s="5" t="str">
        <x:v>Публичные HTML/PDF, история версий; сохранить raw до квалификации; API не установлен.</x:v>
      </x:c>
      <x:c r="G418" s="10"/>
      <x:c r="H418" s="10" t="str">
        <x:v>not_checked_here</x:v>
      </x:c>
      <x:c r="I418" s="11"/>
      <x:c r="J418" s="11"/>
      <x:c r="K418" s="10"/>
      <x:c r="L418" s="10"/>
      <x:c r="M418" s="10"/>
      <x:c r="N418" s="5" t="str">
        <x:f>IF(H418="not_checked_here","Сопоставить с проектом",IF(OR(H418="operational",H418="empty_success"),IF(AND(I418&lt;&gt;"",J418&lt;&gt;"",K418&lt;&gt;"",L418&lt;&gt;""),"Доказательства внесены","Дополнить дату / пример / охват"),IF(J418="","Назначить следующий срок","Исход и очередь записаны")))</x:f>
        <x:v>Сопоставить с проектом</x:v>
      </x:c>
    </x:row>
    <x:row r="419" ht="42.75" customHeight="1">
      <x:c r="A419" s="5" t="str">
        <x:v>CU-SRC-0414</x:v>
      </x:c>
      <x:c r="B419" s="5" t="str">
        <x:v>CU-0211</x:v>
      </x:c>
      <x:c r="C419" s="5" t="str">
        <x:v>https://official.satbayev.university/ru/information-telecommunication-technologies/csam/laboratoriya-halyk-academy-satbayev-university</x:v>
      </x:c>
      <x:c r="D419" s="5" t="n">
        <x:v>3</x:v>
      </x:c>
      <x:c r="E41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19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19" s="10"/>
      <x:c r="H419" s="10" t="str">
        <x:v>not_checked_here</x:v>
      </x:c>
      <x:c r="I419" s="11"/>
      <x:c r="J419" s="11"/>
      <x:c r="K419" s="10"/>
      <x:c r="L419" s="10"/>
      <x:c r="M419" s="10"/>
      <x:c r="N419" s="5" t="str">
        <x:f>IF(H419="not_checked_here","Сопоставить с проектом",IF(OR(H419="operational",H419="empty_success"),IF(AND(I419&lt;&gt;"",J419&lt;&gt;"",K419&lt;&gt;"",L419&lt;&gt;""),"Доказательства внесены","Дополнить дату / пример / охват"),IF(J419="","Назначить следующий срок","Исход и очередь записаны")))</x:f>
        <x:v>Сопоставить с проектом</x:v>
      </x:c>
    </x:row>
    <x:row r="420" ht="42.75" customHeight="1">
      <x:c r="A420" s="5" t="str">
        <x:v>CU-SRC-0415</x:v>
      </x:c>
      <x:c r="B420" s="5" t="str">
        <x:v>CU-0211</x:v>
      </x:c>
      <x:c r="C420" s="5" t="str">
        <x:v>https://halykbank.kz/for-employees</x:v>
      </x:c>
      <x:c r="D420" s="5" t="n">
        <x:v>3</x:v>
      </x:c>
      <x:c r="E42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20" s="5" t="str">
        <x:v>Публичные HTML/PDF, история версий; сохранить raw до квалификации; API не установлен.</x:v>
      </x:c>
      <x:c r="G420" s="10"/>
      <x:c r="H420" s="10" t="str">
        <x:v>not_checked_here</x:v>
      </x:c>
      <x:c r="I420" s="11"/>
      <x:c r="J420" s="11"/>
      <x:c r="K420" s="10"/>
      <x:c r="L420" s="10"/>
      <x:c r="M420" s="10"/>
      <x:c r="N420" s="5" t="str">
        <x:f>IF(H420="not_checked_here","Сопоставить с проектом",IF(OR(H420="operational",H420="empty_success"),IF(AND(I420&lt;&gt;"",J420&lt;&gt;"",K420&lt;&gt;"",L420&lt;&gt;""),"Доказательства внесены","Дополнить дату / пример / охват"),IF(J420="","Назначить следующий срок","Исход и очередь записаны")))</x:f>
        <x:v>Сопоставить с проектом</x:v>
      </x:c>
    </x:row>
    <x:row r="421" ht="42.75" customHeight="1">
      <x:c r="A421" s="5" t="str">
        <x:v>CU-SRC-0416</x:v>
      </x:c>
      <x:c r="B421" s="5" t="str">
        <x:v>CU-0212</x:v>
      </x:c>
      <x:c r="C421" s="5" t="str">
        <x:v>https://freedomacademy.kz/</x:v>
      </x:c>
      <x:c r="D421" s="5" t="n">
        <x:v>1</x:v>
      </x:c>
      <x:c r="E42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21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21" s="10"/>
      <x:c r="H421" s="10" t="str">
        <x:v>not_checked_here</x:v>
      </x:c>
      <x:c r="I421" s="11"/>
      <x:c r="J421" s="11"/>
      <x:c r="K421" s="10"/>
      <x:c r="L421" s="10"/>
      <x:c r="M421" s="10"/>
      <x:c r="N421" s="5" t="str">
        <x:f>IF(H421="not_checked_here","Сопоставить с проектом",IF(OR(H421="operational",H421="empty_success"),IF(AND(I421&lt;&gt;"",J421&lt;&gt;"",K421&lt;&gt;"",L421&lt;&gt;""),"Доказательства внесены","Дополнить дату / пример / охват"),IF(J421="","Назначить следующий срок","Исход и очередь записаны")))</x:f>
        <x:v>Сопоставить с проектом</x:v>
      </x:c>
    </x:row>
    <x:row r="422" ht="42.75" customHeight="1">
      <x:c r="A422" s="5" t="str">
        <x:v>CU-SRC-0417</x:v>
      </x:c>
      <x:c r="B422" s="5" t="str">
        <x:v>CU-0212</x:v>
      </x:c>
      <x:c r="C422" s="5" t="str">
        <x:v>https://freedomacademy.kz/corporate-education</x:v>
      </x:c>
      <x:c r="D422" s="5" t="n">
        <x:v>1</x:v>
      </x:c>
      <x:c r="E42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22" s="5" t="str">
        <x:v>Публичные HTML/PDF, история версий; сохранить raw до квалификации; API не установлен.</x:v>
      </x:c>
      <x:c r="G422" s="10"/>
      <x:c r="H422" s="10" t="str">
        <x:v>not_checked_here</x:v>
      </x:c>
      <x:c r="I422" s="11"/>
      <x:c r="J422" s="11"/>
      <x:c r="K422" s="10"/>
      <x:c r="L422" s="10"/>
      <x:c r="M422" s="10"/>
      <x:c r="N422" s="5" t="str">
        <x:f>IF(H422="not_checked_here","Сопоставить с проектом",IF(OR(H422="operational",H422="empty_success"),IF(AND(I422&lt;&gt;"",J422&lt;&gt;"",K422&lt;&gt;"",L422&lt;&gt;""),"Доказательства внесены","Дополнить дату / пример / охват"),IF(J422="","Назначить следующий срок","Исход и очередь записаны")))</x:f>
        <x:v>Сопоставить с проектом</x:v>
      </x:c>
    </x:row>
    <x:row r="423" ht="42.75" customHeight="1">
      <x:c r="A423" s="5" t="str">
        <x:v>CU-SRC-0418</x:v>
      </x:c>
      <x:c r="B423" s="5" t="str">
        <x:v>CU-0213</x:v>
      </x:c>
      <x:c r="C423" s="5" t="str">
        <x:v>https://kolesa.group/kz/education/academy</x:v>
      </x:c>
      <x:c r="D423" s="5" t="n">
        <x:v>2</x:v>
      </x:c>
      <x:c r="E42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23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23" s="10"/>
      <x:c r="H423" s="10" t="str">
        <x:v>not_checked_here</x:v>
      </x:c>
      <x:c r="I423" s="11"/>
      <x:c r="J423" s="11"/>
      <x:c r="K423" s="10"/>
      <x:c r="L423" s="10"/>
      <x:c r="M423" s="10"/>
      <x:c r="N423" s="5" t="str">
        <x:f>IF(H423="not_checked_here","Сопоставить с проектом",IF(OR(H423="operational",H423="empty_success"),IF(AND(I423&lt;&gt;"",J423&lt;&gt;"",K423&lt;&gt;"",L423&lt;&gt;""),"Доказательства внесены","Дополнить дату / пример / охват"),IF(J423="","Назначить следующий срок","Исход и очередь записаны")))</x:f>
        <x:v>Сопоставить с проектом</x:v>
      </x:c>
    </x:row>
    <x:row r="424" ht="42.75" customHeight="1">
      <x:c r="A424" s="5" t="str">
        <x:v>CU-SRC-0419</x:v>
      </x:c>
      <x:c r="B424" s="5" t="str">
        <x:v>CU-0214</x:v>
      </x:c>
      <x:c r="C424" s="5" t="str">
        <x:v>https://hh.kz/employer/2374853</x:v>
      </x:c>
      <x:c r="D424" s="5" t="n">
        <x:v>1</x:v>
      </x:c>
      <x:c r="E42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24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24" s="10"/>
      <x:c r="H424" s="10" t="str">
        <x:v>not_checked_here</x:v>
      </x:c>
      <x:c r="I424" s="11"/>
      <x:c r="J424" s="11"/>
      <x:c r="K424" s="10"/>
      <x:c r="L424" s="10"/>
      <x:c r="M424" s="10"/>
      <x:c r="N424" s="5" t="str">
        <x:f>IF(H424="not_checked_here","Сопоставить с проектом",IF(OR(H424="operational",H424="empty_success"),IF(AND(I424&lt;&gt;"",J424&lt;&gt;"",K424&lt;&gt;"",L424&lt;&gt;""),"Доказательства внесены","Дополнить дату / пример / охват"),IF(J424="","Назначить следующий срок","Исход и очередь записаны")))</x:f>
        <x:v>Сопоставить с проектом</x:v>
      </x:c>
    </x:row>
    <x:row r="425" ht="42.75" customHeight="1">
      <x:c r="A425" s="5" t="str">
        <x:v>CU-SRC-0420</x:v>
      </x:c>
      <x:c r="B425" s="5" t="str">
        <x:v>CU-0215</x:v>
      </x:c>
      <x:c r="C425" s="5" t="str">
        <x:v>https://qazpost.kz/ru</x:v>
      </x:c>
      <x:c r="D425" s="5" t="n">
        <x:v>1</x:v>
      </x:c>
      <x:c r="E42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25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25" s="10"/>
      <x:c r="H425" s="10" t="str">
        <x:v>not_checked_here</x:v>
      </x:c>
      <x:c r="I425" s="11"/>
      <x:c r="J425" s="11"/>
      <x:c r="K425" s="10"/>
      <x:c r="L425" s="10"/>
      <x:c r="M425" s="10"/>
      <x:c r="N425" s="5" t="str">
        <x:f>IF(H425="not_checked_here","Сопоставить с проектом",IF(OR(H425="operational",H425="empty_success"),IF(AND(I425&lt;&gt;"",J425&lt;&gt;"",K425&lt;&gt;"",L425&lt;&gt;""),"Доказательства внесены","Дополнить дату / пример / охват"),IF(J425="","Назначить следующий срок","Исход и очередь записаны")))</x:f>
        <x:v>Сопоставить с проектом</x:v>
      </x:c>
    </x:row>
    <x:row r="426" ht="42.75" customHeight="1">
      <x:c r="A426" s="5" t="str">
        <x:v>CU-SRC-0421</x:v>
      </x:c>
      <x:c r="B426" s="5" t="str">
        <x:v>CU-0216</x:v>
      </x:c>
      <x:c r="C426" s="5" t="str">
        <x:v>https://astana-motors.kz/ru/news/satbayev-university-zhane-hyundai-trans-kazakhstan-mashina-zhasau-salasindagi-kasipkoy-kadrlardi-dayindap-zhatir-444</x:v>
      </x:c>
      <x:c r="D426" s="5" t="n">
        <x:v>3</x:v>
      </x:c>
      <x:c r="E42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26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26" s="10"/>
      <x:c r="H426" s="10" t="str">
        <x:v>not_checked_here</x:v>
      </x:c>
      <x:c r="I426" s="11"/>
      <x:c r="J426" s="11"/>
      <x:c r="K426" s="10"/>
      <x:c r="L426" s="10"/>
      <x:c r="M426" s="10"/>
      <x:c r="N426" s="5" t="str">
        <x:f>IF(H426="not_checked_here","Сопоставить с проектом",IF(OR(H426="operational",H426="empty_success"),IF(AND(I426&lt;&gt;"",J426&lt;&gt;"",K426&lt;&gt;"",L426&lt;&gt;""),"Доказательства внесены","Дополнить дату / пример / охват"),IF(J426="","Назначить следующий срок","Исход и очередь записаны")))</x:f>
        <x:v>Сопоставить с проектом</x:v>
      </x:c>
    </x:row>
    <x:row r="427" ht="42.75" customHeight="1">
      <x:c r="A427" s="5" t="str">
        <x:v>CU-SRC-0422</x:v>
      </x:c>
      <x:c r="B427" s="5" t="str">
        <x:v>CU-0217</x:v>
      </x:c>
      <x:c r="C427" s="5" t="str">
        <x:v>https://alageum.com/ru/predpriyatiya/ao-ktz</x:v>
      </x:c>
      <x:c r="D427" s="5" t="n">
        <x:v>3</x:v>
      </x:c>
      <x:c r="E42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27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27" s="10"/>
      <x:c r="H427" s="10" t="str">
        <x:v>not_checked_here</x:v>
      </x:c>
      <x:c r="I427" s="11"/>
      <x:c r="J427" s="11"/>
      <x:c r="K427" s="10"/>
      <x:c r="L427" s="10"/>
      <x:c r="M427" s="10"/>
      <x:c r="N427" s="5" t="str">
        <x:f>IF(H427="not_checked_here","Сопоставить с проектом",IF(OR(H427="operational",H427="empty_success"),IF(AND(I427&lt;&gt;"",J427&lt;&gt;"",K427&lt;&gt;"",L427&lt;&gt;""),"Доказательства внесены","Дополнить дату / пример / охват"),IF(J427="","Назначить следующий срок","Исход и очередь записаны")))</x:f>
        <x:v>Сопоставить с проектом</x:v>
      </x:c>
    </x:row>
    <x:row r="428" ht="42.75" customHeight="1">
      <x:c r="A428" s="5" t="str">
        <x:v>CU-SRC-0423</x:v>
      </x:c>
      <x:c r="B428" s="5" t="str">
        <x:v>CU-0217</x:v>
      </x:c>
      <x:c r="C428" s="5" t="str">
        <x:v>https://alageum.com/kz/novosti/kolledzh-ao-ktz-voshel-v-programmu-dorozhnoj-karty</x:v>
      </x:c>
      <x:c r="D428" s="5" t="n">
        <x:v>3</x:v>
      </x:c>
      <x:c r="E42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28" s="5" t="str">
        <x:v>Публичные HTML/PDF, история версий; сохранить raw до квалификации; API не установлен.</x:v>
      </x:c>
      <x:c r="G428" s="10"/>
      <x:c r="H428" s="10" t="str">
        <x:v>not_checked_here</x:v>
      </x:c>
      <x:c r="I428" s="11"/>
      <x:c r="J428" s="11"/>
      <x:c r="K428" s="10"/>
      <x:c r="L428" s="10"/>
      <x:c r="M428" s="10"/>
      <x:c r="N428" s="5" t="str">
        <x:f>IF(H428="not_checked_here","Сопоставить с проектом",IF(OR(H428="operational",H428="empty_success"),IF(AND(I428&lt;&gt;"",J428&lt;&gt;"",K428&lt;&gt;"",L428&lt;&gt;""),"Доказательства внесены","Дополнить дату / пример / охват"),IF(J428="","Назначить следующий срок","Исход и очередь записаны")))</x:f>
        <x:v>Сопоставить с проектом</x:v>
      </x:c>
    </x:row>
    <x:row r="429" ht="42.75" customHeight="1">
      <x:c r="A429" s="5" t="str">
        <x:v>CU-SRC-0424</x:v>
      </x:c>
      <x:c r="B429" s="5" t="str">
        <x:v>CU-0218</x:v>
      </x:c>
      <x:c r="C429" s="5" t="str">
        <x:v>https://www.borusancat.kz/ru/corporate/news/borusan-cat-education</x:v>
      </x:c>
      <x:c r="D429" s="5" t="n">
        <x:v>2</x:v>
      </x:c>
      <x:c r="E42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29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29" s="10"/>
      <x:c r="H429" s="10" t="str">
        <x:v>not_checked_here</x:v>
      </x:c>
      <x:c r="I429" s="11"/>
      <x:c r="J429" s="11"/>
      <x:c r="K429" s="10"/>
      <x:c r="L429" s="10"/>
      <x:c r="M429" s="10"/>
      <x:c r="N429" s="5" t="str">
        <x:f>IF(H429="not_checked_here","Сопоставить с проектом",IF(OR(H429="operational",H429="empty_success"),IF(AND(I429&lt;&gt;"",J429&lt;&gt;"",K429&lt;&gt;"",L429&lt;&gt;""),"Доказательства внесены","Дополнить дату / пример / охват"),IF(J429="","Назначить следующий срок","Исход и очередь записаны")))</x:f>
        <x:v>Сопоставить с проектом</x:v>
      </x:c>
    </x:row>
    <x:row r="430" ht="42.75" customHeight="1">
      <x:c r="A430" s="5" t="str">
        <x:v>CU-SRC-0425</x:v>
      </x:c>
      <x:c r="B430" s="5" t="str">
        <x:v>CU-0218</x:v>
      </x:c>
      <x:c r="C430" s="5" t="str">
        <x:v>https://www.borusancat.kz/ru/service/customer-training</x:v>
      </x:c>
      <x:c r="D430" s="5" t="n">
        <x:v>2</x:v>
      </x:c>
      <x:c r="E43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30" s="5" t="str">
        <x:v>Публичные HTML/PDF, история версий; сохранить raw до квалификации; API не установлен.</x:v>
      </x:c>
      <x:c r="G430" s="10"/>
      <x:c r="H430" s="10" t="str">
        <x:v>not_checked_here</x:v>
      </x:c>
      <x:c r="I430" s="11"/>
      <x:c r="J430" s="11"/>
      <x:c r="K430" s="10"/>
      <x:c r="L430" s="10"/>
      <x:c r="M430" s="10"/>
      <x:c r="N430" s="5" t="str">
        <x:f>IF(H430="not_checked_here","Сопоставить с проектом",IF(OR(H430="operational",H430="empty_success"),IF(AND(I430&lt;&gt;"",J430&lt;&gt;"",K430&lt;&gt;"",L430&lt;&gt;""),"Доказательства внесены","Дополнить дату / пример / охват"),IF(J430="","Назначить следующий срок","Исход и очередь записаны")))</x:f>
        <x:v>Сопоставить с проектом</x:v>
      </x:c>
    </x:row>
    <x:row r="431" ht="42.75" customHeight="1">
      <x:c r="A431" s="5" t="str">
        <x:v>CU-SRC-0426</x:v>
      </x:c>
      <x:c r="B431" s="5" t="str">
        <x:v>CU-0218</x:v>
      </x:c>
      <x:c r="C431" s="5" t="str">
        <x:v>https://www.borusancat.kz/ru/corporate/news/nastavnichestvo_2024</x:v>
      </x:c>
      <x:c r="D431" s="5" t="n">
        <x:v>2</x:v>
      </x:c>
      <x:c r="E43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31" s="5" t="str">
        <x:v>Публичные HTML/PDF, история версий; сохранить raw до квалификации; API не установлен.</x:v>
      </x:c>
      <x:c r="G431" s="10"/>
      <x:c r="H431" s="10" t="str">
        <x:v>not_checked_here</x:v>
      </x:c>
      <x:c r="I431" s="11"/>
      <x:c r="J431" s="11"/>
      <x:c r="K431" s="10"/>
      <x:c r="L431" s="10"/>
      <x:c r="M431" s="10"/>
      <x:c r="N431" s="5" t="str">
        <x:f>IF(H431="not_checked_here","Сопоставить с проектом",IF(OR(H431="operational",H431="empty_success"),IF(AND(I431&lt;&gt;"",J431&lt;&gt;"",K431&lt;&gt;"",L431&lt;&gt;""),"Доказательства внесены","Дополнить дату / пример / охват"),IF(J431="","Назначить следующий срок","Исход и очередь записаны")))</x:f>
        <x:v>Сопоставить с проектом</x:v>
      </x:c>
    </x:row>
    <x:row r="432" ht="42.75" customHeight="1">
      <x:c r="A432" s="5" t="str">
        <x:v>CU-SRC-0427</x:v>
      </x:c>
      <x:c r="B432" s="5" t="str">
        <x:v>CU-0219</x:v>
      </x:c>
      <x:c r="C432" s="5" t="str">
        <x:v>https://www.pwc.com/kz/ru/pwcacademy.html</x:v>
      </x:c>
      <x:c r="D432" s="5" t="n">
        <x:v>1</x:v>
      </x:c>
      <x:c r="E43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32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32" s="10"/>
      <x:c r="H432" s="10" t="str">
        <x:v>not_checked_here</x:v>
      </x:c>
      <x:c r="I432" s="11"/>
      <x:c r="J432" s="11"/>
      <x:c r="K432" s="10"/>
      <x:c r="L432" s="10"/>
      <x:c r="M432" s="10"/>
      <x:c r="N432" s="5" t="str">
        <x:f>IF(H432="not_checked_here","Сопоставить с проектом",IF(OR(H432="operational",H432="empty_success"),IF(AND(I432&lt;&gt;"",J432&lt;&gt;"",K432&lt;&gt;"",L432&lt;&gt;""),"Доказательства внесены","Дополнить дату / пример / охват"),IF(J432="","Назначить следующий срок","Исход и очередь записаны")))</x:f>
        <x:v>Сопоставить с проектом</x:v>
      </x:c>
    </x:row>
    <x:row r="433" ht="42.75" customHeight="1">
      <x:c r="A433" s="5" t="str">
        <x:v>CU-SRC-0428</x:v>
      </x:c>
      <x:c r="B433" s="5" t="str">
        <x:v>CU-0219</x:v>
      </x:c>
      <x:c r="C433" s="5" t="str">
        <x:v>https://www.pwc.com/kz/ru/pwcacademy/korporativnyj-kouching-dlja-biznesa.html</x:v>
      </x:c>
      <x:c r="D433" s="5" t="n">
        <x:v>1</x:v>
      </x:c>
      <x:c r="E43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33" s="5" t="str">
        <x:v>Публичные HTML/PDF, история версий; сохранить raw до квалификации; API не установлен.</x:v>
      </x:c>
      <x:c r="G433" s="10"/>
      <x:c r="H433" s="10" t="str">
        <x:v>not_checked_here</x:v>
      </x:c>
      <x:c r="I433" s="11"/>
      <x:c r="J433" s="11"/>
      <x:c r="K433" s="10"/>
      <x:c r="L433" s="10"/>
      <x:c r="M433" s="10"/>
      <x:c r="N433" s="5" t="str">
        <x:f>IF(H433="not_checked_here","Сопоставить с проектом",IF(OR(H433="operational",H433="empty_success"),IF(AND(I433&lt;&gt;"",J433&lt;&gt;"",K433&lt;&gt;"",L433&lt;&gt;""),"Доказательства внесены","Дополнить дату / пример / охват"),IF(J433="","Назначить следующий срок","Исход и очередь записаны")))</x:f>
        <x:v>Сопоставить с проектом</x:v>
      </x:c>
    </x:row>
    <x:row r="434" ht="42.75" customHeight="1">
      <x:c r="A434" s="5" t="str">
        <x:v>CU-SRC-0429</x:v>
      </x:c>
      <x:c r="B434" s="5" t="str">
        <x:v>CU-0219</x:v>
      </x:c>
      <x:c r="C434" s="5" t="str">
        <x:v>https://www.pwc.com/kz/ru/pwc-news/what-new/spring-2024.html</x:v>
      </x:c>
      <x:c r="D434" s="5" t="n">
        <x:v>1</x:v>
      </x:c>
      <x:c r="E43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34" s="5" t="str">
        <x:v>Публичные HTML/PDF, история версий; сохранить raw до квалификации; API не установлен.</x:v>
      </x:c>
      <x:c r="G434" s="10"/>
      <x:c r="H434" s="10" t="str">
        <x:v>not_checked_here</x:v>
      </x:c>
      <x:c r="I434" s="11"/>
      <x:c r="J434" s="11"/>
      <x:c r="K434" s="10"/>
      <x:c r="L434" s="10"/>
      <x:c r="M434" s="10"/>
      <x:c r="N434" s="5" t="str">
        <x:f>IF(H434="not_checked_here","Сопоставить с проектом",IF(OR(H434="operational",H434="empty_success"),IF(AND(I434&lt;&gt;"",J434&lt;&gt;"",K434&lt;&gt;"",L434&lt;&gt;""),"Доказательства внесены","Дополнить дату / пример / охват"),IF(J434="","Назначить следующий срок","Исход и очередь записаны")))</x:f>
        <x:v>Сопоставить с проектом</x:v>
      </x:c>
    </x:row>
    <x:row r="435" ht="42.75" customHeight="1">
      <x:c r="A435" s="5" t="str">
        <x:v>CU-SRC-0430</x:v>
      </x:c>
      <x:c r="B435" s="5" t="str">
        <x:v>CU-0220</x:v>
      </x:c>
      <x:c r="C435" s="5" t="str">
        <x:v>https://academy.aifc.kz/?lang=ru</x:v>
      </x:c>
      <x:c r="D435" s="5" t="n">
        <x:v>1</x:v>
      </x:c>
      <x:c r="E43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35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35" s="10"/>
      <x:c r="H435" s="10" t="str">
        <x:v>not_checked_here</x:v>
      </x:c>
      <x:c r="I435" s="11"/>
      <x:c r="J435" s="11"/>
      <x:c r="K435" s="10"/>
      <x:c r="L435" s="10"/>
      <x:c r="M435" s="10"/>
      <x:c r="N435" s="5" t="str">
        <x:f>IF(H435="not_checked_here","Сопоставить с проектом",IF(OR(H435="operational",H435="empty_success"),IF(AND(I435&lt;&gt;"",J435&lt;&gt;"",K435&lt;&gt;"",L435&lt;&gt;""),"Доказательства внесены","Дополнить дату / пример / охват"),IF(J435="","Назначить следующий срок","Исход и очередь записаны")))</x:f>
        <x:v>Сопоставить с проектом</x:v>
      </x:c>
    </x:row>
    <x:row r="436" ht="42.75" customHeight="1">
      <x:c r="A436" s="5" t="str">
        <x:v>CU-SRC-0431</x:v>
      </x:c>
      <x:c r="B436" s="5" t="str">
        <x:v>CU-0221</x:v>
      </x:c>
      <x:c r="C436" s="5" t="str">
        <x:v>https://kase.kz/ru/investors/kase-academy</x:v>
      </x:c>
      <x:c r="D436" s="5" t="n">
        <x:v>1</x:v>
      </x:c>
      <x:c r="E43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36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36" s="10"/>
      <x:c r="H436" s="10" t="str">
        <x:v>not_checked_here</x:v>
      </x:c>
      <x:c r="I436" s="11"/>
      <x:c r="J436" s="11"/>
      <x:c r="K436" s="10"/>
      <x:c r="L436" s="10"/>
      <x:c r="M436" s="10"/>
      <x:c r="N436" s="5" t="str">
        <x:f>IF(H436="not_checked_here","Сопоставить с проектом",IF(OR(H436="operational",H436="empty_success"),IF(AND(I436&lt;&gt;"",J436&lt;&gt;"",K436&lt;&gt;"",L436&lt;&gt;""),"Доказательства внесены","Дополнить дату / пример / охват"),IF(J436="","Назначить следующий срок","Исход и очередь записаны")))</x:f>
        <x:v>Сопоставить с проектом</x:v>
      </x:c>
    </x:row>
    <x:row r="437" ht="42.75" customHeight="1">
      <x:c r="A437" s="5" t="str">
        <x:v>CU-SRC-0432</x:v>
      </x:c>
      <x:c r="B437" s="5" t="str">
        <x:v>CU-0221</x:v>
      </x:c>
      <x:c r="C437" s="5" t="str">
        <x:v>https://kase.kz/ru/media-center/events/khx19sxwo5jg3pdu92f1aw6j</x:v>
      </x:c>
      <x:c r="D437" s="5" t="n">
        <x:v>1</x:v>
      </x:c>
      <x:c r="E43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37" s="5" t="str">
        <x:v>Публичные HTML/PDF, история версий; сохранить raw до квалификации; API не установлен.</x:v>
      </x:c>
      <x:c r="G437" s="10"/>
      <x:c r="H437" s="10" t="str">
        <x:v>not_checked_here</x:v>
      </x:c>
      <x:c r="I437" s="11"/>
      <x:c r="J437" s="11"/>
      <x:c r="K437" s="10"/>
      <x:c r="L437" s="10"/>
      <x:c r="M437" s="10"/>
      <x:c r="N437" s="5" t="str">
        <x:f>IF(H437="not_checked_here","Сопоставить с проектом",IF(OR(H437="operational",H437="empty_success"),IF(AND(I437&lt;&gt;"",J437&lt;&gt;"",K437&lt;&gt;"",L437&lt;&gt;""),"Доказательства внесены","Дополнить дату / пример / охват"),IF(J437="","Назначить следующий срок","Исход и очередь записаны")))</x:f>
        <x:v>Сопоставить с проектом</x:v>
      </x:c>
    </x:row>
    <x:row r="438" ht="42.75" customHeight="1">
      <x:c r="A438" s="5" t="str">
        <x:v>CU-SRC-0433</x:v>
      </x:c>
      <x:c r="B438" s="5" t="str">
        <x:v>CU-0221</x:v>
      </x:c>
      <x:c r="C438" s="5" t="str">
        <x:v>https://kase.kz/en/media-center/events/s3irqw5usdj89lat40h3g2vu</x:v>
      </x:c>
      <x:c r="D438" s="5" t="n">
        <x:v>1</x:v>
      </x:c>
      <x:c r="E43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38" s="5" t="str">
        <x:v>Публичные HTML/PDF, история версий; сохранить raw до квалификации; API не установлен.</x:v>
      </x:c>
      <x:c r="G438" s="10"/>
      <x:c r="H438" s="10" t="str">
        <x:v>not_checked_here</x:v>
      </x:c>
      <x:c r="I438" s="11"/>
      <x:c r="J438" s="11"/>
      <x:c r="K438" s="10"/>
      <x:c r="L438" s="10"/>
      <x:c r="M438" s="10"/>
      <x:c r="N438" s="5" t="str">
        <x:f>IF(H438="not_checked_here","Сопоставить с проектом",IF(OR(H438="operational",H438="empty_success"),IF(AND(I438&lt;&gt;"",J438&lt;&gt;"",K438&lt;&gt;"",L438&lt;&gt;""),"Доказательства внесены","Дополнить дату / пример / охват"),IF(J438="","Назначить следующий срок","Исход и очередь записаны")))</x:f>
        <x:v>Сопоставить с проектом</x:v>
      </x:c>
    </x:row>
    <x:row r="439" ht="42.75" customHeight="1">
      <x:c r="A439" s="5" t="str">
        <x:v>CU-SRC-0434</x:v>
      </x:c>
      <x:c r="B439" s="5" t="str">
        <x:v>CU-0222</x:v>
      </x:c>
      <x:c r="C439" s="5" t="str">
        <x:v>https://www.kpp.kz/ru/about/training-and-teaching-activity?id=9</x:v>
      </x:c>
      <x:c r="D439" s="5" t="n">
        <x:v>2</x:v>
      </x:c>
      <x:c r="E43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39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39" s="10"/>
      <x:c r="H439" s="10" t="str">
        <x:v>not_checked_here</x:v>
      </x:c>
      <x:c r="I439" s="11"/>
      <x:c r="J439" s="11"/>
      <x:c r="K439" s="10"/>
      <x:c r="L439" s="10"/>
      <x:c r="M439" s="10"/>
      <x:c r="N439" s="5" t="str">
        <x:f>IF(H439="not_checked_here","Сопоставить с проектом",IF(OR(H439="operational",H439="empty_success"),IF(AND(I439&lt;&gt;"",J439&lt;&gt;"",K439&lt;&gt;"",L439&lt;&gt;""),"Доказательства внесены","Дополнить дату / пример / охват"),IF(J439="","Назначить следующий срок","Исход и очередь записаны")))</x:f>
        <x:v>Сопоставить с проектом</x:v>
      </x:c>
    </x:row>
    <x:row r="440" ht="42.75" customHeight="1">
      <x:c r="A440" s="5" t="str">
        <x:v>CU-SRC-0435</x:v>
      </x:c>
      <x:c r="B440" s="5" t="str">
        <x:v>CU-0223</x:v>
      </x:c>
      <x:c r="C440" s="5" t="str">
        <x:v>https://tkksatpaev.edu.kz/tsentr-podgotovki-i-perepodgotovki-kadrov/</x:v>
      </x:c>
      <x:c r="D440" s="5" t="n">
        <x:v>3</x:v>
      </x:c>
      <x:c r="E44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40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40" s="10"/>
      <x:c r="H440" s="10" t="str">
        <x:v>not_checked_here</x:v>
      </x:c>
      <x:c r="I440" s="11"/>
      <x:c r="J440" s="11"/>
      <x:c r="K440" s="10"/>
      <x:c r="L440" s="10"/>
      <x:c r="M440" s="10"/>
      <x:c r="N440" s="5" t="str">
        <x:f>IF(H440="not_checked_here","Сопоставить с проектом",IF(OR(H440="operational",H440="empty_success"),IF(AND(I440&lt;&gt;"",J440&lt;&gt;"",K440&lt;&gt;"",L440&lt;&gt;""),"Доказательства внесены","Дополнить дату / пример / охват"),IF(J440="","Назначить следующий срок","Исход и очередь записаны")))</x:f>
        <x:v>Сопоставить с проектом</x:v>
      </x:c>
    </x:row>
    <x:row r="441" ht="42.75" customHeight="1">
      <x:c r="A441" s="5" t="str">
        <x:v>CU-SRC-0436</x:v>
      </x:c>
      <x:c r="B441" s="5" t="str">
        <x:v>CU-0224</x:v>
      </x:c>
      <x:c r="C441" s="5" t="str">
        <x:v>https://ptk-kazakhmys.edu.kz/divisions/</x:v>
      </x:c>
      <x:c r="D441" s="5" t="n">
        <x:v>3</x:v>
      </x:c>
      <x:c r="E44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41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41" s="10"/>
      <x:c r="H441" s="10" t="str">
        <x:v>not_checked_here</x:v>
      </x:c>
      <x:c r="I441" s="11"/>
      <x:c r="J441" s="11"/>
      <x:c r="K441" s="10"/>
      <x:c r="L441" s="10"/>
      <x:c r="M441" s="10"/>
      <x:c r="N441" s="5" t="str">
        <x:f>IF(H441="not_checked_here","Сопоставить с проектом",IF(OR(H441="operational",H441="empty_success"),IF(AND(I441&lt;&gt;"",J441&lt;&gt;"",K441&lt;&gt;"",L441&lt;&gt;""),"Доказательства внесены","Дополнить дату / пример / охват"),IF(J441="","Назначить следующий срок","Исход и очередь записаны")))</x:f>
        <x:v>Сопоставить с проектом</x:v>
      </x:c>
    </x:row>
    <x:row r="442" ht="42.75" customHeight="1">
      <x:c r="A442" s="5" t="str">
        <x:v>CU-SRC-0437</x:v>
      </x:c>
      <x:c r="B442" s="5" t="str">
        <x:v>CU-0224</x:v>
      </x:c>
      <x:c r="C442" s="5" t="str">
        <x:v>https://ptk-kazakhmys.edu.kz/education/</x:v>
      </x:c>
      <x:c r="D442" s="5" t="n">
        <x:v>3</x:v>
      </x:c>
      <x:c r="E44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42" s="5" t="str">
        <x:v>Публичные HTML/PDF, история версий; сохранить raw до квалификации; API не установлен.</x:v>
      </x:c>
      <x:c r="G442" s="10"/>
      <x:c r="H442" s="10" t="str">
        <x:v>not_checked_here</x:v>
      </x:c>
      <x:c r="I442" s="11"/>
      <x:c r="J442" s="11"/>
      <x:c r="K442" s="10"/>
      <x:c r="L442" s="10"/>
      <x:c r="M442" s="10"/>
      <x:c r="N442" s="5" t="str">
        <x:f>IF(H442="not_checked_here","Сопоставить с проектом",IF(OR(H442="operational",H442="empty_success"),IF(AND(I442&lt;&gt;"",J442&lt;&gt;"",K442&lt;&gt;"",L442&lt;&gt;""),"Доказательства внесены","Дополнить дату / пример / охват"),IF(J442="","Назначить следующий срок","Исход и очередь записаны")))</x:f>
        <x:v>Сопоставить с проектом</x:v>
      </x:c>
    </x:row>
    <x:row r="443" ht="42.75" customHeight="1">
      <x:c r="A443" s="5" t="str">
        <x:v>CU-SRC-0438</x:v>
      </x:c>
      <x:c r="B443" s="5" t="str">
        <x:v>CU-0225</x:v>
      </x:c>
      <x:c r="C443" s="5" t="str">
        <x:v>https://career.forte.kz/ru/humanity</x:v>
      </x:c>
      <x:c r="D443" s="5" t="n">
        <x:v>1</x:v>
      </x:c>
      <x:c r="E44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43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43" s="10"/>
      <x:c r="H443" s="10" t="str">
        <x:v>not_checked_here</x:v>
      </x:c>
      <x:c r="I443" s="11"/>
      <x:c r="J443" s="11"/>
      <x:c r="K443" s="10"/>
      <x:c r="L443" s="10"/>
      <x:c r="M443" s="10"/>
      <x:c r="N443" s="5" t="str">
        <x:f>IF(H443="not_checked_here","Сопоставить с проектом",IF(OR(H443="operational",H443="empty_success"),IF(AND(I443&lt;&gt;"",J443&lt;&gt;"",K443&lt;&gt;"",L443&lt;&gt;""),"Доказательства внесены","Дополнить дату / пример / охват"),IF(J443="","Назначить следующий срок","Исход и очередь записаны")))</x:f>
        <x:v>Сопоставить с проектом</x:v>
      </x:c>
    </x:row>
    <x:row r="444" ht="42.75" customHeight="1">
      <x:c r="A444" s="5" t="str">
        <x:v>CU-SRC-0439</x:v>
      </x:c>
      <x:c r="B444" s="5" t="str">
        <x:v>CU-0226</x:v>
      </x:c>
      <x:c r="C444" s="5" t="str">
        <x:v>https://www.bcc.kz/career/</x:v>
      </x:c>
      <x:c r="D444" s="5" t="n">
        <x:v>1</x:v>
      </x:c>
      <x:c r="E44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44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44" s="10"/>
      <x:c r="H444" s="10" t="str">
        <x:v>not_checked_here</x:v>
      </x:c>
      <x:c r="I444" s="11"/>
      <x:c r="J444" s="11"/>
      <x:c r="K444" s="10"/>
      <x:c r="L444" s="10"/>
      <x:c r="M444" s="10"/>
      <x:c r="N444" s="5" t="str">
        <x:f>IF(H444="not_checked_here","Сопоставить с проектом",IF(OR(H444="operational",H444="empty_success"),IF(AND(I444&lt;&gt;"",J444&lt;&gt;"",K444&lt;&gt;"",L444&lt;&gt;""),"Доказательства внесены","Дополнить дату / пример / охват"),IF(J444="","Назначить следующий срок","Исход и очередь записаны")))</x:f>
        <x:v>Сопоставить с проектом</x:v>
      </x:c>
    </x:row>
    <x:row r="445" ht="42.75" customHeight="1">
      <x:c r="A445" s="5" t="str">
        <x:v>CU-SRC-0440</x:v>
      </x:c>
      <x:c r="B445" s="5" t="str">
        <x:v>CU-0226</x:v>
      </x:c>
      <x:c r="C445" s="5" t="str">
        <x:v>https://www.bcc.kz/about/press-center/news/bcc-edu-kdif-academy/</x:v>
      </x:c>
      <x:c r="D445" s="5" t="n">
        <x:v>1</x:v>
      </x:c>
      <x:c r="E44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45" s="5" t="str">
        <x:v>Публичные HTML/PDF, история версий; сохранить raw до квалификации; API не установлен.</x:v>
      </x:c>
      <x:c r="G445" s="10"/>
      <x:c r="H445" s="10" t="str">
        <x:v>not_checked_here</x:v>
      </x:c>
      <x:c r="I445" s="11"/>
      <x:c r="J445" s="11"/>
      <x:c r="K445" s="10"/>
      <x:c r="L445" s="10"/>
      <x:c r="M445" s="10"/>
      <x:c r="N445" s="5" t="str">
        <x:f>IF(H445="not_checked_here","Сопоставить с проектом",IF(OR(H445="operational",H445="empty_success"),IF(AND(I445&lt;&gt;"",J445&lt;&gt;"",K445&lt;&gt;"",L445&lt;&gt;""),"Доказательства внесены","Дополнить дату / пример / охват"),IF(J445="","Назначить следующий срок","Исход и очередь записаны")))</x:f>
        <x:v>Сопоставить с проектом</x:v>
      </x:c>
    </x:row>
    <x:row r="446" ht="42.75" customHeight="1">
      <x:c r="A446" s="5" t="str">
        <x:v>CU-SRC-0441</x:v>
      </x:c>
      <x:c r="B446" s="5" t="str">
        <x:v>CU-0227</x:v>
      </x:c>
      <x:c r="C446" s="5" t="str">
        <x:v>https://home.kz/press-center/news/ithub-novosty</x:v>
      </x:c>
      <x:c r="D446" s="5" t="n">
        <x:v>1</x:v>
      </x:c>
      <x:c r="E44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46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46" s="10"/>
      <x:c r="H446" s="10" t="str">
        <x:v>not_checked_here</x:v>
      </x:c>
      <x:c r="I446" s="11"/>
      <x:c r="J446" s="11"/>
      <x:c r="K446" s="10"/>
      <x:c r="L446" s="10"/>
      <x:c r="M446" s="10"/>
      <x:c r="N446" s="5" t="str">
        <x:f>IF(H446="not_checked_here","Сопоставить с проектом",IF(OR(H446="operational",H446="empty_success"),IF(AND(I446&lt;&gt;"",J446&lt;&gt;"",K446&lt;&gt;"",L446&lt;&gt;""),"Доказательства внесены","Дополнить дату / пример / охват"),IF(J446="","Назначить следующий срок","Исход и очередь записаны")))</x:f>
        <x:v>Сопоставить с проектом</x:v>
      </x:c>
    </x:row>
    <x:row r="447" ht="42.75" customHeight="1">
      <x:c r="A447" s="5" t="str">
        <x:v>CU-SRC-0442</x:v>
      </x:c>
      <x:c r="B447" s="5" t="str">
        <x:v>CU-0228</x:v>
      </x:c>
      <x:c r="C447" s="5" t="str">
        <x:v>https://www.kmge.kz/kmge-school/</x:v>
      </x:c>
      <x:c r="D447" s="5" t="n">
        <x:v>3</x:v>
      </x:c>
      <x:c r="E44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47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47" s="10"/>
      <x:c r="H447" s="10" t="str">
        <x:v>not_checked_here</x:v>
      </x:c>
      <x:c r="I447" s="11"/>
      <x:c r="J447" s="11"/>
      <x:c r="K447" s="10"/>
      <x:c r="L447" s="10"/>
      <x:c r="M447" s="10"/>
      <x:c r="N447" s="5" t="str">
        <x:f>IF(H447="not_checked_here","Сопоставить с проектом",IF(OR(H447="operational",H447="empty_success"),IF(AND(I447&lt;&gt;"",J447&lt;&gt;"",K447&lt;&gt;"",L447&lt;&gt;""),"Доказательства внесены","Дополнить дату / пример / охват"),IF(J447="","Назначить следующий срок","Исход и очередь записаны")))</x:f>
        <x:v>Сопоставить с проектом</x:v>
      </x:c>
    </x:row>
    <x:row r="448" ht="42.75" customHeight="1">
      <x:c r="A448" s="5" t="str">
        <x:v>CU-SRC-0443</x:v>
      </x:c>
      <x:c r="B448" s="5" t="str">
        <x:v>CU-0229</x:v>
      </x:c>
      <x:c r="C448" s="5" t="str">
        <x:v>https://halykbank.kz/for-employees</x:v>
      </x:c>
      <x:c r="D448" s="5" t="n">
        <x:v>3</x:v>
      </x:c>
      <x:c r="E44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48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48" s="10"/>
      <x:c r="H448" s="10" t="str">
        <x:v>not_checked_here</x:v>
      </x:c>
      <x:c r="I448" s="11"/>
      <x:c r="J448" s="11"/>
      <x:c r="K448" s="10"/>
      <x:c r="L448" s="10"/>
      <x:c r="M448" s="10"/>
      <x:c r="N448" s="5" t="str">
        <x:f>IF(H448="not_checked_here","Сопоставить с проектом",IF(OR(H448="operational",H448="empty_success"),IF(AND(I448&lt;&gt;"",J448&lt;&gt;"",K448&lt;&gt;"",L448&lt;&gt;""),"Доказательства внесены","Дополнить дату / пример / охват"),IF(J448="","Назначить следующий срок","Исход и очередь записаны")))</x:f>
        <x:v>Сопоставить с проектом</x:v>
      </x:c>
    </x:row>
    <x:row r="449" ht="42.75" customHeight="1">
      <x:c r="A449" s="5" t="str">
        <x:v>CU-SRC-0444</x:v>
      </x:c>
      <x:c r="B449" s="5" t="str">
        <x:v>CU-0230</x:v>
      </x:c>
      <x:c r="C449" s="5" t="str">
        <x:v>https://kdif.kz/press-tsentr/press-relizy/kdif-academy-x-bcc</x:v>
      </x:c>
      <x:c r="D449" s="5" t="n">
        <x:v>3</x:v>
      </x:c>
      <x:c r="E44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F449" s="5" t="str">
        <x:v>Публичные HTML/PDF: периодическая загрузка с историей версий; навигационные ссылки раскрыть отдельно. API не подтверждён.</x:v>
      </x:c>
      <x:c r="G449" s="10"/>
      <x:c r="H449" s="10" t="str">
        <x:v>not_checked_here</x:v>
      </x:c>
      <x:c r="I449" s="11"/>
      <x:c r="J449" s="11"/>
      <x:c r="K449" s="10"/>
      <x:c r="L449" s="10"/>
      <x:c r="M449" s="10"/>
      <x:c r="N449" s="5" t="str">
        <x:f>IF(H449="not_checked_here","Сопоставить с проектом",IF(OR(H449="operational",H449="empty_success"),IF(AND(I449&lt;&gt;"",J449&lt;&gt;"",K449&lt;&gt;"",L449&lt;&gt;""),"Доказательства внесены","Дополнить дату / пример / охват"),IF(J449="","Назначить следующий срок","Исход и очередь записаны")))</x:f>
        <x:v>Сопоставить с проектом</x:v>
      </x:c>
    </x:row>
    <x:row r="450" ht="42.75" customHeight="1">
      <x:c r="A450" s="5" t="str">
        <x:v>CU-SRC-0445</x:v>
      </x:c>
      <x:c r="B450" s="5" t="str">
        <x:v>CU-0231</x:v>
      </x:c>
      <x:c r="C450" s="5" t="str">
        <x:v>https://projects.1prime.ru/vpered/natalia_tanaeva/</x:v>
      </x:c>
      <x:c r="D450" s="5" t="n">
        <x:v>1</x:v>
      </x:c>
      <x:c r="E45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50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50" s="10"/>
      <x:c r="H450" s="10" t="str">
        <x:v>not_checked_here</x:v>
      </x:c>
      <x:c r="I450" s="11"/>
      <x:c r="J450" s="11"/>
      <x:c r="K450" s="10"/>
      <x:c r="L450" s="10"/>
      <x:c r="M450" s="10"/>
      <x:c r="N450" s="5" t="str">
        <x:f>IF(H450="not_checked_here","Сопоставить с проектом",IF(OR(H450="operational",H450="empty_success"),IF(AND(I450&lt;&gt;"",J450&lt;&gt;"",K450&lt;&gt;"",L450&lt;&gt;""),"Доказательства внесены","Дополнить дату / пример / охват"),IF(J450="","Назначить следующий срок","Исход и очередь записаны")))</x:f>
        <x:v>Сопоставить с проектом</x:v>
      </x:c>
    </x:row>
    <x:row r="451" ht="42.75" customHeight="1">
      <x:c r="A451" s="5" t="str">
        <x:v>CU-SRC-0446</x:v>
      </x:c>
      <x:c r="B451" s="5" t="str">
        <x:v>CU-0231</x:v>
      </x:c>
      <x:c r="C451" s="5" t="str">
        <x:v>https://www.etalongroup.com/contacts/</x:v>
      </x:c>
      <x:c r="D451" s="5" t="n">
        <x:v>1</x:v>
      </x:c>
      <x:c r="E45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5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51" s="10"/>
      <x:c r="H451" s="10" t="str">
        <x:v>not_checked_here</x:v>
      </x:c>
      <x:c r="I451" s="11"/>
      <x:c r="J451" s="11"/>
      <x:c r="K451" s="10"/>
      <x:c r="L451" s="10"/>
      <x:c r="M451" s="10"/>
      <x:c r="N451" s="5" t="str">
        <x:f>IF(H451="not_checked_here","Сопоставить с проектом",IF(OR(H451="operational",H451="empty_success"),IF(AND(I451&lt;&gt;"",J451&lt;&gt;"",K451&lt;&gt;"",L451&lt;&gt;""),"Доказательства внесены","Дополнить дату / пример / охват"),IF(J451="","Назначить следующий срок","Исход и очередь записаны")))</x:f>
        <x:v>Сопоставить с проектом</x:v>
      </x:c>
    </x:row>
    <x:row r="452" ht="42.75" customHeight="1">
      <x:c r="A452" s="5" t="str">
        <x:v>CU-SRC-0447</x:v>
      </x:c>
      <x:c r="B452" s="5" t="str">
        <x:v>CU-0232</x:v>
      </x:c>
      <x:c r="C452" s="5" t="str">
        <x:v>https://a101.ru/company/media/news/korporativnoe-obuchenie-v-gk-a101-vyjdet-na-novyj-uroven-so-sberuniversitetom/</x:v>
      </x:c>
      <x:c r="D452" s="5" t="n">
        <x:v>1</x:v>
      </x:c>
      <x:c r="E45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52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52" s="10"/>
      <x:c r="H452" s="10" t="str">
        <x:v>not_checked_here</x:v>
      </x:c>
      <x:c r="I452" s="11"/>
      <x:c r="J452" s="11"/>
      <x:c r="K452" s="10"/>
      <x:c r="L452" s="10"/>
      <x:c r="M452" s="10"/>
      <x:c r="N452" s="5" t="str">
        <x:f>IF(H452="not_checked_here","Сопоставить с проектом",IF(OR(H452="operational",H452="empty_success"),IF(AND(I452&lt;&gt;"",J452&lt;&gt;"",K452&lt;&gt;"",L452&lt;&gt;""),"Доказательства внесены","Дополнить дату / пример / охват"),IF(J452="","Назначить следующий срок","Исход и очередь записаны")))</x:f>
        <x:v>Сопоставить с проектом</x:v>
      </x:c>
    </x:row>
    <x:row r="453" ht="42.75" customHeight="1">
      <x:c r="A453" s="5" t="str">
        <x:v>CU-SRC-0448</x:v>
      </x:c>
      <x:c r="B453" s="5" t="str">
        <x:v>CU-0232</x:v>
      </x:c>
      <x:c r="C453" s="5" t="str">
        <x:v>https://sberuniversity.ru/news/SberUniversitet-i-GK-A101-zaklyuchili-soglashenie-o-strategicheskom-partnerstve-v-sfere-obrazovaniya/</x:v>
      </x:c>
      <x:c r="D453" s="5" t="n">
        <x:v>1</x:v>
      </x:c>
      <x:c r="E45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53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53" s="10"/>
      <x:c r="H453" s="10" t="str">
        <x:v>not_checked_here</x:v>
      </x:c>
      <x:c r="I453" s="11"/>
      <x:c r="J453" s="11"/>
      <x:c r="K453" s="10"/>
      <x:c r="L453" s="10"/>
      <x:c r="M453" s="10"/>
      <x:c r="N453" s="5" t="str">
        <x:f>IF(H453="not_checked_here","Сопоставить с проектом",IF(OR(H453="operational",H453="empty_success"),IF(AND(I453&lt;&gt;"",J453&lt;&gt;"",K453&lt;&gt;"",L453&lt;&gt;""),"Доказательства внесены","Дополнить дату / пример / охват"),IF(J453="","Назначить следующий срок","Исход и очередь записаны")))</x:f>
        <x:v>Сопоставить с проектом</x:v>
      </x:c>
    </x:row>
    <x:row r="454" ht="42.75" customHeight="1">
      <x:c r="A454" s="5" t="str">
        <x:v>CU-SRC-0449</x:v>
      </x:c>
      <x:c r="B454" s="5" t="str">
        <x:v>CU-0233</x:v>
      </x:c>
      <x:c r="C454" s="5" t="str">
        <x:v>https://mosvodokanal.ru/press/news/8824</x:v>
      </x:c>
      <x:c r="D454" s="5" t="n">
        <x:v>2</x:v>
      </x:c>
      <x:c r="E45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54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54" s="10"/>
      <x:c r="H454" s="10" t="str">
        <x:v>not_checked_here</x:v>
      </x:c>
      <x:c r="I454" s="11"/>
      <x:c r="J454" s="11"/>
      <x:c r="K454" s="10"/>
      <x:c r="L454" s="10"/>
      <x:c r="M454" s="10"/>
      <x:c r="N454" s="5" t="str">
        <x:f>IF(H454="not_checked_here","Сопоставить с проектом",IF(OR(H454="operational",H454="empty_success"),IF(AND(I454&lt;&gt;"",J454&lt;&gt;"",K454&lt;&gt;"",L454&lt;&gt;""),"Доказательства внесены","Дополнить дату / пример / охват"),IF(J454="","Назначить следующий срок","Исход и очередь записаны")))</x:f>
        <x:v>Сопоставить с проектом</x:v>
      </x:c>
    </x:row>
    <x:row r="455" ht="42.75" customHeight="1">
      <x:c r="A455" s="5" t="str">
        <x:v>CU-SRC-0450</x:v>
      </x:c>
      <x:c r="B455" s="5" t="str">
        <x:v>CU-0233</x:v>
      </x:c>
      <x:c r="C455" s="5" t="str">
        <x:v>https://www.mosvodokanal.ru/press/video/8825</x:v>
      </x:c>
      <x:c r="D455" s="5" t="n">
        <x:v>2</x:v>
      </x:c>
      <x:c r="E45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55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55" s="10"/>
      <x:c r="H455" s="10" t="str">
        <x:v>not_checked_here</x:v>
      </x:c>
      <x:c r="I455" s="11"/>
      <x:c r="J455" s="11"/>
      <x:c r="K455" s="10"/>
      <x:c r="L455" s="10"/>
      <x:c r="M455" s="10"/>
      <x:c r="N455" s="5" t="str">
        <x:f>IF(H455="not_checked_here","Сопоставить с проектом",IF(OR(H455="operational",H455="empty_success"),IF(AND(I455&lt;&gt;"",J455&lt;&gt;"",K455&lt;&gt;"",L455&lt;&gt;""),"Доказательства внесены","Дополнить дату / пример / охват"),IF(J455="","Назначить следующий срок","Исход и очередь записаны")))</x:f>
        <x:v>Сопоставить с проектом</x:v>
      </x:c>
    </x:row>
    <x:row r="456" ht="42.75" customHeight="1">
      <x:c r="A456" s="5" t="str">
        <x:v>CU-SRC-0451</x:v>
      </x:c>
      <x:c r="B456" s="5" t="str">
        <x:v>CU-0234</x:v>
      </x:c>
      <x:c r="C456" s="5" t="str">
        <x:v>https://medsi.ru/academy/</x:v>
      </x:c>
      <x:c r="D456" s="5" t="n">
        <x:v>2</x:v>
      </x:c>
      <x:c r="E45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56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56" s="10"/>
      <x:c r="H456" s="10" t="str">
        <x:v>not_checked_here</x:v>
      </x:c>
      <x:c r="I456" s="11"/>
      <x:c r="J456" s="11"/>
      <x:c r="K456" s="10"/>
      <x:c r="L456" s="10"/>
      <x:c r="M456" s="10"/>
      <x:c r="N456" s="5" t="str">
        <x:f>IF(H456="not_checked_here","Сопоставить с проектом",IF(OR(H456="operational",H456="empty_success"),IF(AND(I456&lt;&gt;"",J456&lt;&gt;"",K456&lt;&gt;"",L456&lt;&gt;""),"Доказательства внесены","Дополнить дату / пример / охват"),IF(J456="","Назначить следующий срок","Исход и очередь записаны")))</x:f>
        <x:v>Сопоставить с проектом</x:v>
      </x:c>
    </x:row>
    <x:row r="457" ht="42.75" customHeight="1">
      <x:c r="A457" s="5" t="str">
        <x:v>CU-SRC-0452</x:v>
      </x:c>
      <x:c r="B457" s="5" t="str">
        <x:v>CU-0234</x:v>
      </x:c>
      <x:c r="C457" s="5" t="str">
        <x:v>https://medsi.ru/about/medacademy/</x:v>
      </x:c>
      <x:c r="D457" s="5" t="n">
        <x:v>2</x:v>
      </x:c>
      <x:c r="E45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57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57" s="10"/>
      <x:c r="H457" s="10" t="str">
        <x:v>not_checked_here</x:v>
      </x:c>
      <x:c r="I457" s="11"/>
      <x:c r="J457" s="11"/>
      <x:c r="K457" s="10"/>
      <x:c r="L457" s="10"/>
      <x:c r="M457" s="10"/>
      <x:c r="N457" s="5" t="str">
        <x:f>IF(H457="not_checked_here","Сопоставить с проектом",IF(OR(H457="operational",H457="empty_success"),IF(AND(I457&lt;&gt;"",J457&lt;&gt;"",K457&lt;&gt;"",L457&lt;&gt;""),"Доказательства внесены","Дополнить дату / пример / охват"),IF(J457="","Назначить следующий срок","Исход и очередь записаны")))</x:f>
        <x:v>Сопоставить с проектом</x:v>
      </x:c>
    </x:row>
    <x:row r="458" ht="42.75" customHeight="1">
      <x:c r="A458" s="5" t="str">
        <x:v>CU-SRC-0453</x:v>
      </x:c>
      <x:c r="B458" s="5" t="str">
        <x:v>CU-0235</x:v>
      </x:c>
      <x:c r="C458" s="5" t="str">
        <x:v>https://sm.org.ru/preimushchestva/obuchenie</x:v>
      </x:c>
      <x:c r="D458" s="5" t="n">
        <x:v>2</x:v>
      </x:c>
      <x:c r="E45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58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58" s="10"/>
      <x:c r="H458" s="10" t="str">
        <x:v>not_checked_here</x:v>
      </x:c>
      <x:c r="I458" s="11"/>
      <x:c r="J458" s="11"/>
      <x:c r="K458" s="10"/>
      <x:c r="L458" s="10"/>
      <x:c r="M458" s="10"/>
      <x:c r="N458" s="5" t="str">
        <x:f>IF(H458="not_checked_here","Сопоставить с проектом",IF(OR(H458="operational",H458="empty_success"),IF(AND(I458&lt;&gt;"",J458&lt;&gt;"",K458&lt;&gt;"",L458&lt;&gt;""),"Доказательства внесены","Дополнить дату / пример / охват"),IF(J458="","Назначить следующий срок","Исход и очередь записаны")))</x:f>
        <x:v>Сопоставить с проектом</x:v>
      </x:c>
    </x:row>
    <x:row r="459" ht="42.75" customHeight="1">
      <x:c r="A459" s="5" t="str">
        <x:v>CU-SRC-0454</x:v>
      </x:c>
      <x:c r="B459" s="5" t="str">
        <x:v>CU-0235</x:v>
      </x:c>
      <x:c r="C459" s="5" t="str">
        <x:v>https://www.smclinic.ru/about/vakansii/vrach-kdl/</x:v>
      </x:c>
      <x:c r="D459" s="5" t="n">
        <x:v>2</x:v>
      </x:c>
      <x:c r="E45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59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59" s="10"/>
      <x:c r="H459" s="10" t="str">
        <x:v>not_checked_here</x:v>
      </x:c>
      <x:c r="I459" s="11"/>
      <x:c r="J459" s="11"/>
      <x:c r="K459" s="10"/>
      <x:c r="L459" s="10"/>
      <x:c r="M459" s="10"/>
      <x:c r="N459" s="5" t="str">
        <x:f>IF(H459="not_checked_here","Сопоставить с проектом",IF(OR(H459="operational",H459="empty_success"),IF(AND(I459&lt;&gt;"",J459&lt;&gt;"",K459&lt;&gt;"",L459&lt;&gt;""),"Доказательства внесены","Дополнить дату / пример / охват"),IF(J459="","Назначить следующий срок","Исход и очередь записаны")))</x:f>
        <x:v>Сопоставить с проектом</x:v>
      </x:c>
    </x:row>
    <x:row r="460" ht="42.75" customHeight="1">
      <x:c r="A460" s="5" t="str">
        <x:v>CU-SRC-0455</x:v>
      </x:c>
      <x:c r="B460" s="5" t="str">
        <x:v>CU-0235</x:v>
      </x:c>
      <x:c r="C460" s="5" t="str">
        <x:v>https://vp-smspb.ru/</x:v>
      </x:c>
      <x:c r="D460" s="5" t="n">
        <x:v>2</x:v>
      </x:c>
      <x:c r="E46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60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60" s="10"/>
      <x:c r="H460" s="10" t="str">
        <x:v>not_checked_here</x:v>
      </x:c>
      <x:c r="I460" s="11"/>
      <x:c r="J460" s="11"/>
      <x:c r="K460" s="10"/>
      <x:c r="L460" s="10"/>
      <x:c r="M460" s="10"/>
      <x:c r="N460" s="5" t="str">
        <x:f>IF(H460="not_checked_here","Сопоставить с проектом",IF(OR(H460="operational",H460="empty_success"),IF(AND(I460&lt;&gt;"",J460&lt;&gt;"",K460&lt;&gt;"",L460&lt;&gt;""),"Доказательства внесены","Дополнить дату / пример / охват"),IF(J460="","Назначить следующий срок","Исход и очередь записаны")))</x:f>
        <x:v>Сопоставить с проектом</x:v>
      </x:c>
    </x:row>
    <x:row r="461" ht="42.75" customHeight="1">
      <x:c r="A461" s="5" t="str">
        <x:v>CU-SRC-0456</x:v>
      </x:c>
      <x:c r="B461" s="5" t="str">
        <x:v>CU-0236</x:v>
      </x:c>
      <x:c r="C461" s="5" t="str">
        <x:v>https://www.invitro.ru/zhukovka/about/news/13171/</x:v>
      </x:c>
      <x:c r="D461" s="5" t="n">
        <x:v>1</x:v>
      </x:c>
      <x:c r="E46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61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61" s="10"/>
      <x:c r="H461" s="10" t="str">
        <x:v>not_checked_here</x:v>
      </x:c>
      <x:c r="I461" s="11"/>
      <x:c r="J461" s="11"/>
      <x:c r="K461" s="10"/>
      <x:c r="L461" s="10"/>
      <x:c r="M461" s="10"/>
      <x:c r="N461" s="5" t="str">
        <x:f>IF(H461="not_checked_here","Сопоставить с проектом",IF(OR(H461="operational",H461="empty_success"),IF(AND(I461&lt;&gt;"",J461&lt;&gt;"",K461&lt;&gt;"",L461&lt;&gt;""),"Доказательства внесены","Дополнить дату / пример / охват"),IF(J461="","Назначить следующий срок","Исход и очередь записаны")))</x:f>
        <x:v>Сопоставить с проектом</x:v>
      </x:c>
    </x:row>
    <x:row r="462" ht="42.75" customHeight="1">
      <x:c r="A462" s="5" t="str">
        <x:v>CU-SRC-0457</x:v>
      </x:c>
      <x:c r="B462" s="5" t="str">
        <x:v>CU-0236</x:v>
      </x:c>
      <x:c r="C462" s="5" t="str">
        <x:v>https://www.invitro.by/medical-institutions/centrvmsh.php</x:v>
      </x:c>
      <x:c r="D462" s="5" t="n">
        <x:v>1</x:v>
      </x:c>
      <x:c r="E46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62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62" s="10"/>
      <x:c r="H462" s="10" t="str">
        <x:v>not_checked_here</x:v>
      </x:c>
      <x:c r="I462" s="11"/>
      <x:c r="J462" s="11"/>
      <x:c r="K462" s="10"/>
      <x:c r="L462" s="10"/>
      <x:c r="M462" s="10"/>
      <x:c r="N462" s="5" t="str">
        <x:f>IF(H462="not_checked_here","Сопоставить с проектом",IF(OR(H462="operational",H462="empty_success"),IF(AND(I462&lt;&gt;"",J462&lt;&gt;"",K462&lt;&gt;"",L462&lt;&gt;""),"Доказательства внесены","Дополнить дату / пример / охват"),IF(J462="","Назначить следующий срок","Исход и очередь записаны")))</x:f>
        <x:v>Сопоставить с проектом</x:v>
      </x:c>
    </x:row>
    <x:row r="463" ht="42.75" customHeight="1">
      <x:c r="A463" s="5" t="str">
        <x:v>CU-SRC-0458</x:v>
      </x:c>
      <x:c r="B463" s="5" t="str">
        <x:v>CU-0237</x:v>
      </x:c>
      <x:c r="C463" s="5" t="str">
        <x:v>https://teachbase.gemotest.ru/login/briliant</x:v>
      </x:c>
      <x:c r="D463" s="5" t="n">
        <x:v>2</x:v>
      </x:c>
      <x:c r="E46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63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63" s="10"/>
      <x:c r="H463" s="10" t="str">
        <x:v>not_checked_here</x:v>
      </x:c>
      <x:c r="I463" s="11"/>
      <x:c r="J463" s="11"/>
      <x:c r="K463" s="10"/>
      <x:c r="L463" s="10"/>
      <x:c r="M463" s="10"/>
      <x:c r="N463" s="5" t="str">
        <x:f>IF(H463="not_checked_here","Сопоставить с проектом",IF(OR(H463="operational",H463="empty_success"),IF(AND(I463&lt;&gt;"",J463&lt;&gt;"",K463&lt;&gt;"",L463&lt;&gt;""),"Доказательства внесены","Дополнить дату / пример / охват"),IF(J463="","Назначить следующий срок","Исход и очередь записаны")))</x:f>
        <x:v>Сопоставить с проектом</x:v>
      </x:c>
    </x:row>
    <x:row r="464" ht="42.75" customHeight="1">
      <x:c r="A464" s="5" t="str">
        <x:v>CU-SRC-0459</x:v>
      </x:c>
      <x:c r="B464" s="5" t="str">
        <x:v>CU-0238</x:v>
      </x:c>
      <x:c r="C464" s="5" t="str">
        <x:v>https://www.mcclinics.ru/upload/news_files/%D0%93%D0%BE%D0%B4%D0%BE%D0%B2%D0%BE%D0%B9%20%D0%BE%D1%82%D1%87%D0%B5%D1%82%202025_%D1%84%D0%B8%D0%BD%D0%B0%D0%BB.pdf</x:v>
      </x:c>
      <x:c r="D464" s="5" t="n">
        <x:v>1</x:v>
      </x:c>
      <x:c r="E46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64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64" s="10"/>
      <x:c r="H464" s="10" t="str">
        <x:v>not_checked_here</x:v>
      </x:c>
      <x:c r="I464" s="11"/>
      <x:c r="J464" s="11"/>
      <x:c r="K464" s="10"/>
      <x:c r="L464" s="10"/>
      <x:c r="M464" s="10"/>
      <x:c r="N464" s="5" t="str">
        <x:f>IF(H464="not_checked_here","Сопоставить с проектом",IF(OR(H464="operational",H464="empty_success"),IF(AND(I464&lt;&gt;"",J464&lt;&gt;"",K464&lt;&gt;"",L464&lt;&gt;""),"Доказательства внесены","Дополнить дату / пример / охват"),IF(J464="","Назначить следующий срок","Исход и очередь записаны")))</x:f>
        <x:v>Сопоставить с проектом</x:v>
      </x:c>
    </x:row>
    <x:row r="465" ht="42.75" customHeight="1">
      <x:c r="A465" s="5" t="str">
        <x:v>CU-SRC-0460</x:v>
      </x:c>
      <x:c r="B465" s="5" t="str">
        <x:v>CU-0239</x:v>
      </x:c>
      <x:c r="C465" s="5" t="str">
        <x:v>https://www.moek.ru/career/uchebnyj-tsentr/</x:v>
      </x:c>
      <x:c r="D465" s="5" t="n">
        <x:v>1</x:v>
      </x:c>
      <x:c r="E46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65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65" s="10"/>
      <x:c r="H465" s="10" t="str">
        <x:v>not_checked_here</x:v>
      </x:c>
      <x:c r="I465" s="11"/>
      <x:c r="J465" s="11"/>
      <x:c r="K465" s="10"/>
      <x:c r="L465" s="10"/>
      <x:c r="M465" s="10"/>
      <x:c r="N465" s="5" t="str">
        <x:f>IF(H465="not_checked_here","Сопоставить с проектом",IF(OR(H465="operational",H465="empty_success"),IF(AND(I465&lt;&gt;"",J465&lt;&gt;"",K465&lt;&gt;"",L465&lt;&gt;""),"Доказательства внесены","Дополнить дату / пример / охват"),IF(J465="","Назначить следующий срок","Исход и очередь записаны")))</x:f>
        <x:v>Сопоставить с проектом</x:v>
      </x:c>
    </x:row>
    <x:row r="466" ht="42.75" customHeight="1">
      <x:c r="A466" s="5" t="str">
        <x:v>CU-SRC-0461</x:v>
      </x:c>
      <x:c r="B466" s="5" t="str">
        <x:v>CU-0239</x:v>
      </x:c>
      <x:c r="C466" s="5" t="str">
        <x:v>https://www.moek.ru/career/uchebnyj-tsentr/struktura-i-organy-upravleniya/</x:v>
      </x:c>
      <x:c r="D466" s="5" t="n">
        <x:v>1</x:v>
      </x:c>
      <x:c r="E46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66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66" s="10"/>
      <x:c r="H466" s="10" t="str">
        <x:v>not_checked_here</x:v>
      </x:c>
      <x:c r="I466" s="11"/>
      <x:c r="J466" s="11"/>
      <x:c r="K466" s="10"/>
      <x:c r="L466" s="10"/>
      <x:c r="M466" s="10"/>
      <x:c r="N466" s="5" t="str">
        <x:f>IF(H466="not_checked_here","Сопоставить с проектом",IF(OR(H466="operational",H466="empty_success"),IF(AND(I466&lt;&gt;"",J466&lt;&gt;"",K466&lt;&gt;"",L466&lt;&gt;""),"Доказательства внесены","Дополнить дату / пример / охват"),IF(J466="","Назначить следующий срок","Исход и очередь записаны")))</x:f>
        <x:v>Сопоставить с проектом</x:v>
      </x:c>
    </x:row>
    <x:row r="467" ht="42.75" customHeight="1">
      <x:c r="A467" s="5" t="str">
        <x:v>CU-SRC-0462</x:v>
      </x:c>
      <x:c r="B467" s="5" t="str">
        <x:v>CU-0239</x:v>
      </x:c>
      <x:c r="C467" s="5" t="str">
        <x:v>https://www.moek.ru/career/uchebnyj-tsentr/dokumenty/</x:v>
      </x:c>
      <x:c r="D467" s="5" t="n">
        <x:v>1</x:v>
      </x:c>
      <x:c r="E46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67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67" s="10"/>
      <x:c r="H467" s="10" t="str">
        <x:v>not_checked_here</x:v>
      </x:c>
      <x:c r="I467" s="11"/>
      <x:c r="J467" s="11"/>
      <x:c r="K467" s="10"/>
      <x:c r="L467" s="10"/>
      <x:c r="M467" s="10"/>
      <x:c r="N467" s="5" t="str">
        <x:f>IF(H467="not_checked_here","Сопоставить с проектом",IF(OR(H467="operational",H467="empty_success"),IF(AND(I467&lt;&gt;"",J467&lt;&gt;"",K467&lt;&gt;"",L467&lt;&gt;""),"Доказательства внесены","Дополнить дату / пример / охват"),IF(J467="","Назначить следующий срок","Исход и очередь записаны")))</x:f>
        <x:v>Сопоставить с проектом</x:v>
      </x:c>
    </x:row>
    <x:row r="468" ht="42.75" customHeight="1">
      <x:c r="A468" s="5" t="str">
        <x:v>CU-SRC-0463</x:v>
      </x:c>
      <x:c r="B468" s="5" t="str">
        <x:v>CU-0239</x:v>
      </x:c>
      <x:c r="C468" s="5" t="str">
        <x:v>https://tenders.gazprom.ru/</x:v>
      </x:c>
      <x:c r="D468" s="5" t="n">
        <x:v>1</x:v>
      </x:c>
      <x:c r="E46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68" s="5" t="str">
        <x:v>Открытая витрина и официальные переходы к ЭТП ГПБ и порталу контрагентов; сохранять закрытые/недоступные маршруты в очереди.</x:v>
      </x:c>
      <x:c r="G468" s="10"/>
      <x:c r="H468" s="10" t="str">
        <x:v>not_checked_here</x:v>
      </x:c>
      <x:c r="I468" s="11"/>
      <x:c r="J468" s="11"/>
      <x:c r="K468" s="10"/>
      <x:c r="L468" s="10"/>
      <x:c r="M468" s="10"/>
      <x:c r="N468" s="5" t="str">
        <x:f>IF(H468="not_checked_here","Сопоставить с проектом",IF(OR(H468="operational",H468="empty_success"),IF(AND(I468&lt;&gt;"",J468&lt;&gt;"",K468&lt;&gt;"",L468&lt;&gt;""),"Доказательства внесены","Дополнить дату / пример / охват"),IF(J468="","Назначить следующий срок","Исход и очередь записаны")))</x:f>
        <x:v>Сопоставить с проектом</x:v>
      </x:c>
    </x:row>
    <x:row r="469" ht="42.75" customHeight="1">
      <x:c r="A469" s="5" t="str">
        <x:v>CU-SRC-0464</x:v>
      </x:c>
      <x:c r="B469" s="5" t="str">
        <x:v>CU-0240</x:v>
      </x:c>
      <x:c r="C469" s="5" t="str">
        <x:v>https://edu.mos-gaz.ru/about/common</x:v>
      </x:c>
      <x:c r="D469" s="5" t="n">
        <x:v>2</x:v>
      </x:c>
      <x:c r="E46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69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69" s="10"/>
      <x:c r="H469" s="10" t="str">
        <x:v>not_checked_here</x:v>
      </x:c>
      <x:c r="I469" s="11"/>
      <x:c r="J469" s="11"/>
      <x:c r="K469" s="10"/>
      <x:c r="L469" s="10"/>
      <x:c r="M469" s="10"/>
      <x:c r="N469" s="5" t="str">
        <x:f>IF(H469="not_checked_here","Сопоставить с проектом",IF(OR(H469="operational",H469="empty_success"),IF(AND(I469&lt;&gt;"",J469&lt;&gt;"",K469&lt;&gt;"",L469&lt;&gt;""),"Доказательства внесены","Дополнить дату / пример / охват"),IF(J469="","Назначить следующий срок","Исход и очередь записаны")))</x:f>
        <x:v>Сопоставить с проектом</x:v>
      </x:c>
    </x:row>
    <x:row r="470" ht="42.75" customHeight="1">
      <x:c r="A470" s="5" t="str">
        <x:v>CU-SRC-0465</x:v>
      </x:c>
      <x:c r="B470" s="5" t="str">
        <x:v>CU-0240</x:v>
      </x:c>
      <x:c r="C470" s="5" t="str">
        <x:v>https://edu.mos-gaz.ru/about/structure/</x:v>
      </x:c>
      <x:c r="D470" s="5" t="n">
        <x:v>2</x:v>
      </x:c>
      <x:c r="E47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70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70" s="10"/>
      <x:c r="H470" s="10" t="str">
        <x:v>not_checked_here</x:v>
      </x:c>
      <x:c r="I470" s="11"/>
      <x:c r="J470" s="11"/>
      <x:c r="K470" s="10"/>
      <x:c r="L470" s="10"/>
      <x:c r="M470" s="10"/>
      <x:c r="N470" s="5" t="str">
        <x:f>IF(H470="not_checked_here","Сопоставить с проектом",IF(OR(H470="operational",H470="empty_success"),IF(AND(I470&lt;&gt;"",J470&lt;&gt;"",K470&lt;&gt;"",L470&lt;&gt;""),"Доказательства внесены","Дополнить дату / пример / охват"),IF(J470="","Назначить следующий срок","Исход и очередь записаны")))</x:f>
        <x:v>Сопоставить с проектом</x:v>
      </x:c>
    </x:row>
    <x:row r="471" ht="42.75" customHeight="1">
      <x:c r="A471" s="5" t="str">
        <x:v>CU-SRC-0466</x:v>
      </x:c>
      <x:c r="B471" s="5" t="str">
        <x:v>CU-0240</x:v>
      </x:c>
      <x:c r="C471" s="5" t="str">
        <x:v>https://edu.mos-gaz.ru/</x:v>
      </x:c>
      <x:c r="D471" s="5" t="n">
        <x:v>2</x:v>
      </x:c>
      <x:c r="E47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71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71" s="10"/>
      <x:c r="H471" s="10" t="str">
        <x:v>not_checked_here</x:v>
      </x:c>
      <x:c r="I471" s="11"/>
      <x:c r="J471" s="11"/>
      <x:c r="K471" s="10"/>
      <x:c r="L471" s="10"/>
      <x:c r="M471" s="10"/>
      <x:c r="N471" s="5" t="str">
        <x:f>IF(H471="not_checked_here","Сопоставить с проектом",IF(OR(H471="operational",H471="empty_success"),IF(AND(I471&lt;&gt;"",J471&lt;&gt;"",K471&lt;&gt;"",L471&lt;&gt;""),"Доказательства внесены","Дополнить дату / пример / охват"),IF(J471="","Назначить следующий срок","Исход и очередь записаны")))</x:f>
        <x:v>Сопоставить с проектом</x:v>
      </x:c>
    </x:row>
    <x:row r="472" ht="42.75" customHeight="1">
      <x:c r="A472" s="5" t="str">
        <x:v>CU-SRC-0467</x:v>
      </x:c>
      <x:c r="B472" s="5" t="str">
        <x:v>CU-0241</x:v>
      </x:c>
      <x:c r="C472" s="5" t="str">
        <x:v>https://edulancet.com/</x:v>
      </x:c>
      <x:c r="D472" s="5" t="n">
        <x:v>3</x:v>
      </x:c>
      <x:c r="E47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72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72" s="10"/>
      <x:c r="H472" s="10" t="str">
        <x:v>not_checked_here</x:v>
      </x:c>
      <x:c r="I472" s="11"/>
      <x:c r="J472" s="11"/>
      <x:c r="K472" s="10"/>
      <x:c r="L472" s="10"/>
      <x:c r="M472" s="10"/>
      <x:c r="N472" s="5" t="str">
        <x:f>IF(H472="not_checked_here","Сопоставить с проектом",IF(OR(H472="operational",H472="empty_success"),IF(AND(I472&lt;&gt;"",J472&lt;&gt;"",K472&lt;&gt;"",L472&lt;&gt;""),"Доказательства внесены","Дополнить дату / пример / охват"),IF(J472="","Назначить следующий срок","Исход и очередь записаны")))</x:f>
        <x:v>Сопоставить с проектом</x:v>
      </x:c>
    </x:row>
    <x:row r="473" ht="42.75" customHeight="1">
      <x:c r="A473" s="5" t="str">
        <x:v>CU-SRC-0468</x:v>
      </x:c>
      <x:c r="B473" s="5" t="str">
        <x:v>CU-0242</x:v>
      </x:c>
      <x:c r="C473" s="5" t="str">
        <x:v>https://expertnw.com/obshchestvo/pravila-igry-v-epokhu-hr/</x:v>
      </x:c>
      <x:c r="D473" s="5" t="n">
        <x:v>2</x:v>
      </x:c>
      <x:c r="E47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73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73" s="10"/>
      <x:c r="H473" s="10" t="str">
        <x:v>not_checked_here</x:v>
      </x:c>
      <x:c r="I473" s="11"/>
      <x:c r="J473" s="11"/>
      <x:c r="K473" s="10"/>
      <x:c r="L473" s="10"/>
      <x:c r="M473" s="10"/>
      <x:c r="N473" s="5" t="str">
        <x:f>IF(H473="not_checked_here","Сопоставить с проектом",IF(OR(H473="operational",H473="empty_success"),IF(AND(I473&lt;&gt;"",J473&lt;&gt;"",K473&lt;&gt;"",L473&lt;&gt;""),"Доказательства внесены","Дополнить дату / пример / охват"),IF(J473="","Назначить следующий срок","Исход и очередь записаны")))</x:f>
        <x:v>Сопоставить с проектом</x:v>
      </x:c>
    </x:row>
    <x:row r="474" ht="42.75" customHeight="1">
      <x:c r="A474" s="5" t="str">
        <x:v>CU-SRC-0469</x:v>
      </x:c>
      <x:c r="B474" s="5" t="str">
        <x:v>CU-0242</x:v>
      </x:c>
      <x:c r="C474" s="5" t="str">
        <x:v>https://t.me/UCHELIX</x:v>
      </x:c>
      <x:c r="D474" s="5" t="n">
        <x:v>2</x:v>
      </x:c>
      <x:c r="E47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F474" s="5" t="str">
        <x:v>Публичные страницы и документы; проверка изменений и ссылок, сохранение первичного текста и версий вложений. API/RSS не подтверждены.</x:v>
      </x:c>
      <x:c r="G474" s="10"/>
      <x:c r="H474" s="10" t="str">
        <x:v>not_checked_here</x:v>
      </x:c>
      <x:c r="I474" s="11"/>
      <x:c r="J474" s="11"/>
      <x:c r="K474" s="10"/>
      <x:c r="L474" s="10"/>
      <x:c r="M474" s="10"/>
      <x:c r="N474" s="5" t="str">
        <x:f>IF(H474="not_checked_here","Сопоставить с проектом",IF(OR(H474="operational",H474="empty_success"),IF(AND(I474&lt;&gt;"",J474&lt;&gt;"",K474&lt;&gt;"",L474&lt;&gt;""),"Доказательства внесены","Дополнить дату / пример / охват"),IF(J474="","Назначить следующий срок","Исход и очередь записаны")))</x:f>
        <x:v>Сопоставить с проектом</x:v>
      </x:c>
    </x:row>
    <x:row r="475" ht="42.75" customHeight="1">
      <x:c r="A475" s="5" t="str">
        <x:v>CU-SRC-0470</x:v>
      </x:c>
      <x:c r="B475" s="5" t="str">
        <x:v>CU-0243</x:v>
      </x:c>
      <x:c r="C475" s="5" t="str">
        <x:v>https://id.hse.ru/data/2025/06/30/1992802910/%D0%BA%D0%BE%D1%80%D0%BF_%D1%83%D0%BD_2024_%D1%81%D0%B0%D0%B9%D1%82.pdf</x:v>
      </x:c>
      <x:c r="D475" s="5" t="n">
        <x:v>2</x:v>
      </x:c>
      <x:c r="E475" s="5" t="str">
        <x:v>Подтвердить существование/актуальный статус и самостоятельную образовательную структуру по первичному источнику; найти действующий канал или преемника. Сохранить исторический след независимо от результата.</x:v>
      </x:c>
      <x:c r="F475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75" s="10"/>
      <x:c r="H475" s="10" t="str">
        <x:v>not_checked_here</x:v>
      </x:c>
      <x:c r="I475" s="11"/>
      <x:c r="J475" s="11"/>
      <x:c r="K475" s="10"/>
      <x:c r="L475" s="10"/>
      <x:c r="M475" s="10"/>
      <x:c r="N475" s="5" t="str">
        <x:f>IF(H475="not_checked_here","Сопоставить с проектом",IF(OR(H475="operational",H475="empty_success"),IF(AND(I475&lt;&gt;"",J475&lt;&gt;"",K475&lt;&gt;"",L475&lt;&gt;""),"Доказательства внесены","Дополнить дату / пример / охват"),IF(J475="","Назначить следующий срок","Исход и очередь записаны")))</x:f>
        <x:v>Сопоставить с проектом</x:v>
      </x:c>
    </x:row>
    <x:row r="476" ht="42.75" customHeight="1">
      <x:c r="A476" s="5" t="str">
        <x:v>CU-SRC-0471</x:v>
      </x:c>
      <x:c r="B476" s="5" t="str">
        <x:v>CU-0244</x:v>
      </x:c>
      <x:c r="C476" s="5" t="str">
        <x:v>https://www.gov.spb.ru/gov/otrasl/ingen/news/89137/</x:v>
      </x:c>
      <x:c r="D476" s="5" t="n">
        <x:v>3</x:v>
      </x:c>
      <x:c r="E476" s="5" t="str">
        <x:v>Подтвердить существование/актуальный статус и самостоятельную образовательную структуру по первичному источнику; найти действующий канал или преемника. Сохранить исторический след независимо от результата.</x:v>
      </x:c>
      <x:c r="F476" s="5" t="str">
        <x:v>Проверить открытые HTML-страницы и документы; собирать изменения, ссылки и вложения с сохранением версий. API/RSS не подтверждены.</x:v>
      </x:c>
      <x:c r="G476" s="10"/>
      <x:c r="H476" s="10" t="str">
        <x:v>not_checked_here</x:v>
      </x:c>
      <x:c r="I476" s="11"/>
      <x:c r="J476" s="11"/>
      <x:c r="K476" s="10"/>
      <x:c r="L476" s="10"/>
      <x:c r="M476" s="10"/>
      <x:c r="N476" s="5" t="str">
        <x:f>IF(H476="not_checked_here","Сопоставить с проектом",IF(OR(H476="operational",H476="empty_success"),IF(AND(I476&lt;&gt;"",J476&lt;&gt;"",K476&lt;&gt;"",L476&lt;&gt;""),"Доказательства внесены","Дополнить дату / пример / охват"),IF(J476="","Назначить следующий срок","Исход и очередь записаны")))</x:f>
        <x:v>Сопоставить с проектом</x:v>
      </x:c>
    </x:row>
    <x:row r="477" ht="54" customHeight="1">
      <x:c r="A477" s="5" t="str">
        <x:v>CU-SRC-0472</x:v>
      </x:c>
      <x:c r="B477" s="5" t="str">
        <x:v>CU-0245</x:v>
      </x:c>
      <x:c r="C477" s="5" t="str">
        <x:v>https://univer.enplus.ru/about/information/basic-information/</x:v>
      </x:c>
      <x:c r="D477" s="5" t="n">
        <x:v>1</x:v>
      </x:c>
      <x:c r="E477" s="5" t="str">
        <x:v>Найти свежую программу, ответственного за её реализацию и подтверждённый маршрут для внешних провайдеров; сохранять новые новости, программы, контакты и закупочные страницы отдельными каналами. Квалифицировать конкретную потребность перед передачей лида.</x:v>
      </x:c>
      <x:c r="F477" s="5" t="str">
        <x:v>Периодически проверять публичный HTML и ссылки; сохранять исходные страницы и версии PDF перед классификацией. На этапе обнаружения сохранять все релевантные сигналы, даже вероятные дубли.</x:v>
      </x:c>
      <x:c r="G477" s="10"/>
      <x:c r="H477" s="10" t="str">
        <x:v>not_checked_here</x:v>
      </x:c>
      <x:c r="I477" s="11"/>
      <x:c r="J477" s="11"/>
      <x:c r="K477" s="10"/>
      <x:c r="L477" s="10"/>
      <x:c r="M477" s="10"/>
      <x:c r="N477" s="5" t="str">
        <x:f>IF(H477="not_checked_here","Сопоставить с проектом",IF(OR(H477="operational",H477="empty_success"),IF(AND(I477&lt;&gt;"",J477&lt;&gt;"",K477&lt;&gt;"",L477&lt;&gt;""),"Доказательства внесены","Дополнить дату / пример / охват"),IF(J477="","Назначить следующий срок","Исход и очередь записаны")))</x:f>
        <x:v>Сопоставить с проектом</x:v>
      </x:c>
    </x:row>
    <x:row r="478" ht="54" customHeight="1">
      <x:c r="A478" s="5" t="str">
        <x:v>CU-SRC-0473</x:v>
      </x:c>
      <x:c r="B478" s="5" t="str">
        <x:v>CU-0246</x:v>
      </x:c>
      <x:c r="C478" s="5" t="str">
        <x:v>https://www.mittu.ru/</x:v>
      </x:c>
      <x:c r="D478" s="5" t="n">
        <x:v>1</x:v>
      </x:c>
      <x:c r="E478" s="5" t="str">
        <x:v>Найти свежую программу, ответственного за её реализацию и подтверждённый маршрут для внешних провайдеров; сохранять новые новости, программы, контакты и закупочные страницы отдельными каналами. Квалифицировать конкретную потребность перед передачей лида.</x:v>
      </x:c>
      <x:c r="F478" s="5" t="str">
        <x:v>Периодически проверять публичный HTML и ссылки; сохранять исходные страницы и версии PDF перед классификацией. На этапе обнаружения сохранять все релевантные сигналы, даже вероятные дубли.</x:v>
      </x:c>
      <x:c r="G478" s="10"/>
      <x:c r="H478" s="10" t="str">
        <x:v>not_checked_here</x:v>
      </x:c>
      <x:c r="I478" s="11"/>
      <x:c r="J478" s="11"/>
      <x:c r="K478" s="10"/>
      <x:c r="L478" s="10"/>
      <x:c r="M478" s="10"/>
      <x:c r="N478" s="5" t="str">
        <x:f>IF(H478="not_checked_here","Сопоставить с проектом",IF(OR(H478="operational",H478="empty_success"),IF(AND(I478&lt;&gt;"",J478&lt;&gt;"",K478&lt;&gt;"",L478&lt;&gt;""),"Доказательства внесены","Дополнить дату / пример / охват"),IF(J478="","Назначить следующий срок","Исход и очередь записаны")))</x:f>
        <x:v>Сопоставить с проектом</x:v>
      </x:c>
    </x:row>
    <x:row r="479" ht="54" customHeight="1">
      <x:c r="A479" s="5" t="str">
        <x:v>CU-SRC-0474</x:v>
      </x:c>
      <x:c r="B479" s="5" t="str">
        <x:v>CU-0247</x:v>
      </x:c>
      <x:c r="C479" s="5" t="str">
        <x:v>https://cu-avtovaz.ru/</x:v>
      </x:c>
      <x:c r="D479" s="5" t="n">
        <x:v>1</x:v>
      </x:c>
      <x:c r="E479" s="5" t="str">
        <x:v>Найти свежую программу, ответственного за её реализацию и подтверждённый маршрут для внешних провайдеров; сохранять новые новости, программы, контакты и закупочные страницы отдельными каналами. Квалифицировать конкретную потребность перед передачей лида.</x:v>
      </x:c>
      <x:c r="F479" s="5" t="str">
        <x:v>Периодически проверять публичный HTML и ссылки; сохранять исходные страницы и версии PDF перед классификацией. На этапе обнаружения сохранять все релевантные сигналы, даже вероятные дубли.</x:v>
      </x:c>
      <x:c r="G479" s="10"/>
      <x:c r="H479" s="10" t="str">
        <x:v>not_checked_here</x:v>
      </x:c>
      <x:c r="I479" s="11"/>
      <x:c r="J479" s="11"/>
      <x:c r="K479" s="10"/>
      <x:c r="L479" s="10"/>
      <x:c r="M479" s="10"/>
      <x:c r="N479" s="5" t="str">
        <x:f>IF(H479="not_checked_here","Сопоставить с проектом",IF(OR(H479="operational",H479="empty_success"),IF(AND(I479&lt;&gt;"",J479&lt;&gt;"",K479&lt;&gt;"",L479&lt;&gt;""),"Доказательства внесены","Дополнить дату / пример / охват"),IF(J479="","Назначить следующий срок","Исход и очередь записаны")))</x:f>
        <x:v>Сопоставить с проектом</x:v>
      </x:c>
    </x:row>
  </x:sheetData>
  <x:dataValidations count="1">
    <x:dataValidation type="list" sqref="H6:H479">
      <x:formula1>"not_checked_here,testing,operational,empty_success,blocked_access,blocked_cost,postponed_budget,identity_conflict,error,manual"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742e554cad439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890000343322754" hidden="0" customWidth="1"/>
    <x:col min="2" max="2" width="25.559999465942383" hidden="0" customWidth="1"/>
    <x:col min="3" max="3" width="42.220001220703125" hidden="0" customWidth="1"/>
    <x:col min="4" max="4" width="48.88999938964844" hidden="0" customWidth="1"/>
    <x:col min="5" max="5" width="35.560001373291016" hidden="0" customWidth="1"/>
    <x:col min="6" max="6" width="47.779998779296875" hidden="0" customWidth="1"/>
    <x:col min="7" max="7" width="47.779998779296875" hidden="0" customWidth="1"/>
    <x:col min="8" max="8" width="47.7799987792968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20 способов выйти от КУ к потенциальному заказу</x:v>
      </x:c>
      <x:c r="B2" s="2"/>
      <x:c r="C2" s="2"/>
      <x:c r="D2" s="2"/>
      <x:c r="E2" s="2"/>
      <x:c r="F2" s="2"/>
      <x:c r="G2" s="2"/>
      <x:c r="H2" s="2"/>
    </x:row>
    <x:row r="3" ht="19.5" customHeight="1">
      <x:c r="A3" s="4" t="str">
        <x:v>Примеры условные. Ядро МИСБ сверено с mmbi.ru; смежные услуги требуют подтверждения возможностей.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1.5" customHeight="1">
      <x:c r="A5" s="9" t="str">
        <x:v>Код</x:v>
      </x:c>
      <x:c r="B5" s="9" t="str">
        <x:v>Маршрут</x:v>
      </x:c>
      <x:c r="C5" s="9" t="str">
        <x:v>Искомое событие</x:v>
      </x:c>
      <x:c r="D5" s="9" t="str">
        <x:v>Путь к покупателю</x:v>
      </x:c>
      <x:c r="E5" s="9" t="str">
        <x:v>Роль владельца</x:v>
      </x:c>
      <x:c r="F5" s="9" t="str">
        <x:v>Условный пример</x:v>
      </x:c>
      <x:c r="G5" s="9" t="str">
        <x:v>Что уточнить</x:v>
      </x:c>
      <x:c r="H5" s="9" t="str">
        <x:v>Соответствие</x:v>
      </x:c>
    </x:row>
    <x:row r="6" ht="31.5" customHeight="1">
      <x:c r="A6" s="5" t="str">
        <x:v>P01</x:v>
      </x:c>
      <x:c r="B6" s="5" t="str">
        <x:v>Предметный семинар</x:v>
      </x:c>
      <x:c r="C6" s="5" t="str">
        <x:v>Новая программа для финансовой, правовой, кадровой или закупочной службы</x:v>
      </x:c>
      <x:c r="D6" s="5" t="str">
        <x:v>КУ → владелец функции → закупки</x:v>
      </x:c>
      <x:c r="E6" s="5" t="str">
        <x:v>Руководитель программы / функциональной службы</x:v>
      </x:c>
      <x:c r="F6" s="5" t="str">
        <x:v>Запрашивают внешнего эксперта по казначейству</x:v>
      </x:c>
      <x:c r="G6" s="5" t="str">
        <x:v>Предмет, аудитория, страна, объем, формат, оплата</x:v>
      </x:c>
      <x:c r="H6" s="5" t="str">
        <x:v>Ядро МИСБ</x:v>
      </x:c>
    </x:row>
    <x:row r="7" ht="25.5" customHeight="1">
      <x:c r="A7" s="5" t="str">
        <x:v>P02</x:v>
      </x:c>
      <x:c r="B7" s="5" t="str">
        <x:v>Кадровый резерв</x:v>
      </x:c>
      <x:c r="C7" s="5" t="str">
        <x:v>Запуск потока, школы руководителей, программы преемственности</x:v>
      </x:c>
      <x:c r="D7" s="5" t="str">
        <x:v>КУ → HR / развитие руководителей → закупки</x:v>
      </x:c>
      <x:c r="E7" s="5" t="str">
        <x:v>Директор КУ / руководитель кадрового резерва</x:v>
      </x:c>
      <x:c r="F7" s="5" t="str">
        <x:v>Объявлена новая программа для начальников подразделений</x:v>
      </x:c>
      <x:c r="G7" s="5" t="str">
        <x:v>Нужен ли внешний модуль; календарь и ответственный</x:v>
      </x:c>
      <x:c r="H7" s="5" t="str">
        <x:v>Ядро МИСБ</x:v>
      </x:c>
    </x:row>
    <x:row r="8" ht="25.5" customHeight="1">
      <x:c r="A8" s="5" t="str">
        <x:v>P03</x:v>
      </x:c>
      <x:c r="B8" s="5" t="str">
        <x:v>Внешний преподаватель</x:v>
      </x:c>
      <x:c r="C8" s="5" t="str">
        <x:v>Отбор тренеров, экспертов, авторов и наставников</x:v>
      </x:c>
      <x:c r="D8" s="5" t="str">
        <x:v>Страница сотрудничества → методист → продюсер программы</x:v>
      </x:c>
      <x:c r="E8" s="5" t="str">
        <x:v>Методист / руководитель программы</x:v>
      </x:c>
      <x:c r="F8" s="5" t="str">
        <x:v>Приглашают провайдеров включиться в пул</x:v>
      </x:c>
      <x:c r="G8" s="5" t="str">
        <x:v>Оплачивается ли работа; требования к опыту и документам</x:v>
      </x:c>
      <x:c r="H8" s="5" t="str">
        <x:v>Маршрут прямого входа; сам пул не гарантирует заказ</x:v>
      </x:c>
    </x:row>
    <x:row r="9" ht="25.5" customHeight="1">
      <x:c r="A9" s="5" t="str">
        <x:v>P04</x:v>
      </x:c>
      <x:c r="B9" s="5" t="str">
        <x:v>Совместная программа</x:v>
      </x:c>
      <x:c r="C9" s="5" t="str">
        <x:v>Партнерская образовательная программа с компанией</x:v>
      </x:c>
      <x:c r="D9" s="5" t="str">
        <x:v>КУ → партнерства → функциональный заказчик</x:v>
      </x:c>
      <x:c r="E9" s="5" t="str">
        <x:v>Директор по партнерствам / развитию</x:v>
      </x:c>
      <x:c r="F9" s="5" t="str">
        <x:v>Компания ищет партнеров по развитию компетенций</x:v>
      </x:c>
      <x:c r="G9" s="5" t="str">
        <x:v>Кто заказчик, кто продает, кому принадлежит контент</x:v>
      </x:c>
      <x:c r="H9" s="5" t="str">
        <x:v>Ядро или партнерский субподряд</x:v>
      </x:c>
    </x:row>
    <x:row r="10" ht="25.5" customHeight="1">
      <x:c r="A10" s="5" t="str">
        <x:v>P05</x:v>
      </x:c>
      <x:c r="B10" s="5" t="str">
        <x:v>Видеокурс</x:v>
      </x:c>
      <x:c r="C10" s="5" t="str">
        <x:v>Обновление обязательного обучения, библиотеки видео</x:v>
      </x:c>
      <x:c r="D10" s="5" t="str">
        <x:v>КУ → электронное обучение → закупки</x:v>
      </x:c>
      <x:c r="E10" s="5" t="str">
        <x:v>Руководитель дистанционного обучения</x:v>
      </x:c>
      <x:c r="F10" s="5" t="str">
        <x:v>Потребность обновить видеокурс по корпоративной этике</x:v>
      </x:c>
      <x:c r="G10" s="5" t="str">
        <x:v>Объем, формат, права, доступность, приемка</x:v>
      </x:c>
      <x:c r="H10" s="5" t="str">
        <x:v>Ядро; техническую упаковку подтвердить с МИСБ</x:v>
      </x:c>
    </x:row>
    <x:row r="11" ht="25.5" customHeight="1">
      <x:c r="A11" s="5" t="str">
        <x:v>P06</x:v>
      </x:c>
      <x:c r="B11" s="5" t="str">
        <x:v>Содержание электронного курса</x:v>
      </x:c>
      <x:c r="C11" s="5" t="str">
        <x:v>Новая тема в LMS, запрос сценария или учебных материалов</x:v>
      </x:c>
      <x:c r="D11" s="5" t="str">
        <x:v>КУ → методический отдел → проектная команда</x:v>
      </x:c>
      <x:c r="E11" s="5" t="str">
        <x:v>Методолог / продюсер</x:v>
      </x:c>
      <x:c r="F11" s="5" t="str">
        <x:v>Ищут автора содержания курса по договорной работе</x:v>
      </x:c>
      <x:c r="G11" s="5" t="str">
        <x:v>Тема и методические требования; разработка ПО отдельно</x:v>
      </x:c>
      <x:c r="H11" s="5" t="str">
        <x:v>Смежный формат: подтвердить возможности МИСБ</x:v>
      </x:c>
    </x:row>
    <x:row r="12" ht="25.5" customHeight="1">
      <x:c r="A12" s="5" t="str">
        <x:v>P07</x:v>
      </x:c>
      <x:c r="B12" s="5" t="str">
        <x:v>Изменения регулирования</x:v>
      </x:c>
      <x:c r="C12" s="5" t="str">
        <x:v>Обновление законов и внутренних процедур</x:v>
      </x:c>
      <x:c r="D12" s="5" t="str">
        <x:v>Новость компании → функциональная служба → КУ</x:v>
      </x:c>
      <x:c r="E12" s="5" t="str">
        <x:v>Юридическая / HR / налоговая / закупочная служба</x:v>
      </x:c>
      <x:c r="F12" s="5" t="str">
        <x:v>Компания обновляет внутренние документы и обучение</x:v>
      </x:c>
      <x:c r="G12" s="5" t="str">
        <x:v>Применимость норм к стране; нужен ли учебный проект</x:v>
      </x:c>
      <x:c r="H12" s="5" t="str">
        <x:v>Ранний сигнал, не готовый заказ</x:v>
      </x:c>
    </x:row>
    <x:row r="13" ht="25.5" customHeight="1">
      <x:c r="A13" s="5" t="str">
        <x:v>P08</x:v>
      </x:c>
      <x:c r="B13" s="5" t="str">
        <x:v>Развитие внутренних тренеров</x:v>
      </x:c>
      <x:c r="C13" s="5" t="str">
        <x:v>Школа наставников, методистов, преподавателей</x:v>
      </x:c>
      <x:c r="D13" s="5" t="str">
        <x:v>КУ → методический отдел → закупки</x:v>
      </x:c>
      <x:c r="E13" s="5" t="str">
        <x:v>Руководитель обучения / внутренних тренеров</x:v>
      </x:c>
      <x:c r="F13" s="5" t="str">
        <x:v>Расширяется сеть внутренних преподавателей</x:v>
      </x:c>
      <x:c r="G13" s="5" t="str">
        <x:v>Есть ли внешний модуль; опыт МИСБ по теме</x:v>
      </x:c>
      <x:c r="H13" s="5" t="str">
        <x:v>Смежная услуга: проверить до предложения</x:v>
      </x:c>
    </x:row>
    <x:row r="14" ht="25.5" customHeight="1">
      <x:c r="A14" s="5" t="str">
        <x:v>P09</x:v>
      </x:c>
      <x:c r="B14" s="5" t="str">
        <x:v>Обучение дочерней компании</x:v>
      </x:c>
      <x:c r="C14" s="5" t="str">
        <x:v>Новый завод, региональный филиал, ввод объекта</x:v>
      </x:c>
      <x:c r="D14" s="5" t="str">
        <x:v>Дочерняя компания → местный HR → центральный КУ</x:v>
      </x:c>
      <x:c r="E14" s="5" t="str">
        <x:v>Местный HR / функциональный руководитель</x:v>
      </x:c>
      <x:c r="F14" s="5" t="str">
        <x:v>Набор управленческой команды нового подразделения</x:v>
      </x:c>
      <x:c r="G14" s="5" t="str">
        <x:v>Разделить полномочия головной и дочерней компании</x:v>
      </x:c>
      <x:c r="H14" s="5" t="str">
        <x:v>Не считать каждый филиал отдельным КУ</x:v>
      </x:c>
    </x:row>
    <x:row r="15" ht="25.5" customHeight="1">
      <x:c r="A15" s="5" t="str">
        <x:v>P10</x:v>
      </x:c>
      <x:c r="B15" s="5" t="str">
        <x:v>Закупка обучения</x:v>
      </x:c>
      <x:c r="C15" s="5" t="str">
        <x:v>Лот, предварительный отбор, запрос предложений</x:v>
      </x:c>
      <x:c r="D15" s="5" t="str">
        <x:v>Закупочная карточка → документы → контакт организатора</x:v>
      </x:c>
      <x:c r="E15" s="5" t="str">
        <x:v>Заказчик в документации</x:v>
      </x:c>
      <x:c r="F15" s="5" t="str">
        <x:v>Закупается обучение руководителей и специалистов</x:v>
      </x:c>
      <x:c r="G15" s="5" t="str">
        <x:v>Срок, страна, состав лота, допуск, объем и цена</x:v>
      </x:c>
      <x:c r="H15" s="5" t="str">
        <x:v>Прямой сигнал только по конкретному документу</x:v>
      </x:c>
    </x:row>
    <x:row r="16" ht="25.5" customHeight="1">
      <x:c r="A16" s="5" t="str">
        <x:v>P11</x:v>
      </x:c>
      <x:c r="B16" s="5" t="str">
        <x:v>Малый или закрытый отбор</x:v>
      </x:c>
      <x:c r="C16" s="5" t="str">
        <x:v>Регистрация поставщика, запрос КП, аккредитация</x:v>
      </x:c>
      <x:c r="D16" s="5" t="str">
        <x:v>Портал поставщика → категория услуг → куратор</x:v>
      </x:c>
      <x:c r="E16" s="5" t="str">
        <x:v>Категорийный менеджер / закупки услуг</x:v>
      </x:c>
      <x:c r="F16" s="5" t="str">
        <x:v>Открыта регистрация образовательных провайдеров</x:v>
      </x:c>
      <x:c r="G16" s="5" t="str">
        <x:v>Регистрация не равна приглашению; проверить категорию</x:v>
      </x:c>
      <x:c r="H16" s="5" t="str">
        <x:v>Сохранять маршрут при отсутствии открытых лотов</x:v>
      </x:c>
    </x:row>
    <x:row r="17" ht="25.5" customHeight="1">
      <x:c r="A17" s="5" t="str">
        <x:v>P12</x:v>
      </x:c>
      <x:c r="B17" s="5" t="str">
        <x:v>Повторяющееся обучение</x:v>
      </x:c>
      <x:c r="C17" s="5" t="str">
        <x:v>Прошлые договоры, ежегодный план, повтор программы</x:v>
      </x:c>
      <x:c r="D17" s="5" t="str">
        <x:v>Архив → владелец программы → новая закупка</x:v>
      </x:c>
      <x:c r="E17" s="5" t="str">
        <x:v>КУ / функциональный заказчик</x:v>
      </x:c>
      <x:c r="F17" s="5" t="str">
        <x:v>Ежегодно проводился семинар по годовой отчетности</x:v>
      </x:c>
      <x:c r="G17" s="5" t="str">
        <x:v>Следующий цикл, прежний подрядчик, изменившаяся потребность</x:v>
      </x:c>
      <x:c r="H17" s="5" t="str">
        <x:v>История — гипотеза будущего спроса</x:v>
      </x:c>
    </x:row>
    <x:row r="18" ht="25.5" customHeight="1">
      <x:c r="A18" s="5" t="str">
        <x:v>P13</x:v>
      </x:c>
      <x:c r="B18" s="5" t="str">
        <x:v>Профессиональное мероприятие</x:v>
      </x:c>
      <x:c r="C18" s="5" t="str">
        <x:v>КУ проводит конференцию, форум, круглый стол</x:v>
      </x:c>
      <x:c r="D18" s="5" t="str">
        <x:v>Организатор → программный комитет → учебный проект</x:v>
      </x:c>
      <x:c r="E18" s="5" t="str">
        <x:v>Продюсер / методист / сообщество экспертов</x:v>
      </x:c>
      <x:c r="F18" s="5" t="str">
        <x:v>Объявлен отбор докладов по развитию руководителей</x:v>
      </x:c>
      <x:c r="G18" s="5" t="str">
        <x:v>Платный модуль, бесплатное выступление или платное участие</x:v>
      </x:c>
      <x:c r="H18" s="5" t="str">
        <x:v>Не смешивать оплату спикеру и взнос спикера</x:v>
      </x:c>
    </x:row>
    <x:row r="19" ht="25.5" customHeight="1">
      <x:c r="A19" s="5" t="str">
        <x:v>P14</x:v>
      </x:c>
      <x:c r="B19" s="5" t="str">
        <x:v>Внешние клиенты КУ</x:v>
      </x:c>
      <x:c r="C19" s="5" t="str">
        <x:v>КУ продает обучение компаниям вне группы</x:v>
      </x:c>
      <x:c r="D19" s="5" t="str">
        <x:v>КУ как провайдер → корпоративный проект → субподряд</x:v>
      </x:c>
      <x:c r="E19" s="5" t="str">
        <x:v>Руководитель внешних программ</x:v>
      </x:c>
      <x:c r="F19" s="5" t="str">
        <x:v>Расширение каталога для внешних клиентов</x:v>
      </x:c>
      <x:c r="G19" s="5" t="str">
        <x:v>Есть ли экспертный пробел; интерес к внешним авторам</x:v>
      </x:c>
      <x:c r="H19" s="5" t="str">
        <x:v>Это потенциальный партнер, а не доказанный покупатель</x:v>
      </x:c>
    </x:row>
    <x:row r="20" ht="31.5" customHeight="1">
      <x:c r="A20" s="5" t="str">
        <x:v>P15</x:v>
      </x:c>
      <x:c r="B20" s="5" t="str">
        <x:v>Управленческий модуль технического УЦ</x:v>
      </x:c>
      <x:c r="C20" s="5" t="str">
        <x:v>Обучение мастеров, начальников смен, руководителей</x:v>
      </x:c>
      <x:c r="D20" s="5" t="str">
        <x:v>Технический УЦ → HR → управленческий поток</x:v>
      </x:c>
      <x:c r="E20" s="5" t="str">
        <x:v>Руководитель УЦ / развития персонала</x:v>
      </x:c>
      <x:c r="F20" s="5" t="str">
        <x:v>Техническая программа дополнена управлением людьми</x:v>
      </x:c>
      <x:c r="G20" s="5" t="str">
        <x:v>Не подменять отраслевую аттестацию бизнес-семинаром</x:v>
      </x:c>
      <x:c r="H20" s="5" t="str">
        <x:v>Условное соответствие; сохранить низкий приоритет</x:v>
      </x:c>
    </x:row>
    <x:row r="21" ht="25.5" customHeight="1">
      <x:c r="A21" s="5" t="str">
        <x:v>P16</x:v>
      </x:c>
      <x:c r="B21" s="5" t="str">
        <x:v>Вакансия в обучении</x:v>
      </x:c>
      <x:c r="C21" s="5" t="str">
        <x:v>Поиск методиста, продюсера, руководителя КУ</x:v>
      </x:c>
      <x:c r="D21" s="5" t="str">
        <x:v>Вакансия → публичный проект → руководитель функции</x:v>
      </x:c>
      <x:c r="E21" s="5" t="str">
        <x:v>Руководитель L&amp;D</x:v>
      </x:c>
      <x:c r="F21" s="5" t="str">
        <x:v>Компания создает направление дистанционного обучения</x:v>
      </x:c>
      <x:c r="G21" s="5" t="str">
        <x:v>Штатная позиция или внешний подряд; проект и сроки</x:v>
      </x:c>
      <x:c r="H21" s="5" t="str">
        <x:v>Вакансия сама по себе не заказ</x:v>
      </x:c>
    </x:row>
    <x:row r="22" ht="25.5" customHeight="1">
      <x:c r="A22" s="5" t="str">
        <x:v>P17</x:v>
      </x:c>
      <x:c r="B22" s="5" t="str">
        <x:v>Обратная связь участников</x:v>
      </x:c>
      <x:c r="C22" s="5" t="str">
        <x:v>Повторяющиеся вопросы по теме в открытом сообществе</x:v>
      </x:c>
      <x:c r="D22" s="5" t="str">
        <x:v>Обсуждение → модератор / автор программы → учебный модуль</x:v>
      </x:c>
      <x:c r="E22" s="5" t="str">
        <x:v>Методист / владелец программы</x:v>
      </x:c>
      <x:c r="F22" s="5" t="str">
        <x:v>Участники просят практику по новому процессу</x:v>
      </x:c>
      <x:c r="G22" s="5" t="str">
        <x:v>Подтвердить корпоративную аудиторию и владельца задачи</x:v>
      </x:c>
      <x:c r="H22" s="5" t="str">
        <x:v>Слабый сигнал сохранять для дальнейшей проверки</x:v>
      </x:c>
    </x:row>
    <x:row r="23" ht="25.5" customHeight="1">
      <x:c r="A23" s="5" t="str">
        <x:v>P18</x:v>
      </x:c>
      <x:c r="B23" s="5" t="str">
        <x:v>Локализация для BY/KZ</x:v>
      </x:c>
      <x:c r="C23" s="5" t="str">
        <x:v>Запрос обучения международной команды</x:v>
      </x:c>
      <x:c r="D23" s="5" t="str">
        <x:v>КУ → местный заказчик → местный предметный эксперт</x:v>
      </x:c>
      <x:c r="E23" s="5" t="str">
        <x:v>HR / юридическая / финансовая служба страны</x:v>
      </x:c>
      <x:c r="F23" s="5" t="str">
        <x:v>Обучение сотрудников разных юрисдикций</x:v>
      </x:c>
      <x:c r="G23" s="5" t="str">
        <x:v>Право, налоги и закупки адаптировать к стране</x:v>
      </x:c>
      <x:c r="H23" s="5" t="str">
        <x:v>Российские нормы не переносить автоматически</x:v>
      </x:c>
    </x:row>
    <x:row r="24" ht="25.5" customHeight="1">
      <x:c r="A24" s="5" t="str">
        <x:v>P19</x:v>
      </x:c>
      <x:c r="B24" s="5" t="str">
        <x:v>Учебная сессия руководителей</x:v>
      </x:c>
      <x:c r="C24" s="5" t="str">
        <x:v>Стратегическая, проектная или командная сессия</x:v>
      </x:c>
      <x:c r="D24" s="5" t="str">
        <x:v>КУ → спонсор программы → закупки</x:v>
      </x:c>
      <x:c r="E24" s="5" t="str">
        <x:v>HRD / руководитель направления</x:v>
      </x:c>
      <x:c r="F24" s="5" t="str">
        <x:v>Запускается серия сессий для новых руководителей</x:v>
      </x:c>
      <x:c r="G24" s="5" t="str">
        <x:v>Учебный результат, формат, объем, бюджет</x:v>
      </x:c>
      <x:c r="H24" s="5" t="str">
        <x:v>Смежный формат; квалификацию команды подтвердить</x:v>
      </x:c>
    </x:row>
    <x:row r="25" ht="25.5" customHeight="1">
      <x:c r="A25" s="5" t="str">
        <x:v>P20</x:v>
      </x:c>
      <x:c r="B25" s="5" t="str">
        <x:v>Перекрестный партнерский вход</x:v>
      </x:c>
      <x:c r="C25" s="5" t="str">
        <x:v>Известный подрядчик КУ расширяет состав экспертов</x:v>
      </x:c>
      <x:c r="D25" s="5" t="str">
        <x:v>Кейс поставщика → продюсер → субподряд</x:v>
      </x:c>
      <x:c r="E25" s="5" t="str">
        <x:v>Провайдер / интегратор / авторская команда</x:v>
      </x:c>
      <x:c r="F25" s="5" t="str">
        <x:v>У поставщика есть проект по близкой теме</x:v>
      </x:c>
      <x:c r="G25" s="5" t="str">
        <x:v>Авторство, права, конфликт интересов и кто оплачивает</x:v>
      </x:c>
      <x:c r="H25" s="5" t="str">
        <x:v>Сохранять поставщика как отдельный источник</x:v>
      </x:c>
    </x:row>
  </x:sheetData>
  <x:pageMargins left="0.7" right="0.7" top="0.75" bottom="0.75" header="0.3" footer="0.3"/>
  <x:tableParts count="1">
    <x:tablePart xmlns:r="http://schemas.openxmlformats.org/officeDocument/2006/relationships" r:id="Rc16767df83df42c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0.5600004196167" hidden="0" customWidth="1"/>
    <x:col min="3" max="3" width="35.560001373291016" hidden="0" customWidth="1"/>
    <x:col min="4" max="4" width="8.890000343322754" hidden="0" customWidth="1"/>
    <x:col min="5" max="5" width="22.780000686645508" hidden="0" customWidth="1"/>
    <x:col min="6" max="6" width="80" hidden="0" customWidth="1"/>
    <x:col min="7" max="7" width="47.779998779296875" hidden="0" customWidth="1"/>
    <x:col min="8" max="8" width="12.22000026702880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800 поисковых запросов: по 4 на каждую структуру</x:v>
      </x:c>
      <x:c r="B2" s="2"/>
      <x:c r="C2" s="2"/>
      <x:c r="D2" s="2"/>
      <x:c r="E2" s="2"/>
      <x:c r="F2" s="2"/>
      <x:c r="G2" s="2"/>
      <x:c r="H2" s="2"/>
    </x:row>
    <x:row r="3" ht="19.5" customHeight="1">
      <x:c r="A3" s="4" t="str">
        <x:v>Все шаблоны связаны с КУ ID и имеют статус not_run. Это не 800 найденных источников. Синтаксис адаптировать к площадке.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1.5" customHeight="1">
      <x:c r="A5" s="9" t="str">
        <x:v>Query ID</x:v>
      </x:c>
      <x:c r="B5" s="9" t="str">
        <x:v>КУ ID</x:v>
      </x:c>
      <x:c r="C5" s="9" t="str">
        <x:v>Структура</x:v>
      </x:c>
      <x:c r="D5" s="9" t="str">
        <x:v>Страна</x:v>
      </x:c>
      <x:c r="E5" s="9" t="str">
        <x:v>Задача</x:v>
      </x:c>
      <x:c r="F5" s="9" t="str">
        <x:v>Запрос</x:v>
      </x:c>
      <x:c r="G5" s="9" t="str">
        <x:v>Трактовка</x:v>
      </x:c>
      <x:c r="H5" s="9" t="str">
        <x:v>Статус</x:v>
      </x:c>
    </x:row>
    <x:row r="6" ht="25.5" customHeight="1">
      <x:c r="A6" s="5" t="str">
        <x:v>CU-0157-DISCOVER</x:v>
      </x:c>
      <x:c r="B6" s="5" t="str">
        <x:v>CU-0157</x:v>
      </x:c>
      <x:c r="C6" s="5" t="str">
        <x:v>Международная Бизнес-Академия «Белоруснефть»</x:v>
      </x:c>
      <x:c r="D6" s="5" t="str">
        <x:v>BY</x:v>
      </x:c>
      <x:c r="E6" s="5" t="str">
        <x:v>Новые каналы</x:v>
      </x:c>
      <x:c r="F6" s="5" t="str">
        <x:v>"Белоруснефть" (университет OR академия OR "учебный центр" OR обучение)</x:v>
      </x:c>
      <x:c r="G6" s="5" t="str">
        <x:v>Имена, подразделения и дополнительные официальные адреса.</x:v>
      </x:c>
      <x:c r="H6" s="5" t="str">
        <x:v>not_run</x:v>
      </x:c>
    </x:row>
    <x:row r="7" ht="25.5" customHeight="1">
      <x:c r="A7" s="5" t="str">
        <x:v>CU-0157-BUY</x:v>
      </x:c>
      <x:c r="B7" s="5" t="str">
        <x:v>CU-0157</x:v>
      </x:c>
      <x:c r="C7" s="5" t="str">
        <x:v>Международная Бизнес-Академия «Белоруснефть»</x:v>
      </x:c>
      <x:c r="D7" s="5" t="str">
        <x:v>BY</x:v>
      </x:c>
      <x:c r="E7" s="5" t="str">
        <x:v>Закупки и отбор</x:v>
      </x:c>
      <x:c r="F7" s="5" t="str">
        <x:v>"Белоруснефть" (обучение OR тренинг OR семинар) (закупки OR "запрос предложений" OR поставщик)</x:v>
      </x:c>
      <x:c r="G7" s="5" t="str">
        <x:v>Найти конкретную карточку и приложения; запрос не доказывает спрос.</x:v>
      </x:c>
      <x:c r="H7" s="5" t="str">
        <x:v>not_run</x:v>
      </x:c>
    </x:row>
    <x:row r="8" ht="25.5" customHeight="1">
      <x:c r="A8" s="5" t="str">
        <x:v>CU-0157-EXPERT</x:v>
      </x:c>
      <x:c r="B8" s="5" t="str">
        <x:v>CU-0157</x:v>
      </x:c>
      <x:c r="C8" s="5" t="str">
        <x:v>Международная Бизнес-Академия «Белоруснефть»</x:v>
      </x:c>
      <x:c r="D8" s="5" t="str">
        <x:v>BY</x:v>
      </x:c>
      <x:c r="E8" s="5" t="str">
        <x:v>Эксперты и партнеры</x:v>
      </x:c>
      <x:c r="F8" s="5" t="str">
        <x:v>"Белоруснефть" (преподаватель OR эксперт OR провайдер OR партнерство)</x:v>
      </x:c>
      <x:c r="G8" s="5" t="str">
        <x:v>Уточнить кто платит и какой вход для внешнего исполнителя.</x:v>
      </x:c>
      <x:c r="H8" s="5" t="str">
        <x:v>not_run</x:v>
      </x:c>
    </x:row>
    <x:row r="9" ht="25.5" customHeight="1">
      <x:c r="A9" s="5" t="str">
        <x:v>CU-0157-SIGNAL</x:v>
      </x:c>
      <x:c r="B9" s="5" t="str">
        <x:v>CU-0157</x:v>
      </x:c>
      <x:c r="C9" s="5" t="str">
        <x:v>Международная Бизнес-Академия «Белоруснефть»</x:v>
      </x:c>
      <x:c r="D9" s="5" t="str">
        <x:v>BY</x:v>
      </x:c>
      <x:c r="E9" s="5" t="str">
        <x:v>Новые программы</x:v>
      </x:c>
      <x:c r="F9" s="5" t="str">
        <x:v>"Белоруснефть" ("кадровый резерв" OR "электронный курс" OR "развитие руководителей")</x:v>
      </x:c>
      <x:c r="G9" s="5" t="str">
        <x:v>Ранний сигнал и предметный пробел; не подтвержденный заказ.</x:v>
      </x:c>
      <x:c r="H9" s="5" t="str">
        <x:v>not_run</x:v>
      </x:c>
    </x:row>
    <x:row r="10" ht="25.5" customHeight="1">
      <x:c r="A10" s="5" t="str">
        <x:v>CU-0165-DISCOVER</x:v>
      </x:c>
      <x:c r="B10" s="5" t="str">
        <x:v>CU-0165</x:v>
      </x:c>
      <x:c r="C10" s="5" t="str">
        <x:v>ГИПК «ГАЗ-ИНСТИТУТ»</x:v>
      </x:c>
      <x:c r="D10" s="5" t="str">
        <x:v>BY</x:v>
      </x:c>
      <x:c r="E10" s="5" t="str">
        <x:v>Новые каналы</x:v>
      </x:c>
      <x:c r="F10" s="5" t="str">
        <x:v>"Белтопгаз" (университет OR академия OR "учебный центр" OR обучение)</x:v>
      </x:c>
      <x:c r="G10" s="5" t="str">
        <x:v>Имена, подразделения и дополнительные официальные адреса.</x:v>
      </x:c>
      <x:c r="H10" s="5" t="str">
        <x:v>not_run</x:v>
      </x:c>
    </x:row>
    <x:row r="11" ht="25.5" customHeight="1">
      <x:c r="A11" s="5" t="str">
        <x:v>CU-0165-BUY</x:v>
      </x:c>
      <x:c r="B11" s="5" t="str">
        <x:v>CU-0165</x:v>
      </x:c>
      <x:c r="C11" s="5" t="str">
        <x:v>ГИПК «ГАЗ-ИНСТИТУТ»</x:v>
      </x:c>
      <x:c r="D11" s="5" t="str">
        <x:v>BY</x:v>
      </x:c>
      <x:c r="E11" s="5" t="str">
        <x:v>Закупки и отбор</x:v>
      </x:c>
      <x:c r="F11" s="5" t="str">
        <x:v>"Белтопгаз" (обучение OR тренинг OR семинар) (закупки OR "запрос предложений" OR поставщик)</x:v>
      </x:c>
      <x:c r="G11" s="5" t="str">
        <x:v>Найти конкретную карточку и приложения; запрос не доказывает спрос.</x:v>
      </x:c>
      <x:c r="H11" s="5" t="str">
        <x:v>not_run</x:v>
      </x:c>
    </x:row>
    <x:row r="12" ht="25.5" customHeight="1">
      <x:c r="A12" s="5" t="str">
        <x:v>CU-0165-EXPERT</x:v>
      </x:c>
      <x:c r="B12" s="5" t="str">
        <x:v>CU-0165</x:v>
      </x:c>
      <x:c r="C12" s="5" t="str">
        <x:v>ГИПК «ГАЗ-ИНСТИТУТ»</x:v>
      </x:c>
      <x:c r="D12" s="5" t="str">
        <x:v>BY</x:v>
      </x:c>
      <x:c r="E12" s="5" t="str">
        <x:v>Эксперты и партнеры</x:v>
      </x:c>
      <x:c r="F12" s="5" t="str">
        <x:v>"Белтопгаз" (преподаватель OR эксперт OR провайдер OR партнерство)</x:v>
      </x:c>
      <x:c r="G12" s="5" t="str">
        <x:v>Уточнить кто платит и какой вход для внешнего исполнителя.</x:v>
      </x:c>
      <x:c r="H12" s="5" t="str">
        <x:v>not_run</x:v>
      </x:c>
    </x:row>
    <x:row r="13" ht="25.5" customHeight="1">
      <x:c r="A13" s="5" t="str">
        <x:v>CU-0165-SIGNAL</x:v>
      </x:c>
      <x:c r="B13" s="5" t="str">
        <x:v>CU-0165</x:v>
      </x:c>
      <x:c r="C13" s="5" t="str">
        <x:v>ГИПК «ГАЗ-ИНСТИТУТ»</x:v>
      </x:c>
      <x:c r="D13" s="5" t="str">
        <x:v>BY</x:v>
      </x:c>
      <x:c r="E13" s="5" t="str">
        <x:v>Новые программы</x:v>
      </x:c>
      <x:c r="F13" s="5" t="str">
        <x:v>"Белтопгаз" ("кадровый резерв" OR "электронный курс" OR "развитие руководителей")</x:v>
      </x:c>
      <x:c r="G13" s="5" t="str">
        <x:v>Ранний сигнал и предметный пробел; не подтвержденный заказ.</x:v>
      </x:c>
      <x:c r="H13" s="5" t="str">
        <x:v>not_run</x:v>
      </x:c>
    </x:row>
    <x:row r="14" ht="25.5" customHeight="1">
      <x:c r="A14" s="5" t="str">
        <x:v>CU-0167-DISCOVER</x:v>
      </x:c>
      <x:c r="B14" s="5" t="str">
        <x:v>CU-0167</x:v>
      </x:c>
      <x:c r="C14" s="5" t="str">
        <x:v>Институт ИТ и бизнес-администрирования IBA</x:v>
      </x:c>
      <x:c r="D14" s="5" t="str">
        <x:v>BY</x:v>
      </x:c>
      <x:c r="E14" s="5" t="str">
        <x:v>Новые каналы</x:v>
      </x:c>
      <x:c r="F14" s="5" t="str">
        <x:v>"IBA Group" (университет OR академия OR "учебный центр" OR обучение)</x:v>
      </x:c>
      <x:c r="G14" s="5" t="str">
        <x:v>Имена, подразделения и дополнительные официальные адреса.</x:v>
      </x:c>
      <x:c r="H14" s="5" t="str">
        <x:v>not_run</x:v>
      </x:c>
    </x:row>
    <x:row r="15" ht="25.5" customHeight="1">
      <x:c r="A15" s="5" t="str">
        <x:v>CU-0167-BUY</x:v>
      </x:c>
      <x:c r="B15" s="5" t="str">
        <x:v>CU-0167</x:v>
      </x:c>
      <x:c r="C15" s="5" t="str">
        <x:v>Институт ИТ и бизнес-администрирования IBA</x:v>
      </x:c>
      <x:c r="D15" s="5" t="str">
        <x:v>BY</x:v>
      </x:c>
      <x:c r="E15" s="5" t="str">
        <x:v>Закупки и отбор</x:v>
      </x:c>
      <x:c r="F15" s="5" t="str">
        <x:v>"IBA Group" (обучение OR тренинг OR семинар) (закупки OR "запрос предложений" OR поставщик)</x:v>
      </x:c>
      <x:c r="G15" s="5" t="str">
        <x:v>Найти конкретную карточку и приложения; запрос не доказывает спрос.</x:v>
      </x:c>
      <x:c r="H15" s="5" t="str">
        <x:v>not_run</x:v>
      </x:c>
    </x:row>
    <x:row r="16" ht="25.5" customHeight="1">
      <x:c r="A16" s="5" t="str">
        <x:v>CU-0167-EXPERT</x:v>
      </x:c>
      <x:c r="B16" s="5" t="str">
        <x:v>CU-0167</x:v>
      </x:c>
      <x:c r="C16" s="5" t="str">
        <x:v>Институт ИТ и бизнес-администрирования IBA</x:v>
      </x:c>
      <x:c r="D16" s="5" t="str">
        <x:v>BY</x:v>
      </x:c>
      <x:c r="E16" s="5" t="str">
        <x:v>Эксперты и партнеры</x:v>
      </x:c>
      <x:c r="F16" s="5" t="str">
        <x:v>"IBA Group" (преподаватель OR эксперт OR провайдер OR партнерство)</x:v>
      </x:c>
      <x:c r="G16" s="5" t="str">
        <x:v>Уточнить кто платит и какой вход для внешнего исполнителя.</x:v>
      </x:c>
      <x:c r="H16" s="5" t="str">
        <x:v>not_run</x:v>
      </x:c>
    </x:row>
    <x:row r="17" ht="25.5" customHeight="1">
      <x:c r="A17" s="5" t="str">
        <x:v>CU-0167-SIGNAL</x:v>
      </x:c>
      <x:c r="B17" s="5" t="str">
        <x:v>CU-0167</x:v>
      </x:c>
      <x:c r="C17" s="5" t="str">
        <x:v>Институт ИТ и бизнес-администрирования IBA</x:v>
      </x:c>
      <x:c r="D17" s="5" t="str">
        <x:v>BY</x:v>
      </x:c>
      <x:c r="E17" s="5" t="str">
        <x:v>Новые программы</x:v>
      </x:c>
      <x:c r="F17" s="5" t="str">
        <x:v>"IBA Group" ("кадровый резерв" OR "электронный курс" OR "развитие руководителей")</x:v>
      </x:c>
      <x:c r="G17" s="5" t="str">
        <x:v>Ранний сигнал и предметный пробел; не подтвержденный заказ.</x:v>
      </x:c>
      <x:c r="H17" s="5" t="str">
        <x:v>not_run</x:v>
      </x:c>
    </x:row>
    <x:row r="18" ht="25.5" customHeight="1">
      <x:c r="A18" s="5" t="str">
        <x:v>CU-0171-DISCOVER</x:v>
      </x:c>
      <x:c r="B18" s="5" t="str">
        <x:v>CU-0171</x:v>
      </x:c>
      <x:c r="C18" s="5" t="str">
        <x:v>Академия недвижимости А-100</x:v>
      </x:c>
      <x:c r="D18" s="5" t="str">
        <x:v>BY</x:v>
      </x:c>
      <x:c r="E18" s="5" t="str">
        <x:v>Новые каналы</x:v>
      </x:c>
      <x:c r="F18" s="5" t="str">
        <x:v>"А-100" (университет OR академия OR "учебный центр" OR обучение)</x:v>
      </x:c>
      <x:c r="G18" s="5" t="str">
        <x:v>Имена, подразделения и дополнительные официальные адреса.</x:v>
      </x:c>
      <x:c r="H18" s="5" t="str">
        <x:v>not_run</x:v>
      </x:c>
    </x:row>
    <x:row r="19" ht="25.5" customHeight="1">
      <x:c r="A19" s="5" t="str">
        <x:v>CU-0171-BUY</x:v>
      </x:c>
      <x:c r="B19" s="5" t="str">
        <x:v>CU-0171</x:v>
      </x:c>
      <x:c r="C19" s="5" t="str">
        <x:v>Академия недвижимости А-100</x:v>
      </x:c>
      <x:c r="D19" s="5" t="str">
        <x:v>BY</x:v>
      </x:c>
      <x:c r="E19" s="5" t="str">
        <x:v>Закупки и отбор</x:v>
      </x:c>
      <x:c r="F19" s="5" t="str">
        <x:v>"А-100" (обучение OR тренинг OR семинар) (закупки OR "запрос предложений" OR поставщик)</x:v>
      </x:c>
      <x:c r="G19" s="5" t="str">
        <x:v>Найти конкретную карточку и приложения; запрос не доказывает спрос.</x:v>
      </x:c>
      <x:c r="H19" s="5" t="str">
        <x:v>not_run</x:v>
      </x:c>
    </x:row>
    <x:row r="20" ht="25.5" customHeight="1">
      <x:c r="A20" s="5" t="str">
        <x:v>CU-0171-EXPERT</x:v>
      </x:c>
      <x:c r="B20" s="5" t="str">
        <x:v>CU-0171</x:v>
      </x:c>
      <x:c r="C20" s="5" t="str">
        <x:v>Академия недвижимости А-100</x:v>
      </x:c>
      <x:c r="D20" s="5" t="str">
        <x:v>BY</x:v>
      </x:c>
      <x:c r="E20" s="5" t="str">
        <x:v>Эксперты и партнеры</x:v>
      </x:c>
      <x:c r="F20" s="5" t="str">
        <x:v>"А-100" (преподаватель OR эксперт OR провайдер OR партнерство)</x:v>
      </x:c>
      <x:c r="G20" s="5" t="str">
        <x:v>Уточнить кто платит и какой вход для внешнего исполнителя.</x:v>
      </x:c>
      <x:c r="H20" s="5" t="str">
        <x:v>not_run</x:v>
      </x:c>
    </x:row>
    <x:row r="21" ht="25.5" customHeight="1">
      <x:c r="A21" s="5" t="str">
        <x:v>CU-0171-SIGNAL</x:v>
      </x:c>
      <x:c r="B21" s="5" t="str">
        <x:v>CU-0171</x:v>
      </x:c>
      <x:c r="C21" s="5" t="str">
        <x:v>Академия недвижимости А-100</x:v>
      </x:c>
      <x:c r="D21" s="5" t="str">
        <x:v>BY</x:v>
      </x:c>
      <x:c r="E21" s="5" t="str">
        <x:v>Новые программы</x:v>
      </x:c>
      <x:c r="F21" s="5" t="str">
        <x:v>"А-100" ("кадровый резерв" OR "электронный курс" OR "развитие руководителей")</x:v>
      </x:c>
      <x:c r="G21" s="5" t="str">
        <x:v>Ранний сигнал и предметный пробел; не подтвержденный заказ.</x:v>
      </x:c>
      <x:c r="H21" s="5" t="str">
        <x:v>not_run</x:v>
      </x:c>
    </x:row>
    <x:row r="22" ht="31.5" customHeight="1">
      <x:c r="A22" s="5" t="str">
        <x:v>CU-0175-DISCOVER</x:v>
      </x:c>
      <x:c r="B22" s="5" t="str">
        <x:v>CU-0175</x:v>
      </x:c>
      <x:c r="C22" s="5" t="str">
        <x:v>Учебный центр Национального банка Республики Беларусь</x:v>
      </x:c>
      <x:c r="D22" s="5" t="str">
        <x:v>BY</x:v>
      </x:c>
      <x:c r="E22" s="5" t="str">
        <x:v>Новые каналы</x:v>
      </x:c>
      <x:c r="F22" s="5" t="str">
        <x:v>"Национальный банк Республики Беларусь" (университет OR академия OR "учебный центр" OR обучение)</x:v>
      </x:c>
      <x:c r="G22" s="5" t="str">
        <x:v>Имена, подразделения и дополнительные официальные адреса.</x:v>
      </x:c>
      <x:c r="H22" s="5" t="str">
        <x:v>not_run</x:v>
      </x:c>
    </x:row>
    <x:row r="23" ht="31.5" customHeight="1">
      <x:c r="A23" s="5" t="str">
        <x:v>CU-0175-BUY</x:v>
      </x:c>
      <x:c r="B23" s="5" t="str">
        <x:v>CU-0175</x:v>
      </x:c>
      <x:c r="C23" s="5" t="str">
        <x:v>Учебный центр Национального банка Республики Беларусь</x:v>
      </x:c>
      <x:c r="D23" s="5" t="str">
        <x:v>BY</x:v>
      </x:c>
      <x:c r="E23" s="5" t="str">
        <x:v>Закупки и отбор</x:v>
      </x:c>
      <x:c r="F23" s="5" t="str">
        <x:v>"Национальный банк Республики Беларусь" (обучение OR тренинг OR семинар) (закупки OR "запрос предложений" OR поставщик)</x:v>
      </x:c>
      <x:c r="G23" s="5" t="str">
        <x:v>Найти конкретную карточку и приложения; запрос не доказывает спрос.</x:v>
      </x:c>
      <x:c r="H23" s="5" t="str">
        <x:v>not_run</x:v>
      </x:c>
    </x:row>
    <x:row r="24" ht="31.5" customHeight="1">
      <x:c r="A24" s="5" t="str">
        <x:v>CU-0175-EXPERT</x:v>
      </x:c>
      <x:c r="B24" s="5" t="str">
        <x:v>CU-0175</x:v>
      </x:c>
      <x:c r="C24" s="5" t="str">
        <x:v>Учебный центр Национального банка Республики Беларусь</x:v>
      </x:c>
      <x:c r="D24" s="5" t="str">
        <x:v>BY</x:v>
      </x:c>
      <x:c r="E24" s="5" t="str">
        <x:v>Эксперты и партнеры</x:v>
      </x:c>
      <x:c r="F24" s="5" t="str">
        <x:v>"Национальный банк Республики Беларусь" (преподаватель OR эксперт OR провайдер OR партнерство)</x:v>
      </x:c>
      <x:c r="G24" s="5" t="str">
        <x:v>Уточнить кто платит и какой вход для внешнего исполнителя.</x:v>
      </x:c>
      <x:c r="H24" s="5" t="str">
        <x:v>not_run</x:v>
      </x:c>
    </x:row>
    <x:row r="25" ht="31.5" customHeight="1">
      <x:c r="A25" s="5" t="str">
        <x:v>CU-0175-SIGNAL</x:v>
      </x:c>
      <x:c r="B25" s="5" t="str">
        <x:v>CU-0175</x:v>
      </x:c>
      <x:c r="C25" s="5" t="str">
        <x:v>Учебный центр Национального банка Республики Беларусь</x:v>
      </x:c>
      <x:c r="D25" s="5" t="str">
        <x:v>BY</x:v>
      </x:c>
      <x:c r="E25" s="5" t="str">
        <x:v>Новые программы</x:v>
      </x:c>
      <x:c r="F25" s="5" t="str">
        <x:v>"Национальный банк Республики Беларусь" ("кадровый резерв" OR "электронный курс" OR "развитие руководителей")</x:v>
      </x:c>
      <x:c r="G25" s="5" t="str">
        <x:v>Ранний сигнал и предметный пробел; не подтвержденный заказ.</x:v>
      </x:c>
      <x:c r="H25" s="5" t="str">
        <x:v>not_run</x:v>
      </x:c>
    </x:row>
    <x:row r="26" ht="31.5" customHeight="1">
      <x:c r="A26" s="5" t="str">
        <x:v>CU-0158-DISCOVER</x:v>
      </x:c>
      <x:c r="B26" s="5" t="str">
        <x:v>CU-0158</x:v>
      </x:c>
      <x:c r="C26" s="5" t="str">
        <x:v>Центр подготовки, повышения квалификации и переподготовки кадров трубопроводного транспорта</x:v>
      </x:c>
      <x:c r="D26" s="5" t="str">
        <x:v>BY</x:v>
      </x:c>
      <x:c r="E26" s="5" t="str">
        <x:v>Новые каналы</x:v>
      </x:c>
      <x:c r="F26" s="5" t="str">
        <x:v>"Газпром" (университет OR академия OR "учебный центр" OR обучение)</x:v>
      </x:c>
      <x:c r="G26" s="5" t="str">
        <x:v>Имена, подразделения и дополнительные официальные адреса.</x:v>
      </x:c>
      <x:c r="H26" s="5" t="str">
        <x:v>not_run</x:v>
      </x:c>
    </x:row>
    <x:row r="27" ht="31.5" customHeight="1">
      <x:c r="A27" s="5" t="str">
        <x:v>CU-0158-BUY</x:v>
      </x:c>
      <x:c r="B27" s="5" t="str">
        <x:v>CU-0158</x:v>
      </x:c>
      <x:c r="C27" s="5" t="str">
        <x:v>Центр подготовки, повышения квалификации и переподготовки кадров трубопроводного транспорта</x:v>
      </x:c>
      <x:c r="D27" s="5" t="str">
        <x:v>BY</x:v>
      </x:c>
      <x:c r="E27" s="5" t="str">
        <x:v>Закупки и отбор</x:v>
      </x:c>
      <x:c r="F27" s="5" t="str">
        <x:v>"Газпром" (обучение OR тренинг OR семинар) (закупки OR "запрос предложений" OR поставщик)</x:v>
      </x:c>
      <x:c r="G27" s="5" t="str">
        <x:v>Найти конкретную карточку и приложения; запрос не доказывает спрос.</x:v>
      </x:c>
      <x:c r="H27" s="5" t="str">
        <x:v>not_run</x:v>
      </x:c>
    </x:row>
    <x:row r="28" ht="31.5" customHeight="1">
      <x:c r="A28" s="5" t="str">
        <x:v>CU-0158-EXPERT</x:v>
      </x:c>
      <x:c r="B28" s="5" t="str">
        <x:v>CU-0158</x:v>
      </x:c>
      <x:c r="C28" s="5" t="str">
        <x:v>Центр подготовки, повышения квалификации и переподготовки кадров трубопроводного транспорта</x:v>
      </x:c>
      <x:c r="D28" s="5" t="str">
        <x:v>BY</x:v>
      </x:c>
      <x:c r="E28" s="5" t="str">
        <x:v>Эксперты и партнеры</x:v>
      </x:c>
      <x:c r="F28" s="5" t="str">
        <x:v>"Газпром" (преподаватель OR эксперт OR провайдер OR партнерство)</x:v>
      </x:c>
      <x:c r="G28" s="5" t="str">
        <x:v>Уточнить кто платит и какой вход для внешнего исполнителя.</x:v>
      </x:c>
      <x:c r="H28" s="5" t="str">
        <x:v>not_run</x:v>
      </x:c>
    </x:row>
    <x:row r="29" ht="31.5" customHeight="1">
      <x:c r="A29" s="5" t="str">
        <x:v>CU-0158-SIGNAL</x:v>
      </x:c>
      <x:c r="B29" s="5" t="str">
        <x:v>CU-0158</x:v>
      </x:c>
      <x:c r="C29" s="5" t="str">
        <x:v>Центр подготовки, повышения квалификации и переподготовки кадров трубопроводного транспорта</x:v>
      </x:c>
      <x:c r="D29" s="5" t="str">
        <x:v>BY</x:v>
      </x:c>
      <x:c r="E29" s="5" t="str">
        <x:v>Новые программы</x:v>
      </x:c>
      <x:c r="F29" s="5" t="str">
        <x:v>"Газпром" ("кадровый резерв" OR "электронный курс" OR "развитие руководителей")</x:v>
      </x:c>
      <x:c r="G29" s="5" t="str">
        <x:v>Ранний сигнал и предметный пробел; не подтвержденный заказ.</x:v>
      </x:c>
      <x:c r="H29" s="5" t="str">
        <x:v>not_run</x:v>
      </x:c>
    </x:row>
    <x:row r="30" ht="25.5" customHeight="1">
      <x:c r="A30" s="5" t="str">
        <x:v>CU-0159-DISCOVER</x:v>
      </x:c>
      <x:c r="B30" s="5" t="str">
        <x:v>CU-0159</x:v>
      </x:c>
      <x:c r="C30" s="5" t="str">
        <x:v>Учебный центр подготовки персонала «Энергетик»</x:v>
      </x:c>
      <x:c r="D30" s="5" t="str">
        <x:v>BY</x:v>
      </x:c>
      <x:c r="E30" s="5" t="str">
        <x:v>Новые каналы</x:v>
      </x:c>
      <x:c r="F30" s="5" t="str">
        <x:v>"Белэнерго" (университет OR академия OR "учебный центр" OR обучение)</x:v>
      </x:c>
      <x:c r="G30" s="5" t="str">
        <x:v>Имена, подразделения и дополнительные официальные адреса.</x:v>
      </x:c>
      <x:c r="H30" s="5" t="str">
        <x:v>not_run</x:v>
      </x:c>
    </x:row>
    <x:row r="31" ht="25.5" customHeight="1">
      <x:c r="A31" s="5" t="str">
        <x:v>CU-0159-BUY</x:v>
      </x:c>
      <x:c r="B31" s="5" t="str">
        <x:v>CU-0159</x:v>
      </x:c>
      <x:c r="C31" s="5" t="str">
        <x:v>Учебный центр подготовки персонала «Энергетик»</x:v>
      </x:c>
      <x:c r="D31" s="5" t="str">
        <x:v>BY</x:v>
      </x:c>
      <x:c r="E31" s="5" t="str">
        <x:v>Закупки и отбор</x:v>
      </x:c>
      <x:c r="F31" s="5" t="str">
        <x:v>"Белэнерго" (обучение OR тренинг OR семинар) (закупки OR "запрос предложений" OR поставщик)</x:v>
      </x:c>
      <x:c r="G31" s="5" t="str">
        <x:v>Найти конкретную карточку и приложения; запрос не доказывает спрос.</x:v>
      </x:c>
      <x:c r="H31" s="5" t="str">
        <x:v>not_run</x:v>
      </x:c>
    </x:row>
    <x:row r="32" ht="25.5" customHeight="1">
      <x:c r="A32" s="5" t="str">
        <x:v>CU-0159-EXPERT</x:v>
      </x:c>
      <x:c r="B32" s="5" t="str">
        <x:v>CU-0159</x:v>
      </x:c>
      <x:c r="C32" s="5" t="str">
        <x:v>Учебный центр подготовки персонала «Энергетик»</x:v>
      </x:c>
      <x:c r="D32" s="5" t="str">
        <x:v>BY</x:v>
      </x:c>
      <x:c r="E32" s="5" t="str">
        <x:v>Эксперты и партнеры</x:v>
      </x:c>
      <x:c r="F32" s="5" t="str">
        <x:v>"Белэнерго" (преподаватель OR эксперт OR провайдер OR партнерство)</x:v>
      </x:c>
      <x:c r="G32" s="5" t="str">
        <x:v>Уточнить кто платит и какой вход для внешнего исполнителя.</x:v>
      </x:c>
      <x:c r="H32" s="5" t="str">
        <x:v>not_run</x:v>
      </x:c>
    </x:row>
    <x:row r="33" ht="25.5" customHeight="1">
      <x:c r="A33" s="5" t="str">
        <x:v>CU-0159-SIGNAL</x:v>
      </x:c>
      <x:c r="B33" s="5" t="str">
        <x:v>CU-0159</x:v>
      </x:c>
      <x:c r="C33" s="5" t="str">
        <x:v>Учебный центр подготовки персонала «Энергетик»</x:v>
      </x:c>
      <x:c r="D33" s="5" t="str">
        <x:v>BY</x:v>
      </x:c>
      <x:c r="E33" s="5" t="str">
        <x:v>Новые программы</x:v>
      </x:c>
      <x:c r="F33" s="5" t="str">
        <x:v>"Белэнерго" ("кадровый резерв" OR "электронный курс" OR "развитие руководителей")</x:v>
      </x:c>
      <x:c r="G33" s="5" t="str">
        <x:v>Ранний сигнал и предметный пробел; не подтвержденный заказ.</x:v>
      </x:c>
      <x:c r="H33" s="5" t="str">
        <x:v>not_run</x:v>
      </x:c>
    </x:row>
    <x:row r="34" ht="25.5" customHeight="1">
      <x:c r="A34" s="5" t="str">
        <x:v>CU-0160-DISCOVER</x:v>
      </x:c>
      <x:c r="B34" s="5" t="str">
        <x:v>CU-0160</x:v>
      </x:c>
      <x:c r="C34" s="5" t="str">
        <x:v>Филиал «Учебный центр» РУП «Гродноэнерго»</x:v>
      </x:c>
      <x:c r="D34" s="5" t="str">
        <x:v>BY</x:v>
      </x:c>
      <x:c r="E34" s="5" t="str">
        <x:v>Новые каналы</x:v>
      </x:c>
      <x:c r="F34" s="5" t="str">
        <x:v>"Белэнерго" (университет OR академия OR "учебный центр" OR обучение)</x:v>
      </x:c>
      <x:c r="G34" s="5" t="str">
        <x:v>Имена, подразделения и дополнительные официальные адреса.</x:v>
      </x:c>
      <x:c r="H34" s="5" t="str">
        <x:v>not_run</x:v>
      </x:c>
    </x:row>
    <x:row r="35" ht="25.5" customHeight="1">
      <x:c r="A35" s="5" t="str">
        <x:v>CU-0160-BUY</x:v>
      </x:c>
      <x:c r="B35" s="5" t="str">
        <x:v>CU-0160</x:v>
      </x:c>
      <x:c r="C35" s="5" t="str">
        <x:v>Филиал «Учебный центр» РУП «Гродноэнерго»</x:v>
      </x:c>
      <x:c r="D35" s="5" t="str">
        <x:v>BY</x:v>
      </x:c>
      <x:c r="E35" s="5" t="str">
        <x:v>Закупки и отбор</x:v>
      </x:c>
      <x:c r="F35" s="5" t="str">
        <x:v>"Белэнерго" (обучение OR тренинг OR семинар) (закупки OR "запрос предложений" OR поставщик)</x:v>
      </x:c>
      <x:c r="G35" s="5" t="str">
        <x:v>Найти конкретную карточку и приложения; запрос не доказывает спрос.</x:v>
      </x:c>
      <x:c r="H35" s="5" t="str">
        <x:v>not_run</x:v>
      </x:c>
    </x:row>
    <x:row r="36" ht="25.5" customHeight="1">
      <x:c r="A36" s="5" t="str">
        <x:v>CU-0160-EXPERT</x:v>
      </x:c>
      <x:c r="B36" s="5" t="str">
        <x:v>CU-0160</x:v>
      </x:c>
      <x:c r="C36" s="5" t="str">
        <x:v>Филиал «Учебный центр» РУП «Гродноэнерго»</x:v>
      </x:c>
      <x:c r="D36" s="5" t="str">
        <x:v>BY</x:v>
      </x:c>
      <x:c r="E36" s="5" t="str">
        <x:v>Эксперты и партнеры</x:v>
      </x:c>
      <x:c r="F36" s="5" t="str">
        <x:v>"Белэнерго" (преподаватель OR эксперт OR провайдер OR партнерство)</x:v>
      </x:c>
      <x:c r="G36" s="5" t="str">
        <x:v>Уточнить кто платит и какой вход для внешнего исполнителя.</x:v>
      </x:c>
      <x:c r="H36" s="5" t="str">
        <x:v>not_run</x:v>
      </x:c>
    </x:row>
    <x:row r="37" ht="25.5" customHeight="1">
      <x:c r="A37" s="5" t="str">
        <x:v>CU-0160-SIGNAL</x:v>
      </x:c>
      <x:c r="B37" s="5" t="str">
        <x:v>CU-0160</x:v>
      </x:c>
      <x:c r="C37" s="5" t="str">
        <x:v>Филиал «Учебный центр» РУП «Гродноэнерго»</x:v>
      </x:c>
      <x:c r="D37" s="5" t="str">
        <x:v>BY</x:v>
      </x:c>
      <x:c r="E37" s="5" t="str">
        <x:v>Новые программы</x:v>
      </x:c>
      <x:c r="F37" s="5" t="str">
        <x:v>"Белэнерго" ("кадровый резерв" OR "электронный курс" OR "развитие руководителей")</x:v>
      </x:c>
      <x:c r="G37" s="5" t="str">
        <x:v>Ранний сигнал и предметный пробел; не подтвержденный заказ.</x:v>
      </x:c>
      <x:c r="H37" s="5" t="str">
        <x:v>not_run</x:v>
      </x:c>
    </x:row>
    <x:row r="38" ht="25.5" customHeight="1">
      <x:c r="A38" s="5" t="str">
        <x:v>CU-0161-DISCOVER</x:v>
      </x:c>
      <x:c r="B38" s="5" t="str">
        <x:v>CU-0161</x:v>
      </x:c>
      <x:c r="C38" s="5" t="str">
        <x:v>Филиал «Учебный центр» РУП «Гомельэнерго»</x:v>
      </x:c>
      <x:c r="D38" s="5" t="str">
        <x:v>BY</x:v>
      </x:c>
      <x:c r="E38" s="5" t="str">
        <x:v>Новые каналы</x:v>
      </x:c>
      <x:c r="F38" s="5" t="str">
        <x:v>"Белэнерго" (университет OR академия OR "учебный центр" OR обучение)</x:v>
      </x:c>
      <x:c r="G38" s="5" t="str">
        <x:v>Имена, подразделения и дополнительные официальные адреса.</x:v>
      </x:c>
      <x:c r="H38" s="5" t="str">
        <x:v>not_run</x:v>
      </x:c>
    </x:row>
    <x:row r="39" ht="25.5" customHeight="1">
      <x:c r="A39" s="5" t="str">
        <x:v>CU-0161-BUY</x:v>
      </x:c>
      <x:c r="B39" s="5" t="str">
        <x:v>CU-0161</x:v>
      </x:c>
      <x:c r="C39" s="5" t="str">
        <x:v>Филиал «Учебный центр» РУП «Гомельэнерго»</x:v>
      </x:c>
      <x:c r="D39" s="5" t="str">
        <x:v>BY</x:v>
      </x:c>
      <x:c r="E39" s="5" t="str">
        <x:v>Закупки и отбор</x:v>
      </x:c>
      <x:c r="F39" s="5" t="str">
        <x:v>"Белэнерго" (обучение OR тренинг OR семинар) (закупки OR "запрос предложений" OR поставщик)</x:v>
      </x:c>
      <x:c r="G39" s="5" t="str">
        <x:v>Найти конкретную карточку и приложения; запрос не доказывает спрос.</x:v>
      </x:c>
      <x:c r="H39" s="5" t="str">
        <x:v>not_run</x:v>
      </x:c>
    </x:row>
    <x:row r="40" ht="25.5" customHeight="1">
      <x:c r="A40" s="5" t="str">
        <x:v>CU-0161-EXPERT</x:v>
      </x:c>
      <x:c r="B40" s="5" t="str">
        <x:v>CU-0161</x:v>
      </x:c>
      <x:c r="C40" s="5" t="str">
        <x:v>Филиал «Учебный центр» РУП «Гомельэнерго»</x:v>
      </x:c>
      <x:c r="D40" s="5" t="str">
        <x:v>BY</x:v>
      </x:c>
      <x:c r="E40" s="5" t="str">
        <x:v>Эксперты и партнеры</x:v>
      </x:c>
      <x:c r="F40" s="5" t="str">
        <x:v>"Белэнерго" (преподаватель OR эксперт OR провайдер OR партнерство)</x:v>
      </x:c>
      <x:c r="G40" s="5" t="str">
        <x:v>Уточнить кто платит и какой вход для внешнего исполнителя.</x:v>
      </x:c>
      <x:c r="H40" s="5" t="str">
        <x:v>not_run</x:v>
      </x:c>
    </x:row>
    <x:row r="41" ht="25.5" customHeight="1">
      <x:c r="A41" s="5" t="str">
        <x:v>CU-0161-SIGNAL</x:v>
      </x:c>
      <x:c r="B41" s="5" t="str">
        <x:v>CU-0161</x:v>
      </x:c>
      <x:c r="C41" s="5" t="str">
        <x:v>Филиал «Учебный центр» РУП «Гомельэнерго»</x:v>
      </x:c>
      <x:c r="D41" s="5" t="str">
        <x:v>BY</x:v>
      </x:c>
      <x:c r="E41" s="5" t="str">
        <x:v>Новые программы</x:v>
      </x:c>
      <x:c r="F41" s="5" t="str">
        <x:v>"Белэнерго" ("кадровый резерв" OR "электронный курс" OR "развитие руководителей")</x:v>
      </x:c>
      <x:c r="G41" s="5" t="str">
        <x:v>Ранний сигнал и предметный пробел; не подтвержденный заказ.</x:v>
      </x:c>
      <x:c r="H41" s="5" t="str">
        <x:v>not_run</x:v>
      </x:c>
    </x:row>
    <x:row r="42" ht="25.5" customHeight="1">
      <x:c r="A42" s="5" t="str">
        <x:v>CU-0162-DISCOVER</x:v>
      </x:c>
      <x:c r="B42" s="5" t="str">
        <x:v>CU-0162</x:v>
      </x:c>
      <x:c r="C42" s="5" t="str">
        <x:v>Филиал «Учебный центр» РУП «Витебскэнерго»</x:v>
      </x:c>
      <x:c r="D42" s="5" t="str">
        <x:v>BY</x:v>
      </x:c>
      <x:c r="E42" s="5" t="str">
        <x:v>Новые каналы</x:v>
      </x:c>
      <x:c r="F42" s="5" t="str">
        <x:v>"Белэнерго" (университет OR академия OR "учебный центр" OR обучение)</x:v>
      </x:c>
      <x:c r="G42" s="5" t="str">
        <x:v>Имена, подразделения и дополнительные официальные адреса.</x:v>
      </x:c>
      <x:c r="H42" s="5" t="str">
        <x:v>not_run</x:v>
      </x:c>
    </x:row>
    <x:row r="43" ht="25.5" customHeight="1">
      <x:c r="A43" s="5" t="str">
        <x:v>CU-0162-BUY</x:v>
      </x:c>
      <x:c r="B43" s="5" t="str">
        <x:v>CU-0162</x:v>
      </x:c>
      <x:c r="C43" s="5" t="str">
        <x:v>Филиал «Учебный центр» РУП «Витебскэнерго»</x:v>
      </x:c>
      <x:c r="D43" s="5" t="str">
        <x:v>BY</x:v>
      </x:c>
      <x:c r="E43" s="5" t="str">
        <x:v>Закупки и отбор</x:v>
      </x:c>
      <x:c r="F43" s="5" t="str">
        <x:v>"Белэнерго" (обучение OR тренинг OR семинар) (закупки OR "запрос предложений" OR поставщик)</x:v>
      </x:c>
      <x:c r="G43" s="5" t="str">
        <x:v>Найти конкретную карточку и приложения; запрос не доказывает спрос.</x:v>
      </x:c>
      <x:c r="H43" s="5" t="str">
        <x:v>not_run</x:v>
      </x:c>
    </x:row>
    <x:row r="44" ht="25.5" customHeight="1">
      <x:c r="A44" s="5" t="str">
        <x:v>CU-0162-EXPERT</x:v>
      </x:c>
      <x:c r="B44" s="5" t="str">
        <x:v>CU-0162</x:v>
      </x:c>
      <x:c r="C44" s="5" t="str">
        <x:v>Филиал «Учебный центр» РУП «Витебскэнерго»</x:v>
      </x:c>
      <x:c r="D44" s="5" t="str">
        <x:v>BY</x:v>
      </x:c>
      <x:c r="E44" s="5" t="str">
        <x:v>Эксперты и партнеры</x:v>
      </x:c>
      <x:c r="F44" s="5" t="str">
        <x:v>"Белэнерго" (преподаватель OR эксперт OR провайдер OR партнерство)</x:v>
      </x:c>
      <x:c r="G44" s="5" t="str">
        <x:v>Уточнить кто платит и какой вход для внешнего исполнителя.</x:v>
      </x:c>
      <x:c r="H44" s="5" t="str">
        <x:v>not_run</x:v>
      </x:c>
    </x:row>
    <x:row r="45" ht="25.5" customHeight="1">
      <x:c r="A45" s="5" t="str">
        <x:v>CU-0162-SIGNAL</x:v>
      </x:c>
      <x:c r="B45" s="5" t="str">
        <x:v>CU-0162</x:v>
      </x:c>
      <x:c r="C45" s="5" t="str">
        <x:v>Филиал «Учебный центр» РУП «Витебскэнерго»</x:v>
      </x:c>
      <x:c r="D45" s="5" t="str">
        <x:v>BY</x:v>
      </x:c>
      <x:c r="E45" s="5" t="str">
        <x:v>Новые программы</x:v>
      </x:c>
      <x:c r="F45" s="5" t="str">
        <x:v>"Белэнерго" ("кадровый резерв" OR "электронный курс" OR "развитие руководителей")</x:v>
      </x:c>
      <x:c r="G45" s="5" t="str">
        <x:v>Ранний сигнал и предметный пробел; не подтвержденный заказ.</x:v>
      </x:c>
      <x:c r="H45" s="5" t="str">
        <x:v>not_run</x:v>
      </x:c>
    </x:row>
    <x:row r="46" ht="25.5" customHeight="1">
      <x:c r="A46" s="5" t="str">
        <x:v>CU-0164-DISCOVER</x:v>
      </x:c>
      <x:c r="B46" s="5" t="str">
        <x:v>CU-0164</x:v>
      </x:c>
      <x:c r="C46" s="5" t="str">
        <x:v>Учебный центр РУП «Минскэнерго»</x:v>
      </x:c>
      <x:c r="D46" s="5" t="str">
        <x:v>BY</x:v>
      </x:c>
      <x:c r="E46" s="5" t="str">
        <x:v>Новые каналы</x:v>
      </x:c>
      <x:c r="F46" s="5" t="str">
        <x:v>"Белэнерго" (университет OR академия OR "учебный центр" OR обучение)</x:v>
      </x:c>
      <x:c r="G46" s="5" t="str">
        <x:v>Имена, подразделения и дополнительные официальные адреса.</x:v>
      </x:c>
      <x:c r="H46" s="5" t="str">
        <x:v>not_run</x:v>
      </x:c>
    </x:row>
    <x:row r="47" ht="25.5" customHeight="1">
      <x:c r="A47" s="5" t="str">
        <x:v>CU-0164-BUY</x:v>
      </x:c>
      <x:c r="B47" s="5" t="str">
        <x:v>CU-0164</x:v>
      </x:c>
      <x:c r="C47" s="5" t="str">
        <x:v>Учебный центр РУП «Минскэнерго»</x:v>
      </x:c>
      <x:c r="D47" s="5" t="str">
        <x:v>BY</x:v>
      </x:c>
      <x:c r="E47" s="5" t="str">
        <x:v>Закупки и отбор</x:v>
      </x:c>
      <x:c r="F47" s="5" t="str">
        <x:v>"Белэнерго" (обучение OR тренинг OR семинар) (закупки OR "запрос предложений" OR поставщик)</x:v>
      </x:c>
      <x:c r="G47" s="5" t="str">
        <x:v>Найти конкретную карточку и приложения; запрос не доказывает спрос.</x:v>
      </x:c>
      <x:c r="H47" s="5" t="str">
        <x:v>not_run</x:v>
      </x:c>
    </x:row>
    <x:row r="48" ht="25.5" customHeight="1">
      <x:c r="A48" s="5" t="str">
        <x:v>CU-0164-EXPERT</x:v>
      </x:c>
      <x:c r="B48" s="5" t="str">
        <x:v>CU-0164</x:v>
      </x:c>
      <x:c r="C48" s="5" t="str">
        <x:v>Учебный центр РУП «Минскэнерго»</x:v>
      </x:c>
      <x:c r="D48" s="5" t="str">
        <x:v>BY</x:v>
      </x:c>
      <x:c r="E48" s="5" t="str">
        <x:v>Эксперты и партнеры</x:v>
      </x:c>
      <x:c r="F48" s="5" t="str">
        <x:v>"Белэнерго" (преподаватель OR эксперт OR провайдер OR партнерство)</x:v>
      </x:c>
      <x:c r="G48" s="5" t="str">
        <x:v>Уточнить кто платит и какой вход для внешнего исполнителя.</x:v>
      </x:c>
      <x:c r="H48" s="5" t="str">
        <x:v>not_run</x:v>
      </x:c>
    </x:row>
    <x:row r="49" ht="25.5" customHeight="1">
      <x:c r="A49" s="5" t="str">
        <x:v>CU-0164-SIGNAL</x:v>
      </x:c>
      <x:c r="B49" s="5" t="str">
        <x:v>CU-0164</x:v>
      </x:c>
      <x:c r="C49" s="5" t="str">
        <x:v>Учебный центр РУП «Минскэнерго»</x:v>
      </x:c>
      <x:c r="D49" s="5" t="str">
        <x:v>BY</x:v>
      </x:c>
      <x:c r="E49" s="5" t="str">
        <x:v>Новые программы</x:v>
      </x:c>
      <x:c r="F49" s="5" t="str">
        <x:v>"Белэнерго" ("кадровый резерв" OR "электронный курс" OR "развитие руководителей")</x:v>
      </x:c>
      <x:c r="G49" s="5" t="str">
        <x:v>Ранний сигнал и предметный пробел; не подтвержденный заказ.</x:v>
      </x:c>
      <x:c r="H49" s="5" t="str">
        <x:v>not_run</x:v>
      </x:c>
    </x:row>
    <x:row r="50" ht="31.5" customHeight="1">
      <x:c r="A50" s="5" t="str">
        <x:v>CU-0166-DISCOVER</x:v>
      </x:c>
      <x:c r="B50" s="5" t="str">
        <x:v>CU-0166</x:v>
      </x:c>
      <x:c r="C50" s="5" t="str">
        <x:v>Дорожный центр по подготовке, переподготовке и повышению квалификации кадров</x:v>
      </x:c>
      <x:c r="D50" s="5" t="str">
        <x:v>BY</x:v>
      </x:c>
      <x:c r="E50" s="5" t="str">
        <x:v>Новые каналы</x:v>
      </x:c>
      <x:c r="F50" s="5" t="str">
        <x:v>"Белорусская железная дорога" (университет OR академия OR "учебный центр" OR обучение)</x:v>
      </x:c>
      <x:c r="G50" s="5" t="str">
        <x:v>Имена, подразделения и дополнительные официальные адреса.</x:v>
      </x:c>
      <x:c r="H50" s="5" t="str">
        <x:v>not_run</x:v>
      </x:c>
    </x:row>
    <x:row r="51" ht="31.5" customHeight="1">
      <x:c r="A51" s="5" t="str">
        <x:v>CU-0166-BUY</x:v>
      </x:c>
      <x:c r="B51" s="5" t="str">
        <x:v>CU-0166</x:v>
      </x:c>
      <x:c r="C51" s="5" t="str">
        <x:v>Дорожный центр по подготовке, переподготовке и повышению квалификации кадров</x:v>
      </x:c>
      <x:c r="D51" s="5" t="str">
        <x:v>BY</x:v>
      </x:c>
      <x:c r="E51" s="5" t="str">
        <x:v>Закупки и отбор</x:v>
      </x:c>
      <x:c r="F51" s="5" t="str">
        <x:v>"Белорусская железная дорога" (обучение OR тренинг OR семинар) (закупки OR "запрос предложений" OR поставщик)</x:v>
      </x:c>
      <x:c r="G51" s="5" t="str">
        <x:v>Найти конкретную карточку и приложения; запрос не доказывает спрос.</x:v>
      </x:c>
      <x:c r="H51" s="5" t="str">
        <x:v>not_run</x:v>
      </x:c>
    </x:row>
    <x:row r="52" ht="31.5" customHeight="1">
      <x:c r="A52" s="5" t="str">
        <x:v>CU-0166-EXPERT</x:v>
      </x:c>
      <x:c r="B52" s="5" t="str">
        <x:v>CU-0166</x:v>
      </x:c>
      <x:c r="C52" s="5" t="str">
        <x:v>Дорожный центр по подготовке, переподготовке и повышению квалификации кадров</x:v>
      </x:c>
      <x:c r="D52" s="5" t="str">
        <x:v>BY</x:v>
      </x:c>
      <x:c r="E52" s="5" t="str">
        <x:v>Эксперты и партнеры</x:v>
      </x:c>
      <x:c r="F52" s="5" t="str">
        <x:v>"Белорусская железная дорога" (преподаватель OR эксперт OR провайдер OR партнерство)</x:v>
      </x:c>
      <x:c r="G52" s="5" t="str">
        <x:v>Уточнить кто платит и какой вход для внешнего исполнителя.</x:v>
      </x:c>
      <x:c r="H52" s="5" t="str">
        <x:v>not_run</x:v>
      </x:c>
    </x:row>
    <x:row r="53" ht="31.5" customHeight="1">
      <x:c r="A53" s="5" t="str">
        <x:v>CU-0166-SIGNAL</x:v>
      </x:c>
      <x:c r="B53" s="5" t="str">
        <x:v>CU-0166</x:v>
      </x:c>
      <x:c r="C53" s="5" t="str">
        <x:v>Дорожный центр по подготовке, переподготовке и повышению квалификации кадров</x:v>
      </x:c>
      <x:c r="D53" s="5" t="str">
        <x:v>BY</x:v>
      </x:c>
      <x:c r="E53" s="5" t="str">
        <x:v>Новые программы</x:v>
      </x:c>
      <x:c r="F53" s="5" t="str">
        <x:v>"Белорусская железная дорога" ("кадровый резерв" OR "электронный курс" OR "развитие руководителей")</x:v>
      </x:c>
      <x:c r="G53" s="5" t="str">
        <x:v>Ранний сигнал и предметный пробел; не подтвержденный заказ.</x:v>
      </x:c>
      <x:c r="H53" s="5" t="str">
        <x:v>not_run</x:v>
      </x:c>
    </x:row>
    <x:row r="54" ht="25.5" customHeight="1">
      <x:c r="A54" s="5" t="str">
        <x:v>CU-0169-DISCOVER</x:v>
      </x:c>
      <x:c r="B54" s="5" t="str">
        <x:v>CU-0169</x:v>
      </x:c>
      <x:c r="C54" s="5" t="str">
        <x:v>Корпоративный Тренинг-центр ISsoft</x:v>
      </x:c>
      <x:c r="D54" s="5" t="str">
        <x:v>BY</x:v>
      </x:c>
      <x:c r="E54" s="5" t="str">
        <x:v>Новые каналы</x:v>
      </x:c>
      <x:c r="F54" s="5" t="str">
        <x:v>"ISsoft" (университет OR академия OR "учебный центр" OR обучение)</x:v>
      </x:c>
      <x:c r="G54" s="5" t="str">
        <x:v>Имена, подразделения и дополнительные официальные адреса.</x:v>
      </x:c>
      <x:c r="H54" s="5" t="str">
        <x:v>not_run</x:v>
      </x:c>
    </x:row>
    <x:row r="55" ht="25.5" customHeight="1">
      <x:c r="A55" s="5" t="str">
        <x:v>CU-0169-BUY</x:v>
      </x:c>
      <x:c r="B55" s="5" t="str">
        <x:v>CU-0169</x:v>
      </x:c>
      <x:c r="C55" s="5" t="str">
        <x:v>Корпоративный Тренинг-центр ISsoft</x:v>
      </x:c>
      <x:c r="D55" s="5" t="str">
        <x:v>BY</x:v>
      </x:c>
      <x:c r="E55" s="5" t="str">
        <x:v>Закупки и отбор</x:v>
      </x:c>
      <x:c r="F55" s="5" t="str">
        <x:v>"ISsoft" (обучение OR тренинг OR семинар) (закупки OR "запрос предложений" OR поставщик)</x:v>
      </x:c>
      <x:c r="G55" s="5" t="str">
        <x:v>Найти конкретную карточку и приложения; запрос не доказывает спрос.</x:v>
      </x:c>
      <x:c r="H55" s="5" t="str">
        <x:v>not_run</x:v>
      </x:c>
    </x:row>
    <x:row r="56" ht="25.5" customHeight="1">
      <x:c r="A56" s="5" t="str">
        <x:v>CU-0169-EXPERT</x:v>
      </x:c>
      <x:c r="B56" s="5" t="str">
        <x:v>CU-0169</x:v>
      </x:c>
      <x:c r="C56" s="5" t="str">
        <x:v>Корпоративный Тренинг-центр ISsoft</x:v>
      </x:c>
      <x:c r="D56" s="5" t="str">
        <x:v>BY</x:v>
      </x:c>
      <x:c r="E56" s="5" t="str">
        <x:v>Эксперты и партнеры</x:v>
      </x:c>
      <x:c r="F56" s="5" t="str">
        <x:v>"ISsoft" (преподаватель OR эксперт OR провайдер OR партнерство)</x:v>
      </x:c>
      <x:c r="G56" s="5" t="str">
        <x:v>Уточнить кто платит и какой вход для внешнего исполнителя.</x:v>
      </x:c>
      <x:c r="H56" s="5" t="str">
        <x:v>not_run</x:v>
      </x:c>
    </x:row>
    <x:row r="57" ht="25.5" customHeight="1">
      <x:c r="A57" s="5" t="str">
        <x:v>CU-0169-SIGNAL</x:v>
      </x:c>
      <x:c r="B57" s="5" t="str">
        <x:v>CU-0169</x:v>
      </x:c>
      <x:c r="C57" s="5" t="str">
        <x:v>Корпоративный Тренинг-центр ISsoft</x:v>
      </x:c>
      <x:c r="D57" s="5" t="str">
        <x:v>BY</x:v>
      </x:c>
      <x:c r="E57" s="5" t="str">
        <x:v>Новые программы</x:v>
      </x:c>
      <x:c r="F57" s="5" t="str">
        <x:v>"ISsoft" ("кадровый резерв" OR "электронный курс" OR "развитие руководителей")</x:v>
      </x:c>
      <x:c r="G57" s="5" t="str">
        <x:v>Ранний сигнал и предметный пробел; не подтвержденный заказ.</x:v>
      </x:c>
      <x:c r="H57" s="5" t="str">
        <x:v>not_run</x:v>
      </x:c>
    </x:row>
    <x:row r="58" ht="25.5" customHeight="1">
      <x:c r="A58" s="5" t="str">
        <x:v>CU-0170-DISCOVER</x:v>
      </x:c>
      <x:c r="B58" s="5" t="str">
        <x:v>CU-0170</x:v>
      </x:c>
      <x:c r="C58" s="5" t="str">
        <x:v>Корпоративный университет «АЛЮТЕХ»</x:v>
      </x:c>
      <x:c r="D58" s="5" t="str">
        <x:v>BY</x:v>
      </x:c>
      <x:c r="E58" s="5" t="str">
        <x:v>Новые каналы</x:v>
      </x:c>
      <x:c r="F58" s="5" t="str">
        <x:v>"АЛЮТЕХ" (университет OR академия OR "учебный центр" OR обучение)</x:v>
      </x:c>
      <x:c r="G58" s="5" t="str">
        <x:v>Имена, подразделения и дополнительные официальные адреса.</x:v>
      </x:c>
      <x:c r="H58" s="5" t="str">
        <x:v>not_run</x:v>
      </x:c>
    </x:row>
    <x:row r="59" ht="25.5" customHeight="1">
      <x:c r="A59" s="5" t="str">
        <x:v>CU-0170-BUY</x:v>
      </x:c>
      <x:c r="B59" s="5" t="str">
        <x:v>CU-0170</x:v>
      </x:c>
      <x:c r="C59" s="5" t="str">
        <x:v>Корпоративный университет «АЛЮТЕХ»</x:v>
      </x:c>
      <x:c r="D59" s="5" t="str">
        <x:v>BY</x:v>
      </x:c>
      <x:c r="E59" s="5" t="str">
        <x:v>Закупки и отбор</x:v>
      </x:c>
      <x:c r="F59" s="5" t="str">
        <x:v>"АЛЮТЕХ" (обучение OR тренинг OR семинар) (закупки OR "запрос предложений" OR поставщик)</x:v>
      </x:c>
      <x:c r="G59" s="5" t="str">
        <x:v>Найти конкретную карточку и приложения; запрос не доказывает спрос.</x:v>
      </x:c>
      <x:c r="H59" s="5" t="str">
        <x:v>not_run</x:v>
      </x:c>
    </x:row>
    <x:row r="60" ht="25.5" customHeight="1">
      <x:c r="A60" s="5" t="str">
        <x:v>CU-0170-EXPERT</x:v>
      </x:c>
      <x:c r="B60" s="5" t="str">
        <x:v>CU-0170</x:v>
      </x:c>
      <x:c r="C60" s="5" t="str">
        <x:v>Корпоративный университет «АЛЮТЕХ»</x:v>
      </x:c>
      <x:c r="D60" s="5" t="str">
        <x:v>BY</x:v>
      </x:c>
      <x:c r="E60" s="5" t="str">
        <x:v>Эксперты и партнеры</x:v>
      </x:c>
      <x:c r="F60" s="5" t="str">
        <x:v>"АЛЮТЕХ" (преподаватель OR эксперт OR провайдер OR партнерство)</x:v>
      </x:c>
      <x:c r="G60" s="5" t="str">
        <x:v>Уточнить кто платит и какой вход для внешнего исполнителя.</x:v>
      </x:c>
      <x:c r="H60" s="5" t="str">
        <x:v>not_run</x:v>
      </x:c>
    </x:row>
    <x:row r="61" ht="25.5" customHeight="1">
      <x:c r="A61" s="5" t="str">
        <x:v>CU-0170-SIGNAL</x:v>
      </x:c>
      <x:c r="B61" s="5" t="str">
        <x:v>CU-0170</x:v>
      </x:c>
      <x:c r="C61" s="5" t="str">
        <x:v>Корпоративный университет «АЛЮТЕХ»</x:v>
      </x:c>
      <x:c r="D61" s="5" t="str">
        <x:v>BY</x:v>
      </x:c>
      <x:c r="E61" s="5" t="str">
        <x:v>Новые программы</x:v>
      </x:c>
      <x:c r="F61" s="5" t="str">
        <x:v>"АЛЮТЕХ" ("кадровый резерв" OR "электронный курс" OR "развитие руководителей")</x:v>
      </x:c>
      <x:c r="G61" s="5" t="str">
        <x:v>Ранний сигнал и предметный пробел; не подтвержденный заказ.</x:v>
      </x:c>
      <x:c r="H61" s="5" t="str">
        <x:v>not_run</x:v>
      </x:c>
    </x:row>
    <x:row r="62" ht="31.5" customHeight="1">
      <x:c r="A62" s="5" t="str">
        <x:v>CU-0174-DISCOVER</x:v>
      </x:c>
      <x:c r="B62" s="5" t="str">
        <x:v>CU-0174</x:v>
      </x:c>
      <x:c r="C62" s="5" t="str">
        <x:v>Учебный центр по подготовке и повышению квалификации кадров БМЗ</x:v>
      </x:c>
      <x:c r="D62" s="5" t="str">
        <x:v>BY</x:v>
      </x:c>
      <x:c r="E62" s="5" t="str">
        <x:v>Новые каналы</x:v>
      </x:c>
      <x:c r="F62" s="5" t="str">
        <x:v>"Белорусская металлургическая компания" (университет OR академия OR "учебный центр" OR обучение)</x:v>
      </x:c>
      <x:c r="G62" s="5" t="str">
        <x:v>Имена, подразделения и дополнительные официальные адреса.</x:v>
      </x:c>
      <x:c r="H62" s="5" t="str">
        <x:v>not_run</x:v>
      </x:c>
    </x:row>
    <x:row r="63" ht="31.5" customHeight="1">
      <x:c r="A63" s="5" t="str">
        <x:v>CU-0174-BUY</x:v>
      </x:c>
      <x:c r="B63" s="5" t="str">
        <x:v>CU-0174</x:v>
      </x:c>
      <x:c r="C63" s="5" t="str">
        <x:v>Учебный центр по подготовке и повышению квалификации кадров БМЗ</x:v>
      </x:c>
      <x:c r="D63" s="5" t="str">
        <x:v>BY</x:v>
      </x:c>
      <x:c r="E63" s="5" t="str">
        <x:v>Закупки и отбор</x:v>
      </x:c>
      <x:c r="F63" s="5" t="str">
        <x:v>"Белорусская металлургическая компания" (обучение OR тренинг OR семинар) (закупки OR "запрос предложений" OR поставщик)</x:v>
      </x:c>
      <x:c r="G63" s="5" t="str">
        <x:v>Найти конкретную карточку и приложения; запрос не доказывает спрос.</x:v>
      </x:c>
      <x:c r="H63" s="5" t="str">
        <x:v>not_run</x:v>
      </x:c>
    </x:row>
    <x:row r="64" ht="31.5" customHeight="1">
      <x:c r="A64" s="5" t="str">
        <x:v>CU-0174-EXPERT</x:v>
      </x:c>
      <x:c r="B64" s="5" t="str">
        <x:v>CU-0174</x:v>
      </x:c>
      <x:c r="C64" s="5" t="str">
        <x:v>Учебный центр по подготовке и повышению квалификации кадров БМЗ</x:v>
      </x:c>
      <x:c r="D64" s="5" t="str">
        <x:v>BY</x:v>
      </x:c>
      <x:c r="E64" s="5" t="str">
        <x:v>Эксперты и партнеры</x:v>
      </x:c>
      <x:c r="F64" s="5" t="str">
        <x:v>"Белорусская металлургическая компания" (преподаватель OR эксперт OR провайдер OR партнерство)</x:v>
      </x:c>
      <x:c r="G64" s="5" t="str">
        <x:v>Уточнить кто платит и какой вход для внешнего исполнителя.</x:v>
      </x:c>
      <x:c r="H64" s="5" t="str">
        <x:v>not_run</x:v>
      </x:c>
    </x:row>
    <x:row r="65" ht="31.5" customHeight="1">
      <x:c r="A65" s="5" t="str">
        <x:v>CU-0174-SIGNAL</x:v>
      </x:c>
      <x:c r="B65" s="5" t="str">
        <x:v>CU-0174</x:v>
      </x:c>
      <x:c r="C65" s="5" t="str">
        <x:v>Учебный центр по подготовке и повышению квалификации кадров БМЗ</x:v>
      </x:c>
      <x:c r="D65" s="5" t="str">
        <x:v>BY</x:v>
      </x:c>
      <x:c r="E65" s="5" t="str">
        <x:v>Новые программы</x:v>
      </x:c>
      <x:c r="F65" s="5" t="str">
        <x:v>"Белорусская металлургическая компания" ("кадровый резерв" OR "электронный курс" OR "развитие руководителей")</x:v>
      </x:c>
      <x:c r="G65" s="5" t="str">
        <x:v>Ранний сигнал и предметный пробел; не подтвержденный заказ.</x:v>
      </x:c>
      <x:c r="H65" s="5" t="str">
        <x:v>not_run</x:v>
      </x:c>
    </x:row>
    <x:row r="66" ht="25.5" customHeight="1">
      <x:c r="A66" s="5" t="str">
        <x:v>CU-0177-DISCOVER</x:v>
      </x:c>
      <x:c r="B66" s="5" t="str">
        <x:v>CU-0177</x:v>
      </x:c>
      <x:c r="C66" s="5" t="str">
        <x:v>Учреждение образования «УЦ БелТЮФ»</x:v>
      </x:c>
      <x:c r="D66" s="5" t="str">
        <x:v>BY</x:v>
      </x:c>
      <x:c r="E66" s="5" t="str">
        <x:v>Новые каналы</x:v>
      </x:c>
      <x:c r="F66" s="5" t="str">
        <x:v>"БелТЮФ" (университет OR академия OR "учебный центр" OR обучение)</x:v>
      </x:c>
      <x:c r="G66" s="5" t="str">
        <x:v>Имена, подразделения и дополнительные официальные адреса.</x:v>
      </x:c>
      <x:c r="H66" s="5" t="str">
        <x:v>not_run</x:v>
      </x:c>
    </x:row>
    <x:row r="67" ht="25.5" customHeight="1">
      <x:c r="A67" s="5" t="str">
        <x:v>CU-0177-BUY</x:v>
      </x:c>
      <x:c r="B67" s="5" t="str">
        <x:v>CU-0177</x:v>
      </x:c>
      <x:c r="C67" s="5" t="str">
        <x:v>Учреждение образования «УЦ БелТЮФ»</x:v>
      </x:c>
      <x:c r="D67" s="5" t="str">
        <x:v>BY</x:v>
      </x:c>
      <x:c r="E67" s="5" t="str">
        <x:v>Закупки и отбор</x:v>
      </x:c>
      <x:c r="F67" s="5" t="str">
        <x:v>"БелТЮФ" (обучение OR тренинг OR семинар) (закупки OR "запрос предложений" OR поставщик)</x:v>
      </x:c>
      <x:c r="G67" s="5" t="str">
        <x:v>Найти конкретную карточку и приложения; запрос не доказывает спрос.</x:v>
      </x:c>
      <x:c r="H67" s="5" t="str">
        <x:v>not_run</x:v>
      </x:c>
    </x:row>
    <x:row r="68" ht="25.5" customHeight="1">
      <x:c r="A68" s="5" t="str">
        <x:v>CU-0177-EXPERT</x:v>
      </x:c>
      <x:c r="B68" s="5" t="str">
        <x:v>CU-0177</x:v>
      </x:c>
      <x:c r="C68" s="5" t="str">
        <x:v>Учреждение образования «УЦ БелТЮФ»</x:v>
      </x:c>
      <x:c r="D68" s="5" t="str">
        <x:v>BY</x:v>
      </x:c>
      <x:c r="E68" s="5" t="str">
        <x:v>Эксперты и партнеры</x:v>
      </x:c>
      <x:c r="F68" s="5" t="str">
        <x:v>"БелТЮФ" (преподаватель OR эксперт OR провайдер OR партнерство)</x:v>
      </x:c>
      <x:c r="G68" s="5" t="str">
        <x:v>Уточнить кто платит и какой вход для внешнего исполнителя.</x:v>
      </x:c>
      <x:c r="H68" s="5" t="str">
        <x:v>not_run</x:v>
      </x:c>
    </x:row>
    <x:row r="69" ht="25.5" customHeight="1">
      <x:c r="A69" s="5" t="str">
        <x:v>CU-0177-SIGNAL</x:v>
      </x:c>
      <x:c r="B69" s="5" t="str">
        <x:v>CU-0177</x:v>
      </x:c>
      <x:c r="C69" s="5" t="str">
        <x:v>Учреждение образования «УЦ БелТЮФ»</x:v>
      </x:c>
      <x:c r="D69" s="5" t="str">
        <x:v>BY</x:v>
      </x:c>
      <x:c r="E69" s="5" t="str">
        <x:v>Новые программы</x:v>
      </x:c>
      <x:c r="F69" s="5" t="str">
        <x:v>"БелТЮФ" ("кадровый резерв" OR "электронный курс" OR "развитие руководителей")</x:v>
      </x:c>
      <x:c r="G69" s="5" t="str">
        <x:v>Ранний сигнал и предметный пробел; не подтвержденный заказ.</x:v>
      </x:c>
      <x:c r="H69" s="5" t="str">
        <x:v>not_run</x:v>
      </x:c>
    </x:row>
    <x:row r="70" ht="31.5" customHeight="1">
      <x:c r="A70" s="5" t="str">
        <x:v>CU-0178-DISCOVER</x:v>
      </x:c>
      <x:c r="B70" s="5" t="str">
        <x:v>CU-0178</x:v>
      </x:c>
      <x:c r="C70" s="5" t="str">
        <x:v>Учебный центр авиационной безопасности ИКАО Национального аэропорта Минск</x:v>
      </x:c>
      <x:c r="D70" s="5" t="str">
        <x:v>BY</x:v>
      </x:c>
      <x:c r="E70" s="5" t="str">
        <x:v>Новые каналы</x:v>
      </x:c>
      <x:c r="F70" s="5" t="str">
        <x:v>"Национальный аэропорт Минск" (университет OR академия OR "учебный центр" OR обучение)</x:v>
      </x:c>
      <x:c r="G70" s="5" t="str">
        <x:v>Имена, подразделения и дополнительные официальные адреса.</x:v>
      </x:c>
      <x:c r="H70" s="5" t="str">
        <x:v>not_run</x:v>
      </x:c>
    </x:row>
    <x:row r="71" ht="31.5" customHeight="1">
      <x:c r="A71" s="5" t="str">
        <x:v>CU-0178-BUY</x:v>
      </x:c>
      <x:c r="B71" s="5" t="str">
        <x:v>CU-0178</x:v>
      </x:c>
      <x:c r="C71" s="5" t="str">
        <x:v>Учебный центр авиационной безопасности ИКАО Национального аэропорта Минск</x:v>
      </x:c>
      <x:c r="D71" s="5" t="str">
        <x:v>BY</x:v>
      </x:c>
      <x:c r="E71" s="5" t="str">
        <x:v>Закупки и отбор</x:v>
      </x:c>
      <x:c r="F71" s="5" t="str">
        <x:v>"Национальный аэропорт Минск" (обучение OR тренинг OR семинар) (закупки OR "запрос предложений" OR поставщик)</x:v>
      </x:c>
      <x:c r="G71" s="5" t="str">
        <x:v>Найти конкретную карточку и приложения; запрос не доказывает спрос.</x:v>
      </x:c>
      <x:c r="H71" s="5" t="str">
        <x:v>not_run</x:v>
      </x:c>
    </x:row>
    <x:row r="72" ht="31.5" customHeight="1">
      <x:c r="A72" s="5" t="str">
        <x:v>CU-0178-EXPERT</x:v>
      </x:c>
      <x:c r="B72" s="5" t="str">
        <x:v>CU-0178</x:v>
      </x:c>
      <x:c r="C72" s="5" t="str">
        <x:v>Учебный центр авиационной безопасности ИКАО Национального аэропорта Минск</x:v>
      </x:c>
      <x:c r="D72" s="5" t="str">
        <x:v>BY</x:v>
      </x:c>
      <x:c r="E72" s="5" t="str">
        <x:v>Эксперты и партнеры</x:v>
      </x:c>
      <x:c r="F72" s="5" t="str">
        <x:v>"Национальный аэропорт Минск" (преподаватель OR эксперт OR провайдер OR партнерство)</x:v>
      </x:c>
      <x:c r="G72" s="5" t="str">
        <x:v>Уточнить кто платит и какой вход для внешнего исполнителя.</x:v>
      </x:c>
      <x:c r="H72" s="5" t="str">
        <x:v>not_run</x:v>
      </x:c>
    </x:row>
    <x:row r="73" ht="31.5" customHeight="1">
      <x:c r="A73" s="5" t="str">
        <x:v>CU-0178-SIGNAL</x:v>
      </x:c>
      <x:c r="B73" s="5" t="str">
        <x:v>CU-0178</x:v>
      </x:c>
      <x:c r="C73" s="5" t="str">
        <x:v>Учебный центр авиационной безопасности ИКАО Национального аэропорта Минск</x:v>
      </x:c>
      <x:c r="D73" s="5" t="str">
        <x:v>BY</x:v>
      </x:c>
      <x:c r="E73" s="5" t="str">
        <x:v>Новые программы</x:v>
      </x:c>
      <x:c r="F73" s="5" t="str">
        <x:v>"Национальный аэропорт Минск" ("кадровый резерв" OR "электронный курс" OR "развитие руководителей")</x:v>
      </x:c>
      <x:c r="G73" s="5" t="str">
        <x:v>Ранний сигнал и предметный пробел; не подтвержденный заказ.</x:v>
      </x:c>
      <x:c r="H73" s="5" t="str">
        <x:v>not_run</x:v>
      </x:c>
    </x:row>
    <x:row r="74" ht="25.5" customHeight="1">
      <x:c r="A74" s="5" t="str">
        <x:v>CU-0179-DISCOVER</x:v>
      </x:c>
      <x:c r="B74" s="5" t="str">
        <x:v>CU-0179</x:v>
      </x:c>
      <x:c r="C74" s="5" t="str">
        <x:v>Учебно-тренировочный центр Белорусской АЭС</x:v>
      </x:c>
      <x:c r="D74" s="5" t="str">
        <x:v>BY</x:v>
      </x:c>
      <x:c r="E74" s="5" t="str">
        <x:v>Новые каналы</x:v>
      </x:c>
      <x:c r="F74" s="5" t="str">
        <x:v>"Белорусская АЭС" (университет OR академия OR "учебный центр" OR обучение)</x:v>
      </x:c>
      <x:c r="G74" s="5" t="str">
        <x:v>Имена, подразделения и дополнительные официальные адреса.</x:v>
      </x:c>
      <x:c r="H74" s="5" t="str">
        <x:v>not_run</x:v>
      </x:c>
    </x:row>
    <x:row r="75" ht="25.5" customHeight="1">
      <x:c r="A75" s="5" t="str">
        <x:v>CU-0179-BUY</x:v>
      </x:c>
      <x:c r="B75" s="5" t="str">
        <x:v>CU-0179</x:v>
      </x:c>
      <x:c r="C75" s="5" t="str">
        <x:v>Учебно-тренировочный центр Белорусской АЭС</x:v>
      </x:c>
      <x:c r="D75" s="5" t="str">
        <x:v>BY</x:v>
      </x:c>
      <x:c r="E75" s="5" t="str">
        <x:v>Закупки и отбор</x:v>
      </x:c>
      <x:c r="F75" s="5" t="str">
        <x:v>"Белорусская АЭС" (обучение OR тренинг OR семинар) (закупки OR "запрос предложений" OR поставщик)</x:v>
      </x:c>
      <x:c r="G75" s="5" t="str">
        <x:v>Найти конкретную карточку и приложения; запрос не доказывает спрос.</x:v>
      </x:c>
      <x:c r="H75" s="5" t="str">
        <x:v>not_run</x:v>
      </x:c>
    </x:row>
    <x:row r="76" ht="25.5" customHeight="1">
      <x:c r="A76" s="5" t="str">
        <x:v>CU-0179-EXPERT</x:v>
      </x:c>
      <x:c r="B76" s="5" t="str">
        <x:v>CU-0179</x:v>
      </x:c>
      <x:c r="C76" s="5" t="str">
        <x:v>Учебно-тренировочный центр Белорусской АЭС</x:v>
      </x:c>
      <x:c r="D76" s="5" t="str">
        <x:v>BY</x:v>
      </x:c>
      <x:c r="E76" s="5" t="str">
        <x:v>Эксперты и партнеры</x:v>
      </x:c>
      <x:c r="F76" s="5" t="str">
        <x:v>"Белорусская АЭС" (преподаватель OR эксперт OR провайдер OR партнерство)</x:v>
      </x:c>
      <x:c r="G76" s="5" t="str">
        <x:v>Уточнить кто платит и какой вход для внешнего исполнителя.</x:v>
      </x:c>
      <x:c r="H76" s="5" t="str">
        <x:v>not_run</x:v>
      </x:c>
    </x:row>
    <x:row r="77" ht="25.5" customHeight="1">
      <x:c r="A77" s="5" t="str">
        <x:v>CU-0179-SIGNAL</x:v>
      </x:c>
      <x:c r="B77" s="5" t="str">
        <x:v>CU-0179</x:v>
      </x:c>
      <x:c r="C77" s="5" t="str">
        <x:v>Учебно-тренировочный центр Белорусской АЭС</x:v>
      </x:c>
      <x:c r="D77" s="5" t="str">
        <x:v>BY</x:v>
      </x:c>
      <x:c r="E77" s="5" t="str">
        <x:v>Новые программы</x:v>
      </x:c>
      <x:c r="F77" s="5" t="str">
        <x:v>"Белорусская АЭС" ("кадровый резерв" OR "электронный курс" OR "развитие руководителей")</x:v>
      </x:c>
      <x:c r="G77" s="5" t="str">
        <x:v>Ранний сигнал и предметный пробел; не подтвержденный заказ.</x:v>
      </x:c>
      <x:c r="H77" s="5" t="str">
        <x:v>not_run</x:v>
      </x:c>
    </x:row>
    <x:row r="78" ht="25.5" customHeight="1">
      <x:c r="A78" s="5" t="str">
        <x:v>CU-0173-DISCOVER</x:v>
      </x:c>
      <x:c r="B78" s="5" t="str">
        <x:v>CU-0173</x:v>
      </x:c>
      <x:c r="C78" s="5" t="str">
        <x:v>Учебный центр ОАО «БЕЛАЗ»</x:v>
      </x:c>
      <x:c r="D78" s="5" t="str">
        <x:v>BY</x:v>
      </x:c>
      <x:c r="E78" s="5" t="str">
        <x:v>Новые каналы</x:v>
      </x:c>
      <x:c r="F78" s="5" t="str">
        <x:v>"БЕЛАЗ-ХОЛДИНГ" (университет OR академия OR "учебный центр" OR обучение)</x:v>
      </x:c>
      <x:c r="G78" s="5" t="str">
        <x:v>Имена, подразделения и дополнительные официальные адреса.</x:v>
      </x:c>
      <x:c r="H78" s="5" t="str">
        <x:v>not_run</x:v>
      </x:c>
    </x:row>
    <x:row r="79" ht="25.5" customHeight="1">
      <x:c r="A79" s="5" t="str">
        <x:v>CU-0173-BUY</x:v>
      </x:c>
      <x:c r="B79" s="5" t="str">
        <x:v>CU-0173</x:v>
      </x:c>
      <x:c r="C79" s="5" t="str">
        <x:v>Учебный центр ОАО «БЕЛАЗ»</x:v>
      </x:c>
      <x:c r="D79" s="5" t="str">
        <x:v>BY</x:v>
      </x:c>
      <x:c r="E79" s="5" t="str">
        <x:v>Закупки и отбор</x:v>
      </x:c>
      <x:c r="F79" s="5" t="str">
        <x:v>"БЕЛАЗ-ХОЛДИНГ" (обучение OR тренинг OR семинар) (закупки OR "запрос предложений" OR поставщик)</x:v>
      </x:c>
      <x:c r="G79" s="5" t="str">
        <x:v>Найти конкретную карточку и приложения; запрос не доказывает спрос.</x:v>
      </x:c>
      <x:c r="H79" s="5" t="str">
        <x:v>not_run</x:v>
      </x:c>
    </x:row>
    <x:row r="80" ht="25.5" customHeight="1">
      <x:c r="A80" s="5" t="str">
        <x:v>CU-0173-EXPERT</x:v>
      </x:c>
      <x:c r="B80" s="5" t="str">
        <x:v>CU-0173</x:v>
      </x:c>
      <x:c r="C80" s="5" t="str">
        <x:v>Учебный центр ОАО «БЕЛАЗ»</x:v>
      </x:c>
      <x:c r="D80" s="5" t="str">
        <x:v>BY</x:v>
      </x:c>
      <x:c r="E80" s="5" t="str">
        <x:v>Эксперты и партнеры</x:v>
      </x:c>
      <x:c r="F80" s="5" t="str">
        <x:v>"БЕЛАЗ-ХОЛДИНГ" (преподаватель OR эксперт OR провайдер OR партнерство)</x:v>
      </x:c>
      <x:c r="G80" s="5" t="str">
        <x:v>Уточнить кто платит и какой вход для внешнего исполнителя.</x:v>
      </x:c>
      <x:c r="H80" s="5" t="str">
        <x:v>not_run</x:v>
      </x:c>
    </x:row>
    <x:row r="81" ht="25.5" customHeight="1">
      <x:c r="A81" s="5" t="str">
        <x:v>CU-0173-SIGNAL</x:v>
      </x:c>
      <x:c r="B81" s="5" t="str">
        <x:v>CU-0173</x:v>
      </x:c>
      <x:c r="C81" s="5" t="str">
        <x:v>Учебный центр ОАО «БЕЛАЗ»</x:v>
      </x:c>
      <x:c r="D81" s="5" t="str">
        <x:v>BY</x:v>
      </x:c>
      <x:c r="E81" s="5" t="str">
        <x:v>Новые программы</x:v>
      </x:c>
      <x:c r="F81" s="5" t="str">
        <x:v>"БЕЛАЗ-ХОЛДИНГ" ("кадровый резерв" OR "электронный курс" OR "развитие руководителей")</x:v>
      </x:c>
      <x:c r="G81" s="5" t="str">
        <x:v>Ранний сигнал и предметный пробел; не подтвержденный заказ.</x:v>
      </x:c>
      <x:c r="H81" s="5" t="str">
        <x:v>not_run</x:v>
      </x:c>
    </x:row>
    <x:row r="82" ht="31.5" customHeight="1">
      <x:c r="A82" s="5" t="str">
        <x:v>CU-0176-DISCOVER</x:v>
      </x:c>
      <x:c r="B82" s="5" t="str">
        <x:v>CU-0176</x:v>
      </x:c>
      <x:c r="C82" s="5" t="str">
        <x:v>Учебный центр по техническому и сервисному обслуживанию МТЗ</x:v>
      </x:c>
      <x:c r="D82" s="5" t="str">
        <x:v>BY</x:v>
      </x:c>
      <x:c r="E82" s="5" t="str">
        <x:v>Новые каналы</x:v>
      </x:c>
      <x:c r="F82" s="5" t="str">
        <x:v>"МТЗ-ХОЛДИНГ" (университет OR академия OR "учебный центр" OR обучение)</x:v>
      </x:c>
      <x:c r="G82" s="5" t="str">
        <x:v>Имена, подразделения и дополнительные официальные адреса.</x:v>
      </x:c>
      <x:c r="H82" s="5" t="str">
        <x:v>not_run</x:v>
      </x:c>
    </x:row>
    <x:row r="83" ht="31.5" customHeight="1">
      <x:c r="A83" s="5" t="str">
        <x:v>CU-0176-BUY</x:v>
      </x:c>
      <x:c r="B83" s="5" t="str">
        <x:v>CU-0176</x:v>
      </x:c>
      <x:c r="C83" s="5" t="str">
        <x:v>Учебный центр по техническому и сервисному обслуживанию МТЗ</x:v>
      </x:c>
      <x:c r="D83" s="5" t="str">
        <x:v>BY</x:v>
      </x:c>
      <x:c r="E83" s="5" t="str">
        <x:v>Закупки и отбор</x:v>
      </x:c>
      <x:c r="F83" s="5" t="str">
        <x:v>"МТЗ-ХОЛДИНГ" (обучение OR тренинг OR семинар) (закупки OR "запрос предложений" OR поставщик)</x:v>
      </x:c>
      <x:c r="G83" s="5" t="str">
        <x:v>Найти конкретную карточку и приложения; запрос не доказывает спрос.</x:v>
      </x:c>
      <x:c r="H83" s="5" t="str">
        <x:v>not_run</x:v>
      </x:c>
    </x:row>
    <x:row r="84" ht="31.5" customHeight="1">
      <x:c r="A84" s="5" t="str">
        <x:v>CU-0176-EXPERT</x:v>
      </x:c>
      <x:c r="B84" s="5" t="str">
        <x:v>CU-0176</x:v>
      </x:c>
      <x:c r="C84" s="5" t="str">
        <x:v>Учебный центр по техническому и сервисному обслуживанию МТЗ</x:v>
      </x:c>
      <x:c r="D84" s="5" t="str">
        <x:v>BY</x:v>
      </x:c>
      <x:c r="E84" s="5" t="str">
        <x:v>Эксперты и партнеры</x:v>
      </x:c>
      <x:c r="F84" s="5" t="str">
        <x:v>"МТЗ-ХОЛДИНГ" (преподаватель OR эксперт OR провайдер OR партнерство)</x:v>
      </x:c>
      <x:c r="G84" s="5" t="str">
        <x:v>Уточнить кто платит и какой вход для внешнего исполнителя.</x:v>
      </x:c>
      <x:c r="H84" s="5" t="str">
        <x:v>not_run</x:v>
      </x:c>
    </x:row>
    <x:row r="85" ht="31.5" customHeight="1">
      <x:c r="A85" s="5" t="str">
        <x:v>CU-0176-SIGNAL</x:v>
      </x:c>
      <x:c r="B85" s="5" t="str">
        <x:v>CU-0176</x:v>
      </x:c>
      <x:c r="C85" s="5" t="str">
        <x:v>Учебный центр по техническому и сервисному обслуживанию МТЗ</x:v>
      </x:c>
      <x:c r="D85" s="5" t="str">
        <x:v>BY</x:v>
      </x:c>
      <x:c r="E85" s="5" t="str">
        <x:v>Новые программы</x:v>
      </x:c>
      <x:c r="F85" s="5" t="str">
        <x:v>"МТЗ-ХОЛДИНГ" ("кадровый резерв" OR "электронный курс" OR "развитие руководителей")</x:v>
      </x:c>
      <x:c r="G85" s="5" t="str">
        <x:v>Ранний сигнал и предметный пробел; не подтвержденный заказ.</x:v>
      </x:c>
      <x:c r="H85" s="5" t="str">
        <x:v>not_run</x:v>
      </x:c>
    </x:row>
    <x:row r="86" ht="25.5" customHeight="1">
      <x:c r="A86" s="5" t="str">
        <x:v>CU-0185-DISCOVER</x:v>
      </x:c>
      <x:c r="B86" s="5" t="str">
        <x:v>CU-0185</x:v>
      </x:c>
      <x:c r="C86" s="5" t="str">
        <x:v>Samruk Business Academy (бывший КУ «Самрук-Казына»)</x:v>
      </x:c>
      <x:c r="D86" s="5" t="str">
        <x:v>KZ</x:v>
      </x:c>
      <x:c r="E86" s="5" t="str">
        <x:v>Новые каналы</x:v>
      </x:c>
      <x:c r="F86" s="5" t="str">
        <x:v>"Самрук-Қазына" (университет OR академия OR "учебный центр" OR обучение)</x:v>
      </x:c>
      <x:c r="G86" s="5" t="str">
        <x:v>Имена, подразделения и дополнительные официальные адреса.</x:v>
      </x:c>
      <x:c r="H86" s="5" t="str">
        <x:v>not_run</x:v>
      </x:c>
    </x:row>
    <x:row r="87" ht="25.5" customHeight="1">
      <x:c r="A87" s="5" t="str">
        <x:v>CU-0185-BUY</x:v>
      </x:c>
      <x:c r="B87" s="5" t="str">
        <x:v>CU-0185</x:v>
      </x:c>
      <x:c r="C87" s="5" t="str">
        <x:v>Samruk Business Academy (бывший КУ «Самрук-Казына»)</x:v>
      </x:c>
      <x:c r="D87" s="5" t="str">
        <x:v>KZ</x:v>
      </x:c>
      <x:c r="E87" s="5" t="str">
        <x:v>Закупки и отбор</x:v>
      </x:c>
      <x:c r="F87" s="5" t="str">
        <x:v>"Самрук-Қазына" (обучение OR тренинг OR семинар) (закупки OR "запрос предложений" OR поставщик)</x:v>
      </x:c>
      <x:c r="G87" s="5" t="str">
        <x:v>Найти конкретную карточку и приложения; запрос не доказывает спрос.</x:v>
      </x:c>
      <x:c r="H87" s="5" t="str">
        <x:v>not_run</x:v>
      </x:c>
    </x:row>
    <x:row r="88" ht="25.5" customHeight="1">
      <x:c r="A88" s="5" t="str">
        <x:v>CU-0185-EXPERT</x:v>
      </x:c>
      <x:c r="B88" s="5" t="str">
        <x:v>CU-0185</x:v>
      </x:c>
      <x:c r="C88" s="5" t="str">
        <x:v>Samruk Business Academy (бывший КУ «Самрук-Казына»)</x:v>
      </x:c>
      <x:c r="D88" s="5" t="str">
        <x:v>KZ</x:v>
      </x:c>
      <x:c r="E88" s="5" t="str">
        <x:v>Эксперты и партнеры</x:v>
      </x:c>
      <x:c r="F88" s="5" t="str">
        <x:v>"Самрук-Қазына" (преподаватель OR эксперт OR провайдер OR партнерство)</x:v>
      </x:c>
      <x:c r="G88" s="5" t="str">
        <x:v>Уточнить кто платит и какой вход для внешнего исполнителя.</x:v>
      </x:c>
      <x:c r="H88" s="5" t="str">
        <x:v>not_run</x:v>
      </x:c>
    </x:row>
    <x:row r="89" ht="25.5" customHeight="1">
      <x:c r="A89" s="5" t="str">
        <x:v>CU-0185-SIGNAL</x:v>
      </x:c>
      <x:c r="B89" s="5" t="str">
        <x:v>CU-0185</x:v>
      </x:c>
      <x:c r="C89" s="5" t="str">
        <x:v>Samruk Business Academy (бывший КУ «Самрук-Казына»)</x:v>
      </x:c>
      <x:c r="D89" s="5" t="str">
        <x:v>KZ</x:v>
      </x:c>
      <x:c r="E89" s="5" t="str">
        <x:v>Новые программы</x:v>
      </x:c>
      <x:c r="F89" s="5" t="str">
        <x:v>"Самрук-Қазына" ("кадровый резерв" OR "электронный курс" OR "развитие руководителей")</x:v>
      </x:c>
      <x:c r="G89" s="5" t="str">
        <x:v>Ранний сигнал и предметный пробел; не подтвержденный заказ.</x:v>
      </x:c>
      <x:c r="H89" s="5" t="str">
        <x:v>not_run</x:v>
      </x:c>
    </x:row>
    <x:row r="90" ht="25.5" customHeight="1">
      <x:c r="A90" s="5" t="str">
        <x:v>CU-0186-DISCOVER</x:v>
      </x:c>
      <x:c r="B90" s="5" t="str">
        <x:v>CU-0186</x:v>
      </x:c>
      <x:c r="C90" s="5" t="str">
        <x:v>Корпоративный университет ERG</x:v>
      </x:c>
      <x:c r="D90" s="5" t="str">
        <x:v>KZ</x:v>
      </x:c>
      <x:c r="E90" s="5" t="str">
        <x:v>Новые каналы</x:v>
      </x:c>
      <x:c r="F90" s="5" t="str">
        <x:v>"ERG" (университет OR академия OR "учебный центр" OR обучение)</x:v>
      </x:c>
      <x:c r="G90" s="5" t="str">
        <x:v>Имена, подразделения и дополнительные официальные адреса.</x:v>
      </x:c>
      <x:c r="H90" s="5" t="str">
        <x:v>not_run</x:v>
      </x:c>
    </x:row>
    <x:row r="91" ht="25.5" customHeight="1">
      <x:c r="A91" s="5" t="str">
        <x:v>CU-0186-BUY</x:v>
      </x:c>
      <x:c r="B91" s="5" t="str">
        <x:v>CU-0186</x:v>
      </x:c>
      <x:c r="C91" s="5" t="str">
        <x:v>Корпоративный университет ERG</x:v>
      </x:c>
      <x:c r="D91" s="5" t="str">
        <x:v>KZ</x:v>
      </x:c>
      <x:c r="E91" s="5" t="str">
        <x:v>Закупки и отбор</x:v>
      </x:c>
      <x:c r="F91" s="5" t="str">
        <x:v>"ERG" (обучение OR тренинг OR семинар) (закупки OR "запрос предложений" OR поставщик)</x:v>
      </x:c>
      <x:c r="G91" s="5" t="str">
        <x:v>Найти конкретную карточку и приложения; запрос не доказывает спрос.</x:v>
      </x:c>
      <x:c r="H91" s="5" t="str">
        <x:v>not_run</x:v>
      </x:c>
    </x:row>
    <x:row r="92" ht="25.5" customHeight="1">
      <x:c r="A92" s="5" t="str">
        <x:v>CU-0186-EXPERT</x:v>
      </x:c>
      <x:c r="B92" s="5" t="str">
        <x:v>CU-0186</x:v>
      </x:c>
      <x:c r="C92" s="5" t="str">
        <x:v>Корпоративный университет ERG</x:v>
      </x:c>
      <x:c r="D92" s="5" t="str">
        <x:v>KZ</x:v>
      </x:c>
      <x:c r="E92" s="5" t="str">
        <x:v>Эксперты и партнеры</x:v>
      </x:c>
      <x:c r="F92" s="5" t="str">
        <x:v>"ERG" (преподаватель OR эксперт OR провайдер OR партнерство)</x:v>
      </x:c>
      <x:c r="G92" s="5" t="str">
        <x:v>Уточнить кто платит и какой вход для внешнего исполнителя.</x:v>
      </x:c>
      <x:c r="H92" s="5" t="str">
        <x:v>not_run</x:v>
      </x:c>
    </x:row>
    <x:row r="93" ht="25.5" customHeight="1">
      <x:c r="A93" s="5" t="str">
        <x:v>CU-0186-SIGNAL</x:v>
      </x:c>
      <x:c r="B93" s="5" t="str">
        <x:v>CU-0186</x:v>
      </x:c>
      <x:c r="C93" s="5" t="str">
        <x:v>Корпоративный университет ERG</x:v>
      </x:c>
      <x:c r="D93" s="5" t="str">
        <x:v>KZ</x:v>
      </x:c>
      <x:c r="E93" s="5" t="str">
        <x:v>Новые программы</x:v>
      </x:c>
      <x:c r="F93" s="5" t="str">
        <x:v>"ERG" ("кадровый резерв" OR "электронный курс" OR "развитие руководителей")</x:v>
      </x:c>
      <x:c r="G93" s="5" t="str">
        <x:v>Ранний сигнал и предметный пробел; не подтвержденный заказ.</x:v>
      </x:c>
      <x:c r="H93" s="5" t="str">
        <x:v>not_run</x:v>
      </x:c>
    </x:row>
    <x:row r="94" ht="25.5" customHeight="1">
      <x:c r="A94" s="5" t="str">
        <x:v>CU-0187-DISCOVER</x:v>
      </x:c>
      <x:c r="B94" s="5" t="str">
        <x:v>CU-0187</x:v>
      </x:c>
      <x:c r="C94" s="5" t="str">
        <x:v>BI University</x:v>
      </x:c>
      <x:c r="D94" s="5" t="str">
        <x:v>KZ</x:v>
      </x:c>
      <x:c r="E94" s="5" t="str">
        <x:v>Новые каналы</x:v>
      </x:c>
      <x:c r="F94" s="5" t="str">
        <x:v>"BI Group" (университет OR академия OR "учебный центр" OR обучение)</x:v>
      </x:c>
      <x:c r="G94" s="5" t="str">
        <x:v>Имена, подразделения и дополнительные официальные адреса.</x:v>
      </x:c>
      <x:c r="H94" s="5" t="str">
        <x:v>not_run</x:v>
      </x:c>
    </x:row>
    <x:row r="95" ht="25.5" customHeight="1">
      <x:c r="A95" s="5" t="str">
        <x:v>CU-0187-BUY</x:v>
      </x:c>
      <x:c r="B95" s="5" t="str">
        <x:v>CU-0187</x:v>
      </x:c>
      <x:c r="C95" s="5" t="str">
        <x:v>BI University</x:v>
      </x:c>
      <x:c r="D95" s="5" t="str">
        <x:v>KZ</x:v>
      </x:c>
      <x:c r="E95" s="5" t="str">
        <x:v>Закупки и отбор</x:v>
      </x:c>
      <x:c r="F95" s="5" t="str">
        <x:v>"BI Group" (обучение OR тренинг OR семинар) (закупки OR "запрос предложений" OR поставщик)</x:v>
      </x:c>
      <x:c r="G95" s="5" t="str">
        <x:v>Найти конкретную карточку и приложения; запрос не доказывает спрос.</x:v>
      </x:c>
      <x:c r="H95" s="5" t="str">
        <x:v>not_run</x:v>
      </x:c>
    </x:row>
    <x:row r="96" ht="25.5" customHeight="1">
      <x:c r="A96" s="5" t="str">
        <x:v>CU-0187-EXPERT</x:v>
      </x:c>
      <x:c r="B96" s="5" t="str">
        <x:v>CU-0187</x:v>
      </x:c>
      <x:c r="C96" s="5" t="str">
        <x:v>BI University</x:v>
      </x:c>
      <x:c r="D96" s="5" t="str">
        <x:v>KZ</x:v>
      </x:c>
      <x:c r="E96" s="5" t="str">
        <x:v>Эксперты и партнеры</x:v>
      </x:c>
      <x:c r="F96" s="5" t="str">
        <x:v>"BI Group" (преподаватель OR эксперт OR провайдер OR партнерство)</x:v>
      </x:c>
      <x:c r="G96" s="5" t="str">
        <x:v>Уточнить кто платит и какой вход для внешнего исполнителя.</x:v>
      </x:c>
      <x:c r="H96" s="5" t="str">
        <x:v>not_run</x:v>
      </x:c>
    </x:row>
    <x:row r="97" ht="25.5" customHeight="1">
      <x:c r="A97" s="5" t="str">
        <x:v>CU-0187-SIGNAL</x:v>
      </x:c>
      <x:c r="B97" s="5" t="str">
        <x:v>CU-0187</x:v>
      </x:c>
      <x:c r="C97" s="5" t="str">
        <x:v>BI University</x:v>
      </x:c>
      <x:c r="D97" s="5" t="str">
        <x:v>KZ</x:v>
      </x:c>
      <x:c r="E97" s="5" t="str">
        <x:v>Новые программы</x:v>
      </x:c>
      <x:c r="F97" s="5" t="str">
        <x:v>"BI Group" ("кадровый резерв" OR "электронный курс" OR "развитие руководителей")</x:v>
      </x:c>
      <x:c r="G97" s="5" t="str">
        <x:v>Ранний сигнал и предметный пробел; не подтвержденный заказ.</x:v>
      </x:c>
      <x:c r="H97" s="5" t="str">
        <x:v>not_run</x:v>
      </x:c>
    </x:row>
    <x:row r="98" ht="25.5" customHeight="1">
      <x:c r="A98" s="5" t="str">
        <x:v>CU-0188-DISCOVER</x:v>
      </x:c>
      <x:c r="B98" s="5" t="str">
        <x:v>CU-0188</x:v>
      </x:c>
      <x:c r="C98" s="5" t="str">
        <x:v>Корпоративный университет Qarmet</x:v>
      </x:c>
      <x:c r="D98" s="5" t="str">
        <x:v>KZ</x:v>
      </x:c>
      <x:c r="E98" s="5" t="str">
        <x:v>Новые каналы</x:v>
      </x:c>
      <x:c r="F98" s="5" t="str">
        <x:v>"Qarmet" (университет OR академия OR "учебный центр" OR обучение)</x:v>
      </x:c>
      <x:c r="G98" s="5" t="str">
        <x:v>Имена, подразделения и дополнительные официальные адреса.</x:v>
      </x:c>
      <x:c r="H98" s="5" t="str">
        <x:v>not_run</x:v>
      </x:c>
    </x:row>
    <x:row r="99" ht="25.5" customHeight="1">
      <x:c r="A99" s="5" t="str">
        <x:v>CU-0188-BUY</x:v>
      </x:c>
      <x:c r="B99" s="5" t="str">
        <x:v>CU-0188</x:v>
      </x:c>
      <x:c r="C99" s="5" t="str">
        <x:v>Корпоративный университет Qarmet</x:v>
      </x:c>
      <x:c r="D99" s="5" t="str">
        <x:v>KZ</x:v>
      </x:c>
      <x:c r="E99" s="5" t="str">
        <x:v>Закупки и отбор</x:v>
      </x:c>
      <x:c r="F99" s="5" t="str">
        <x:v>"Qarmet" (обучение OR тренинг OR семинар) (закупки OR "запрос предложений" OR поставщик)</x:v>
      </x:c>
      <x:c r="G99" s="5" t="str">
        <x:v>Найти конкретную карточку и приложения; запрос не доказывает спрос.</x:v>
      </x:c>
      <x:c r="H99" s="5" t="str">
        <x:v>not_run</x:v>
      </x:c>
    </x:row>
    <x:row r="100" ht="25.5" customHeight="1">
      <x:c r="A100" s="5" t="str">
        <x:v>CU-0188-EXPERT</x:v>
      </x:c>
      <x:c r="B100" s="5" t="str">
        <x:v>CU-0188</x:v>
      </x:c>
      <x:c r="C100" s="5" t="str">
        <x:v>Корпоративный университет Qarmet</x:v>
      </x:c>
      <x:c r="D100" s="5" t="str">
        <x:v>KZ</x:v>
      </x:c>
      <x:c r="E100" s="5" t="str">
        <x:v>Эксперты и партнеры</x:v>
      </x:c>
      <x:c r="F100" s="5" t="str">
        <x:v>"Qarmet" (преподаватель OR эксперт OR провайдер OR партнерство)</x:v>
      </x:c>
      <x:c r="G100" s="5" t="str">
        <x:v>Уточнить кто платит и какой вход для внешнего исполнителя.</x:v>
      </x:c>
      <x:c r="H100" s="5" t="str">
        <x:v>not_run</x:v>
      </x:c>
    </x:row>
    <x:row r="101" ht="25.5" customHeight="1">
      <x:c r="A101" s="5" t="str">
        <x:v>CU-0188-SIGNAL</x:v>
      </x:c>
      <x:c r="B101" s="5" t="str">
        <x:v>CU-0188</x:v>
      </x:c>
      <x:c r="C101" s="5" t="str">
        <x:v>Корпоративный университет Qarmet</x:v>
      </x:c>
      <x:c r="D101" s="5" t="str">
        <x:v>KZ</x:v>
      </x:c>
      <x:c r="E101" s="5" t="str">
        <x:v>Новые программы</x:v>
      </x:c>
      <x:c r="F101" s="5" t="str">
        <x:v>"Qarmet" ("кадровый резерв" OR "электронный курс" OR "развитие руководителей")</x:v>
      </x:c>
      <x:c r="G101" s="5" t="str">
        <x:v>Ранний сигнал и предметный пробел; не подтвержденный заказ.</x:v>
      </x:c>
      <x:c r="H101" s="5" t="str">
        <x:v>not_run</x:v>
      </x:c>
    </x:row>
    <x:row r="102" ht="25.5" customHeight="1">
      <x:c r="A102" s="5" t="str">
        <x:v>CU-0189-DISCOVER</x:v>
      </x:c>
      <x:c r="B102" s="5" t="str">
        <x:v>CU-0189</x:v>
      </x:c>
      <x:c r="C102" s="5" t="str">
        <x:v>Корпоративный университет QazTehna</x:v>
      </x:c>
      <x:c r="D102" s="5" t="str">
        <x:v>KZ</x:v>
      </x:c>
      <x:c r="E102" s="5" t="str">
        <x:v>Новые каналы</x:v>
      </x:c>
      <x:c r="F102" s="5" t="str">
        <x:v>"QazTehna" (университет OR академия OR "учебный центр" OR обучение)</x:v>
      </x:c>
      <x:c r="G102" s="5" t="str">
        <x:v>Имена, подразделения и дополнительные официальные адреса.</x:v>
      </x:c>
      <x:c r="H102" s="5" t="str">
        <x:v>not_run</x:v>
      </x:c>
    </x:row>
    <x:row r="103" ht="25.5" customHeight="1">
      <x:c r="A103" s="5" t="str">
        <x:v>CU-0189-BUY</x:v>
      </x:c>
      <x:c r="B103" s="5" t="str">
        <x:v>CU-0189</x:v>
      </x:c>
      <x:c r="C103" s="5" t="str">
        <x:v>Корпоративный университет QazTehna</x:v>
      </x:c>
      <x:c r="D103" s="5" t="str">
        <x:v>KZ</x:v>
      </x:c>
      <x:c r="E103" s="5" t="str">
        <x:v>Закупки и отбор</x:v>
      </x:c>
      <x:c r="F103" s="5" t="str">
        <x:v>"QazTehna" (обучение OR тренинг OR семинар) (закупки OR "запрос предложений" OR поставщик)</x:v>
      </x:c>
      <x:c r="G103" s="5" t="str">
        <x:v>Найти конкретную карточку и приложения; запрос не доказывает спрос.</x:v>
      </x:c>
      <x:c r="H103" s="5" t="str">
        <x:v>not_run</x:v>
      </x:c>
    </x:row>
    <x:row r="104" ht="25.5" customHeight="1">
      <x:c r="A104" s="5" t="str">
        <x:v>CU-0189-EXPERT</x:v>
      </x:c>
      <x:c r="B104" s="5" t="str">
        <x:v>CU-0189</x:v>
      </x:c>
      <x:c r="C104" s="5" t="str">
        <x:v>Корпоративный университет QazTehna</x:v>
      </x:c>
      <x:c r="D104" s="5" t="str">
        <x:v>KZ</x:v>
      </x:c>
      <x:c r="E104" s="5" t="str">
        <x:v>Эксперты и партнеры</x:v>
      </x:c>
      <x:c r="F104" s="5" t="str">
        <x:v>"QazTehna" (преподаватель OR эксперт OR провайдер OR партнерство)</x:v>
      </x:c>
      <x:c r="G104" s="5" t="str">
        <x:v>Уточнить кто платит и какой вход для внешнего исполнителя.</x:v>
      </x:c>
      <x:c r="H104" s="5" t="str">
        <x:v>not_run</x:v>
      </x:c>
    </x:row>
    <x:row r="105" ht="25.5" customHeight="1">
      <x:c r="A105" s="5" t="str">
        <x:v>CU-0189-SIGNAL</x:v>
      </x:c>
      <x:c r="B105" s="5" t="str">
        <x:v>CU-0189</x:v>
      </x:c>
      <x:c r="C105" s="5" t="str">
        <x:v>Корпоративный университет QazTehna</x:v>
      </x:c>
      <x:c r="D105" s="5" t="str">
        <x:v>KZ</x:v>
      </x:c>
      <x:c r="E105" s="5" t="str">
        <x:v>Новые программы</x:v>
      </x:c>
      <x:c r="F105" s="5" t="str">
        <x:v>"QazTehna" ("кадровый резерв" OR "электронный курс" OR "развитие руководителей")</x:v>
      </x:c>
      <x:c r="G105" s="5" t="str">
        <x:v>Ранний сигнал и предметный пробел; не подтвержденный заказ.</x:v>
      </x:c>
      <x:c r="H105" s="5" t="str">
        <x:v>not_run</x:v>
      </x:c>
    </x:row>
    <x:row r="106" ht="25.5" customHeight="1">
      <x:c r="A106" s="5" t="str">
        <x:v>CU-0191-DISCOVER</x:v>
      </x:c>
      <x:c r="B106" s="5" t="str">
        <x:v>CU-0191</x:v>
      </x:c>
      <x:c r="C106" s="5" t="str">
        <x:v>Корпоративный университет АҚҚУ</x:v>
      </x:c>
      <x:c r="D106" s="5" t="str">
        <x:v>KZ</x:v>
      </x:c>
      <x:c r="E106" s="5" t="str">
        <x:v>Новые каналы</x:v>
      </x:c>
      <x:c r="F106" s="5" t="str">
        <x:v>"Alina Group" (университет OR академия OR "учебный центр" OR обучение)</x:v>
      </x:c>
      <x:c r="G106" s="5" t="str">
        <x:v>Имена, подразделения и дополнительные официальные адреса.</x:v>
      </x:c>
      <x:c r="H106" s="5" t="str">
        <x:v>not_run</x:v>
      </x:c>
    </x:row>
    <x:row r="107" ht="25.5" customHeight="1">
      <x:c r="A107" s="5" t="str">
        <x:v>CU-0191-BUY</x:v>
      </x:c>
      <x:c r="B107" s="5" t="str">
        <x:v>CU-0191</x:v>
      </x:c>
      <x:c r="C107" s="5" t="str">
        <x:v>Корпоративный университет АҚҚУ</x:v>
      </x:c>
      <x:c r="D107" s="5" t="str">
        <x:v>KZ</x:v>
      </x:c>
      <x:c r="E107" s="5" t="str">
        <x:v>Закупки и отбор</x:v>
      </x:c>
      <x:c r="F107" s="5" t="str">
        <x:v>"Alina Group" (обучение OR тренинг OR семинар) (закупки OR "запрос предложений" OR поставщик)</x:v>
      </x:c>
      <x:c r="G107" s="5" t="str">
        <x:v>Найти конкретную карточку и приложения; запрос не доказывает спрос.</x:v>
      </x:c>
      <x:c r="H107" s="5" t="str">
        <x:v>not_run</x:v>
      </x:c>
    </x:row>
    <x:row r="108" ht="25.5" customHeight="1">
      <x:c r="A108" s="5" t="str">
        <x:v>CU-0191-EXPERT</x:v>
      </x:c>
      <x:c r="B108" s="5" t="str">
        <x:v>CU-0191</x:v>
      </x:c>
      <x:c r="C108" s="5" t="str">
        <x:v>Корпоративный университет АҚҚУ</x:v>
      </x:c>
      <x:c r="D108" s="5" t="str">
        <x:v>KZ</x:v>
      </x:c>
      <x:c r="E108" s="5" t="str">
        <x:v>Эксперты и партнеры</x:v>
      </x:c>
      <x:c r="F108" s="5" t="str">
        <x:v>"Alina Group" (преподаватель OR эксперт OR провайдер OR партнерство)</x:v>
      </x:c>
      <x:c r="G108" s="5" t="str">
        <x:v>Уточнить кто платит и какой вход для внешнего исполнителя.</x:v>
      </x:c>
      <x:c r="H108" s="5" t="str">
        <x:v>not_run</x:v>
      </x:c>
    </x:row>
    <x:row r="109" ht="25.5" customHeight="1">
      <x:c r="A109" s="5" t="str">
        <x:v>CU-0191-SIGNAL</x:v>
      </x:c>
      <x:c r="B109" s="5" t="str">
        <x:v>CU-0191</x:v>
      </x:c>
      <x:c r="C109" s="5" t="str">
        <x:v>Корпоративный университет АҚҚУ</x:v>
      </x:c>
      <x:c r="D109" s="5" t="str">
        <x:v>KZ</x:v>
      </x:c>
      <x:c r="E109" s="5" t="str">
        <x:v>Новые программы</x:v>
      </x:c>
      <x:c r="F109" s="5" t="str">
        <x:v>"Alina Group" ("кадровый резерв" OR "электронный курс" OR "развитие руководителей")</x:v>
      </x:c>
      <x:c r="G109" s="5" t="str">
        <x:v>Ранний сигнал и предметный пробел; не подтвержденный заказ.</x:v>
      </x:c>
      <x:c r="H109" s="5" t="str">
        <x:v>not_run</x:v>
      </x:c>
    </x:row>
    <x:row r="110" ht="25.5" customHeight="1">
      <x:c r="A110" s="5" t="str">
        <x:v>CU-0192-DISCOVER</x:v>
      </x:c>
      <x:c r="B110" s="5" t="str">
        <x:v>CU-0192</x:v>
      </x:c>
      <x:c r="C110" s="5" t="str">
        <x:v>Казахстанский ядерный университет</x:v>
      </x:c>
      <x:c r="D110" s="5" t="str">
        <x:v>KZ</x:v>
      </x:c>
      <x:c r="E110" s="5" t="str">
        <x:v>Новые каналы</x:v>
      </x:c>
      <x:c r="F110" s="5" t="str">
        <x:v>"Казатомпром" (университет OR академия OR "учебный центр" OR обучение)</x:v>
      </x:c>
      <x:c r="G110" s="5" t="str">
        <x:v>Имена, подразделения и дополнительные официальные адреса.</x:v>
      </x:c>
      <x:c r="H110" s="5" t="str">
        <x:v>not_run</x:v>
      </x:c>
    </x:row>
    <x:row r="111" ht="25.5" customHeight="1">
      <x:c r="A111" s="5" t="str">
        <x:v>CU-0192-BUY</x:v>
      </x:c>
      <x:c r="B111" s="5" t="str">
        <x:v>CU-0192</x:v>
      </x:c>
      <x:c r="C111" s="5" t="str">
        <x:v>Казахстанский ядерный университет</x:v>
      </x:c>
      <x:c r="D111" s="5" t="str">
        <x:v>KZ</x:v>
      </x:c>
      <x:c r="E111" s="5" t="str">
        <x:v>Закупки и отбор</x:v>
      </x:c>
      <x:c r="F111" s="5" t="str">
        <x:v>"Казатомпром" (обучение OR тренинг OR семинар) (закупки OR "запрос предложений" OR поставщик)</x:v>
      </x:c>
      <x:c r="G111" s="5" t="str">
        <x:v>Найти конкретную карточку и приложения; запрос не доказывает спрос.</x:v>
      </x:c>
      <x:c r="H111" s="5" t="str">
        <x:v>not_run</x:v>
      </x:c>
    </x:row>
    <x:row r="112" ht="25.5" customHeight="1">
      <x:c r="A112" s="5" t="str">
        <x:v>CU-0192-EXPERT</x:v>
      </x:c>
      <x:c r="B112" s="5" t="str">
        <x:v>CU-0192</x:v>
      </x:c>
      <x:c r="C112" s="5" t="str">
        <x:v>Казахстанский ядерный университет</x:v>
      </x:c>
      <x:c r="D112" s="5" t="str">
        <x:v>KZ</x:v>
      </x:c>
      <x:c r="E112" s="5" t="str">
        <x:v>Эксперты и партнеры</x:v>
      </x:c>
      <x:c r="F112" s="5" t="str">
        <x:v>"Казатомпром" (преподаватель OR эксперт OR провайдер OR партнерство)</x:v>
      </x:c>
      <x:c r="G112" s="5" t="str">
        <x:v>Уточнить кто платит и какой вход для внешнего исполнителя.</x:v>
      </x:c>
      <x:c r="H112" s="5" t="str">
        <x:v>not_run</x:v>
      </x:c>
    </x:row>
    <x:row r="113" ht="25.5" customHeight="1">
      <x:c r="A113" s="5" t="str">
        <x:v>CU-0192-SIGNAL</x:v>
      </x:c>
      <x:c r="B113" s="5" t="str">
        <x:v>CU-0192</x:v>
      </x:c>
      <x:c r="C113" s="5" t="str">
        <x:v>Казахстанский ядерный университет</x:v>
      </x:c>
      <x:c r="D113" s="5" t="str">
        <x:v>KZ</x:v>
      </x:c>
      <x:c r="E113" s="5" t="str">
        <x:v>Новые программы</x:v>
      </x:c>
      <x:c r="F113" s="5" t="str">
        <x:v>"Казатомпром" ("кадровый резерв" OR "электронный курс" OR "развитие руководителей")</x:v>
      </x:c>
      <x:c r="G113" s="5" t="str">
        <x:v>Ранний сигнал и предметный пробел; не подтвержденный заказ.</x:v>
      </x:c>
      <x:c r="H113" s="5" t="str">
        <x:v>not_run</x:v>
      </x:c>
    </x:row>
    <x:row r="114" ht="31.5" customHeight="1">
      <x:c r="A114" s="5" t="str">
        <x:v>CU-0193-DISCOVER</x:v>
      </x:c>
      <x:c r="B114" s="5" t="str">
        <x:v>CU-0193</x:v>
      </x:c>
      <x:c r="C114" s="5" t="str">
        <x:v>Корпоративный университет Управления трудовых ресурсов Казцинк</x:v>
      </x:c>
      <x:c r="D114" s="5" t="str">
        <x:v>KZ</x:v>
      </x:c>
      <x:c r="E114" s="5" t="str">
        <x:v>Новые каналы</x:v>
      </x:c>
      <x:c r="F114" s="5" t="str">
        <x:v>"Казцинк" (университет OR академия OR "учебный центр" OR обучение)</x:v>
      </x:c>
      <x:c r="G114" s="5" t="str">
        <x:v>Имена, подразделения и дополнительные официальные адреса.</x:v>
      </x:c>
      <x:c r="H114" s="5" t="str">
        <x:v>not_run</x:v>
      </x:c>
    </x:row>
    <x:row r="115" ht="31.5" customHeight="1">
      <x:c r="A115" s="5" t="str">
        <x:v>CU-0193-BUY</x:v>
      </x:c>
      <x:c r="B115" s="5" t="str">
        <x:v>CU-0193</x:v>
      </x:c>
      <x:c r="C115" s="5" t="str">
        <x:v>Корпоративный университет Управления трудовых ресурсов Казцинк</x:v>
      </x:c>
      <x:c r="D115" s="5" t="str">
        <x:v>KZ</x:v>
      </x:c>
      <x:c r="E115" s="5" t="str">
        <x:v>Закупки и отбор</x:v>
      </x:c>
      <x:c r="F115" s="5" t="str">
        <x:v>"Казцинк" (обучение OR тренинг OR семинар) (закупки OR "запрос предложений" OR поставщик)</x:v>
      </x:c>
      <x:c r="G115" s="5" t="str">
        <x:v>Найти конкретную карточку и приложения; запрос не доказывает спрос.</x:v>
      </x:c>
      <x:c r="H115" s="5" t="str">
        <x:v>not_run</x:v>
      </x:c>
    </x:row>
    <x:row r="116" ht="31.5" customHeight="1">
      <x:c r="A116" s="5" t="str">
        <x:v>CU-0193-EXPERT</x:v>
      </x:c>
      <x:c r="B116" s="5" t="str">
        <x:v>CU-0193</x:v>
      </x:c>
      <x:c r="C116" s="5" t="str">
        <x:v>Корпоративный университет Управления трудовых ресурсов Казцинк</x:v>
      </x:c>
      <x:c r="D116" s="5" t="str">
        <x:v>KZ</x:v>
      </x:c>
      <x:c r="E116" s="5" t="str">
        <x:v>Эксперты и партнеры</x:v>
      </x:c>
      <x:c r="F116" s="5" t="str">
        <x:v>"Казцинк" (преподаватель OR эксперт OR провайдер OR партнерство)</x:v>
      </x:c>
      <x:c r="G116" s="5" t="str">
        <x:v>Уточнить кто платит и какой вход для внешнего исполнителя.</x:v>
      </x:c>
      <x:c r="H116" s="5" t="str">
        <x:v>not_run</x:v>
      </x:c>
    </x:row>
    <x:row r="117" ht="31.5" customHeight="1">
      <x:c r="A117" s="5" t="str">
        <x:v>CU-0193-SIGNAL</x:v>
      </x:c>
      <x:c r="B117" s="5" t="str">
        <x:v>CU-0193</x:v>
      </x:c>
      <x:c r="C117" s="5" t="str">
        <x:v>Корпоративный университет Управления трудовых ресурсов Казцинк</x:v>
      </x:c>
      <x:c r="D117" s="5" t="str">
        <x:v>KZ</x:v>
      </x:c>
      <x:c r="E117" s="5" t="str">
        <x:v>Новые программы</x:v>
      </x:c>
      <x:c r="F117" s="5" t="str">
        <x:v>"Казцинк" ("кадровый резерв" OR "электронный курс" OR "развитие руководителей")</x:v>
      </x:c>
      <x:c r="G117" s="5" t="str">
        <x:v>Ранний сигнал и предметный пробел; не подтвержденный заказ.</x:v>
      </x:c>
      <x:c r="H117" s="5" t="str">
        <x:v>not_run</x:v>
      </x:c>
    </x:row>
    <x:row r="118" ht="31.5" customHeight="1">
      <x:c r="A118" s="5" t="str">
        <x:v>CU-0196-DISCOVER</x:v>
      </x:c>
      <x:c r="B118" s="5" t="str">
        <x:v>CU-0196</x:v>
      </x:c>
      <x:c r="C118" s="5" t="str">
        <x:v>Центр оценки и развития персонала железнодорожного транспорта ҚТЖ</x:v>
      </x:c>
      <x:c r="D118" s="5" t="str">
        <x:v>KZ</x:v>
      </x:c>
      <x:c r="E118" s="5" t="str">
        <x:v>Новые каналы</x:v>
      </x:c>
      <x:c r="F118" s="5" t="str">
        <x:v>"Қазақстан темір жолы" (университет OR академия OR "учебный центр" OR обучение)</x:v>
      </x:c>
      <x:c r="G118" s="5" t="str">
        <x:v>Имена, подразделения и дополнительные официальные адреса.</x:v>
      </x:c>
      <x:c r="H118" s="5" t="str">
        <x:v>not_run</x:v>
      </x:c>
    </x:row>
    <x:row r="119" ht="31.5" customHeight="1">
      <x:c r="A119" s="5" t="str">
        <x:v>CU-0196-BUY</x:v>
      </x:c>
      <x:c r="B119" s="5" t="str">
        <x:v>CU-0196</x:v>
      </x:c>
      <x:c r="C119" s="5" t="str">
        <x:v>Центр оценки и развития персонала железнодорожного транспорта ҚТЖ</x:v>
      </x:c>
      <x:c r="D119" s="5" t="str">
        <x:v>KZ</x:v>
      </x:c>
      <x:c r="E119" s="5" t="str">
        <x:v>Закупки и отбор</x:v>
      </x:c>
      <x:c r="F119" s="5" t="str">
        <x:v>"Қазақстан темір жолы" (обучение OR тренинг OR семинар) (закупки OR "запрос предложений" OR поставщик)</x:v>
      </x:c>
      <x:c r="G119" s="5" t="str">
        <x:v>Найти конкретную карточку и приложения; запрос не доказывает спрос.</x:v>
      </x:c>
      <x:c r="H119" s="5" t="str">
        <x:v>not_run</x:v>
      </x:c>
    </x:row>
    <x:row r="120" ht="31.5" customHeight="1">
      <x:c r="A120" s="5" t="str">
        <x:v>CU-0196-EXPERT</x:v>
      </x:c>
      <x:c r="B120" s="5" t="str">
        <x:v>CU-0196</x:v>
      </x:c>
      <x:c r="C120" s="5" t="str">
        <x:v>Центр оценки и развития персонала железнодорожного транспорта ҚТЖ</x:v>
      </x:c>
      <x:c r="D120" s="5" t="str">
        <x:v>KZ</x:v>
      </x:c>
      <x:c r="E120" s="5" t="str">
        <x:v>Эксперты и партнеры</x:v>
      </x:c>
      <x:c r="F120" s="5" t="str">
        <x:v>"Қазақстан темір жолы" (преподаватель OR эксперт OR провайдер OR партнерство)</x:v>
      </x:c>
      <x:c r="G120" s="5" t="str">
        <x:v>Уточнить кто платит и какой вход для внешнего исполнителя.</x:v>
      </x:c>
      <x:c r="H120" s="5" t="str">
        <x:v>not_run</x:v>
      </x:c>
    </x:row>
    <x:row r="121" ht="31.5" customHeight="1">
      <x:c r="A121" s="5" t="str">
        <x:v>CU-0196-SIGNAL</x:v>
      </x:c>
      <x:c r="B121" s="5" t="str">
        <x:v>CU-0196</x:v>
      </x:c>
      <x:c r="C121" s="5" t="str">
        <x:v>Центр оценки и развития персонала железнодорожного транспорта ҚТЖ</x:v>
      </x:c>
      <x:c r="D121" s="5" t="str">
        <x:v>KZ</x:v>
      </x:c>
      <x:c r="E121" s="5" t="str">
        <x:v>Новые программы</x:v>
      </x:c>
      <x:c r="F121" s="5" t="str">
        <x:v>"Қазақстан темір жолы" ("кадровый резерв" OR "электронный курс" OR "развитие руководителей")</x:v>
      </x:c>
      <x:c r="G121" s="5" t="str">
        <x:v>Ранний сигнал и предметный пробел; не подтвержденный заказ.</x:v>
      </x:c>
      <x:c r="H121" s="5" t="str">
        <x:v>not_run</x:v>
      </x:c>
    </x:row>
    <x:row r="122" ht="31.5" customHeight="1">
      <x:c r="A122" s="5" t="str">
        <x:v>CU-0197-DISCOVER</x:v>
      </x:c>
      <x:c r="B122" s="5" t="str">
        <x:v>CU-0197</x:v>
      </x:c>
      <x:c r="C122" s="5" t="str">
        <x:v>Корпоративный университет Казахтелеком / Дирекция «Академия инфокоммуникационных технологий»</x:v>
      </x:c>
      <x:c r="D122" s="5" t="str">
        <x:v>KZ</x:v>
      </x:c>
      <x:c r="E122" s="5" t="str">
        <x:v>Новые каналы</x:v>
      </x:c>
      <x:c r="F122" s="5" t="str">
        <x:v>"Казахтелеком" (университет OR академия OR "учебный центр" OR обучение)</x:v>
      </x:c>
      <x:c r="G122" s="5" t="str">
        <x:v>Имена, подразделения и дополнительные официальные адреса.</x:v>
      </x:c>
      <x:c r="H122" s="5" t="str">
        <x:v>not_run</x:v>
      </x:c>
    </x:row>
    <x:row r="123" ht="31.5" customHeight="1">
      <x:c r="A123" s="5" t="str">
        <x:v>CU-0197-BUY</x:v>
      </x:c>
      <x:c r="B123" s="5" t="str">
        <x:v>CU-0197</x:v>
      </x:c>
      <x:c r="C123" s="5" t="str">
        <x:v>Корпоративный университет Казахтелеком / Дирекция «Академия инфокоммуникационных технологий»</x:v>
      </x:c>
      <x:c r="D123" s="5" t="str">
        <x:v>KZ</x:v>
      </x:c>
      <x:c r="E123" s="5" t="str">
        <x:v>Закупки и отбор</x:v>
      </x:c>
      <x:c r="F123" s="5" t="str">
        <x:v>"Казахтелеком" (обучение OR тренинг OR семинар) (закупки OR "запрос предложений" OR поставщик)</x:v>
      </x:c>
      <x:c r="G123" s="5" t="str">
        <x:v>Найти конкретную карточку и приложения; запрос не доказывает спрос.</x:v>
      </x:c>
      <x:c r="H123" s="5" t="str">
        <x:v>not_run</x:v>
      </x:c>
    </x:row>
    <x:row r="124" ht="31.5" customHeight="1">
      <x:c r="A124" s="5" t="str">
        <x:v>CU-0197-EXPERT</x:v>
      </x:c>
      <x:c r="B124" s="5" t="str">
        <x:v>CU-0197</x:v>
      </x:c>
      <x:c r="C124" s="5" t="str">
        <x:v>Корпоративный университет Казахтелеком / Дирекция «Академия инфокоммуникационных технологий»</x:v>
      </x:c>
      <x:c r="D124" s="5" t="str">
        <x:v>KZ</x:v>
      </x:c>
      <x:c r="E124" s="5" t="str">
        <x:v>Эксперты и партнеры</x:v>
      </x:c>
      <x:c r="F124" s="5" t="str">
        <x:v>"Казахтелеком" (преподаватель OR эксперт OR провайдер OR партнерство)</x:v>
      </x:c>
      <x:c r="G124" s="5" t="str">
        <x:v>Уточнить кто платит и какой вход для внешнего исполнителя.</x:v>
      </x:c>
      <x:c r="H124" s="5" t="str">
        <x:v>not_run</x:v>
      </x:c>
    </x:row>
    <x:row r="125" ht="31.5" customHeight="1">
      <x:c r="A125" s="5" t="str">
        <x:v>CU-0197-SIGNAL</x:v>
      </x:c>
      <x:c r="B125" s="5" t="str">
        <x:v>CU-0197</x:v>
      </x:c>
      <x:c r="C125" s="5" t="str">
        <x:v>Корпоративный университет Казахтелеком / Дирекция «Академия инфокоммуникационных технологий»</x:v>
      </x:c>
      <x:c r="D125" s="5" t="str">
        <x:v>KZ</x:v>
      </x:c>
      <x:c r="E125" s="5" t="str">
        <x:v>Новые программы</x:v>
      </x:c>
      <x:c r="F125" s="5" t="str">
        <x:v>"Казахтелеком" ("кадровый резерв" OR "электронный курс" OR "развитие руководителей")</x:v>
      </x:c>
      <x:c r="G125" s="5" t="str">
        <x:v>Ранний сигнал и предметный пробел; не подтвержденный заказ.</x:v>
      </x:c>
      <x:c r="H125" s="5" t="str">
        <x:v>not_run</x:v>
      </x:c>
    </x:row>
    <x:row r="126" ht="31.5" customHeight="1">
      <x:c r="A126" s="5" t="str">
        <x:v>CU-0198-DISCOVER</x:v>
      </x:c>
      <x:c r="B126" s="5" t="str">
        <x:v>CU-0198</x:v>
      </x:c>
      <x:c r="C126" s="5" t="str">
        <x:v>Учебный центр и направление развития компетенций НТЦ QazaqGaz</x:v>
      </x:c>
      <x:c r="D126" s="5" t="str">
        <x:v>KZ</x:v>
      </x:c>
      <x:c r="E126" s="5" t="str">
        <x:v>Новые каналы</x:v>
      </x:c>
      <x:c r="F126" s="5" t="str">
        <x:v>"QazaqGaz" (университет OR академия OR "учебный центр" OR обучение)</x:v>
      </x:c>
      <x:c r="G126" s="5" t="str">
        <x:v>Имена, подразделения и дополнительные официальные адреса.</x:v>
      </x:c>
      <x:c r="H126" s="5" t="str">
        <x:v>not_run</x:v>
      </x:c>
    </x:row>
    <x:row r="127" ht="31.5" customHeight="1">
      <x:c r="A127" s="5" t="str">
        <x:v>CU-0198-BUY</x:v>
      </x:c>
      <x:c r="B127" s="5" t="str">
        <x:v>CU-0198</x:v>
      </x:c>
      <x:c r="C127" s="5" t="str">
        <x:v>Учебный центр и направление развития компетенций НТЦ QazaqGaz</x:v>
      </x:c>
      <x:c r="D127" s="5" t="str">
        <x:v>KZ</x:v>
      </x:c>
      <x:c r="E127" s="5" t="str">
        <x:v>Закупки и отбор</x:v>
      </x:c>
      <x:c r="F127" s="5" t="str">
        <x:v>"QazaqGaz" (обучение OR тренинг OR семинар) (закупки OR "запрос предложений" OR поставщик)</x:v>
      </x:c>
      <x:c r="G127" s="5" t="str">
        <x:v>Найти конкретную карточку и приложения; запрос не доказывает спрос.</x:v>
      </x:c>
      <x:c r="H127" s="5" t="str">
        <x:v>not_run</x:v>
      </x:c>
    </x:row>
    <x:row r="128" ht="31.5" customHeight="1">
      <x:c r="A128" s="5" t="str">
        <x:v>CU-0198-EXPERT</x:v>
      </x:c>
      <x:c r="B128" s="5" t="str">
        <x:v>CU-0198</x:v>
      </x:c>
      <x:c r="C128" s="5" t="str">
        <x:v>Учебный центр и направление развития компетенций НТЦ QazaqGaz</x:v>
      </x:c>
      <x:c r="D128" s="5" t="str">
        <x:v>KZ</x:v>
      </x:c>
      <x:c r="E128" s="5" t="str">
        <x:v>Эксперты и партнеры</x:v>
      </x:c>
      <x:c r="F128" s="5" t="str">
        <x:v>"QazaqGaz" (преподаватель OR эксперт OR провайдер OR партнерство)</x:v>
      </x:c>
      <x:c r="G128" s="5" t="str">
        <x:v>Уточнить кто платит и какой вход для внешнего исполнителя.</x:v>
      </x:c>
      <x:c r="H128" s="5" t="str">
        <x:v>not_run</x:v>
      </x:c>
    </x:row>
    <x:row r="129" ht="31.5" customHeight="1">
      <x:c r="A129" s="5" t="str">
        <x:v>CU-0198-SIGNAL</x:v>
      </x:c>
      <x:c r="B129" s="5" t="str">
        <x:v>CU-0198</x:v>
      </x:c>
      <x:c r="C129" s="5" t="str">
        <x:v>Учебный центр и направление развития компетенций НТЦ QazaqGaz</x:v>
      </x:c>
      <x:c r="D129" s="5" t="str">
        <x:v>KZ</x:v>
      </x:c>
      <x:c r="E129" s="5" t="str">
        <x:v>Новые программы</x:v>
      </x:c>
      <x:c r="F129" s="5" t="str">
        <x:v>"QazaqGaz" ("кадровый резерв" OR "электронный курс" OR "развитие руководителей")</x:v>
      </x:c>
      <x:c r="G129" s="5" t="str">
        <x:v>Ранний сигнал и предметный пробел; не подтвержденный заказ.</x:v>
      </x:c>
      <x:c r="H129" s="5" t="str">
        <x:v>not_run</x:v>
      </x:c>
    </x:row>
    <x:row r="130" ht="25.5" customHeight="1">
      <x:c r="A130" s="5" t="str">
        <x:v>CU-0212-DISCOVER</x:v>
      </x:c>
      <x:c r="B130" s="5" t="str">
        <x:v>CU-0212</x:v>
      </x:c>
      <x:c r="C130" s="5" t="str">
        <x:v>Freedom Academy</x:v>
      </x:c>
      <x:c r="D130" s="5" t="str">
        <x:v>KZ</x:v>
      </x:c>
      <x:c r="E130" s="5" t="str">
        <x:v>Новые каналы</x:v>
      </x:c>
      <x:c r="F130" s="5" t="str">
        <x:v>"Freedom" (университет OR академия OR "учебный центр" OR обучение)</x:v>
      </x:c>
      <x:c r="G130" s="5" t="str">
        <x:v>Имена, подразделения и дополнительные официальные адреса.</x:v>
      </x:c>
      <x:c r="H130" s="5" t="str">
        <x:v>not_run</x:v>
      </x:c>
    </x:row>
    <x:row r="131" ht="25.5" customHeight="1">
      <x:c r="A131" s="5" t="str">
        <x:v>CU-0212-BUY</x:v>
      </x:c>
      <x:c r="B131" s="5" t="str">
        <x:v>CU-0212</x:v>
      </x:c>
      <x:c r="C131" s="5" t="str">
        <x:v>Freedom Academy</x:v>
      </x:c>
      <x:c r="D131" s="5" t="str">
        <x:v>KZ</x:v>
      </x:c>
      <x:c r="E131" s="5" t="str">
        <x:v>Закупки и отбор</x:v>
      </x:c>
      <x:c r="F131" s="5" t="str">
        <x:v>"Freedom" (обучение OR тренинг OR семинар) (закупки OR "запрос предложений" OR поставщик)</x:v>
      </x:c>
      <x:c r="G131" s="5" t="str">
        <x:v>Найти конкретную карточку и приложения; запрос не доказывает спрос.</x:v>
      </x:c>
      <x:c r="H131" s="5" t="str">
        <x:v>not_run</x:v>
      </x:c>
    </x:row>
    <x:row r="132" ht="25.5" customHeight="1">
      <x:c r="A132" s="5" t="str">
        <x:v>CU-0212-EXPERT</x:v>
      </x:c>
      <x:c r="B132" s="5" t="str">
        <x:v>CU-0212</x:v>
      </x:c>
      <x:c r="C132" s="5" t="str">
        <x:v>Freedom Academy</x:v>
      </x:c>
      <x:c r="D132" s="5" t="str">
        <x:v>KZ</x:v>
      </x:c>
      <x:c r="E132" s="5" t="str">
        <x:v>Эксперты и партнеры</x:v>
      </x:c>
      <x:c r="F132" s="5" t="str">
        <x:v>"Freedom" (преподаватель OR эксперт OR провайдер OR партнерство)</x:v>
      </x:c>
      <x:c r="G132" s="5" t="str">
        <x:v>Уточнить кто платит и какой вход для внешнего исполнителя.</x:v>
      </x:c>
      <x:c r="H132" s="5" t="str">
        <x:v>not_run</x:v>
      </x:c>
    </x:row>
    <x:row r="133" ht="25.5" customHeight="1">
      <x:c r="A133" s="5" t="str">
        <x:v>CU-0212-SIGNAL</x:v>
      </x:c>
      <x:c r="B133" s="5" t="str">
        <x:v>CU-0212</x:v>
      </x:c>
      <x:c r="C133" s="5" t="str">
        <x:v>Freedom Academy</x:v>
      </x:c>
      <x:c r="D133" s="5" t="str">
        <x:v>KZ</x:v>
      </x:c>
      <x:c r="E133" s="5" t="str">
        <x:v>Новые программы</x:v>
      </x:c>
      <x:c r="F133" s="5" t="str">
        <x:v>"Freedom" ("кадровый резерв" OR "электронный курс" OR "развитие руководителей")</x:v>
      </x:c>
      <x:c r="G133" s="5" t="str">
        <x:v>Ранний сигнал и предметный пробел; не подтвержденный заказ.</x:v>
      </x:c>
      <x:c r="H133" s="5" t="str">
        <x:v>not_run</x:v>
      </x:c>
    </x:row>
    <x:row r="134" ht="25.5" customHeight="1">
      <x:c r="A134" s="5" t="str">
        <x:v>CU-0215-DISCOVER</x:v>
      </x:c>
      <x:c r="B134" s="5" t="str">
        <x:v>CU-0215</x:v>
      </x:c>
      <x:c r="C134" s="5" t="str">
        <x:v>Корпоративный учебный центр Казпочты</x:v>
      </x:c>
      <x:c r="D134" s="5" t="str">
        <x:v>KZ</x:v>
      </x:c>
      <x:c r="E134" s="5" t="str">
        <x:v>Новые каналы</x:v>
      </x:c>
      <x:c r="F134" s="5" t="str">
        <x:v>"QazPost / Самрук-Қазына" (университет OR академия OR "учебный центр" OR обучение)</x:v>
      </x:c>
      <x:c r="G134" s="5" t="str">
        <x:v>Имена, подразделения и дополнительные официальные адреса.</x:v>
      </x:c>
      <x:c r="H134" s="5" t="str">
        <x:v>not_run</x:v>
      </x:c>
    </x:row>
    <x:row r="135" ht="25.5" customHeight="1">
      <x:c r="A135" s="5" t="str">
        <x:v>CU-0215-BUY</x:v>
      </x:c>
      <x:c r="B135" s="5" t="str">
        <x:v>CU-0215</x:v>
      </x:c>
      <x:c r="C135" s="5" t="str">
        <x:v>Корпоративный учебный центр Казпочты</x:v>
      </x:c>
      <x:c r="D135" s="5" t="str">
        <x:v>KZ</x:v>
      </x:c>
      <x:c r="E135" s="5" t="str">
        <x:v>Закупки и отбор</x:v>
      </x:c>
      <x:c r="F135" s="5" t="str">
        <x:v>"QazPost / Самрук-Қазына" (обучение OR тренинг OR семинар) (закупки OR "запрос предложений" OR поставщик)</x:v>
      </x:c>
      <x:c r="G135" s="5" t="str">
        <x:v>Найти конкретную карточку и приложения; запрос не доказывает спрос.</x:v>
      </x:c>
      <x:c r="H135" s="5" t="str">
        <x:v>not_run</x:v>
      </x:c>
    </x:row>
    <x:row r="136" ht="25.5" customHeight="1">
      <x:c r="A136" s="5" t="str">
        <x:v>CU-0215-EXPERT</x:v>
      </x:c>
      <x:c r="B136" s="5" t="str">
        <x:v>CU-0215</x:v>
      </x:c>
      <x:c r="C136" s="5" t="str">
        <x:v>Корпоративный учебный центр Казпочты</x:v>
      </x:c>
      <x:c r="D136" s="5" t="str">
        <x:v>KZ</x:v>
      </x:c>
      <x:c r="E136" s="5" t="str">
        <x:v>Эксперты и партнеры</x:v>
      </x:c>
      <x:c r="F136" s="5" t="str">
        <x:v>"QazPost / Самрук-Қазына" (преподаватель OR эксперт OR провайдер OR партнерство)</x:v>
      </x:c>
      <x:c r="G136" s="5" t="str">
        <x:v>Уточнить кто платит и какой вход для внешнего исполнителя.</x:v>
      </x:c>
      <x:c r="H136" s="5" t="str">
        <x:v>not_run</x:v>
      </x:c>
    </x:row>
    <x:row r="137" ht="25.5" customHeight="1">
      <x:c r="A137" s="5" t="str">
        <x:v>CU-0215-SIGNAL</x:v>
      </x:c>
      <x:c r="B137" s="5" t="str">
        <x:v>CU-0215</x:v>
      </x:c>
      <x:c r="C137" s="5" t="str">
        <x:v>Корпоративный учебный центр Казпочты</x:v>
      </x:c>
      <x:c r="D137" s="5" t="str">
        <x:v>KZ</x:v>
      </x:c>
      <x:c r="E137" s="5" t="str">
        <x:v>Новые программы</x:v>
      </x:c>
      <x:c r="F137" s="5" t="str">
        <x:v>"QazPost / Самрук-Қазына" ("кадровый резерв" OR "электронный курс" OR "развитие руководителей")</x:v>
      </x:c>
      <x:c r="G137" s="5" t="str">
        <x:v>Ранний сигнал и предметный пробел; не подтвержденный заказ.</x:v>
      </x:c>
      <x:c r="H137" s="5" t="str">
        <x:v>not_run</x:v>
      </x:c>
    </x:row>
    <x:row r="138" ht="25.5" customHeight="1">
      <x:c r="A138" s="5" t="str">
        <x:v>CU-0219-DISCOVER</x:v>
      </x:c>
      <x:c r="B138" s="5" t="str">
        <x:v>CU-0219</x:v>
      </x:c>
      <x:c r="C138" s="5" t="str">
        <x:v>PwC Академия Казахстан</x:v>
      </x:c>
      <x:c r="D138" s="5" t="str">
        <x:v>KZ</x:v>
      </x:c>
      <x:c r="E138" s="5" t="str">
        <x:v>Новые каналы</x:v>
      </x:c>
      <x:c r="F138" s="5" t="str">
        <x:v>"PwC" (университет OR академия OR "учебный центр" OR обучение)</x:v>
      </x:c>
      <x:c r="G138" s="5" t="str">
        <x:v>Имена, подразделения и дополнительные официальные адреса.</x:v>
      </x:c>
      <x:c r="H138" s="5" t="str">
        <x:v>not_run</x:v>
      </x:c>
    </x:row>
    <x:row r="139" ht="25.5" customHeight="1">
      <x:c r="A139" s="5" t="str">
        <x:v>CU-0219-BUY</x:v>
      </x:c>
      <x:c r="B139" s="5" t="str">
        <x:v>CU-0219</x:v>
      </x:c>
      <x:c r="C139" s="5" t="str">
        <x:v>PwC Академия Казахстан</x:v>
      </x:c>
      <x:c r="D139" s="5" t="str">
        <x:v>KZ</x:v>
      </x:c>
      <x:c r="E139" s="5" t="str">
        <x:v>Закупки и отбор</x:v>
      </x:c>
      <x:c r="F139" s="5" t="str">
        <x:v>"PwC" (обучение OR тренинг OR семинар) (закупки OR "запрос предложений" OR поставщик)</x:v>
      </x:c>
      <x:c r="G139" s="5" t="str">
        <x:v>Найти конкретную карточку и приложения; запрос не доказывает спрос.</x:v>
      </x:c>
      <x:c r="H139" s="5" t="str">
        <x:v>not_run</x:v>
      </x:c>
    </x:row>
    <x:row r="140" ht="25.5" customHeight="1">
      <x:c r="A140" s="5" t="str">
        <x:v>CU-0219-EXPERT</x:v>
      </x:c>
      <x:c r="B140" s="5" t="str">
        <x:v>CU-0219</x:v>
      </x:c>
      <x:c r="C140" s="5" t="str">
        <x:v>PwC Академия Казахстан</x:v>
      </x:c>
      <x:c r="D140" s="5" t="str">
        <x:v>KZ</x:v>
      </x:c>
      <x:c r="E140" s="5" t="str">
        <x:v>Эксперты и партнеры</x:v>
      </x:c>
      <x:c r="F140" s="5" t="str">
        <x:v>"PwC" (преподаватель OR эксперт OR провайдер OR партнерство)</x:v>
      </x:c>
      <x:c r="G140" s="5" t="str">
        <x:v>Уточнить кто платит и какой вход для внешнего исполнителя.</x:v>
      </x:c>
      <x:c r="H140" s="5" t="str">
        <x:v>not_run</x:v>
      </x:c>
    </x:row>
    <x:row r="141" ht="25.5" customHeight="1">
      <x:c r="A141" s="5" t="str">
        <x:v>CU-0219-SIGNAL</x:v>
      </x:c>
      <x:c r="B141" s="5" t="str">
        <x:v>CU-0219</x:v>
      </x:c>
      <x:c r="C141" s="5" t="str">
        <x:v>PwC Академия Казахстан</x:v>
      </x:c>
      <x:c r="D141" s="5" t="str">
        <x:v>KZ</x:v>
      </x:c>
      <x:c r="E141" s="5" t="str">
        <x:v>Новые программы</x:v>
      </x:c>
      <x:c r="F141" s="5" t="str">
        <x:v>"PwC" ("кадровый резерв" OR "электронный курс" OR "развитие руководителей")</x:v>
      </x:c>
      <x:c r="G141" s="5" t="str">
        <x:v>Ранний сигнал и предметный пробел; не подтвержденный заказ.</x:v>
      </x:c>
      <x:c r="H141" s="5" t="str">
        <x:v>not_run</x:v>
      </x:c>
    </x:row>
    <x:row r="142" ht="25.5" customHeight="1">
      <x:c r="A142" s="5" t="str">
        <x:v>CU-0220-DISCOVER</x:v>
      </x:c>
      <x:c r="B142" s="5" t="str">
        <x:v>CU-0220</x:v>
      </x:c>
      <x:c r="C142" s="5" t="str">
        <x:v>AIFC Academy — Академия МФЦА</x:v>
      </x:c>
      <x:c r="D142" s="5" t="str">
        <x:v>KZ</x:v>
      </x:c>
      <x:c r="E142" s="5" t="str">
        <x:v>Новые каналы</x:v>
      </x:c>
      <x:c r="F142" s="5" t="str">
        <x:v>"AIFC" (университет OR академия OR "учебный центр" OR обучение)</x:v>
      </x:c>
      <x:c r="G142" s="5" t="str">
        <x:v>Имена, подразделения и дополнительные официальные адреса.</x:v>
      </x:c>
      <x:c r="H142" s="5" t="str">
        <x:v>not_run</x:v>
      </x:c>
    </x:row>
    <x:row r="143" ht="25.5" customHeight="1">
      <x:c r="A143" s="5" t="str">
        <x:v>CU-0220-BUY</x:v>
      </x:c>
      <x:c r="B143" s="5" t="str">
        <x:v>CU-0220</x:v>
      </x:c>
      <x:c r="C143" s="5" t="str">
        <x:v>AIFC Academy — Академия МФЦА</x:v>
      </x:c>
      <x:c r="D143" s="5" t="str">
        <x:v>KZ</x:v>
      </x:c>
      <x:c r="E143" s="5" t="str">
        <x:v>Закупки и отбор</x:v>
      </x:c>
      <x:c r="F143" s="5" t="str">
        <x:v>"AIFC" (обучение OR тренинг OR семинар) (закупки OR "запрос предложений" OR поставщик)</x:v>
      </x:c>
      <x:c r="G143" s="5" t="str">
        <x:v>Найти конкретную карточку и приложения; запрос не доказывает спрос.</x:v>
      </x:c>
      <x:c r="H143" s="5" t="str">
        <x:v>not_run</x:v>
      </x:c>
    </x:row>
    <x:row r="144" ht="25.5" customHeight="1">
      <x:c r="A144" s="5" t="str">
        <x:v>CU-0220-EXPERT</x:v>
      </x:c>
      <x:c r="B144" s="5" t="str">
        <x:v>CU-0220</x:v>
      </x:c>
      <x:c r="C144" s="5" t="str">
        <x:v>AIFC Academy — Академия МФЦА</x:v>
      </x:c>
      <x:c r="D144" s="5" t="str">
        <x:v>KZ</x:v>
      </x:c>
      <x:c r="E144" s="5" t="str">
        <x:v>Эксперты и партнеры</x:v>
      </x:c>
      <x:c r="F144" s="5" t="str">
        <x:v>"AIFC" (преподаватель OR эксперт OR провайдер OR партнерство)</x:v>
      </x:c>
      <x:c r="G144" s="5" t="str">
        <x:v>Уточнить кто платит и какой вход для внешнего исполнителя.</x:v>
      </x:c>
      <x:c r="H144" s="5" t="str">
        <x:v>not_run</x:v>
      </x:c>
    </x:row>
    <x:row r="145" ht="25.5" customHeight="1">
      <x:c r="A145" s="5" t="str">
        <x:v>CU-0220-SIGNAL</x:v>
      </x:c>
      <x:c r="B145" s="5" t="str">
        <x:v>CU-0220</x:v>
      </x:c>
      <x:c r="C145" s="5" t="str">
        <x:v>AIFC Academy — Академия МФЦА</x:v>
      </x:c>
      <x:c r="D145" s="5" t="str">
        <x:v>KZ</x:v>
      </x:c>
      <x:c r="E145" s="5" t="str">
        <x:v>Новые программы</x:v>
      </x:c>
      <x:c r="F145" s="5" t="str">
        <x:v>"AIFC" ("кадровый резерв" OR "электронный курс" OR "развитие руководителей")</x:v>
      </x:c>
      <x:c r="G145" s="5" t="str">
        <x:v>Ранний сигнал и предметный пробел; не подтвержденный заказ.</x:v>
      </x:c>
      <x:c r="H145" s="5" t="str">
        <x:v>not_run</x:v>
      </x:c>
    </x:row>
    <x:row r="146" ht="25.5" customHeight="1">
      <x:c r="A146" s="5" t="str">
        <x:v>CU-0225-DISCOVER</x:v>
      </x:c>
      <x:c r="B146" s="5" t="str">
        <x:v>CU-0225</x:v>
      </x:c>
      <x:c r="C146" s="5" t="str">
        <x:v>Forte Academy — Корпоративная академия ForteBank</x:v>
      </x:c>
      <x:c r="D146" s="5" t="str">
        <x:v>KZ</x:v>
      </x:c>
      <x:c r="E146" s="5" t="str">
        <x:v>Новые каналы</x:v>
      </x:c>
      <x:c r="F146" s="5" t="str">
        <x:v>"ForteBank" (университет OR академия OR "учебный центр" OR обучение)</x:v>
      </x:c>
      <x:c r="G146" s="5" t="str">
        <x:v>Имена, подразделения и дополнительные официальные адреса.</x:v>
      </x:c>
      <x:c r="H146" s="5" t="str">
        <x:v>not_run</x:v>
      </x:c>
    </x:row>
    <x:row r="147" ht="25.5" customHeight="1">
      <x:c r="A147" s="5" t="str">
        <x:v>CU-0225-BUY</x:v>
      </x:c>
      <x:c r="B147" s="5" t="str">
        <x:v>CU-0225</x:v>
      </x:c>
      <x:c r="C147" s="5" t="str">
        <x:v>Forte Academy — Корпоративная академия ForteBank</x:v>
      </x:c>
      <x:c r="D147" s="5" t="str">
        <x:v>KZ</x:v>
      </x:c>
      <x:c r="E147" s="5" t="str">
        <x:v>Закупки и отбор</x:v>
      </x:c>
      <x:c r="F147" s="5" t="str">
        <x:v>"ForteBank" (обучение OR тренинг OR семинар) (закупки OR "запрос предложений" OR поставщик)</x:v>
      </x:c>
      <x:c r="G147" s="5" t="str">
        <x:v>Найти конкретную карточку и приложения; запрос не доказывает спрос.</x:v>
      </x:c>
      <x:c r="H147" s="5" t="str">
        <x:v>not_run</x:v>
      </x:c>
    </x:row>
    <x:row r="148" ht="25.5" customHeight="1">
      <x:c r="A148" s="5" t="str">
        <x:v>CU-0225-EXPERT</x:v>
      </x:c>
      <x:c r="B148" s="5" t="str">
        <x:v>CU-0225</x:v>
      </x:c>
      <x:c r="C148" s="5" t="str">
        <x:v>Forte Academy — Корпоративная академия ForteBank</x:v>
      </x:c>
      <x:c r="D148" s="5" t="str">
        <x:v>KZ</x:v>
      </x:c>
      <x:c r="E148" s="5" t="str">
        <x:v>Эксперты и партнеры</x:v>
      </x:c>
      <x:c r="F148" s="5" t="str">
        <x:v>"ForteBank" (преподаватель OR эксперт OR провайдер OR партнерство)</x:v>
      </x:c>
      <x:c r="G148" s="5" t="str">
        <x:v>Уточнить кто платит и какой вход для внешнего исполнителя.</x:v>
      </x:c>
      <x:c r="H148" s="5" t="str">
        <x:v>not_run</x:v>
      </x:c>
    </x:row>
    <x:row r="149" ht="25.5" customHeight="1">
      <x:c r="A149" s="5" t="str">
        <x:v>CU-0225-SIGNAL</x:v>
      </x:c>
      <x:c r="B149" s="5" t="str">
        <x:v>CU-0225</x:v>
      </x:c>
      <x:c r="C149" s="5" t="str">
        <x:v>Forte Academy — Корпоративная академия ForteBank</x:v>
      </x:c>
      <x:c r="D149" s="5" t="str">
        <x:v>KZ</x:v>
      </x:c>
      <x:c r="E149" s="5" t="str">
        <x:v>Новые программы</x:v>
      </x:c>
      <x:c r="F149" s="5" t="str">
        <x:v>"ForteBank" ("кадровый резерв" OR "электронный курс" OR "развитие руководителей")</x:v>
      </x:c>
      <x:c r="G149" s="5" t="str">
        <x:v>Ранний сигнал и предметный пробел; не подтвержденный заказ.</x:v>
      </x:c>
      <x:c r="H149" s="5" t="str">
        <x:v>not_run</x:v>
      </x:c>
    </x:row>
    <x:row r="150" ht="25.5" customHeight="1">
      <x:c r="A150" s="5" t="str">
        <x:v>CU-0190-DISCOVER</x:v>
      </x:c>
      <x:c r="B150" s="5" t="str">
        <x:v>CU-0190</x:v>
      </x:c>
      <x:c r="C150" s="5" t="str">
        <x:v>Корпоративный университет АО «КазНИИСА»</x:v>
      </x:c>
      <x:c r="D150" s="5" t="str">
        <x:v>KZ</x:v>
      </x:c>
      <x:c r="E150" s="5" t="str">
        <x:v>Новые каналы</x:v>
      </x:c>
      <x:c r="F150" s="5" t="str">
        <x:v>"КазНИИСА" (университет OR академия OR "учебный центр" OR обучение)</x:v>
      </x:c>
      <x:c r="G150" s="5" t="str">
        <x:v>Имена, подразделения и дополнительные официальные адреса.</x:v>
      </x:c>
      <x:c r="H150" s="5" t="str">
        <x:v>not_run</x:v>
      </x:c>
    </x:row>
    <x:row r="151" ht="25.5" customHeight="1">
      <x:c r="A151" s="5" t="str">
        <x:v>CU-0190-BUY</x:v>
      </x:c>
      <x:c r="B151" s="5" t="str">
        <x:v>CU-0190</x:v>
      </x:c>
      <x:c r="C151" s="5" t="str">
        <x:v>Корпоративный университет АО «КазНИИСА»</x:v>
      </x:c>
      <x:c r="D151" s="5" t="str">
        <x:v>KZ</x:v>
      </x:c>
      <x:c r="E151" s="5" t="str">
        <x:v>Закупки и отбор</x:v>
      </x:c>
      <x:c r="F151" s="5" t="str">
        <x:v>"КазНИИСА" (обучение OR тренинг OR семинар) (закупки OR "запрос предложений" OR поставщик)</x:v>
      </x:c>
      <x:c r="G151" s="5" t="str">
        <x:v>Найти конкретную карточку и приложения; запрос не доказывает спрос.</x:v>
      </x:c>
      <x:c r="H151" s="5" t="str">
        <x:v>not_run</x:v>
      </x:c>
    </x:row>
    <x:row r="152" ht="25.5" customHeight="1">
      <x:c r="A152" s="5" t="str">
        <x:v>CU-0190-EXPERT</x:v>
      </x:c>
      <x:c r="B152" s="5" t="str">
        <x:v>CU-0190</x:v>
      </x:c>
      <x:c r="C152" s="5" t="str">
        <x:v>Корпоративный университет АО «КазНИИСА»</x:v>
      </x:c>
      <x:c r="D152" s="5" t="str">
        <x:v>KZ</x:v>
      </x:c>
      <x:c r="E152" s="5" t="str">
        <x:v>Эксперты и партнеры</x:v>
      </x:c>
      <x:c r="F152" s="5" t="str">
        <x:v>"КазНИИСА" (преподаватель OR эксперт OR провайдер OR партнерство)</x:v>
      </x:c>
      <x:c r="G152" s="5" t="str">
        <x:v>Уточнить кто платит и какой вход для внешнего исполнителя.</x:v>
      </x:c>
      <x:c r="H152" s="5" t="str">
        <x:v>not_run</x:v>
      </x:c>
    </x:row>
    <x:row r="153" ht="25.5" customHeight="1">
      <x:c r="A153" s="5" t="str">
        <x:v>CU-0190-SIGNAL</x:v>
      </x:c>
      <x:c r="B153" s="5" t="str">
        <x:v>CU-0190</x:v>
      </x:c>
      <x:c r="C153" s="5" t="str">
        <x:v>Корпоративный университет АО «КазНИИСА»</x:v>
      </x:c>
      <x:c r="D153" s="5" t="str">
        <x:v>KZ</x:v>
      </x:c>
      <x:c r="E153" s="5" t="str">
        <x:v>Новые программы</x:v>
      </x:c>
      <x:c r="F153" s="5" t="str">
        <x:v>"КазНИИСА" ("кадровый резерв" OR "электронный курс" OR "развитие руководителей")</x:v>
      </x:c>
      <x:c r="G153" s="5" t="str">
        <x:v>Ранний сигнал и предметный пробел; не подтвержденный заказ.</x:v>
      </x:c>
      <x:c r="H153" s="5" t="str">
        <x:v>not_run</x:v>
      </x:c>
    </x:row>
    <x:row r="154" ht="25.5" customHeight="1">
      <x:c r="A154" s="5" t="str">
        <x:v>CU-0195-DISCOVER</x:v>
      </x:c>
      <x:c r="B154" s="5" t="str">
        <x:v>CU-0195</x:v>
      </x:c>
      <x:c r="C154" s="5" t="str">
        <x:v>Учебный центр АО «АК Алтыналмас»</x:v>
      </x:c>
      <x:c r="D154" s="5" t="str">
        <x:v>KZ</x:v>
      </x:c>
      <x:c r="E154" s="5" t="str">
        <x:v>Новые каналы</x:v>
      </x:c>
      <x:c r="F154" s="5" t="str">
        <x:v>"Алтыналмас" (университет OR академия OR "учебный центр" OR обучение)</x:v>
      </x:c>
      <x:c r="G154" s="5" t="str">
        <x:v>Имена, подразделения и дополнительные официальные адреса.</x:v>
      </x:c>
      <x:c r="H154" s="5" t="str">
        <x:v>not_run</x:v>
      </x:c>
    </x:row>
    <x:row r="155" ht="25.5" customHeight="1">
      <x:c r="A155" s="5" t="str">
        <x:v>CU-0195-BUY</x:v>
      </x:c>
      <x:c r="B155" s="5" t="str">
        <x:v>CU-0195</x:v>
      </x:c>
      <x:c r="C155" s="5" t="str">
        <x:v>Учебный центр АО «АК Алтыналмас»</x:v>
      </x:c>
      <x:c r="D155" s="5" t="str">
        <x:v>KZ</x:v>
      </x:c>
      <x:c r="E155" s="5" t="str">
        <x:v>Закупки и отбор</x:v>
      </x:c>
      <x:c r="F155" s="5" t="str">
        <x:v>"Алтыналмас" (обучение OR тренинг OR семинар) (закупки OR "запрос предложений" OR поставщик)</x:v>
      </x:c>
      <x:c r="G155" s="5" t="str">
        <x:v>Найти конкретную карточку и приложения; запрос не доказывает спрос.</x:v>
      </x:c>
      <x:c r="H155" s="5" t="str">
        <x:v>not_run</x:v>
      </x:c>
    </x:row>
    <x:row r="156" ht="25.5" customHeight="1">
      <x:c r="A156" s="5" t="str">
        <x:v>CU-0195-EXPERT</x:v>
      </x:c>
      <x:c r="B156" s="5" t="str">
        <x:v>CU-0195</x:v>
      </x:c>
      <x:c r="C156" s="5" t="str">
        <x:v>Учебный центр АО «АК Алтыналмас»</x:v>
      </x:c>
      <x:c r="D156" s="5" t="str">
        <x:v>KZ</x:v>
      </x:c>
      <x:c r="E156" s="5" t="str">
        <x:v>Эксперты и партнеры</x:v>
      </x:c>
      <x:c r="F156" s="5" t="str">
        <x:v>"Алтыналмас" (преподаватель OR эксперт OR провайдер OR партнерство)</x:v>
      </x:c>
      <x:c r="G156" s="5" t="str">
        <x:v>Уточнить кто платит и какой вход для внешнего исполнителя.</x:v>
      </x:c>
      <x:c r="H156" s="5" t="str">
        <x:v>not_run</x:v>
      </x:c>
    </x:row>
    <x:row r="157" ht="25.5" customHeight="1">
      <x:c r="A157" s="5" t="str">
        <x:v>CU-0195-SIGNAL</x:v>
      </x:c>
      <x:c r="B157" s="5" t="str">
        <x:v>CU-0195</x:v>
      </x:c>
      <x:c r="C157" s="5" t="str">
        <x:v>Учебный центр АО «АК Алтыналмас»</x:v>
      </x:c>
      <x:c r="D157" s="5" t="str">
        <x:v>KZ</x:v>
      </x:c>
      <x:c r="E157" s="5" t="str">
        <x:v>Новые программы</x:v>
      </x:c>
      <x:c r="F157" s="5" t="str">
        <x:v>"Алтыналмас" ("кадровый резерв" OR "электронный курс" OR "развитие руководителей")</x:v>
      </x:c>
      <x:c r="G157" s="5" t="str">
        <x:v>Ранний сигнал и предметный пробел; не подтвержденный заказ.</x:v>
      </x:c>
      <x:c r="H157" s="5" t="str">
        <x:v>not_run</x:v>
      </x:c>
    </x:row>
    <x:row r="158" ht="25.5" customHeight="1">
      <x:c r="A158" s="5" t="str">
        <x:v>CU-0199-DISCOVER</x:v>
      </x:c>
      <x:c r="B158" s="5" t="str">
        <x:v>CU-0199</x:v>
      </x:c>
      <x:c r="C158" s="5" t="str">
        <x:v>Учебно-курсовой комбинат Интергаз Центральная Азия</x:v>
      </x:c>
      <x:c r="D158" s="5" t="str">
        <x:v>KZ</x:v>
      </x:c>
      <x:c r="E158" s="5" t="str">
        <x:v>Новые каналы</x:v>
      </x:c>
      <x:c r="F158" s="5" t="str">
        <x:v>"QazaqGaz" (университет OR академия OR "учебный центр" OR обучение)</x:v>
      </x:c>
      <x:c r="G158" s="5" t="str">
        <x:v>Имена, подразделения и дополнительные официальные адреса.</x:v>
      </x:c>
      <x:c r="H158" s="5" t="str">
        <x:v>not_run</x:v>
      </x:c>
    </x:row>
    <x:row r="159" ht="25.5" customHeight="1">
      <x:c r="A159" s="5" t="str">
        <x:v>CU-0199-BUY</x:v>
      </x:c>
      <x:c r="B159" s="5" t="str">
        <x:v>CU-0199</x:v>
      </x:c>
      <x:c r="C159" s="5" t="str">
        <x:v>Учебно-курсовой комбинат Интергаз Центральная Азия</x:v>
      </x:c>
      <x:c r="D159" s="5" t="str">
        <x:v>KZ</x:v>
      </x:c>
      <x:c r="E159" s="5" t="str">
        <x:v>Закупки и отбор</x:v>
      </x:c>
      <x:c r="F159" s="5" t="str">
        <x:v>"QazaqGaz" (обучение OR тренинг OR семинар) (закупки OR "запрос предложений" OR поставщик)</x:v>
      </x:c>
      <x:c r="G159" s="5" t="str">
        <x:v>Найти конкретную карточку и приложения; запрос не доказывает спрос.</x:v>
      </x:c>
      <x:c r="H159" s="5" t="str">
        <x:v>not_run</x:v>
      </x:c>
    </x:row>
    <x:row r="160" ht="25.5" customHeight="1">
      <x:c r="A160" s="5" t="str">
        <x:v>CU-0199-EXPERT</x:v>
      </x:c>
      <x:c r="B160" s="5" t="str">
        <x:v>CU-0199</x:v>
      </x:c>
      <x:c r="C160" s="5" t="str">
        <x:v>Учебно-курсовой комбинат Интергаз Центральная Азия</x:v>
      </x:c>
      <x:c r="D160" s="5" t="str">
        <x:v>KZ</x:v>
      </x:c>
      <x:c r="E160" s="5" t="str">
        <x:v>Эксперты и партнеры</x:v>
      </x:c>
      <x:c r="F160" s="5" t="str">
        <x:v>"QazaqGaz" (преподаватель OR эксперт OR провайдер OR партнерство)</x:v>
      </x:c>
      <x:c r="G160" s="5" t="str">
        <x:v>Уточнить кто платит и какой вход для внешнего исполнителя.</x:v>
      </x:c>
      <x:c r="H160" s="5" t="str">
        <x:v>not_run</x:v>
      </x:c>
    </x:row>
    <x:row r="161" ht="25.5" customHeight="1">
      <x:c r="A161" s="5" t="str">
        <x:v>CU-0199-SIGNAL</x:v>
      </x:c>
      <x:c r="B161" s="5" t="str">
        <x:v>CU-0199</x:v>
      </x:c>
      <x:c r="C161" s="5" t="str">
        <x:v>Учебно-курсовой комбинат Интергаз Центральная Азия</x:v>
      </x:c>
      <x:c r="D161" s="5" t="str">
        <x:v>KZ</x:v>
      </x:c>
      <x:c r="E161" s="5" t="str">
        <x:v>Новые программы</x:v>
      </x:c>
      <x:c r="F161" s="5" t="str">
        <x:v>"QazaqGaz" ("кадровый резерв" OR "электронный курс" OR "развитие руководителей")</x:v>
      </x:c>
      <x:c r="G161" s="5" t="str">
        <x:v>Ранний сигнал и предметный пробел; не подтвержденный заказ.</x:v>
      </x:c>
      <x:c r="H161" s="5" t="str">
        <x:v>not_run</x:v>
      </x:c>
    </x:row>
    <x:row r="162" ht="25.5" customHeight="1">
      <x:c r="A162" s="5" t="str">
        <x:v>CU-0200-DISCOVER</x:v>
      </x:c>
      <x:c r="B162" s="5" t="str">
        <x:v>CU-0200</x:v>
      </x:c>
      <x:c r="C162" s="5" t="str">
        <x:v>Air Astana Training Centre / Flight Training Centre</x:v>
      </x:c>
      <x:c r="D162" s="5" t="str">
        <x:v>KZ</x:v>
      </x:c>
      <x:c r="E162" s="5" t="str">
        <x:v>Новые каналы</x:v>
      </x:c>
      <x:c r="F162" s="5" t="str">
        <x:v>"Air Astana" (университет OR академия OR "учебный центр" OR обучение)</x:v>
      </x:c>
      <x:c r="G162" s="5" t="str">
        <x:v>Имена, подразделения и дополнительные официальные адреса.</x:v>
      </x:c>
      <x:c r="H162" s="5" t="str">
        <x:v>not_run</x:v>
      </x:c>
    </x:row>
    <x:row r="163" ht="25.5" customHeight="1">
      <x:c r="A163" s="5" t="str">
        <x:v>CU-0200-BUY</x:v>
      </x:c>
      <x:c r="B163" s="5" t="str">
        <x:v>CU-0200</x:v>
      </x:c>
      <x:c r="C163" s="5" t="str">
        <x:v>Air Astana Training Centre / Flight Training Centre</x:v>
      </x:c>
      <x:c r="D163" s="5" t="str">
        <x:v>KZ</x:v>
      </x:c>
      <x:c r="E163" s="5" t="str">
        <x:v>Закупки и отбор</x:v>
      </x:c>
      <x:c r="F163" s="5" t="str">
        <x:v>"Air Astana" (обучение OR тренинг OR семинар) (закупки OR "запрос предложений" OR поставщик)</x:v>
      </x:c>
      <x:c r="G163" s="5" t="str">
        <x:v>Найти конкретную карточку и приложения; запрос не доказывает спрос.</x:v>
      </x:c>
      <x:c r="H163" s="5" t="str">
        <x:v>not_run</x:v>
      </x:c>
    </x:row>
    <x:row r="164" ht="25.5" customHeight="1">
      <x:c r="A164" s="5" t="str">
        <x:v>CU-0200-EXPERT</x:v>
      </x:c>
      <x:c r="B164" s="5" t="str">
        <x:v>CU-0200</x:v>
      </x:c>
      <x:c r="C164" s="5" t="str">
        <x:v>Air Astana Training Centre / Flight Training Centre</x:v>
      </x:c>
      <x:c r="D164" s="5" t="str">
        <x:v>KZ</x:v>
      </x:c>
      <x:c r="E164" s="5" t="str">
        <x:v>Эксперты и партнеры</x:v>
      </x:c>
      <x:c r="F164" s="5" t="str">
        <x:v>"Air Astana" (преподаватель OR эксперт OR провайдер OR партнерство)</x:v>
      </x:c>
      <x:c r="G164" s="5" t="str">
        <x:v>Уточнить кто платит и какой вход для внешнего исполнителя.</x:v>
      </x:c>
      <x:c r="H164" s="5" t="str">
        <x:v>not_run</x:v>
      </x:c>
    </x:row>
    <x:row r="165" ht="25.5" customHeight="1">
      <x:c r="A165" s="5" t="str">
        <x:v>CU-0200-SIGNAL</x:v>
      </x:c>
      <x:c r="B165" s="5" t="str">
        <x:v>CU-0200</x:v>
      </x:c>
      <x:c r="C165" s="5" t="str">
        <x:v>Air Astana Training Centre / Flight Training Centre</x:v>
      </x:c>
      <x:c r="D165" s="5" t="str">
        <x:v>KZ</x:v>
      </x:c>
      <x:c r="E165" s="5" t="str">
        <x:v>Новые программы</x:v>
      </x:c>
      <x:c r="F165" s="5" t="str">
        <x:v>"Air Astana" ("кадровый резерв" OR "электронный курс" OR "развитие руководителей")</x:v>
      </x:c>
      <x:c r="G165" s="5" t="str">
        <x:v>Ранний сигнал и предметный пробел; не подтвержденный заказ.</x:v>
      </x:c>
      <x:c r="H165" s="5" t="str">
        <x:v>not_run</x:v>
      </x:c>
    </x:row>
    <x:row r="166" ht="25.5" customHeight="1">
      <x:c r="A166" s="5" t="str">
        <x:v>CU-0201-DISCOVER</x:v>
      </x:c>
      <x:c r="B166" s="5" t="str">
        <x:v>CU-0201</x:v>
      </x:c>
      <x:c r="C166" s="5" t="str">
        <x:v>Авиационный учебный центр SCAT</x:v>
      </x:c>
      <x:c r="D166" s="5" t="str">
        <x:v>KZ</x:v>
      </x:c>
      <x:c r="E166" s="5" t="str">
        <x:v>Новые каналы</x:v>
      </x:c>
      <x:c r="F166" s="5" t="str">
        <x:v>"SCAT" (университет OR академия OR "учебный центр" OR обучение)</x:v>
      </x:c>
      <x:c r="G166" s="5" t="str">
        <x:v>Имена, подразделения и дополнительные официальные адреса.</x:v>
      </x:c>
      <x:c r="H166" s="5" t="str">
        <x:v>not_run</x:v>
      </x:c>
    </x:row>
    <x:row r="167" ht="25.5" customHeight="1">
      <x:c r="A167" s="5" t="str">
        <x:v>CU-0201-BUY</x:v>
      </x:c>
      <x:c r="B167" s="5" t="str">
        <x:v>CU-0201</x:v>
      </x:c>
      <x:c r="C167" s="5" t="str">
        <x:v>Авиационный учебный центр SCAT</x:v>
      </x:c>
      <x:c r="D167" s="5" t="str">
        <x:v>KZ</x:v>
      </x:c>
      <x:c r="E167" s="5" t="str">
        <x:v>Закупки и отбор</x:v>
      </x:c>
      <x:c r="F167" s="5" t="str">
        <x:v>"SCAT" (обучение OR тренинг OR семинар) (закупки OR "запрос предложений" OR поставщик)</x:v>
      </x:c>
      <x:c r="G167" s="5" t="str">
        <x:v>Найти конкретную карточку и приложения; запрос не доказывает спрос.</x:v>
      </x:c>
      <x:c r="H167" s="5" t="str">
        <x:v>not_run</x:v>
      </x:c>
    </x:row>
    <x:row r="168" ht="25.5" customHeight="1">
      <x:c r="A168" s="5" t="str">
        <x:v>CU-0201-EXPERT</x:v>
      </x:c>
      <x:c r="B168" s="5" t="str">
        <x:v>CU-0201</x:v>
      </x:c>
      <x:c r="C168" s="5" t="str">
        <x:v>Авиационный учебный центр SCAT</x:v>
      </x:c>
      <x:c r="D168" s="5" t="str">
        <x:v>KZ</x:v>
      </x:c>
      <x:c r="E168" s="5" t="str">
        <x:v>Эксперты и партнеры</x:v>
      </x:c>
      <x:c r="F168" s="5" t="str">
        <x:v>"SCAT" (преподаватель OR эксперт OR провайдер OR партнерство)</x:v>
      </x:c>
      <x:c r="G168" s="5" t="str">
        <x:v>Уточнить кто платит и какой вход для внешнего исполнителя.</x:v>
      </x:c>
      <x:c r="H168" s="5" t="str">
        <x:v>not_run</x:v>
      </x:c>
    </x:row>
    <x:row r="169" ht="25.5" customHeight="1">
      <x:c r="A169" s="5" t="str">
        <x:v>CU-0201-SIGNAL</x:v>
      </x:c>
      <x:c r="B169" s="5" t="str">
        <x:v>CU-0201</x:v>
      </x:c>
      <x:c r="C169" s="5" t="str">
        <x:v>Авиационный учебный центр SCAT</x:v>
      </x:c>
      <x:c r="D169" s="5" t="str">
        <x:v>KZ</x:v>
      </x:c>
      <x:c r="E169" s="5" t="str">
        <x:v>Новые программы</x:v>
      </x:c>
      <x:c r="F169" s="5" t="str">
        <x:v>"SCAT" ("кадровый резерв" OR "электронный курс" OR "развитие руководителей")</x:v>
      </x:c>
      <x:c r="G169" s="5" t="str">
        <x:v>Ранний сигнал и предметный пробел; не подтвержденный заказ.</x:v>
      </x:c>
      <x:c r="H169" s="5" t="str">
        <x:v>not_run</x:v>
      </x:c>
    </x:row>
    <x:row r="170" ht="25.5" customHeight="1">
      <x:c r="A170" s="5" t="str">
        <x:v>CU-0202-DISCOVER</x:v>
      </x:c>
      <x:c r="B170" s="5" t="str">
        <x:v>CU-0202</x:v>
      </x:c>
      <x:c r="C170" s="5" t="str">
        <x:v>Центр профессиональной подготовки Казаэронавигации</x:v>
      </x:c>
      <x:c r="D170" s="5" t="str">
        <x:v>KZ</x:v>
      </x:c>
      <x:c r="E170" s="5" t="str">
        <x:v>Новые каналы</x:v>
      </x:c>
      <x:c r="F170" s="5" t="str">
        <x:v>"Казаэронавигация" (университет OR академия OR "учебный центр" OR обучение)</x:v>
      </x:c>
      <x:c r="G170" s="5" t="str">
        <x:v>Имена, подразделения и дополнительные официальные адреса.</x:v>
      </x:c>
      <x:c r="H170" s="5" t="str">
        <x:v>not_run</x:v>
      </x:c>
    </x:row>
    <x:row r="171" ht="25.5" customHeight="1">
      <x:c r="A171" s="5" t="str">
        <x:v>CU-0202-BUY</x:v>
      </x:c>
      <x:c r="B171" s="5" t="str">
        <x:v>CU-0202</x:v>
      </x:c>
      <x:c r="C171" s="5" t="str">
        <x:v>Центр профессиональной подготовки Казаэронавигации</x:v>
      </x:c>
      <x:c r="D171" s="5" t="str">
        <x:v>KZ</x:v>
      </x:c>
      <x:c r="E171" s="5" t="str">
        <x:v>Закупки и отбор</x:v>
      </x:c>
      <x:c r="F171" s="5" t="str">
        <x:v>"Казаэронавигация" (обучение OR тренинг OR семинар) (закупки OR "запрос предложений" OR поставщик)</x:v>
      </x:c>
      <x:c r="G171" s="5" t="str">
        <x:v>Найти конкретную карточку и приложения; запрос не доказывает спрос.</x:v>
      </x:c>
      <x:c r="H171" s="5" t="str">
        <x:v>not_run</x:v>
      </x:c>
    </x:row>
    <x:row r="172" ht="25.5" customHeight="1">
      <x:c r="A172" s="5" t="str">
        <x:v>CU-0202-EXPERT</x:v>
      </x:c>
      <x:c r="B172" s="5" t="str">
        <x:v>CU-0202</x:v>
      </x:c>
      <x:c r="C172" s="5" t="str">
        <x:v>Центр профессиональной подготовки Казаэронавигации</x:v>
      </x:c>
      <x:c r="D172" s="5" t="str">
        <x:v>KZ</x:v>
      </x:c>
      <x:c r="E172" s="5" t="str">
        <x:v>Эксперты и партнеры</x:v>
      </x:c>
      <x:c r="F172" s="5" t="str">
        <x:v>"Казаэронавигация" (преподаватель OR эксперт OR провайдер OR партнерство)</x:v>
      </x:c>
      <x:c r="G172" s="5" t="str">
        <x:v>Уточнить кто платит и какой вход для внешнего исполнителя.</x:v>
      </x:c>
      <x:c r="H172" s="5" t="str">
        <x:v>not_run</x:v>
      </x:c>
    </x:row>
    <x:row r="173" ht="25.5" customHeight="1">
      <x:c r="A173" s="5" t="str">
        <x:v>CU-0202-SIGNAL</x:v>
      </x:c>
      <x:c r="B173" s="5" t="str">
        <x:v>CU-0202</x:v>
      </x:c>
      <x:c r="C173" s="5" t="str">
        <x:v>Центр профессиональной подготовки Казаэронавигации</x:v>
      </x:c>
      <x:c r="D173" s="5" t="str">
        <x:v>KZ</x:v>
      </x:c>
      <x:c r="E173" s="5" t="str">
        <x:v>Новые программы</x:v>
      </x:c>
      <x:c r="F173" s="5" t="str">
        <x:v>"Казаэронавигация" ("кадровый резерв" OR "электронный курс" OR "развитие руководителей")</x:v>
      </x:c>
      <x:c r="G173" s="5" t="str">
        <x:v>Ранний сигнал и предметный пробел; не подтвержденный заказ.</x:v>
      </x:c>
      <x:c r="H173" s="5" t="str">
        <x:v>not_run</x:v>
      </x:c>
    </x:row>
    <x:row r="174" ht="25.5" customHeight="1">
      <x:c r="A174" s="5" t="str">
        <x:v>CU-0203-DISCOVER</x:v>
      </x:c>
      <x:c r="B174" s="5" t="str">
        <x:v>CU-0203</x:v>
      </x:c>
      <x:c r="C174" s="5" t="str">
        <x:v>Airbus Helicopters Training Academy Kazakhstan</x:v>
      </x:c>
      <x:c r="D174" s="5" t="str">
        <x:v>KZ</x:v>
      </x:c>
      <x:c r="E174" s="5" t="str">
        <x:v>Новые каналы</x:v>
      </x:c>
      <x:c r="F174" s="5" t="str">
        <x:v>"Airbus / Kazakhstan Engineering" (университет OR академия OR "учебный центр" OR обучение)</x:v>
      </x:c>
      <x:c r="G174" s="5" t="str">
        <x:v>Имена, подразделения и дополнительные официальные адреса.</x:v>
      </x:c>
      <x:c r="H174" s="5" t="str">
        <x:v>not_run</x:v>
      </x:c>
    </x:row>
    <x:row r="175" ht="25.5" customHeight="1">
      <x:c r="A175" s="5" t="str">
        <x:v>CU-0203-BUY</x:v>
      </x:c>
      <x:c r="B175" s="5" t="str">
        <x:v>CU-0203</x:v>
      </x:c>
      <x:c r="C175" s="5" t="str">
        <x:v>Airbus Helicopters Training Academy Kazakhstan</x:v>
      </x:c>
      <x:c r="D175" s="5" t="str">
        <x:v>KZ</x:v>
      </x:c>
      <x:c r="E175" s="5" t="str">
        <x:v>Закупки и отбор</x:v>
      </x:c>
      <x:c r="F175" s="5" t="str">
        <x:v>"Airbus / Kazakhstan Engineering" (обучение OR тренинг OR семинар) (закупки OR "запрос предложений" OR поставщик)</x:v>
      </x:c>
      <x:c r="G175" s="5" t="str">
        <x:v>Найти конкретную карточку и приложения; запрос не доказывает спрос.</x:v>
      </x:c>
      <x:c r="H175" s="5" t="str">
        <x:v>not_run</x:v>
      </x:c>
    </x:row>
    <x:row r="176" ht="25.5" customHeight="1">
      <x:c r="A176" s="5" t="str">
        <x:v>CU-0203-EXPERT</x:v>
      </x:c>
      <x:c r="B176" s="5" t="str">
        <x:v>CU-0203</x:v>
      </x:c>
      <x:c r="C176" s="5" t="str">
        <x:v>Airbus Helicopters Training Academy Kazakhstan</x:v>
      </x:c>
      <x:c r="D176" s="5" t="str">
        <x:v>KZ</x:v>
      </x:c>
      <x:c r="E176" s="5" t="str">
        <x:v>Эксперты и партнеры</x:v>
      </x:c>
      <x:c r="F176" s="5" t="str">
        <x:v>"Airbus / Kazakhstan Engineering" (преподаватель OR эксперт OR провайдер OR партнерство)</x:v>
      </x:c>
      <x:c r="G176" s="5" t="str">
        <x:v>Уточнить кто платит и какой вход для внешнего исполнителя.</x:v>
      </x:c>
      <x:c r="H176" s="5" t="str">
        <x:v>not_run</x:v>
      </x:c>
    </x:row>
    <x:row r="177" ht="25.5" customHeight="1">
      <x:c r="A177" s="5" t="str">
        <x:v>CU-0203-SIGNAL</x:v>
      </x:c>
      <x:c r="B177" s="5" t="str">
        <x:v>CU-0203</x:v>
      </x:c>
      <x:c r="C177" s="5" t="str">
        <x:v>Airbus Helicopters Training Academy Kazakhstan</x:v>
      </x:c>
      <x:c r="D177" s="5" t="str">
        <x:v>KZ</x:v>
      </x:c>
      <x:c r="E177" s="5" t="str">
        <x:v>Новые программы</x:v>
      </x:c>
      <x:c r="F177" s="5" t="str">
        <x:v>"Airbus / Kazakhstan Engineering" ("кадровый резерв" OR "электронный курс" OR "развитие руководителей")</x:v>
      </x:c>
      <x:c r="G177" s="5" t="str">
        <x:v>Ранний сигнал и предметный пробел; не подтвержденный заказ.</x:v>
      </x:c>
      <x:c r="H177" s="5" t="str">
        <x:v>not_run</x:v>
      </x:c>
    </x:row>
    <x:row r="178" ht="25.5" customHeight="1">
      <x:c r="A178" s="5" t="str">
        <x:v>CU-0204-DISCOVER</x:v>
      </x:c>
      <x:c r="B178" s="5" t="str">
        <x:v>CU-0204</x:v>
      </x:c>
      <x:c r="C178" s="5" t="str">
        <x:v>Учебный центр КазТрансОйл в Актау</x:v>
      </x:c>
      <x:c r="D178" s="5" t="str">
        <x:v>KZ</x:v>
      </x:c>
      <x:c r="E178" s="5" t="str">
        <x:v>Новые каналы</x:v>
      </x:c>
      <x:c r="F178" s="5" t="str">
        <x:v>"КазМунайГаз" (университет OR академия OR "учебный центр" OR обучение)</x:v>
      </x:c>
      <x:c r="G178" s="5" t="str">
        <x:v>Имена, подразделения и дополнительные официальные адреса.</x:v>
      </x:c>
      <x:c r="H178" s="5" t="str">
        <x:v>not_run</x:v>
      </x:c>
    </x:row>
    <x:row r="179" ht="25.5" customHeight="1">
      <x:c r="A179" s="5" t="str">
        <x:v>CU-0204-BUY</x:v>
      </x:c>
      <x:c r="B179" s="5" t="str">
        <x:v>CU-0204</x:v>
      </x:c>
      <x:c r="C179" s="5" t="str">
        <x:v>Учебный центр КазТрансОйл в Актау</x:v>
      </x:c>
      <x:c r="D179" s="5" t="str">
        <x:v>KZ</x:v>
      </x:c>
      <x:c r="E179" s="5" t="str">
        <x:v>Закупки и отбор</x:v>
      </x:c>
      <x:c r="F179" s="5" t="str">
        <x:v>"КазМунайГаз" (обучение OR тренинг OR семинар) (закупки OR "запрос предложений" OR поставщик)</x:v>
      </x:c>
      <x:c r="G179" s="5" t="str">
        <x:v>Найти конкретную карточку и приложения; запрос не доказывает спрос.</x:v>
      </x:c>
      <x:c r="H179" s="5" t="str">
        <x:v>not_run</x:v>
      </x:c>
    </x:row>
    <x:row r="180" ht="25.5" customHeight="1">
      <x:c r="A180" s="5" t="str">
        <x:v>CU-0204-EXPERT</x:v>
      </x:c>
      <x:c r="B180" s="5" t="str">
        <x:v>CU-0204</x:v>
      </x:c>
      <x:c r="C180" s="5" t="str">
        <x:v>Учебный центр КазТрансОйл в Актау</x:v>
      </x:c>
      <x:c r="D180" s="5" t="str">
        <x:v>KZ</x:v>
      </x:c>
      <x:c r="E180" s="5" t="str">
        <x:v>Эксперты и партнеры</x:v>
      </x:c>
      <x:c r="F180" s="5" t="str">
        <x:v>"КазМунайГаз" (преподаватель OR эксперт OR провайдер OR партнерство)</x:v>
      </x:c>
      <x:c r="G180" s="5" t="str">
        <x:v>Уточнить кто платит и какой вход для внешнего исполнителя.</x:v>
      </x:c>
      <x:c r="H180" s="5" t="str">
        <x:v>not_run</x:v>
      </x:c>
    </x:row>
    <x:row r="181" ht="25.5" customHeight="1">
      <x:c r="A181" s="5" t="str">
        <x:v>CU-0204-SIGNAL</x:v>
      </x:c>
      <x:c r="B181" s="5" t="str">
        <x:v>CU-0204</x:v>
      </x:c>
      <x:c r="C181" s="5" t="str">
        <x:v>Учебный центр КазТрансОйл в Актау</x:v>
      </x:c>
      <x:c r="D181" s="5" t="str">
        <x:v>KZ</x:v>
      </x:c>
      <x:c r="E181" s="5" t="str">
        <x:v>Новые программы</x:v>
      </x:c>
      <x:c r="F181" s="5" t="str">
        <x:v>"КазМунайГаз" ("кадровый резерв" OR "электронный курс" OR "развитие руководителей")</x:v>
      </x:c>
      <x:c r="G181" s="5" t="str">
        <x:v>Ранний сигнал и предметный пробел; не подтвержденный заказ.</x:v>
      </x:c>
      <x:c r="H181" s="5" t="str">
        <x:v>not_run</x:v>
      </x:c>
    </x:row>
    <x:row r="182" ht="25.5" customHeight="1">
      <x:c r="A182" s="5" t="str">
        <x:v>CU-0205-DISCOVER</x:v>
      </x:c>
      <x:c r="B182" s="5" t="str">
        <x:v>CU-0205</x:v>
      </x:c>
      <x:c r="C182" s="5" t="str">
        <x:v>Учебный центр KMG Automation</x:v>
      </x:c>
      <x:c r="D182" s="5" t="str">
        <x:v>KZ</x:v>
      </x:c>
      <x:c r="E182" s="5" t="str">
        <x:v>Новые каналы</x:v>
      </x:c>
      <x:c r="F182" s="5" t="str">
        <x:v>"KMG Automation / Schneider Electric Systems" (университет OR академия OR "учебный центр" OR обучение)</x:v>
      </x:c>
      <x:c r="G182" s="5" t="str">
        <x:v>Имена, подразделения и дополнительные официальные адреса.</x:v>
      </x:c>
      <x:c r="H182" s="5" t="str">
        <x:v>not_run</x:v>
      </x:c>
    </x:row>
    <x:row r="183" ht="31.5" customHeight="1">
      <x:c r="A183" s="5" t="str">
        <x:v>CU-0205-BUY</x:v>
      </x:c>
      <x:c r="B183" s="5" t="str">
        <x:v>CU-0205</x:v>
      </x:c>
      <x:c r="C183" s="5" t="str">
        <x:v>Учебный центр KMG Automation</x:v>
      </x:c>
      <x:c r="D183" s="5" t="str">
        <x:v>KZ</x:v>
      </x:c>
      <x:c r="E183" s="5" t="str">
        <x:v>Закупки и отбор</x:v>
      </x:c>
      <x:c r="F183" s="5" t="str">
        <x:v>"KMG Automation / Schneider Electric Systems" (обучение OR тренинг OR семинар) (закупки OR "запрос предложений" OR поставщик)</x:v>
      </x:c>
      <x:c r="G183" s="5" t="str">
        <x:v>Найти конкретную карточку и приложения; запрос не доказывает спрос.</x:v>
      </x:c>
      <x:c r="H183" s="5" t="str">
        <x:v>not_run</x:v>
      </x:c>
    </x:row>
    <x:row r="184" ht="25.5" customHeight="1">
      <x:c r="A184" s="5" t="str">
        <x:v>CU-0205-EXPERT</x:v>
      </x:c>
      <x:c r="B184" s="5" t="str">
        <x:v>CU-0205</x:v>
      </x:c>
      <x:c r="C184" s="5" t="str">
        <x:v>Учебный центр KMG Automation</x:v>
      </x:c>
      <x:c r="D184" s="5" t="str">
        <x:v>KZ</x:v>
      </x:c>
      <x:c r="E184" s="5" t="str">
        <x:v>Эксперты и партнеры</x:v>
      </x:c>
      <x:c r="F184" s="5" t="str">
        <x:v>"KMG Automation / Schneider Electric Systems" (преподаватель OR эксперт OR провайдер OR партнерство)</x:v>
      </x:c>
      <x:c r="G184" s="5" t="str">
        <x:v>Уточнить кто платит и какой вход для внешнего исполнителя.</x:v>
      </x:c>
      <x:c r="H184" s="5" t="str">
        <x:v>not_run</x:v>
      </x:c>
    </x:row>
    <x:row r="185" ht="25.5" customHeight="1">
      <x:c r="A185" s="5" t="str">
        <x:v>CU-0205-SIGNAL</x:v>
      </x:c>
      <x:c r="B185" s="5" t="str">
        <x:v>CU-0205</x:v>
      </x:c>
      <x:c r="C185" s="5" t="str">
        <x:v>Учебный центр KMG Automation</x:v>
      </x:c>
      <x:c r="D185" s="5" t="str">
        <x:v>KZ</x:v>
      </x:c>
      <x:c r="E185" s="5" t="str">
        <x:v>Новые программы</x:v>
      </x:c>
      <x:c r="F185" s="5" t="str">
        <x:v>"KMG Automation / Schneider Electric Systems" ("кадровый резерв" OR "электронный курс" OR "развитие руководителей")</x:v>
      </x:c>
      <x:c r="G185" s="5" t="str">
        <x:v>Ранний сигнал и предметный пробел; не подтвержденный заказ.</x:v>
      </x:c>
      <x:c r="H185" s="5" t="str">
        <x:v>not_run</x:v>
      </x:c>
    </x:row>
    <x:row r="186" ht="25.5" customHeight="1">
      <x:c r="A186" s="5" t="str">
        <x:v>CU-0206-DISCOVER</x:v>
      </x:c>
      <x:c r="B186" s="5" t="str">
        <x:v>CU-0206</x:v>
      </x:c>
      <x:c r="C186" s="5" t="str">
        <x:v>Учебный центр ПНХЗ</x:v>
      </x:c>
      <x:c r="D186" s="5" t="str">
        <x:v>KZ</x:v>
      </x:c>
      <x:c r="E186" s="5" t="str">
        <x:v>Новые каналы</x:v>
      </x:c>
      <x:c r="F186" s="5" t="str">
        <x:v>"КазМунайГаз" (университет OR академия OR "учебный центр" OR обучение)</x:v>
      </x:c>
      <x:c r="G186" s="5" t="str">
        <x:v>Имена, подразделения и дополнительные официальные адреса.</x:v>
      </x:c>
      <x:c r="H186" s="5" t="str">
        <x:v>not_run</x:v>
      </x:c>
    </x:row>
    <x:row r="187" ht="25.5" customHeight="1">
      <x:c r="A187" s="5" t="str">
        <x:v>CU-0206-BUY</x:v>
      </x:c>
      <x:c r="B187" s="5" t="str">
        <x:v>CU-0206</x:v>
      </x:c>
      <x:c r="C187" s="5" t="str">
        <x:v>Учебный центр ПНХЗ</x:v>
      </x:c>
      <x:c r="D187" s="5" t="str">
        <x:v>KZ</x:v>
      </x:c>
      <x:c r="E187" s="5" t="str">
        <x:v>Закупки и отбор</x:v>
      </x:c>
      <x:c r="F187" s="5" t="str">
        <x:v>"КазМунайГаз" (обучение OR тренинг OR семинар) (закупки OR "запрос предложений" OR поставщик)</x:v>
      </x:c>
      <x:c r="G187" s="5" t="str">
        <x:v>Найти конкретную карточку и приложения; запрос не доказывает спрос.</x:v>
      </x:c>
      <x:c r="H187" s="5" t="str">
        <x:v>not_run</x:v>
      </x:c>
    </x:row>
    <x:row r="188" ht="25.5" customHeight="1">
      <x:c r="A188" s="5" t="str">
        <x:v>CU-0206-EXPERT</x:v>
      </x:c>
      <x:c r="B188" s="5" t="str">
        <x:v>CU-0206</x:v>
      </x:c>
      <x:c r="C188" s="5" t="str">
        <x:v>Учебный центр ПНХЗ</x:v>
      </x:c>
      <x:c r="D188" s="5" t="str">
        <x:v>KZ</x:v>
      </x:c>
      <x:c r="E188" s="5" t="str">
        <x:v>Эксперты и партнеры</x:v>
      </x:c>
      <x:c r="F188" s="5" t="str">
        <x:v>"КазМунайГаз" (преподаватель OR эксперт OR провайдер OR партнерство)</x:v>
      </x:c>
      <x:c r="G188" s="5" t="str">
        <x:v>Уточнить кто платит и какой вход для внешнего исполнителя.</x:v>
      </x:c>
      <x:c r="H188" s="5" t="str">
        <x:v>not_run</x:v>
      </x:c>
    </x:row>
    <x:row r="189" ht="25.5" customHeight="1">
      <x:c r="A189" s="5" t="str">
        <x:v>CU-0206-SIGNAL</x:v>
      </x:c>
      <x:c r="B189" s="5" t="str">
        <x:v>CU-0206</x:v>
      </x:c>
      <x:c r="C189" s="5" t="str">
        <x:v>Учебный центр ПНХЗ</x:v>
      </x:c>
      <x:c r="D189" s="5" t="str">
        <x:v>KZ</x:v>
      </x:c>
      <x:c r="E189" s="5" t="str">
        <x:v>Новые программы</x:v>
      </x:c>
      <x:c r="F189" s="5" t="str">
        <x:v>"КазМунайГаз" ("кадровый резерв" OR "электронный курс" OR "развитие руководителей")</x:v>
      </x:c>
      <x:c r="G189" s="5" t="str">
        <x:v>Ранний сигнал и предметный пробел; не подтвержденный заказ.</x:v>
      </x:c>
      <x:c r="H189" s="5" t="str">
        <x:v>not_run</x:v>
      </x:c>
    </x:row>
    <x:row r="190" ht="25.5" customHeight="1">
      <x:c r="A190" s="5" t="str">
        <x:v>CU-0207-DISCOVER</x:v>
      </x:c>
      <x:c r="B190" s="5" t="str">
        <x:v>CU-0207</x:v>
      </x:c>
      <x:c r="C190" s="5" t="str">
        <x:v>Учебный центр Атырауского НПЗ</x:v>
      </x:c>
      <x:c r="D190" s="5" t="str">
        <x:v>KZ</x:v>
      </x:c>
      <x:c r="E190" s="5" t="str">
        <x:v>Новые каналы</x:v>
      </x:c>
      <x:c r="F190" s="5" t="str">
        <x:v>"КазМунайГаз" (университет OR академия OR "учебный центр" OR обучение)</x:v>
      </x:c>
      <x:c r="G190" s="5" t="str">
        <x:v>Имена, подразделения и дополнительные официальные адреса.</x:v>
      </x:c>
      <x:c r="H190" s="5" t="str">
        <x:v>not_run</x:v>
      </x:c>
    </x:row>
    <x:row r="191" ht="25.5" customHeight="1">
      <x:c r="A191" s="5" t="str">
        <x:v>CU-0207-BUY</x:v>
      </x:c>
      <x:c r="B191" s="5" t="str">
        <x:v>CU-0207</x:v>
      </x:c>
      <x:c r="C191" s="5" t="str">
        <x:v>Учебный центр Атырауского НПЗ</x:v>
      </x:c>
      <x:c r="D191" s="5" t="str">
        <x:v>KZ</x:v>
      </x:c>
      <x:c r="E191" s="5" t="str">
        <x:v>Закупки и отбор</x:v>
      </x:c>
      <x:c r="F191" s="5" t="str">
        <x:v>"КазМунайГаз" (обучение OR тренинг OR семинар) (закупки OR "запрос предложений" OR поставщик)</x:v>
      </x:c>
      <x:c r="G191" s="5" t="str">
        <x:v>Найти конкретную карточку и приложения; запрос не доказывает спрос.</x:v>
      </x:c>
      <x:c r="H191" s="5" t="str">
        <x:v>not_run</x:v>
      </x:c>
    </x:row>
    <x:row r="192" ht="25.5" customHeight="1">
      <x:c r="A192" s="5" t="str">
        <x:v>CU-0207-EXPERT</x:v>
      </x:c>
      <x:c r="B192" s="5" t="str">
        <x:v>CU-0207</x:v>
      </x:c>
      <x:c r="C192" s="5" t="str">
        <x:v>Учебный центр Атырауского НПЗ</x:v>
      </x:c>
      <x:c r="D192" s="5" t="str">
        <x:v>KZ</x:v>
      </x:c>
      <x:c r="E192" s="5" t="str">
        <x:v>Эксперты и партнеры</x:v>
      </x:c>
      <x:c r="F192" s="5" t="str">
        <x:v>"КазМунайГаз" (преподаватель OR эксперт OR провайдер OR партнерство)</x:v>
      </x:c>
      <x:c r="G192" s="5" t="str">
        <x:v>Уточнить кто платит и какой вход для внешнего исполнителя.</x:v>
      </x:c>
      <x:c r="H192" s="5" t="str">
        <x:v>not_run</x:v>
      </x:c>
    </x:row>
    <x:row r="193" ht="25.5" customHeight="1">
      <x:c r="A193" s="5" t="str">
        <x:v>CU-0207-SIGNAL</x:v>
      </x:c>
      <x:c r="B193" s="5" t="str">
        <x:v>CU-0207</x:v>
      </x:c>
      <x:c r="C193" s="5" t="str">
        <x:v>Учебный центр Атырауского НПЗ</x:v>
      </x:c>
      <x:c r="D193" s="5" t="str">
        <x:v>KZ</x:v>
      </x:c>
      <x:c r="E193" s="5" t="str">
        <x:v>Новые программы</x:v>
      </x:c>
      <x:c r="F193" s="5" t="str">
        <x:v>"КазМунайГаз" ("кадровый резерв" OR "электронный курс" OR "развитие руководителей")</x:v>
      </x:c>
      <x:c r="G193" s="5" t="str">
        <x:v>Ранний сигнал и предметный пробел; не подтвержденный заказ.</x:v>
      </x:c>
      <x:c r="H193" s="5" t="str">
        <x:v>not_run</x:v>
      </x:c>
    </x:row>
    <x:row r="194" ht="25.5" customHeight="1">
      <x:c r="A194" s="5" t="str">
        <x:v>CU-0208-DISCOVER</x:v>
      </x:c>
      <x:c r="B194" s="5" t="str">
        <x:v>CU-0208</x:v>
      </x:c>
      <x:c r="C194" s="5" t="str">
        <x:v>Учебный центр Тенгизшевройл</x:v>
      </x:c>
      <x:c r="D194" s="5" t="str">
        <x:v>KZ</x:v>
      </x:c>
      <x:c r="E194" s="5" t="str">
        <x:v>Новые каналы</x:v>
      </x:c>
      <x:c r="F194" s="5" t="str">
        <x:v>"Тенгизшевройл" (университет OR академия OR "учебный центр" OR обучение)</x:v>
      </x:c>
      <x:c r="G194" s="5" t="str">
        <x:v>Имена, подразделения и дополнительные официальные адреса.</x:v>
      </x:c>
      <x:c r="H194" s="5" t="str">
        <x:v>not_run</x:v>
      </x:c>
    </x:row>
    <x:row r="195" ht="25.5" customHeight="1">
      <x:c r="A195" s="5" t="str">
        <x:v>CU-0208-BUY</x:v>
      </x:c>
      <x:c r="B195" s="5" t="str">
        <x:v>CU-0208</x:v>
      </x:c>
      <x:c r="C195" s="5" t="str">
        <x:v>Учебный центр Тенгизшевройл</x:v>
      </x:c>
      <x:c r="D195" s="5" t="str">
        <x:v>KZ</x:v>
      </x:c>
      <x:c r="E195" s="5" t="str">
        <x:v>Закупки и отбор</x:v>
      </x:c>
      <x:c r="F195" s="5" t="str">
        <x:v>"Тенгизшевройл" (обучение OR тренинг OR семинар) (закупки OR "запрос предложений" OR поставщик)</x:v>
      </x:c>
      <x:c r="G195" s="5" t="str">
        <x:v>Найти конкретную карточку и приложения; запрос не доказывает спрос.</x:v>
      </x:c>
      <x:c r="H195" s="5" t="str">
        <x:v>not_run</x:v>
      </x:c>
    </x:row>
    <x:row r="196" ht="25.5" customHeight="1">
      <x:c r="A196" s="5" t="str">
        <x:v>CU-0208-EXPERT</x:v>
      </x:c>
      <x:c r="B196" s="5" t="str">
        <x:v>CU-0208</x:v>
      </x:c>
      <x:c r="C196" s="5" t="str">
        <x:v>Учебный центр Тенгизшевройл</x:v>
      </x:c>
      <x:c r="D196" s="5" t="str">
        <x:v>KZ</x:v>
      </x:c>
      <x:c r="E196" s="5" t="str">
        <x:v>Эксперты и партнеры</x:v>
      </x:c>
      <x:c r="F196" s="5" t="str">
        <x:v>"Тенгизшевройл" (преподаватель OR эксперт OR провайдер OR партнерство)</x:v>
      </x:c>
      <x:c r="G196" s="5" t="str">
        <x:v>Уточнить кто платит и какой вход для внешнего исполнителя.</x:v>
      </x:c>
      <x:c r="H196" s="5" t="str">
        <x:v>not_run</x:v>
      </x:c>
    </x:row>
    <x:row r="197" ht="25.5" customHeight="1">
      <x:c r="A197" s="5" t="str">
        <x:v>CU-0208-SIGNAL</x:v>
      </x:c>
      <x:c r="B197" s="5" t="str">
        <x:v>CU-0208</x:v>
      </x:c>
      <x:c r="C197" s="5" t="str">
        <x:v>Учебный центр Тенгизшевройл</x:v>
      </x:c>
      <x:c r="D197" s="5" t="str">
        <x:v>KZ</x:v>
      </x:c>
      <x:c r="E197" s="5" t="str">
        <x:v>Новые программы</x:v>
      </x:c>
      <x:c r="F197" s="5" t="str">
        <x:v>"Тенгизшевройл" ("кадровый резерв" OR "электронный курс" OR "развитие руководителей")</x:v>
      </x:c>
      <x:c r="G197" s="5" t="str">
        <x:v>Ранний сигнал и предметный пробел; не подтвержденный заказ.</x:v>
      </x:c>
      <x:c r="H197" s="5" t="str">
        <x:v>not_run</x:v>
      </x:c>
    </x:row>
    <x:row r="198" ht="25.5" customHeight="1">
      <x:c r="A198" s="5" t="str">
        <x:v>CU-0209-DISCOVER</x:v>
      </x:c>
      <x:c r="B198" s="5" t="str">
        <x:v>CU-0209</x:v>
      </x:c>
      <x:c r="C198" s="5" t="str">
        <x:v>Учебный центр KPO (Аксай / Aliya Training Centre)</x:v>
      </x:c>
      <x:c r="D198" s="5" t="str">
        <x:v>KZ</x:v>
      </x:c>
      <x:c r="E198" s="5" t="str">
        <x:v>Новые каналы</x:v>
      </x:c>
      <x:c r="F198" s="5" t="str">
        <x:v>"KPO" (университет OR академия OR "учебный центр" OR обучение)</x:v>
      </x:c>
      <x:c r="G198" s="5" t="str">
        <x:v>Имена, подразделения и дополнительные официальные адреса.</x:v>
      </x:c>
      <x:c r="H198" s="5" t="str">
        <x:v>not_run</x:v>
      </x:c>
    </x:row>
    <x:row r="199" ht="25.5" customHeight="1">
      <x:c r="A199" s="5" t="str">
        <x:v>CU-0209-BUY</x:v>
      </x:c>
      <x:c r="B199" s="5" t="str">
        <x:v>CU-0209</x:v>
      </x:c>
      <x:c r="C199" s="5" t="str">
        <x:v>Учебный центр KPO (Аксай / Aliya Training Centre)</x:v>
      </x:c>
      <x:c r="D199" s="5" t="str">
        <x:v>KZ</x:v>
      </x:c>
      <x:c r="E199" s="5" t="str">
        <x:v>Закупки и отбор</x:v>
      </x:c>
      <x:c r="F199" s="5" t="str">
        <x:v>"KPO" (обучение OR тренинг OR семинар) (закупки OR "запрос предложений" OR поставщик)</x:v>
      </x:c>
      <x:c r="G199" s="5" t="str">
        <x:v>Найти конкретную карточку и приложения; запрос не доказывает спрос.</x:v>
      </x:c>
      <x:c r="H199" s="5" t="str">
        <x:v>not_run</x:v>
      </x:c>
    </x:row>
    <x:row r="200" ht="25.5" customHeight="1">
      <x:c r="A200" s="5" t="str">
        <x:v>CU-0209-EXPERT</x:v>
      </x:c>
      <x:c r="B200" s="5" t="str">
        <x:v>CU-0209</x:v>
      </x:c>
      <x:c r="C200" s="5" t="str">
        <x:v>Учебный центр KPO (Аксай / Aliya Training Centre)</x:v>
      </x:c>
      <x:c r="D200" s="5" t="str">
        <x:v>KZ</x:v>
      </x:c>
      <x:c r="E200" s="5" t="str">
        <x:v>Эксперты и партнеры</x:v>
      </x:c>
      <x:c r="F200" s="5" t="str">
        <x:v>"KPO" (преподаватель OR эксперт OR провайдер OR партнерство)</x:v>
      </x:c>
      <x:c r="G200" s="5" t="str">
        <x:v>Уточнить кто платит и какой вход для внешнего исполнителя.</x:v>
      </x:c>
      <x:c r="H200" s="5" t="str">
        <x:v>not_run</x:v>
      </x:c>
    </x:row>
    <x:row r="201" ht="25.5" customHeight="1">
      <x:c r="A201" s="5" t="str">
        <x:v>CU-0209-SIGNAL</x:v>
      </x:c>
      <x:c r="B201" s="5" t="str">
        <x:v>CU-0209</x:v>
      </x:c>
      <x:c r="C201" s="5" t="str">
        <x:v>Учебный центр KPO (Аксай / Aliya Training Centre)</x:v>
      </x:c>
      <x:c r="D201" s="5" t="str">
        <x:v>KZ</x:v>
      </x:c>
      <x:c r="E201" s="5" t="str">
        <x:v>Новые программы</x:v>
      </x:c>
      <x:c r="F201" s="5" t="str">
        <x:v>"KPO" ("кадровый резерв" OR "электронный курс" OR "развитие руководителей")</x:v>
      </x:c>
      <x:c r="G201" s="5" t="str">
        <x:v>Ранний сигнал и предметный пробел; не подтвержденный заказ.</x:v>
      </x:c>
      <x:c r="H201" s="5" t="str">
        <x:v>not_run</x:v>
      </x:c>
    </x:row>
    <x:row r="202" ht="25.5" customHeight="1">
      <x:c r="A202" s="5" t="str">
        <x:v>CU-0210-DISCOVER</x:v>
      </x:c>
      <x:c r="B202" s="5" t="str">
        <x:v>CU-0210</x:v>
      </x:c>
      <x:c r="C202" s="5" t="str">
        <x:v>Atyrau Training Centre NCOC</x:v>
      </x:c>
      <x:c r="D202" s="5" t="str">
        <x:v>KZ</x:v>
      </x:c>
      <x:c r="E202" s="5" t="str">
        <x:v>Новые каналы</x:v>
      </x:c>
      <x:c r="F202" s="5" t="str">
        <x:v>"NCOC" (университет OR академия OR "учебный центр" OR обучение)</x:v>
      </x:c>
      <x:c r="G202" s="5" t="str">
        <x:v>Имена, подразделения и дополнительные официальные адреса.</x:v>
      </x:c>
      <x:c r="H202" s="5" t="str">
        <x:v>not_run</x:v>
      </x:c>
    </x:row>
    <x:row r="203" ht="25.5" customHeight="1">
      <x:c r="A203" s="5" t="str">
        <x:v>CU-0210-BUY</x:v>
      </x:c>
      <x:c r="B203" s="5" t="str">
        <x:v>CU-0210</x:v>
      </x:c>
      <x:c r="C203" s="5" t="str">
        <x:v>Atyrau Training Centre NCOC</x:v>
      </x:c>
      <x:c r="D203" s="5" t="str">
        <x:v>KZ</x:v>
      </x:c>
      <x:c r="E203" s="5" t="str">
        <x:v>Закупки и отбор</x:v>
      </x:c>
      <x:c r="F203" s="5" t="str">
        <x:v>"NCOC" (обучение OR тренинг OR семинар) (закупки OR "запрос предложений" OR поставщик)</x:v>
      </x:c>
      <x:c r="G203" s="5" t="str">
        <x:v>Найти конкретную карточку и приложения; запрос не доказывает спрос.</x:v>
      </x:c>
      <x:c r="H203" s="5" t="str">
        <x:v>not_run</x:v>
      </x:c>
    </x:row>
    <x:row r="204" ht="25.5" customHeight="1">
      <x:c r="A204" s="5" t="str">
        <x:v>CU-0210-EXPERT</x:v>
      </x:c>
      <x:c r="B204" s="5" t="str">
        <x:v>CU-0210</x:v>
      </x:c>
      <x:c r="C204" s="5" t="str">
        <x:v>Atyrau Training Centre NCOC</x:v>
      </x:c>
      <x:c r="D204" s="5" t="str">
        <x:v>KZ</x:v>
      </x:c>
      <x:c r="E204" s="5" t="str">
        <x:v>Эксперты и партнеры</x:v>
      </x:c>
      <x:c r="F204" s="5" t="str">
        <x:v>"NCOC" (преподаватель OR эксперт OR провайдер OR партнерство)</x:v>
      </x:c>
      <x:c r="G204" s="5" t="str">
        <x:v>Уточнить кто платит и какой вход для внешнего исполнителя.</x:v>
      </x:c>
      <x:c r="H204" s="5" t="str">
        <x:v>not_run</x:v>
      </x:c>
    </x:row>
    <x:row r="205" ht="25.5" customHeight="1">
      <x:c r="A205" s="5" t="str">
        <x:v>CU-0210-SIGNAL</x:v>
      </x:c>
      <x:c r="B205" s="5" t="str">
        <x:v>CU-0210</x:v>
      </x:c>
      <x:c r="C205" s="5" t="str">
        <x:v>Atyrau Training Centre NCOC</x:v>
      </x:c>
      <x:c r="D205" s="5" t="str">
        <x:v>KZ</x:v>
      </x:c>
      <x:c r="E205" s="5" t="str">
        <x:v>Новые программы</x:v>
      </x:c>
      <x:c r="F205" s="5" t="str">
        <x:v>"NCOC" ("кадровый резерв" OR "электронный курс" OR "развитие руководителей")</x:v>
      </x:c>
      <x:c r="G205" s="5" t="str">
        <x:v>Ранний сигнал и предметный пробел; не подтвержденный заказ.</x:v>
      </x:c>
      <x:c r="H205" s="5" t="str">
        <x:v>not_run</x:v>
      </x:c>
    </x:row>
    <x:row r="206" ht="25.5" customHeight="1">
      <x:c r="A206" s="5" t="str">
        <x:v>CU-0222-DISCOVER</x:v>
      </x:c>
      <x:c r="B206" s="5" t="str">
        <x:v>CU-0222</x:v>
      </x:c>
      <x:c r="C206" s="5" t="str">
        <x:v>Учебно-методический центр Казфосфат</x:v>
      </x:c>
      <x:c r="D206" s="5" t="str">
        <x:v>KZ</x:v>
      </x:c>
      <x:c r="E206" s="5" t="str">
        <x:v>Новые каналы</x:v>
      </x:c>
      <x:c r="F206" s="5" t="str">
        <x:v>"Казфосфат" (университет OR академия OR "учебный центр" OR обучение)</x:v>
      </x:c>
      <x:c r="G206" s="5" t="str">
        <x:v>Имена, подразделения и дополнительные официальные адреса.</x:v>
      </x:c>
      <x:c r="H206" s="5" t="str">
        <x:v>not_run</x:v>
      </x:c>
    </x:row>
    <x:row r="207" ht="25.5" customHeight="1">
      <x:c r="A207" s="5" t="str">
        <x:v>CU-0222-BUY</x:v>
      </x:c>
      <x:c r="B207" s="5" t="str">
        <x:v>CU-0222</x:v>
      </x:c>
      <x:c r="C207" s="5" t="str">
        <x:v>Учебно-методический центр Казфосфат</x:v>
      </x:c>
      <x:c r="D207" s="5" t="str">
        <x:v>KZ</x:v>
      </x:c>
      <x:c r="E207" s="5" t="str">
        <x:v>Закупки и отбор</x:v>
      </x:c>
      <x:c r="F207" s="5" t="str">
        <x:v>"Казфосфат" (обучение OR тренинг OR семинар) (закупки OR "запрос предложений" OR поставщик)</x:v>
      </x:c>
      <x:c r="G207" s="5" t="str">
        <x:v>Найти конкретную карточку и приложения; запрос не доказывает спрос.</x:v>
      </x:c>
      <x:c r="H207" s="5" t="str">
        <x:v>not_run</x:v>
      </x:c>
    </x:row>
    <x:row r="208" ht="25.5" customHeight="1">
      <x:c r="A208" s="5" t="str">
        <x:v>CU-0222-EXPERT</x:v>
      </x:c>
      <x:c r="B208" s="5" t="str">
        <x:v>CU-0222</x:v>
      </x:c>
      <x:c r="C208" s="5" t="str">
        <x:v>Учебно-методический центр Казфосфат</x:v>
      </x:c>
      <x:c r="D208" s="5" t="str">
        <x:v>KZ</x:v>
      </x:c>
      <x:c r="E208" s="5" t="str">
        <x:v>Эксперты и партнеры</x:v>
      </x:c>
      <x:c r="F208" s="5" t="str">
        <x:v>"Казфосфат" (преподаватель OR эксперт OR провайдер OR партнерство)</x:v>
      </x:c>
      <x:c r="G208" s="5" t="str">
        <x:v>Уточнить кто платит и какой вход для внешнего исполнителя.</x:v>
      </x:c>
      <x:c r="H208" s="5" t="str">
        <x:v>not_run</x:v>
      </x:c>
    </x:row>
    <x:row r="209" ht="25.5" customHeight="1">
      <x:c r="A209" s="5" t="str">
        <x:v>CU-0222-SIGNAL</x:v>
      </x:c>
      <x:c r="B209" s="5" t="str">
        <x:v>CU-0222</x:v>
      </x:c>
      <x:c r="C209" s="5" t="str">
        <x:v>Учебно-методический центр Казфосфат</x:v>
      </x:c>
      <x:c r="D209" s="5" t="str">
        <x:v>KZ</x:v>
      </x:c>
      <x:c r="E209" s="5" t="str">
        <x:v>Новые программы</x:v>
      </x:c>
      <x:c r="F209" s="5" t="str">
        <x:v>"Казфосфат" ("кадровый резерв" OR "электронный курс" OR "развитие руководителей")</x:v>
      </x:c>
      <x:c r="G209" s="5" t="str">
        <x:v>Ранний сигнал и предметный пробел; не подтвержденный заказ.</x:v>
      </x:c>
      <x:c r="H209" s="5" t="str">
        <x:v>not_run</x:v>
      </x:c>
    </x:row>
    <x:row r="210" ht="31.5" customHeight="1">
      <x:c r="A210" s="5" t="str">
        <x:v>CU-0223-DISCOVER</x:v>
      </x:c>
      <x:c r="B210" s="5" t="str">
        <x:v>CU-0223</x:v>
      </x:c>
      <x:c r="C210" s="5" t="str">
        <x:v>Центр подготовки и переподготовки кадров Технологического колледжа корпорации Казахмыс</x:v>
      </x:c>
      <x:c r="D210" s="5" t="str">
        <x:v>KZ</x:v>
      </x:c>
      <x:c r="E210" s="5" t="str">
        <x:v>Новые каналы</x:v>
      </x:c>
      <x:c r="F210" s="5" t="str">
        <x:v>"Казахмыс" (университет OR академия OR "учебный центр" OR обучение)</x:v>
      </x:c>
      <x:c r="G210" s="5" t="str">
        <x:v>Имена, подразделения и дополнительные официальные адреса.</x:v>
      </x:c>
      <x:c r="H210" s="5" t="str">
        <x:v>not_run</x:v>
      </x:c>
    </x:row>
    <x:row r="211" ht="31.5" customHeight="1">
      <x:c r="A211" s="5" t="str">
        <x:v>CU-0223-BUY</x:v>
      </x:c>
      <x:c r="B211" s="5" t="str">
        <x:v>CU-0223</x:v>
      </x:c>
      <x:c r="C211" s="5" t="str">
        <x:v>Центр подготовки и переподготовки кадров Технологического колледжа корпорации Казахмыс</x:v>
      </x:c>
      <x:c r="D211" s="5" t="str">
        <x:v>KZ</x:v>
      </x:c>
      <x:c r="E211" s="5" t="str">
        <x:v>Закупки и отбор</x:v>
      </x:c>
      <x:c r="F211" s="5" t="str">
        <x:v>"Казахмыс" (обучение OR тренинг OR семинар) (закупки OR "запрос предложений" OR поставщик)</x:v>
      </x:c>
      <x:c r="G211" s="5" t="str">
        <x:v>Найти конкретную карточку и приложения; запрос не доказывает спрос.</x:v>
      </x:c>
      <x:c r="H211" s="5" t="str">
        <x:v>not_run</x:v>
      </x:c>
    </x:row>
    <x:row r="212" ht="31.5" customHeight="1">
      <x:c r="A212" s="5" t="str">
        <x:v>CU-0223-EXPERT</x:v>
      </x:c>
      <x:c r="B212" s="5" t="str">
        <x:v>CU-0223</x:v>
      </x:c>
      <x:c r="C212" s="5" t="str">
        <x:v>Центр подготовки и переподготовки кадров Технологического колледжа корпорации Казахмыс</x:v>
      </x:c>
      <x:c r="D212" s="5" t="str">
        <x:v>KZ</x:v>
      </x:c>
      <x:c r="E212" s="5" t="str">
        <x:v>Эксперты и партнеры</x:v>
      </x:c>
      <x:c r="F212" s="5" t="str">
        <x:v>"Казахмыс" (преподаватель OR эксперт OR провайдер OR партнерство)</x:v>
      </x:c>
      <x:c r="G212" s="5" t="str">
        <x:v>Уточнить кто платит и какой вход для внешнего исполнителя.</x:v>
      </x:c>
      <x:c r="H212" s="5" t="str">
        <x:v>not_run</x:v>
      </x:c>
    </x:row>
    <x:row r="213" ht="31.5" customHeight="1">
      <x:c r="A213" s="5" t="str">
        <x:v>CU-0223-SIGNAL</x:v>
      </x:c>
      <x:c r="B213" s="5" t="str">
        <x:v>CU-0223</x:v>
      </x:c>
      <x:c r="C213" s="5" t="str">
        <x:v>Центр подготовки и переподготовки кадров Технологического колледжа корпорации Казахмыс</x:v>
      </x:c>
      <x:c r="D213" s="5" t="str">
        <x:v>KZ</x:v>
      </x:c>
      <x:c r="E213" s="5" t="str">
        <x:v>Новые программы</x:v>
      </x:c>
      <x:c r="F213" s="5" t="str">
        <x:v>"Казахмыс" ("кадровый резерв" OR "электронный курс" OR "развитие руководителей")</x:v>
      </x:c>
      <x:c r="G213" s="5" t="str">
        <x:v>Ранний сигнал и предметный пробел; не подтвержденный заказ.</x:v>
      </x:c>
      <x:c r="H213" s="5" t="str">
        <x:v>not_run</x:v>
      </x:c>
    </x:row>
    <x:row r="214" ht="31.5" customHeight="1">
      <x:c r="A214" s="5" t="str">
        <x:v>CU-0224-DISCOVER</x:v>
      </x:c>
      <x:c r="B214" s="5" t="str">
        <x:v>CU-0224</x:v>
      </x:c>
      <x:c r="C214" s="5" t="str">
        <x:v>Центр подготовки и переподготовки кадров Политехнического колледжа корпорации Казахмыс</x:v>
      </x:c>
      <x:c r="D214" s="5" t="str">
        <x:v>KZ</x:v>
      </x:c>
      <x:c r="E214" s="5" t="str">
        <x:v>Новые каналы</x:v>
      </x:c>
      <x:c r="F214" s="5" t="str">
        <x:v>"Казахмыс" (университет OR академия OR "учебный центр" OR обучение)</x:v>
      </x:c>
      <x:c r="G214" s="5" t="str">
        <x:v>Имена, подразделения и дополнительные официальные адреса.</x:v>
      </x:c>
      <x:c r="H214" s="5" t="str">
        <x:v>not_run</x:v>
      </x:c>
    </x:row>
    <x:row r="215" ht="31.5" customHeight="1">
      <x:c r="A215" s="5" t="str">
        <x:v>CU-0224-BUY</x:v>
      </x:c>
      <x:c r="B215" s="5" t="str">
        <x:v>CU-0224</x:v>
      </x:c>
      <x:c r="C215" s="5" t="str">
        <x:v>Центр подготовки и переподготовки кадров Политехнического колледжа корпорации Казахмыс</x:v>
      </x:c>
      <x:c r="D215" s="5" t="str">
        <x:v>KZ</x:v>
      </x:c>
      <x:c r="E215" s="5" t="str">
        <x:v>Закупки и отбор</x:v>
      </x:c>
      <x:c r="F215" s="5" t="str">
        <x:v>"Казахмыс" (обучение OR тренинг OR семинар) (закупки OR "запрос предложений" OR поставщик)</x:v>
      </x:c>
      <x:c r="G215" s="5" t="str">
        <x:v>Найти конкретную карточку и приложения; запрос не доказывает спрос.</x:v>
      </x:c>
      <x:c r="H215" s="5" t="str">
        <x:v>not_run</x:v>
      </x:c>
    </x:row>
    <x:row r="216" ht="31.5" customHeight="1">
      <x:c r="A216" s="5" t="str">
        <x:v>CU-0224-EXPERT</x:v>
      </x:c>
      <x:c r="B216" s="5" t="str">
        <x:v>CU-0224</x:v>
      </x:c>
      <x:c r="C216" s="5" t="str">
        <x:v>Центр подготовки и переподготовки кадров Политехнического колледжа корпорации Казахмыс</x:v>
      </x:c>
      <x:c r="D216" s="5" t="str">
        <x:v>KZ</x:v>
      </x:c>
      <x:c r="E216" s="5" t="str">
        <x:v>Эксперты и партнеры</x:v>
      </x:c>
      <x:c r="F216" s="5" t="str">
        <x:v>"Казахмыс" (преподаватель OR эксперт OR провайдер OR партнерство)</x:v>
      </x:c>
      <x:c r="G216" s="5" t="str">
        <x:v>Уточнить кто платит и какой вход для внешнего исполнителя.</x:v>
      </x:c>
      <x:c r="H216" s="5" t="str">
        <x:v>not_run</x:v>
      </x:c>
    </x:row>
    <x:row r="217" ht="31.5" customHeight="1">
      <x:c r="A217" s="5" t="str">
        <x:v>CU-0224-SIGNAL</x:v>
      </x:c>
      <x:c r="B217" s="5" t="str">
        <x:v>CU-0224</x:v>
      </x:c>
      <x:c r="C217" s="5" t="str">
        <x:v>Центр подготовки и переподготовки кадров Политехнического колледжа корпорации Казахмыс</x:v>
      </x:c>
      <x:c r="D217" s="5" t="str">
        <x:v>KZ</x:v>
      </x:c>
      <x:c r="E217" s="5" t="str">
        <x:v>Новые программы</x:v>
      </x:c>
      <x:c r="F217" s="5" t="str">
        <x:v>"Казахмыс" ("кадровый резерв" OR "электронный курс" OR "развитие руководителей")</x:v>
      </x:c>
      <x:c r="G217" s="5" t="str">
        <x:v>Ранний сигнал и предметный пробел; не подтвержденный заказ.</x:v>
      </x:c>
      <x:c r="H217" s="5" t="str">
        <x:v>not_run</x:v>
      </x:c>
    </x:row>
    <x:row r="218" ht="31.5" customHeight="1">
      <x:c r="A218" s="5" t="str">
        <x:v>CU-0001-DISCOVER</x:v>
      </x:c>
      <x:c r="B218" s="5" t="str">
        <x:v>CU-0001</x:v>
      </x:c>
      <x:c r="C218" s="5" t="str">
        <x:v>Газпром университет (бывший Газпром корпоративный институт)</x:v>
      </x:c>
      <x:c r="D218" s="5" t="str">
        <x:v>RU</x:v>
      </x:c>
      <x:c r="E218" s="5" t="str">
        <x:v>Новые каналы</x:v>
      </x:c>
      <x:c r="F218" s="5" t="str">
        <x:v>"Газпром" (университет OR академия OR "учебный центр" OR обучение)</x:v>
      </x:c>
      <x:c r="G218" s="5" t="str">
        <x:v>Имена, подразделения и дополнительные официальные адреса.</x:v>
      </x:c>
      <x:c r="H218" s="5" t="str">
        <x:v>not_run</x:v>
      </x:c>
    </x:row>
    <x:row r="219" ht="31.5" customHeight="1">
      <x:c r="A219" s="5" t="str">
        <x:v>CU-0001-BUY</x:v>
      </x:c>
      <x:c r="B219" s="5" t="str">
        <x:v>CU-0001</x:v>
      </x:c>
      <x:c r="C219" s="5" t="str">
        <x:v>Газпром университет (бывший Газпром корпоративный институт)</x:v>
      </x:c>
      <x:c r="D219" s="5" t="str">
        <x:v>RU</x:v>
      </x:c>
      <x:c r="E219" s="5" t="str">
        <x:v>Закупки и отбор</x:v>
      </x:c>
      <x:c r="F219" s="5" t="str">
        <x:v>"Газпром" (обучение OR тренинг OR семинар) (закупки OR "запрос предложений" OR поставщик)</x:v>
      </x:c>
      <x:c r="G219" s="5" t="str">
        <x:v>Найти конкретную карточку и приложения; запрос не доказывает спрос.</x:v>
      </x:c>
      <x:c r="H219" s="5" t="str">
        <x:v>not_run</x:v>
      </x:c>
    </x:row>
    <x:row r="220" ht="31.5" customHeight="1">
      <x:c r="A220" s="5" t="str">
        <x:v>CU-0001-EXPERT</x:v>
      </x:c>
      <x:c r="B220" s="5" t="str">
        <x:v>CU-0001</x:v>
      </x:c>
      <x:c r="C220" s="5" t="str">
        <x:v>Газпром университет (бывший Газпром корпоративный институт)</x:v>
      </x:c>
      <x:c r="D220" s="5" t="str">
        <x:v>RU</x:v>
      </x:c>
      <x:c r="E220" s="5" t="str">
        <x:v>Эксперты и партнеры</x:v>
      </x:c>
      <x:c r="F220" s="5" t="str">
        <x:v>"Газпром" (преподаватель OR эксперт OR провайдер OR партнерство)</x:v>
      </x:c>
      <x:c r="G220" s="5" t="str">
        <x:v>Уточнить кто платит и какой вход для внешнего исполнителя.</x:v>
      </x:c>
      <x:c r="H220" s="5" t="str">
        <x:v>not_run</x:v>
      </x:c>
    </x:row>
    <x:row r="221" ht="31.5" customHeight="1">
      <x:c r="A221" s="5" t="str">
        <x:v>CU-0001-SIGNAL</x:v>
      </x:c>
      <x:c r="B221" s="5" t="str">
        <x:v>CU-0001</x:v>
      </x:c>
      <x:c r="C221" s="5" t="str">
        <x:v>Газпром университет (бывший Газпром корпоративный институт)</x:v>
      </x:c>
      <x:c r="D221" s="5" t="str">
        <x:v>RU</x:v>
      </x:c>
      <x:c r="E221" s="5" t="str">
        <x:v>Новые программы</x:v>
      </x:c>
      <x:c r="F221" s="5" t="str">
        <x:v>"Газпром" ("кадровый резерв" OR "электронный курс" OR "развитие руководителей")</x:v>
      </x:c>
      <x:c r="G221" s="5" t="str">
        <x:v>Ранний сигнал и предметный пробел; не подтвержденный заказ.</x:v>
      </x:c>
      <x:c r="H221" s="5" t="str">
        <x:v>not_run</x:v>
      </x:c>
    </x:row>
    <x:row r="222" ht="31.5" customHeight="1">
      <x:c r="A222" s="5" t="str">
        <x:v>CU-0003-DISCOVER</x:v>
      </x:c>
      <x:c r="B222" s="5" t="str">
        <x:v>CU-0003</x:v>
      </x:c>
      <x:c r="C222" s="5" t="str">
        <x:v>Газпром ОНУТЦ — Отраслевой научно-исследовательский учебно-тренажёрный центр</x:v>
      </x:c>
      <x:c r="D222" s="5" t="str">
        <x:v>RU</x:v>
      </x:c>
      <x:c r="E222" s="5" t="str">
        <x:v>Новые каналы</x:v>
      </x:c>
      <x:c r="F222" s="5" t="str">
        <x:v>"Газпром" (университет OR академия OR "учебный центр" OR обучение)</x:v>
      </x:c>
      <x:c r="G222" s="5" t="str">
        <x:v>Имена, подразделения и дополнительные официальные адреса.</x:v>
      </x:c>
      <x:c r="H222" s="5" t="str">
        <x:v>not_run</x:v>
      </x:c>
    </x:row>
    <x:row r="223" ht="31.5" customHeight="1">
      <x:c r="A223" s="5" t="str">
        <x:v>CU-0003-BUY</x:v>
      </x:c>
      <x:c r="B223" s="5" t="str">
        <x:v>CU-0003</x:v>
      </x:c>
      <x:c r="C223" s="5" t="str">
        <x:v>Газпром ОНУТЦ — Отраслевой научно-исследовательский учебно-тренажёрный центр</x:v>
      </x:c>
      <x:c r="D223" s="5" t="str">
        <x:v>RU</x:v>
      </x:c>
      <x:c r="E223" s="5" t="str">
        <x:v>Закупки и отбор</x:v>
      </x:c>
      <x:c r="F223" s="5" t="str">
        <x:v>"Газпром" (обучение OR тренинг OR семинар) (закупки OR "запрос предложений" OR поставщик)</x:v>
      </x:c>
      <x:c r="G223" s="5" t="str">
        <x:v>Найти конкретную карточку и приложения; запрос не доказывает спрос.</x:v>
      </x:c>
      <x:c r="H223" s="5" t="str">
        <x:v>not_run</x:v>
      </x:c>
    </x:row>
    <x:row r="224" ht="31.5" customHeight="1">
      <x:c r="A224" s="5" t="str">
        <x:v>CU-0003-EXPERT</x:v>
      </x:c>
      <x:c r="B224" s="5" t="str">
        <x:v>CU-0003</x:v>
      </x:c>
      <x:c r="C224" s="5" t="str">
        <x:v>Газпром ОНУТЦ — Отраслевой научно-исследовательский учебно-тренажёрный центр</x:v>
      </x:c>
      <x:c r="D224" s="5" t="str">
        <x:v>RU</x:v>
      </x:c>
      <x:c r="E224" s="5" t="str">
        <x:v>Эксперты и партнеры</x:v>
      </x:c>
      <x:c r="F224" s="5" t="str">
        <x:v>"Газпром" (преподаватель OR эксперт OR провайдер OR партнерство)</x:v>
      </x:c>
      <x:c r="G224" s="5" t="str">
        <x:v>Уточнить кто платит и какой вход для внешнего исполнителя.</x:v>
      </x:c>
      <x:c r="H224" s="5" t="str">
        <x:v>not_run</x:v>
      </x:c>
    </x:row>
    <x:row r="225" ht="31.5" customHeight="1">
      <x:c r="A225" s="5" t="str">
        <x:v>CU-0003-SIGNAL</x:v>
      </x:c>
      <x:c r="B225" s="5" t="str">
        <x:v>CU-0003</x:v>
      </x:c>
      <x:c r="C225" s="5" t="str">
        <x:v>Газпром ОНУТЦ — Отраслевой научно-исследовательский учебно-тренажёрный центр</x:v>
      </x:c>
      <x:c r="D225" s="5" t="str">
        <x:v>RU</x:v>
      </x:c>
      <x:c r="E225" s="5" t="str">
        <x:v>Новые программы</x:v>
      </x:c>
      <x:c r="F225" s="5" t="str">
        <x:v>"Газпром" ("кадровый резерв" OR "электронный курс" OR "развитие руководителей")</x:v>
      </x:c>
      <x:c r="G225" s="5" t="str">
        <x:v>Ранний сигнал и предметный пробел; не подтвержденный заказ.</x:v>
      </x:c>
      <x:c r="H225" s="5" t="str">
        <x:v>not_run</x:v>
      </x:c>
    </x:row>
    <x:row r="226" ht="25.5" customHeight="1">
      <x:c r="A226" s="5" t="str">
        <x:v>CU-0004-DISCOVER</x:v>
      </x:c>
      <x:c r="B226" s="5" t="str">
        <x:v>CU-0004</x:v>
      </x:c>
      <x:c r="C226" s="5" t="str">
        <x:v>Корпоративный институт ООО «Газпром трансгаз Томск»</x:v>
      </x:c>
      <x:c r="D226" s="5" t="str">
        <x:v>RU</x:v>
      </x:c>
      <x:c r="E226" s="5" t="str">
        <x:v>Новые каналы</x:v>
      </x:c>
      <x:c r="F226" s="5" t="str">
        <x:v>"Газпром" (университет OR академия OR "учебный центр" OR обучение)</x:v>
      </x:c>
      <x:c r="G226" s="5" t="str">
        <x:v>Имена, подразделения и дополнительные официальные адреса.</x:v>
      </x:c>
      <x:c r="H226" s="5" t="str">
        <x:v>not_run</x:v>
      </x:c>
    </x:row>
    <x:row r="227" ht="25.5" customHeight="1">
      <x:c r="A227" s="5" t="str">
        <x:v>CU-0004-BUY</x:v>
      </x:c>
      <x:c r="B227" s="5" t="str">
        <x:v>CU-0004</x:v>
      </x:c>
      <x:c r="C227" s="5" t="str">
        <x:v>Корпоративный институт ООО «Газпром трансгаз Томск»</x:v>
      </x:c>
      <x:c r="D227" s="5" t="str">
        <x:v>RU</x:v>
      </x:c>
      <x:c r="E227" s="5" t="str">
        <x:v>Закупки и отбор</x:v>
      </x:c>
      <x:c r="F227" s="5" t="str">
        <x:v>"Газпром" (обучение OR тренинг OR семинар) (закупки OR "запрос предложений" OR поставщик)</x:v>
      </x:c>
      <x:c r="G227" s="5" t="str">
        <x:v>Найти конкретную карточку и приложения; запрос не доказывает спрос.</x:v>
      </x:c>
      <x:c r="H227" s="5" t="str">
        <x:v>not_run</x:v>
      </x:c>
    </x:row>
    <x:row r="228" ht="25.5" customHeight="1">
      <x:c r="A228" s="5" t="str">
        <x:v>CU-0004-EXPERT</x:v>
      </x:c>
      <x:c r="B228" s="5" t="str">
        <x:v>CU-0004</x:v>
      </x:c>
      <x:c r="C228" s="5" t="str">
        <x:v>Корпоративный институт ООО «Газпром трансгаз Томск»</x:v>
      </x:c>
      <x:c r="D228" s="5" t="str">
        <x:v>RU</x:v>
      </x:c>
      <x:c r="E228" s="5" t="str">
        <x:v>Эксперты и партнеры</x:v>
      </x:c>
      <x:c r="F228" s="5" t="str">
        <x:v>"Газпром" (преподаватель OR эксперт OR провайдер OR партнерство)</x:v>
      </x:c>
      <x:c r="G228" s="5" t="str">
        <x:v>Уточнить кто платит и какой вход для внешнего исполнителя.</x:v>
      </x:c>
      <x:c r="H228" s="5" t="str">
        <x:v>not_run</x:v>
      </x:c>
    </x:row>
    <x:row r="229" ht="25.5" customHeight="1">
      <x:c r="A229" s="5" t="str">
        <x:v>CU-0004-SIGNAL</x:v>
      </x:c>
      <x:c r="B229" s="5" t="str">
        <x:v>CU-0004</x:v>
      </x:c>
      <x:c r="C229" s="5" t="str">
        <x:v>Корпоративный институт ООО «Газпром трансгаз Томск»</x:v>
      </x:c>
      <x:c r="D229" s="5" t="str">
        <x:v>RU</x:v>
      </x:c>
      <x:c r="E229" s="5" t="str">
        <x:v>Новые программы</x:v>
      </x:c>
      <x:c r="F229" s="5" t="str">
        <x:v>"Газпром" ("кадровый резерв" OR "электронный курс" OR "развитие руководителей")</x:v>
      </x:c>
      <x:c r="G229" s="5" t="str">
        <x:v>Ранний сигнал и предметный пробел; не подтвержденный заказ.</x:v>
      </x:c>
      <x:c r="H229" s="5" t="str">
        <x:v>not_run</x:v>
      </x:c>
    </x:row>
    <x:row r="230" ht="25.5" customHeight="1">
      <x:c r="A230" s="5" t="str">
        <x:v>CU-0013-DISCOVER</x:v>
      </x:c>
      <x:c r="B230" s="5" t="str">
        <x:v>CU-0013</x:v>
      </x:c>
      <x:c r="C230" s="5" t="str">
        <x:v>Корпоративный университет ПАО «Татнефть»</x:v>
      </x:c>
      <x:c r="D230" s="5" t="str">
        <x:v>RU</x:v>
      </x:c>
      <x:c r="E230" s="5" t="str">
        <x:v>Новые каналы</x:v>
      </x:c>
      <x:c r="F230" s="5" t="str">
        <x:v>"Татнефть" (университет OR академия OR "учебный центр" OR обучение)</x:v>
      </x:c>
      <x:c r="G230" s="5" t="str">
        <x:v>Имена, подразделения и дополнительные официальные адреса.</x:v>
      </x:c>
      <x:c r="H230" s="5" t="str">
        <x:v>not_run</x:v>
      </x:c>
    </x:row>
    <x:row r="231" ht="25.5" customHeight="1">
      <x:c r="A231" s="5" t="str">
        <x:v>CU-0013-BUY</x:v>
      </x:c>
      <x:c r="B231" s="5" t="str">
        <x:v>CU-0013</x:v>
      </x:c>
      <x:c r="C231" s="5" t="str">
        <x:v>Корпоративный университет ПАО «Татнефть»</x:v>
      </x:c>
      <x:c r="D231" s="5" t="str">
        <x:v>RU</x:v>
      </x:c>
      <x:c r="E231" s="5" t="str">
        <x:v>Закупки и отбор</x:v>
      </x:c>
      <x:c r="F231" s="5" t="str">
        <x:v>"Татнефть" (обучение OR тренинг OR семинар) (закупки OR "запрос предложений" OR поставщик)</x:v>
      </x:c>
      <x:c r="G231" s="5" t="str">
        <x:v>Найти конкретную карточку и приложения; запрос не доказывает спрос.</x:v>
      </x:c>
      <x:c r="H231" s="5" t="str">
        <x:v>not_run</x:v>
      </x:c>
    </x:row>
    <x:row r="232" ht="25.5" customHeight="1">
      <x:c r="A232" s="5" t="str">
        <x:v>CU-0013-EXPERT</x:v>
      </x:c>
      <x:c r="B232" s="5" t="str">
        <x:v>CU-0013</x:v>
      </x:c>
      <x:c r="C232" s="5" t="str">
        <x:v>Корпоративный университет ПАО «Татнефть»</x:v>
      </x:c>
      <x:c r="D232" s="5" t="str">
        <x:v>RU</x:v>
      </x:c>
      <x:c r="E232" s="5" t="str">
        <x:v>Эксперты и партнеры</x:v>
      </x:c>
      <x:c r="F232" s="5" t="str">
        <x:v>"Татнефть" (преподаватель OR эксперт OR провайдер OR партнерство)</x:v>
      </x:c>
      <x:c r="G232" s="5" t="str">
        <x:v>Уточнить кто платит и какой вход для внешнего исполнителя.</x:v>
      </x:c>
      <x:c r="H232" s="5" t="str">
        <x:v>not_run</x:v>
      </x:c>
    </x:row>
    <x:row r="233" ht="25.5" customHeight="1">
      <x:c r="A233" s="5" t="str">
        <x:v>CU-0013-SIGNAL</x:v>
      </x:c>
      <x:c r="B233" s="5" t="str">
        <x:v>CU-0013</x:v>
      </x:c>
      <x:c r="C233" s="5" t="str">
        <x:v>Корпоративный университет ПАО «Татнефть»</x:v>
      </x:c>
      <x:c r="D233" s="5" t="str">
        <x:v>RU</x:v>
      </x:c>
      <x:c r="E233" s="5" t="str">
        <x:v>Новые программы</x:v>
      </x:c>
      <x:c r="F233" s="5" t="str">
        <x:v>"Татнефть" ("кадровый резерв" OR "электронный курс" OR "развитие руководителей")</x:v>
      </x:c>
      <x:c r="G233" s="5" t="str">
        <x:v>Ранний сигнал и предметный пробел; не подтвержденный заказ.</x:v>
      </x:c>
      <x:c r="H233" s="5" t="str">
        <x:v>not_run</x:v>
      </x:c>
    </x:row>
    <x:row r="234" ht="25.5" customHeight="1">
      <x:c r="A234" s="5" t="str">
        <x:v>CU-0015-DISCOVER</x:v>
      </x:c>
      <x:c r="B234" s="5" t="str">
        <x:v>CU-0015</x:v>
      </x:c>
      <x:c r="C234" s="5" t="str">
        <x:v>Корпоративный университет «Газпром нефти»</x:v>
      </x:c>
      <x:c r="D234" s="5" t="str">
        <x:v>RU</x:v>
      </x:c>
      <x:c r="E234" s="5" t="str">
        <x:v>Новые каналы</x:v>
      </x:c>
      <x:c r="F234" s="5" t="str">
        <x:v>"Газпром нефть" (университет OR академия OR "учебный центр" OR обучение)</x:v>
      </x:c>
      <x:c r="G234" s="5" t="str">
        <x:v>Имена, подразделения и дополнительные официальные адреса.</x:v>
      </x:c>
      <x:c r="H234" s="5" t="str">
        <x:v>not_run</x:v>
      </x:c>
    </x:row>
    <x:row r="235" ht="25.5" customHeight="1">
      <x:c r="A235" s="5" t="str">
        <x:v>CU-0015-BUY</x:v>
      </x:c>
      <x:c r="B235" s="5" t="str">
        <x:v>CU-0015</x:v>
      </x:c>
      <x:c r="C235" s="5" t="str">
        <x:v>Корпоративный университет «Газпром нефти»</x:v>
      </x:c>
      <x:c r="D235" s="5" t="str">
        <x:v>RU</x:v>
      </x:c>
      <x:c r="E235" s="5" t="str">
        <x:v>Закупки и отбор</x:v>
      </x:c>
      <x:c r="F235" s="5" t="str">
        <x:v>"Газпром нефть" (обучение OR тренинг OR семинар) (закупки OR "запрос предложений" OR поставщик)</x:v>
      </x:c>
      <x:c r="G235" s="5" t="str">
        <x:v>Найти конкретную карточку и приложения; запрос не доказывает спрос.</x:v>
      </x:c>
      <x:c r="H235" s="5" t="str">
        <x:v>not_run</x:v>
      </x:c>
    </x:row>
    <x:row r="236" ht="25.5" customHeight="1">
      <x:c r="A236" s="5" t="str">
        <x:v>CU-0015-EXPERT</x:v>
      </x:c>
      <x:c r="B236" s="5" t="str">
        <x:v>CU-0015</x:v>
      </x:c>
      <x:c r="C236" s="5" t="str">
        <x:v>Корпоративный университет «Газпром нефти»</x:v>
      </x:c>
      <x:c r="D236" s="5" t="str">
        <x:v>RU</x:v>
      </x:c>
      <x:c r="E236" s="5" t="str">
        <x:v>Эксперты и партнеры</x:v>
      </x:c>
      <x:c r="F236" s="5" t="str">
        <x:v>"Газпром нефть" (преподаватель OR эксперт OR провайдер OR партнерство)</x:v>
      </x:c>
      <x:c r="G236" s="5" t="str">
        <x:v>Уточнить кто платит и какой вход для внешнего исполнителя.</x:v>
      </x:c>
      <x:c r="H236" s="5" t="str">
        <x:v>not_run</x:v>
      </x:c>
    </x:row>
    <x:row r="237" ht="25.5" customHeight="1">
      <x:c r="A237" s="5" t="str">
        <x:v>CU-0015-SIGNAL</x:v>
      </x:c>
      <x:c r="B237" s="5" t="str">
        <x:v>CU-0015</x:v>
      </x:c>
      <x:c r="C237" s="5" t="str">
        <x:v>Корпоративный университет «Газпром нефти»</x:v>
      </x:c>
      <x:c r="D237" s="5" t="str">
        <x:v>RU</x:v>
      </x:c>
      <x:c r="E237" s="5" t="str">
        <x:v>Новые программы</x:v>
      </x:c>
      <x:c r="F237" s="5" t="str">
        <x:v>"Газпром нефть" ("кадровый резерв" OR "электронный курс" OR "развитие руководителей")</x:v>
      </x:c>
      <x:c r="G237" s="5" t="str">
        <x:v>Ранний сигнал и предметный пробел; не подтвержденный заказ.</x:v>
      </x:c>
      <x:c r="H237" s="5" t="str">
        <x:v>not_run</x:v>
      </x:c>
    </x:row>
    <x:row r="238" ht="25.5" customHeight="1">
      <x:c r="A238" s="5" t="str">
        <x:v>CU-0019-DISCOVER</x:v>
      </x:c>
      <x:c r="B238" s="5" t="str">
        <x:v>CU-0019</x:v>
      </x:c>
      <x:c r="C238" s="5" t="str">
        <x:v>Корпоративная Академия Росатома</x:v>
      </x:c>
      <x:c r="D238" s="5" t="str">
        <x:v>RU</x:v>
      </x:c>
      <x:c r="E238" s="5" t="str">
        <x:v>Новые каналы</x:v>
      </x:c>
      <x:c r="F238" s="5" t="str">
        <x:v>"Росатом" (университет OR академия OR "учебный центр" OR обучение)</x:v>
      </x:c>
      <x:c r="G238" s="5" t="str">
        <x:v>Имена, подразделения и дополнительные официальные адреса.</x:v>
      </x:c>
      <x:c r="H238" s="5" t="str">
        <x:v>not_run</x:v>
      </x:c>
    </x:row>
    <x:row r="239" ht="25.5" customHeight="1">
      <x:c r="A239" s="5" t="str">
        <x:v>CU-0019-BUY</x:v>
      </x:c>
      <x:c r="B239" s="5" t="str">
        <x:v>CU-0019</x:v>
      </x:c>
      <x:c r="C239" s="5" t="str">
        <x:v>Корпоративная Академия Росатома</x:v>
      </x:c>
      <x:c r="D239" s="5" t="str">
        <x:v>RU</x:v>
      </x:c>
      <x:c r="E239" s="5" t="str">
        <x:v>Закупки и отбор</x:v>
      </x:c>
      <x:c r="F239" s="5" t="str">
        <x:v>"Росатом" (обучение OR тренинг OR семинар) (закупки OR "запрос предложений" OR поставщик)</x:v>
      </x:c>
      <x:c r="G239" s="5" t="str">
        <x:v>Найти конкретную карточку и приложения; запрос не доказывает спрос.</x:v>
      </x:c>
      <x:c r="H239" s="5" t="str">
        <x:v>not_run</x:v>
      </x:c>
    </x:row>
    <x:row r="240" ht="25.5" customHeight="1">
      <x:c r="A240" s="5" t="str">
        <x:v>CU-0019-EXPERT</x:v>
      </x:c>
      <x:c r="B240" s="5" t="str">
        <x:v>CU-0019</x:v>
      </x:c>
      <x:c r="C240" s="5" t="str">
        <x:v>Корпоративная Академия Росатома</x:v>
      </x:c>
      <x:c r="D240" s="5" t="str">
        <x:v>RU</x:v>
      </x:c>
      <x:c r="E240" s="5" t="str">
        <x:v>Эксперты и партнеры</x:v>
      </x:c>
      <x:c r="F240" s="5" t="str">
        <x:v>"Росатом" (преподаватель OR эксперт OR провайдер OR партнерство)</x:v>
      </x:c>
      <x:c r="G240" s="5" t="str">
        <x:v>Уточнить кто платит и какой вход для внешнего исполнителя.</x:v>
      </x:c>
      <x:c r="H240" s="5" t="str">
        <x:v>not_run</x:v>
      </x:c>
    </x:row>
    <x:row r="241" ht="25.5" customHeight="1">
      <x:c r="A241" s="5" t="str">
        <x:v>CU-0019-SIGNAL</x:v>
      </x:c>
      <x:c r="B241" s="5" t="str">
        <x:v>CU-0019</x:v>
      </x:c>
      <x:c r="C241" s="5" t="str">
        <x:v>Корпоративная Академия Росатома</x:v>
      </x:c>
      <x:c r="D241" s="5" t="str">
        <x:v>RU</x:v>
      </x:c>
      <x:c r="E241" s="5" t="str">
        <x:v>Новые программы</x:v>
      </x:c>
      <x:c r="F241" s="5" t="str">
        <x:v>"Росатом" ("кадровый резерв" OR "электронный курс" OR "развитие руководителей")</x:v>
      </x:c>
      <x:c r="G241" s="5" t="str">
        <x:v>Ранний сигнал и предметный пробел; не подтвержденный заказ.</x:v>
      </x:c>
      <x:c r="H241" s="5" t="str">
        <x:v>not_run</x:v>
      </x:c>
    </x:row>
    <x:row r="242" ht="25.5" customHeight="1">
      <x:c r="A242" s="5" t="str">
        <x:v>CU-0020-DISCOVER</x:v>
      </x:c>
      <x:c r="B242" s="5" t="str">
        <x:v>CU-0020</x:v>
      </x:c>
      <x:c r="C242" s="5" t="str">
        <x:v>Техническая академия Росатома</x:v>
      </x:c>
      <x:c r="D242" s="5" t="str">
        <x:v>RU</x:v>
      </x:c>
      <x:c r="E242" s="5" t="str">
        <x:v>Новые каналы</x:v>
      </x:c>
      <x:c r="F242" s="5" t="str">
        <x:v>"Росатом" (университет OR академия OR "учебный центр" OR обучение)</x:v>
      </x:c>
      <x:c r="G242" s="5" t="str">
        <x:v>Имена, подразделения и дополнительные официальные адреса.</x:v>
      </x:c>
      <x:c r="H242" s="5" t="str">
        <x:v>not_run</x:v>
      </x:c>
    </x:row>
    <x:row r="243" ht="25.5" customHeight="1">
      <x:c r="A243" s="5" t="str">
        <x:v>CU-0020-BUY</x:v>
      </x:c>
      <x:c r="B243" s="5" t="str">
        <x:v>CU-0020</x:v>
      </x:c>
      <x:c r="C243" s="5" t="str">
        <x:v>Техническая академия Росатома</x:v>
      </x:c>
      <x:c r="D243" s="5" t="str">
        <x:v>RU</x:v>
      </x:c>
      <x:c r="E243" s="5" t="str">
        <x:v>Закупки и отбор</x:v>
      </x:c>
      <x:c r="F243" s="5" t="str">
        <x:v>"Росатом" (обучение OR тренинг OR семинар) (закупки OR "запрос предложений" OR поставщик)</x:v>
      </x:c>
      <x:c r="G243" s="5" t="str">
        <x:v>Найти конкретную карточку и приложения; запрос не доказывает спрос.</x:v>
      </x:c>
      <x:c r="H243" s="5" t="str">
        <x:v>not_run</x:v>
      </x:c>
    </x:row>
    <x:row r="244" ht="25.5" customHeight="1">
      <x:c r="A244" s="5" t="str">
        <x:v>CU-0020-EXPERT</x:v>
      </x:c>
      <x:c r="B244" s="5" t="str">
        <x:v>CU-0020</x:v>
      </x:c>
      <x:c r="C244" s="5" t="str">
        <x:v>Техническая академия Росатома</x:v>
      </x:c>
      <x:c r="D244" s="5" t="str">
        <x:v>RU</x:v>
      </x:c>
      <x:c r="E244" s="5" t="str">
        <x:v>Эксперты и партнеры</x:v>
      </x:c>
      <x:c r="F244" s="5" t="str">
        <x:v>"Росатом" (преподаватель OR эксперт OR провайдер OR партнерство)</x:v>
      </x:c>
      <x:c r="G244" s="5" t="str">
        <x:v>Уточнить кто платит и какой вход для внешнего исполнителя.</x:v>
      </x:c>
      <x:c r="H244" s="5" t="str">
        <x:v>not_run</x:v>
      </x:c>
    </x:row>
    <x:row r="245" ht="25.5" customHeight="1">
      <x:c r="A245" s="5" t="str">
        <x:v>CU-0020-SIGNAL</x:v>
      </x:c>
      <x:c r="B245" s="5" t="str">
        <x:v>CU-0020</x:v>
      </x:c>
      <x:c r="C245" s="5" t="str">
        <x:v>Техническая академия Росатома</x:v>
      </x:c>
      <x:c r="D245" s="5" t="str">
        <x:v>RU</x:v>
      </x:c>
      <x:c r="E245" s="5" t="str">
        <x:v>Новые программы</x:v>
      </x:c>
      <x:c r="F245" s="5" t="str">
        <x:v>"Росатом" ("кадровый резерв" OR "электронный курс" OR "развитие руководителей")</x:v>
      </x:c>
      <x:c r="G245" s="5" t="str">
        <x:v>Ранний сигнал и предметный пробел; не подтвержденный заказ.</x:v>
      </x:c>
      <x:c r="H245" s="5" t="str">
        <x:v>not_run</x:v>
      </x:c>
    </x:row>
    <x:row r="246" ht="25.5" customHeight="1">
      <x:c r="A246" s="5" t="str">
        <x:v>CU-0021-DISCOVER</x:v>
      </x:c>
      <x:c r="B246" s="5" t="str">
        <x:v>CU-0021</x:v>
      </x:c>
      <x:c r="C246" s="5" t="str">
        <x:v>Интер РАО — Корпоративный университет</x:v>
      </x:c>
      <x:c r="D246" s="5" t="str">
        <x:v>RU</x:v>
      </x:c>
      <x:c r="E246" s="5" t="str">
        <x:v>Новые каналы</x:v>
      </x:c>
      <x:c r="F246" s="5" t="str">
        <x:v>"Интер РАО" (университет OR академия OR "учебный центр" OR обучение)</x:v>
      </x:c>
      <x:c r="G246" s="5" t="str">
        <x:v>Имена, подразделения и дополнительные официальные адреса.</x:v>
      </x:c>
      <x:c r="H246" s="5" t="str">
        <x:v>not_run</x:v>
      </x:c>
    </x:row>
    <x:row r="247" ht="25.5" customHeight="1">
      <x:c r="A247" s="5" t="str">
        <x:v>CU-0021-BUY</x:v>
      </x:c>
      <x:c r="B247" s="5" t="str">
        <x:v>CU-0021</x:v>
      </x:c>
      <x:c r="C247" s="5" t="str">
        <x:v>Интер РАО — Корпоративный университет</x:v>
      </x:c>
      <x:c r="D247" s="5" t="str">
        <x:v>RU</x:v>
      </x:c>
      <x:c r="E247" s="5" t="str">
        <x:v>Закупки и отбор</x:v>
      </x:c>
      <x:c r="F247" s="5" t="str">
        <x:v>"Интер РАО" (обучение OR тренинг OR семинар) (закупки OR "запрос предложений" OR поставщик)</x:v>
      </x:c>
      <x:c r="G247" s="5" t="str">
        <x:v>Найти конкретную карточку и приложения; запрос не доказывает спрос.</x:v>
      </x:c>
      <x:c r="H247" s="5" t="str">
        <x:v>not_run</x:v>
      </x:c>
    </x:row>
    <x:row r="248" ht="25.5" customHeight="1">
      <x:c r="A248" s="5" t="str">
        <x:v>CU-0021-EXPERT</x:v>
      </x:c>
      <x:c r="B248" s="5" t="str">
        <x:v>CU-0021</x:v>
      </x:c>
      <x:c r="C248" s="5" t="str">
        <x:v>Интер РАО — Корпоративный университет</x:v>
      </x:c>
      <x:c r="D248" s="5" t="str">
        <x:v>RU</x:v>
      </x:c>
      <x:c r="E248" s="5" t="str">
        <x:v>Эксперты и партнеры</x:v>
      </x:c>
      <x:c r="F248" s="5" t="str">
        <x:v>"Интер РАО" (преподаватель OR эксперт OR провайдер OR партнерство)</x:v>
      </x:c>
      <x:c r="G248" s="5" t="str">
        <x:v>Уточнить кто платит и какой вход для внешнего исполнителя.</x:v>
      </x:c>
      <x:c r="H248" s="5" t="str">
        <x:v>not_run</x:v>
      </x:c>
    </x:row>
    <x:row r="249" ht="25.5" customHeight="1">
      <x:c r="A249" s="5" t="str">
        <x:v>CU-0021-SIGNAL</x:v>
      </x:c>
      <x:c r="B249" s="5" t="str">
        <x:v>CU-0021</x:v>
      </x:c>
      <x:c r="C249" s="5" t="str">
        <x:v>Интер РАО — Корпоративный университет</x:v>
      </x:c>
      <x:c r="D249" s="5" t="str">
        <x:v>RU</x:v>
      </x:c>
      <x:c r="E249" s="5" t="str">
        <x:v>Новые программы</x:v>
      </x:c>
      <x:c r="F249" s="5" t="str">
        <x:v>"Интер РАО" ("кадровый резерв" OR "электронный курс" OR "развитие руководителей")</x:v>
      </x:c>
      <x:c r="G249" s="5" t="str">
        <x:v>Ранний сигнал и предметный пробел; не подтвержденный заказ.</x:v>
      </x:c>
      <x:c r="H249" s="5" t="str">
        <x:v>not_run</x:v>
      </x:c>
    </x:row>
    <x:row r="250" ht="31.5" customHeight="1">
      <x:c r="A250" s="5" t="str">
        <x:v>CU-0022-DISCOVER</x:v>
      </x:c>
      <x:c r="B250" s="5" t="str">
        <x:v>CU-0022</x:v>
      </x:c>
      <x:c r="C250" s="5" t="str">
        <x:v>Корпоративный университет гидроэнергетики РусГидро (КорУнГ)</x:v>
      </x:c>
      <x:c r="D250" s="5" t="str">
        <x:v>RU</x:v>
      </x:c>
      <x:c r="E250" s="5" t="str">
        <x:v>Новые каналы</x:v>
      </x:c>
      <x:c r="F250" s="5" t="str">
        <x:v>"РусГидро" (университет OR академия OR "учебный центр" OR обучение)</x:v>
      </x:c>
      <x:c r="G250" s="5" t="str">
        <x:v>Имена, подразделения и дополнительные официальные адреса.</x:v>
      </x:c>
      <x:c r="H250" s="5" t="str">
        <x:v>not_run</x:v>
      </x:c>
    </x:row>
    <x:row r="251" ht="31.5" customHeight="1">
      <x:c r="A251" s="5" t="str">
        <x:v>CU-0022-BUY</x:v>
      </x:c>
      <x:c r="B251" s="5" t="str">
        <x:v>CU-0022</x:v>
      </x:c>
      <x:c r="C251" s="5" t="str">
        <x:v>Корпоративный университет гидроэнергетики РусГидро (КорУнГ)</x:v>
      </x:c>
      <x:c r="D251" s="5" t="str">
        <x:v>RU</x:v>
      </x:c>
      <x:c r="E251" s="5" t="str">
        <x:v>Закупки и отбор</x:v>
      </x:c>
      <x:c r="F251" s="5" t="str">
        <x:v>"РусГидро" (обучение OR тренинг OR семинар) (закупки OR "запрос предложений" OR поставщик)</x:v>
      </x:c>
      <x:c r="G251" s="5" t="str">
        <x:v>Найти конкретную карточку и приложения; запрос не доказывает спрос.</x:v>
      </x:c>
      <x:c r="H251" s="5" t="str">
        <x:v>not_run</x:v>
      </x:c>
    </x:row>
    <x:row r="252" ht="31.5" customHeight="1">
      <x:c r="A252" s="5" t="str">
        <x:v>CU-0022-EXPERT</x:v>
      </x:c>
      <x:c r="B252" s="5" t="str">
        <x:v>CU-0022</x:v>
      </x:c>
      <x:c r="C252" s="5" t="str">
        <x:v>Корпоративный университет гидроэнергетики РусГидро (КорУнГ)</x:v>
      </x:c>
      <x:c r="D252" s="5" t="str">
        <x:v>RU</x:v>
      </x:c>
      <x:c r="E252" s="5" t="str">
        <x:v>Эксперты и партнеры</x:v>
      </x:c>
      <x:c r="F252" s="5" t="str">
        <x:v>"РусГидро" (преподаватель OR эксперт OR провайдер OR партнерство)</x:v>
      </x:c>
      <x:c r="G252" s="5" t="str">
        <x:v>Уточнить кто платит и какой вход для внешнего исполнителя.</x:v>
      </x:c>
      <x:c r="H252" s="5" t="str">
        <x:v>not_run</x:v>
      </x:c>
    </x:row>
    <x:row r="253" ht="31.5" customHeight="1">
      <x:c r="A253" s="5" t="str">
        <x:v>CU-0022-SIGNAL</x:v>
      </x:c>
      <x:c r="B253" s="5" t="str">
        <x:v>CU-0022</x:v>
      </x:c>
      <x:c r="C253" s="5" t="str">
        <x:v>Корпоративный университет гидроэнергетики РусГидро (КорУнГ)</x:v>
      </x:c>
      <x:c r="D253" s="5" t="str">
        <x:v>RU</x:v>
      </x:c>
      <x:c r="E253" s="5" t="str">
        <x:v>Новые программы</x:v>
      </x:c>
      <x:c r="F253" s="5" t="str">
        <x:v>"РусГидро" ("кадровый резерв" OR "электронный курс" OR "развитие руководителей")</x:v>
      </x:c>
      <x:c r="G253" s="5" t="str">
        <x:v>Ранний сигнал и предметный пробел; не подтвержденный заказ.</x:v>
      </x:c>
      <x:c r="H253" s="5" t="str">
        <x:v>not_run</x:v>
      </x:c>
    </x:row>
    <x:row r="254" ht="31.5" customHeight="1">
      <x:c r="A254" s="5" t="str">
        <x:v>CU-0023-DISCOVER</x:v>
      </x:c>
      <x:c r="B254" s="5" t="str">
        <x:v>CU-0023</x:v>
      </x:c>
      <x:c r="C254" s="5" t="str">
        <x:v>Корпоративный университет Сибирской генерирующей компании</x:v>
      </x:c>
      <x:c r="D254" s="5" t="str">
        <x:v>RU</x:v>
      </x:c>
      <x:c r="E254" s="5" t="str">
        <x:v>Новые каналы</x:v>
      </x:c>
      <x:c r="F254" s="5" t="str">
        <x:v>"СГК" (университет OR академия OR "учебный центр" OR обучение)</x:v>
      </x:c>
      <x:c r="G254" s="5" t="str">
        <x:v>Имена, подразделения и дополнительные официальные адреса.</x:v>
      </x:c>
      <x:c r="H254" s="5" t="str">
        <x:v>not_run</x:v>
      </x:c>
    </x:row>
    <x:row r="255" ht="31.5" customHeight="1">
      <x:c r="A255" s="5" t="str">
        <x:v>CU-0023-BUY</x:v>
      </x:c>
      <x:c r="B255" s="5" t="str">
        <x:v>CU-0023</x:v>
      </x:c>
      <x:c r="C255" s="5" t="str">
        <x:v>Корпоративный университет Сибирской генерирующей компании</x:v>
      </x:c>
      <x:c r="D255" s="5" t="str">
        <x:v>RU</x:v>
      </x:c>
      <x:c r="E255" s="5" t="str">
        <x:v>Закупки и отбор</x:v>
      </x:c>
      <x:c r="F255" s="5" t="str">
        <x:v>"СГК" (обучение OR тренинг OR семинар) (закупки OR "запрос предложений" OR поставщик)</x:v>
      </x:c>
      <x:c r="G255" s="5" t="str">
        <x:v>Найти конкретную карточку и приложения; запрос не доказывает спрос.</x:v>
      </x:c>
      <x:c r="H255" s="5" t="str">
        <x:v>not_run</x:v>
      </x:c>
    </x:row>
    <x:row r="256" ht="31.5" customHeight="1">
      <x:c r="A256" s="5" t="str">
        <x:v>CU-0023-EXPERT</x:v>
      </x:c>
      <x:c r="B256" s="5" t="str">
        <x:v>CU-0023</x:v>
      </x:c>
      <x:c r="C256" s="5" t="str">
        <x:v>Корпоративный университет Сибирской генерирующей компании</x:v>
      </x:c>
      <x:c r="D256" s="5" t="str">
        <x:v>RU</x:v>
      </x:c>
      <x:c r="E256" s="5" t="str">
        <x:v>Эксперты и партнеры</x:v>
      </x:c>
      <x:c r="F256" s="5" t="str">
        <x:v>"СГК" (преподаватель OR эксперт OR провайдер OR партнерство)</x:v>
      </x:c>
      <x:c r="G256" s="5" t="str">
        <x:v>Уточнить кто платит и какой вход для внешнего исполнителя.</x:v>
      </x:c>
      <x:c r="H256" s="5" t="str">
        <x:v>not_run</x:v>
      </x:c>
    </x:row>
    <x:row r="257" ht="31.5" customHeight="1">
      <x:c r="A257" s="5" t="str">
        <x:v>CU-0023-SIGNAL</x:v>
      </x:c>
      <x:c r="B257" s="5" t="str">
        <x:v>CU-0023</x:v>
      </x:c>
      <x:c r="C257" s="5" t="str">
        <x:v>Корпоративный университет Сибирской генерирующей компании</x:v>
      </x:c>
      <x:c r="D257" s="5" t="str">
        <x:v>RU</x:v>
      </x:c>
      <x:c r="E257" s="5" t="str">
        <x:v>Новые программы</x:v>
      </x:c>
      <x:c r="F257" s="5" t="str">
        <x:v>"СГК" ("кадровый резерв" OR "электронный курс" OR "развитие руководителей")</x:v>
      </x:c>
      <x:c r="G257" s="5" t="str">
        <x:v>Ранний сигнал и предметный пробел; не подтвержденный заказ.</x:v>
      </x:c>
      <x:c r="H257" s="5" t="str">
        <x:v>not_run</x:v>
      </x:c>
    </x:row>
    <x:row r="258" ht="25.5" customHeight="1">
      <x:c r="A258" s="5" t="str">
        <x:v>CU-0035-DISCOVER</x:v>
      </x:c>
      <x:c r="B258" s="5" t="str">
        <x:v>CU-0035</x:v>
      </x:c>
      <x:c r="C258" s="5" t="str">
        <x:v>Учебный центр ПАО «Россети Московский регион»</x:v>
      </x:c>
      <x:c r="D258" s="5" t="str">
        <x:v>RU</x:v>
      </x:c>
      <x:c r="E258" s="5" t="str">
        <x:v>Новые каналы</x:v>
      </x:c>
      <x:c r="F258" s="5" t="str">
        <x:v>"Россети" (университет OR академия OR "учебный центр" OR обучение)</x:v>
      </x:c>
      <x:c r="G258" s="5" t="str">
        <x:v>Имена, подразделения и дополнительные официальные адреса.</x:v>
      </x:c>
      <x:c r="H258" s="5" t="str">
        <x:v>not_run</x:v>
      </x:c>
    </x:row>
    <x:row r="259" ht="25.5" customHeight="1">
      <x:c r="A259" s="5" t="str">
        <x:v>CU-0035-BUY</x:v>
      </x:c>
      <x:c r="B259" s="5" t="str">
        <x:v>CU-0035</x:v>
      </x:c>
      <x:c r="C259" s="5" t="str">
        <x:v>Учебный центр ПАО «Россети Московский регион»</x:v>
      </x:c>
      <x:c r="D259" s="5" t="str">
        <x:v>RU</x:v>
      </x:c>
      <x:c r="E259" s="5" t="str">
        <x:v>Закупки и отбор</x:v>
      </x:c>
      <x:c r="F259" s="5" t="str">
        <x:v>"Россети" (обучение OR тренинг OR семинар) (закупки OR "запрос предложений" OR поставщик)</x:v>
      </x:c>
      <x:c r="G259" s="5" t="str">
        <x:v>Найти конкретную карточку и приложения; запрос не доказывает спрос.</x:v>
      </x:c>
      <x:c r="H259" s="5" t="str">
        <x:v>not_run</x:v>
      </x:c>
    </x:row>
    <x:row r="260" ht="25.5" customHeight="1">
      <x:c r="A260" s="5" t="str">
        <x:v>CU-0035-EXPERT</x:v>
      </x:c>
      <x:c r="B260" s="5" t="str">
        <x:v>CU-0035</x:v>
      </x:c>
      <x:c r="C260" s="5" t="str">
        <x:v>Учебный центр ПАО «Россети Московский регион»</x:v>
      </x:c>
      <x:c r="D260" s="5" t="str">
        <x:v>RU</x:v>
      </x:c>
      <x:c r="E260" s="5" t="str">
        <x:v>Эксперты и партнеры</x:v>
      </x:c>
      <x:c r="F260" s="5" t="str">
        <x:v>"Россети" (преподаватель OR эксперт OR провайдер OR партнерство)</x:v>
      </x:c>
      <x:c r="G260" s="5" t="str">
        <x:v>Уточнить кто платит и какой вход для внешнего исполнителя.</x:v>
      </x:c>
      <x:c r="H260" s="5" t="str">
        <x:v>not_run</x:v>
      </x:c>
    </x:row>
    <x:row r="261" ht="25.5" customHeight="1">
      <x:c r="A261" s="5" t="str">
        <x:v>CU-0035-SIGNAL</x:v>
      </x:c>
      <x:c r="B261" s="5" t="str">
        <x:v>CU-0035</x:v>
      </x:c>
      <x:c r="C261" s="5" t="str">
        <x:v>Учебный центр ПАО «Россети Московский регион»</x:v>
      </x:c>
      <x:c r="D261" s="5" t="str">
        <x:v>RU</x:v>
      </x:c>
      <x:c r="E261" s="5" t="str">
        <x:v>Новые программы</x:v>
      </x:c>
      <x:c r="F261" s="5" t="str">
        <x:v>"Россети" ("кадровый резерв" OR "электронный курс" OR "развитие руководителей")</x:v>
      </x:c>
      <x:c r="G261" s="5" t="str">
        <x:v>Ранний сигнал и предметный пробел; не подтвержденный заказ.</x:v>
      </x:c>
      <x:c r="H261" s="5" t="str">
        <x:v>not_run</x:v>
      </x:c>
    </x:row>
    <x:row r="262" ht="25.5" customHeight="1">
      <x:c r="A262" s="5" t="str">
        <x:v>CU-0041-DISCOVER</x:v>
      </x:c>
      <x:c r="B262" s="5" t="str">
        <x:v>CU-0041</x:v>
      </x:c>
      <x:c r="C262" s="5" t="str">
        <x:v>Корпоративный университет «Норникель»</x:v>
      </x:c>
      <x:c r="D262" s="5" t="str">
        <x:v>RU</x:v>
      </x:c>
      <x:c r="E262" s="5" t="str">
        <x:v>Новые каналы</x:v>
      </x:c>
      <x:c r="F262" s="5" t="str">
        <x:v>"Норникель" (университет OR академия OR "учебный центр" OR обучение)</x:v>
      </x:c>
      <x:c r="G262" s="5" t="str">
        <x:v>Имена, подразделения и дополнительные официальные адреса.</x:v>
      </x:c>
      <x:c r="H262" s="5" t="str">
        <x:v>not_run</x:v>
      </x:c>
    </x:row>
    <x:row r="263" ht="25.5" customHeight="1">
      <x:c r="A263" s="5" t="str">
        <x:v>CU-0041-BUY</x:v>
      </x:c>
      <x:c r="B263" s="5" t="str">
        <x:v>CU-0041</x:v>
      </x:c>
      <x:c r="C263" s="5" t="str">
        <x:v>Корпоративный университет «Норникель»</x:v>
      </x:c>
      <x:c r="D263" s="5" t="str">
        <x:v>RU</x:v>
      </x:c>
      <x:c r="E263" s="5" t="str">
        <x:v>Закупки и отбор</x:v>
      </x:c>
      <x:c r="F263" s="5" t="str">
        <x:v>"Норникель" (обучение OR тренинг OR семинар) (закупки OR "запрос предложений" OR поставщик)</x:v>
      </x:c>
      <x:c r="G263" s="5" t="str">
        <x:v>Найти конкретную карточку и приложения; запрос не доказывает спрос.</x:v>
      </x:c>
      <x:c r="H263" s="5" t="str">
        <x:v>not_run</x:v>
      </x:c>
    </x:row>
    <x:row r="264" ht="25.5" customHeight="1">
      <x:c r="A264" s="5" t="str">
        <x:v>CU-0041-EXPERT</x:v>
      </x:c>
      <x:c r="B264" s="5" t="str">
        <x:v>CU-0041</x:v>
      </x:c>
      <x:c r="C264" s="5" t="str">
        <x:v>Корпоративный университет «Норникель»</x:v>
      </x:c>
      <x:c r="D264" s="5" t="str">
        <x:v>RU</x:v>
      </x:c>
      <x:c r="E264" s="5" t="str">
        <x:v>Эксперты и партнеры</x:v>
      </x:c>
      <x:c r="F264" s="5" t="str">
        <x:v>"Норникель" (преподаватель OR эксперт OR провайдер OR партнерство)</x:v>
      </x:c>
      <x:c r="G264" s="5" t="str">
        <x:v>Уточнить кто платит и какой вход для внешнего исполнителя.</x:v>
      </x:c>
      <x:c r="H264" s="5" t="str">
        <x:v>not_run</x:v>
      </x:c>
    </x:row>
    <x:row r="265" ht="25.5" customHeight="1">
      <x:c r="A265" s="5" t="str">
        <x:v>CU-0041-SIGNAL</x:v>
      </x:c>
      <x:c r="B265" s="5" t="str">
        <x:v>CU-0041</x:v>
      </x:c>
      <x:c r="C265" s="5" t="str">
        <x:v>Корпоративный университет «Норникель»</x:v>
      </x:c>
      <x:c r="D265" s="5" t="str">
        <x:v>RU</x:v>
      </x:c>
      <x:c r="E265" s="5" t="str">
        <x:v>Новые программы</x:v>
      </x:c>
      <x:c r="F265" s="5" t="str">
        <x:v>"Норникель" ("кадровый резерв" OR "электронный курс" OR "развитие руководителей")</x:v>
      </x:c>
      <x:c r="G265" s="5" t="str">
        <x:v>Ранний сигнал и предметный пробел; не подтвержденный заказ.</x:v>
      </x:c>
      <x:c r="H265" s="5" t="str">
        <x:v>not_run</x:v>
      </x:c>
    </x:row>
    <x:row r="266" ht="25.5" customHeight="1">
      <x:c r="A266" s="5" t="str">
        <x:v>CU-0042-DISCOVER</x:v>
      </x:c>
      <x:c r="B266" s="5" t="str">
        <x:v>CU-0042</x:v>
      </x:c>
      <x:c r="C266" s="5" t="str">
        <x:v>Корпоративный университет РУСАЛа</x:v>
      </x:c>
      <x:c r="D266" s="5" t="str">
        <x:v>RU</x:v>
      </x:c>
      <x:c r="E266" s="5" t="str">
        <x:v>Новые каналы</x:v>
      </x:c>
      <x:c r="F266" s="5" t="str">
        <x:v>"РУСАЛ" (университет OR академия OR "учебный центр" OR обучение)</x:v>
      </x:c>
      <x:c r="G266" s="5" t="str">
        <x:v>Имена, подразделения и дополнительные официальные адреса.</x:v>
      </x:c>
      <x:c r="H266" s="5" t="str">
        <x:v>not_run</x:v>
      </x:c>
    </x:row>
    <x:row r="267" ht="25.5" customHeight="1">
      <x:c r="A267" s="5" t="str">
        <x:v>CU-0042-BUY</x:v>
      </x:c>
      <x:c r="B267" s="5" t="str">
        <x:v>CU-0042</x:v>
      </x:c>
      <x:c r="C267" s="5" t="str">
        <x:v>Корпоративный университет РУСАЛа</x:v>
      </x:c>
      <x:c r="D267" s="5" t="str">
        <x:v>RU</x:v>
      </x:c>
      <x:c r="E267" s="5" t="str">
        <x:v>Закупки и отбор</x:v>
      </x:c>
      <x:c r="F267" s="5" t="str">
        <x:v>"РУСАЛ" (обучение OR тренинг OR семинар) (закупки OR "запрос предложений" OR поставщик)</x:v>
      </x:c>
      <x:c r="G267" s="5" t="str">
        <x:v>Найти конкретную карточку и приложения; запрос не доказывает спрос.</x:v>
      </x:c>
      <x:c r="H267" s="5" t="str">
        <x:v>not_run</x:v>
      </x:c>
    </x:row>
    <x:row r="268" ht="25.5" customHeight="1">
      <x:c r="A268" s="5" t="str">
        <x:v>CU-0042-EXPERT</x:v>
      </x:c>
      <x:c r="B268" s="5" t="str">
        <x:v>CU-0042</x:v>
      </x:c>
      <x:c r="C268" s="5" t="str">
        <x:v>Корпоративный университет РУСАЛа</x:v>
      </x:c>
      <x:c r="D268" s="5" t="str">
        <x:v>RU</x:v>
      </x:c>
      <x:c r="E268" s="5" t="str">
        <x:v>Эксперты и партнеры</x:v>
      </x:c>
      <x:c r="F268" s="5" t="str">
        <x:v>"РУСАЛ" (преподаватель OR эксперт OR провайдер OR партнерство)</x:v>
      </x:c>
      <x:c r="G268" s="5" t="str">
        <x:v>Уточнить кто платит и какой вход для внешнего исполнителя.</x:v>
      </x:c>
      <x:c r="H268" s="5" t="str">
        <x:v>not_run</x:v>
      </x:c>
    </x:row>
    <x:row r="269" ht="25.5" customHeight="1">
      <x:c r="A269" s="5" t="str">
        <x:v>CU-0042-SIGNAL</x:v>
      </x:c>
      <x:c r="B269" s="5" t="str">
        <x:v>CU-0042</x:v>
      </x:c>
      <x:c r="C269" s="5" t="str">
        <x:v>Корпоративный университет РУСАЛа</x:v>
      </x:c>
      <x:c r="D269" s="5" t="str">
        <x:v>RU</x:v>
      </x:c>
      <x:c r="E269" s="5" t="str">
        <x:v>Новые программы</x:v>
      </x:c>
      <x:c r="F269" s="5" t="str">
        <x:v>"РУСАЛ" ("кадровый резерв" OR "электронный курс" OR "развитие руководителей")</x:v>
      </x:c>
      <x:c r="G269" s="5" t="str">
        <x:v>Ранний сигнал и предметный пробел; не подтвержденный заказ.</x:v>
      </x:c>
      <x:c r="H269" s="5" t="str">
        <x:v>not_run</x:v>
      </x:c>
    </x:row>
    <x:row r="270" ht="25.5" customHeight="1">
      <x:c r="A270" s="5" t="str">
        <x:v>CU-0043-DISCOVER</x:v>
      </x:c>
      <x:c r="B270" s="5" t="str">
        <x:v>CU-0043</x:v>
      </x:c>
      <x:c r="C270" s="5" t="str">
        <x:v>Университет НЛМК</x:v>
      </x:c>
      <x:c r="D270" s="5" t="str">
        <x:v>RU</x:v>
      </x:c>
      <x:c r="E270" s="5" t="str">
        <x:v>Новые каналы</x:v>
      </x:c>
      <x:c r="F270" s="5" t="str">
        <x:v>"Группа НЛМК" (университет OR академия OR "учебный центр" OR обучение)</x:v>
      </x:c>
      <x:c r="G270" s="5" t="str">
        <x:v>Имена, подразделения и дополнительные официальные адреса.</x:v>
      </x:c>
      <x:c r="H270" s="5" t="str">
        <x:v>not_run</x:v>
      </x:c>
    </x:row>
    <x:row r="271" ht="25.5" customHeight="1">
      <x:c r="A271" s="5" t="str">
        <x:v>CU-0043-BUY</x:v>
      </x:c>
      <x:c r="B271" s="5" t="str">
        <x:v>CU-0043</x:v>
      </x:c>
      <x:c r="C271" s="5" t="str">
        <x:v>Университет НЛМК</x:v>
      </x:c>
      <x:c r="D271" s="5" t="str">
        <x:v>RU</x:v>
      </x:c>
      <x:c r="E271" s="5" t="str">
        <x:v>Закупки и отбор</x:v>
      </x:c>
      <x:c r="F271" s="5" t="str">
        <x:v>"Группа НЛМК" (обучение OR тренинг OR семинар) (закупки OR "запрос предложений" OR поставщик)</x:v>
      </x:c>
      <x:c r="G271" s="5" t="str">
        <x:v>Найти конкретную карточку и приложения; запрос не доказывает спрос.</x:v>
      </x:c>
      <x:c r="H271" s="5" t="str">
        <x:v>not_run</x:v>
      </x:c>
    </x:row>
    <x:row r="272" ht="25.5" customHeight="1">
      <x:c r="A272" s="5" t="str">
        <x:v>CU-0043-EXPERT</x:v>
      </x:c>
      <x:c r="B272" s="5" t="str">
        <x:v>CU-0043</x:v>
      </x:c>
      <x:c r="C272" s="5" t="str">
        <x:v>Университет НЛМК</x:v>
      </x:c>
      <x:c r="D272" s="5" t="str">
        <x:v>RU</x:v>
      </x:c>
      <x:c r="E272" s="5" t="str">
        <x:v>Эксперты и партнеры</x:v>
      </x:c>
      <x:c r="F272" s="5" t="str">
        <x:v>"Группа НЛМК" (преподаватель OR эксперт OR провайдер OR партнерство)</x:v>
      </x:c>
      <x:c r="G272" s="5" t="str">
        <x:v>Уточнить кто платит и какой вход для внешнего исполнителя.</x:v>
      </x:c>
      <x:c r="H272" s="5" t="str">
        <x:v>not_run</x:v>
      </x:c>
    </x:row>
    <x:row r="273" ht="25.5" customHeight="1">
      <x:c r="A273" s="5" t="str">
        <x:v>CU-0043-SIGNAL</x:v>
      </x:c>
      <x:c r="B273" s="5" t="str">
        <x:v>CU-0043</x:v>
      </x:c>
      <x:c r="C273" s="5" t="str">
        <x:v>Университет НЛМК</x:v>
      </x:c>
      <x:c r="D273" s="5" t="str">
        <x:v>RU</x:v>
      </x:c>
      <x:c r="E273" s="5" t="str">
        <x:v>Новые программы</x:v>
      </x:c>
      <x:c r="F273" s="5" t="str">
        <x:v>"Группа НЛМК" ("кадровый резерв" OR "электронный курс" OR "развитие руководителей")</x:v>
      </x:c>
      <x:c r="G273" s="5" t="str">
        <x:v>Ранний сигнал и предметный пробел; не подтвержденный заказ.</x:v>
      </x:c>
      <x:c r="H273" s="5" t="str">
        <x:v>not_run</x:v>
      </x:c>
    </x:row>
    <x:row r="274" ht="25.5" customHeight="1">
      <x:c r="A274" s="5" t="str">
        <x:v>CU-0044-DISCOVER</x:v>
      </x:c>
      <x:c r="B274" s="5" t="str">
        <x:v>CU-0044</x:v>
      </x:c>
      <x:c r="C274" s="5" t="str">
        <x:v>Корпоративный университет ОМК</x:v>
      </x:c>
      <x:c r="D274" s="5" t="str">
        <x:v>RU</x:v>
      </x:c>
      <x:c r="E274" s="5" t="str">
        <x:v>Новые каналы</x:v>
      </x:c>
      <x:c r="F274" s="5" t="str">
        <x:v>"ОМК" (университет OR академия OR "учебный центр" OR обучение)</x:v>
      </x:c>
      <x:c r="G274" s="5" t="str">
        <x:v>Имена, подразделения и дополнительные официальные адреса.</x:v>
      </x:c>
      <x:c r="H274" s="5" t="str">
        <x:v>not_run</x:v>
      </x:c>
    </x:row>
    <x:row r="275" ht="25.5" customHeight="1">
      <x:c r="A275" s="5" t="str">
        <x:v>CU-0044-BUY</x:v>
      </x:c>
      <x:c r="B275" s="5" t="str">
        <x:v>CU-0044</x:v>
      </x:c>
      <x:c r="C275" s="5" t="str">
        <x:v>Корпоративный университет ОМК</x:v>
      </x:c>
      <x:c r="D275" s="5" t="str">
        <x:v>RU</x:v>
      </x:c>
      <x:c r="E275" s="5" t="str">
        <x:v>Закупки и отбор</x:v>
      </x:c>
      <x:c r="F275" s="5" t="str">
        <x:v>"ОМК" (обучение OR тренинг OR семинар) (закупки OR "запрос предложений" OR поставщик)</x:v>
      </x:c>
      <x:c r="G275" s="5" t="str">
        <x:v>Найти конкретную карточку и приложения; запрос не доказывает спрос.</x:v>
      </x:c>
      <x:c r="H275" s="5" t="str">
        <x:v>not_run</x:v>
      </x:c>
    </x:row>
    <x:row r="276" ht="25.5" customHeight="1">
      <x:c r="A276" s="5" t="str">
        <x:v>CU-0044-EXPERT</x:v>
      </x:c>
      <x:c r="B276" s="5" t="str">
        <x:v>CU-0044</x:v>
      </x:c>
      <x:c r="C276" s="5" t="str">
        <x:v>Корпоративный университет ОМК</x:v>
      </x:c>
      <x:c r="D276" s="5" t="str">
        <x:v>RU</x:v>
      </x:c>
      <x:c r="E276" s="5" t="str">
        <x:v>Эксперты и партнеры</x:v>
      </x:c>
      <x:c r="F276" s="5" t="str">
        <x:v>"ОМК" (преподаватель OR эксперт OR провайдер OR партнерство)</x:v>
      </x:c>
      <x:c r="G276" s="5" t="str">
        <x:v>Уточнить кто платит и какой вход для внешнего исполнителя.</x:v>
      </x:c>
      <x:c r="H276" s="5" t="str">
        <x:v>not_run</x:v>
      </x:c>
    </x:row>
    <x:row r="277" ht="25.5" customHeight="1">
      <x:c r="A277" s="5" t="str">
        <x:v>CU-0044-SIGNAL</x:v>
      </x:c>
      <x:c r="B277" s="5" t="str">
        <x:v>CU-0044</x:v>
      </x:c>
      <x:c r="C277" s="5" t="str">
        <x:v>Корпоративный университет ОМК</x:v>
      </x:c>
      <x:c r="D277" s="5" t="str">
        <x:v>RU</x:v>
      </x:c>
      <x:c r="E277" s="5" t="str">
        <x:v>Новые программы</x:v>
      </x:c>
      <x:c r="F277" s="5" t="str">
        <x:v>"ОМК" ("кадровый резерв" OR "электронный курс" OR "развитие руководителей")</x:v>
      </x:c>
      <x:c r="G277" s="5" t="str">
        <x:v>Ранний сигнал и предметный пробел; не подтвержденный заказ.</x:v>
      </x:c>
      <x:c r="H277" s="5" t="str">
        <x:v>not_run</x:v>
      </x:c>
    </x:row>
    <x:row r="278" ht="25.5" customHeight="1">
      <x:c r="A278" s="5" t="str">
        <x:v>CU-0045-DISCOVER</x:v>
      </x:c>
      <x:c r="B278" s="5" t="str">
        <x:v>CU-0045</x:v>
      </x:c>
      <x:c r="C278" s="5" t="str">
        <x:v>Корпоративный университет Металлоинвеста</x:v>
      </x:c>
      <x:c r="D278" s="5" t="str">
        <x:v>RU</x:v>
      </x:c>
      <x:c r="E278" s="5" t="str">
        <x:v>Новые каналы</x:v>
      </x:c>
      <x:c r="F278" s="5" t="str">
        <x:v>"Металлоинвест" (университет OR академия OR "учебный центр" OR обучение)</x:v>
      </x:c>
      <x:c r="G278" s="5" t="str">
        <x:v>Имена, подразделения и дополнительные официальные адреса.</x:v>
      </x:c>
      <x:c r="H278" s="5" t="str">
        <x:v>not_run</x:v>
      </x:c>
    </x:row>
    <x:row r="279" ht="25.5" customHeight="1">
      <x:c r="A279" s="5" t="str">
        <x:v>CU-0045-BUY</x:v>
      </x:c>
      <x:c r="B279" s="5" t="str">
        <x:v>CU-0045</x:v>
      </x:c>
      <x:c r="C279" s="5" t="str">
        <x:v>Корпоративный университет Металлоинвеста</x:v>
      </x:c>
      <x:c r="D279" s="5" t="str">
        <x:v>RU</x:v>
      </x:c>
      <x:c r="E279" s="5" t="str">
        <x:v>Закупки и отбор</x:v>
      </x:c>
      <x:c r="F279" s="5" t="str">
        <x:v>"Металлоинвест" (обучение OR тренинг OR семинар) (закупки OR "запрос предложений" OR поставщик)</x:v>
      </x:c>
      <x:c r="G279" s="5" t="str">
        <x:v>Найти конкретную карточку и приложения; запрос не доказывает спрос.</x:v>
      </x:c>
      <x:c r="H279" s="5" t="str">
        <x:v>not_run</x:v>
      </x:c>
    </x:row>
    <x:row r="280" ht="25.5" customHeight="1">
      <x:c r="A280" s="5" t="str">
        <x:v>CU-0045-EXPERT</x:v>
      </x:c>
      <x:c r="B280" s="5" t="str">
        <x:v>CU-0045</x:v>
      </x:c>
      <x:c r="C280" s="5" t="str">
        <x:v>Корпоративный университет Металлоинвеста</x:v>
      </x:c>
      <x:c r="D280" s="5" t="str">
        <x:v>RU</x:v>
      </x:c>
      <x:c r="E280" s="5" t="str">
        <x:v>Эксперты и партнеры</x:v>
      </x:c>
      <x:c r="F280" s="5" t="str">
        <x:v>"Металлоинвест" (преподаватель OR эксперт OR провайдер OR партнерство)</x:v>
      </x:c>
      <x:c r="G280" s="5" t="str">
        <x:v>Уточнить кто платит и какой вход для внешнего исполнителя.</x:v>
      </x:c>
      <x:c r="H280" s="5" t="str">
        <x:v>not_run</x:v>
      </x:c>
    </x:row>
    <x:row r="281" ht="25.5" customHeight="1">
      <x:c r="A281" s="5" t="str">
        <x:v>CU-0045-SIGNAL</x:v>
      </x:c>
      <x:c r="B281" s="5" t="str">
        <x:v>CU-0045</x:v>
      </x:c>
      <x:c r="C281" s="5" t="str">
        <x:v>Корпоративный университет Металлоинвеста</x:v>
      </x:c>
      <x:c r="D281" s="5" t="str">
        <x:v>RU</x:v>
      </x:c>
      <x:c r="E281" s="5" t="str">
        <x:v>Новые программы</x:v>
      </x:c>
      <x:c r="F281" s="5" t="str">
        <x:v>"Металлоинвест" ("кадровый резерв" OR "электронный курс" OR "развитие руководителей")</x:v>
      </x:c>
      <x:c r="G281" s="5" t="str">
        <x:v>Ранний сигнал и предметный пробел; не подтвержденный заказ.</x:v>
      </x:c>
      <x:c r="H281" s="5" t="str">
        <x:v>not_run</x:v>
      </x:c>
    </x:row>
    <x:row r="282" ht="25.5" customHeight="1">
      <x:c r="A282" s="5" t="str">
        <x:v>CU-0046-DISCOVER</x:v>
      </x:c>
      <x:c r="B282" s="5" t="str">
        <x:v>CU-0046</x:v>
      </x:c>
      <x:c r="C282" s="5" t="str">
        <x:v>Технический университет УГМК</x:v>
      </x:c>
      <x:c r="D282" s="5" t="str">
        <x:v>RU</x:v>
      </x:c>
      <x:c r="E282" s="5" t="str">
        <x:v>Новые каналы</x:v>
      </x:c>
      <x:c r="F282" s="5" t="str">
        <x:v>"УГМК" (университет OR академия OR "учебный центр" OR обучение)</x:v>
      </x:c>
      <x:c r="G282" s="5" t="str">
        <x:v>Имена, подразделения и дополнительные официальные адреса.</x:v>
      </x:c>
      <x:c r="H282" s="5" t="str">
        <x:v>not_run</x:v>
      </x:c>
    </x:row>
    <x:row r="283" ht="25.5" customHeight="1">
      <x:c r="A283" s="5" t="str">
        <x:v>CU-0046-BUY</x:v>
      </x:c>
      <x:c r="B283" s="5" t="str">
        <x:v>CU-0046</x:v>
      </x:c>
      <x:c r="C283" s="5" t="str">
        <x:v>Технический университет УГМК</x:v>
      </x:c>
      <x:c r="D283" s="5" t="str">
        <x:v>RU</x:v>
      </x:c>
      <x:c r="E283" s="5" t="str">
        <x:v>Закупки и отбор</x:v>
      </x:c>
      <x:c r="F283" s="5" t="str">
        <x:v>"УГМК" (обучение OR тренинг OR семинар) (закупки OR "запрос предложений" OR поставщик)</x:v>
      </x:c>
      <x:c r="G283" s="5" t="str">
        <x:v>Найти конкретную карточку и приложения; запрос не доказывает спрос.</x:v>
      </x:c>
      <x:c r="H283" s="5" t="str">
        <x:v>not_run</x:v>
      </x:c>
    </x:row>
    <x:row r="284" ht="25.5" customHeight="1">
      <x:c r="A284" s="5" t="str">
        <x:v>CU-0046-EXPERT</x:v>
      </x:c>
      <x:c r="B284" s="5" t="str">
        <x:v>CU-0046</x:v>
      </x:c>
      <x:c r="C284" s="5" t="str">
        <x:v>Технический университет УГМК</x:v>
      </x:c>
      <x:c r="D284" s="5" t="str">
        <x:v>RU</x:v>
      </x:c>
      <x:c r="E284" s="5" t="str">
        <x:v>Эксперты и партнеры</x:v>
      </x:c>
      <x:c r="F284" s="5" t="str">
        <x:v>"УГМК" (преподаватель OR эксперт OR провайдер OR партнерство)</x:v>
      </x:c>
      <x:c r="G284" s="5" t="str">
        <x:v>Уточнить кто платит и какой вход для внешнего исполнителя.</x:v>
      </x:c>
      <x:c r="H284" s="5" t="str">
        <x:v>not_run</x:v>
      </x:c>
    </x:row>
    <x:row r="285" ht="25.5" customHeight="1">
      <x:c r="A285" s="5" t="str">
        <x:v>CU-0046-SIGNAL</x:v>
      </x:c>
      <x:c r="B285" s="5" t="str">
        <x:v>CU-0046</x:v>
      </x:c>
      <x:c r="C285" s="5" t="str">
        <x:v>Технический университет УГМК</x:v>
      </x:c>
      <x:c r="D285" s="5" t="str">
        <x:v>RU</x:v>
      </x:c>
      <x:c r="E285" s="5" t="str">
        <x:v>Новые программы</x:v>
      </x:c>
      <x:c r="F285" s="5" t="str">
        <x:v>"УГМК" ("кадровый резерв" OR "электронный курс" OR "развитие руководителей")</x:v>
      </x:c>
      <x:c r="G285" s="5" t="str">
        <x:v>Ранний сигнал и предметный пробел; не подтвержденный заказ.</x:v>
      </x:c>
      <x:c r="H285" s="5" t="str">
        <x:v>not_run</x:v>
      </x:c>
    </x:row>
    <x:row r="286" ht="25.5" customHeight="1">
      <x:c r="A286" s="5" t="str">
        <x:v>CU-0047-DISCOVER</x:v>
      </x:c>
      <x:c r="B286" s="5" t="str">
        <x:v>CU-0047</x:v>
      </x:c>
      <x:c r="C286" s="5" t="str">
        <x:v>Корпоративный университет ТМК2U</x:v>
      </x:c>
      <x:c r="D286" s="5" t="str">
        <x:v>RU</x:v>
      </x:c>
      <x:c r="E286" s="5" t="str">
        <x:v>Новые каналы</x:v>
      </x:c>
      <x:c r="F286" s="5" t="str">
        <x:v>"ТМК" (университет OR академия OR "учебный центр" OR обучение)</x:v>
      </x:c>
      <x:c r="G286" s="5" t="str">
        <x:v>Имена, подразделения и дополнительные официальные адреса.</x:v>
      </x:c>
      <x:c r="H286" s="5" t="str">
        <x:v>not_run</x:v>
      </x:c>
    </x:row>
    <x:row r="287" ht="25.5" customHeight="1">
      <x:c r="A287" s="5" t="str">
        <x:v>CU-0047-BUY</x:v>
      </x:c>
      <x:c r="B287" s="5" t="str">
        <x:v>CU-0047</x:v>
      </x:c>
      <x:c r="C287" s="5" t="str">
        <x:v>Корпоративный университет ТМК2U</x:v>
      </x:c>
      <x:c r="D287" s="5" t="str">
        <x:v>RU</x:v>
      </x:c>
      <x:c r="E287" s="5" t="str">
        <x:v>Закупки и отбор</x:v>
      </x:c>
      <x:c r="F287" s="5" t="str">
        <x:v>"ТМК" (обучение OR тренинг OR семинар) (закупки OR "запрос предложений" OR поставщик)</x:v>
      </x:c>
      <x:c r="G287" s="5" t="str">
        <x:v>Найти конкретную карточку и приложения; запрос не доказывает спрос.</x:v>
      </x:c>
      <x:c r="H287" s="5" t="str">
        <x:v>not_run</x:v>
      </x:c>
    </x:row>
    <x:row r="288" ht="25.5" customHeight="1">
      <x:c r="A288" s="5" t="str">
        <x:v>CU-0047-EXPERT</x:v>
      </x:c>
      <x:c r="B288" s="5" t="str">
        <x:v>CU-0047</x:v>
      </x:c>
      <x:c r="C288" s="5" t="str">
        <x:v>Корпоративный университет ТМК2U</x:v>
      </x:c>
      <x:c r="D288" s="5" t="str">
        <x:v>RU</x:v>
      </x:c>
      <x:c r="E288" s="5" t="str">
        <x:v>Эксперты и партнеры</x:v>
      </x:c>
      <x:c r="F288" s="5" t="str">
        <x:v>"ТМК" (преподаватель OR эксперт OR провайдер OR партнерство)</x:v>
      </x:c>
      <x:c r="G288" s="5" t="str">
        <x:v>Уточнить кто платит и какой вход для внешнего исполнителя.</x:v>
      </x:c>
      <x:c r="H288" s="5" t="str">
        <x:v>not_run</x:v>
      </x:c>
    </x:row>
    <x:row r="289" ht="25.5" customHeight="1">
      <x:c r="A289" s="5" t="str">
        <x:v>CU-0047-SIGNAL</x:v>
      </x:c>
      <x:c r="B289" s="5" t="str">
        <x:v>CU-0047</x:v>
      </x:c>
      <x:c r="C289" s="5" t="str">
        <x:v>Корпоративный университет ТМК2U</x:v>
      </x:c>
      <x:c r="D289" s="5" t="str">
        <x:v>RU</x:v>
      </x:c>
      <x:c r="E289" s="5" t="str">
        <x:v>Новые программы</x:v>
      </x:c>
      <x:c r="F289" s="5" t="str">
        <x:v>"ТМК" ("кадровый резерв" OR "электронный курс" OR "развитие руководителей")</x:v>
      </x:c>
      <x:c r="G289" s="5" t="str">
        <x:v>Ранний сигнал и предметный пробел; не подтвержденный заказ.</x:v>
      </x:c>
      <x:c r="H289" s="5" t="str">
        <x:v>not_run</x:v>
      </x:c>
    </x:row>
    <x:row r="290" ht="25.5" customHeight="1">
      <x:c r="A290" s="5" t="str">
        <x:v>CU-0048-DISCOVER</x:v>
      </x:c>
      <x:c r="B290" s="5" t="str">
        <x:v>CU-0048</x:v>
      </x:c>
      <x:c r="C290" s="5" t="str">
        <x:v>Корпоративный центр подготовки кадров «Персонал»</x:v>
      </x:c>
      <x:c r="D290" s="5" t="str">
        <x:v>RU</x:v>
      </x:c>
      <x:c r="E290" s="5" t="str">
        <x:v>Новые каналы</x:v>
      </x:c>
      <x:c r="F290" s="5" t="str">
        <x:v>"ММК" (университет OR академия OR "учебный центр" OR обучение)</x:v>
      </x:c>
      <x:c r="G290" s="5" t="str">
        <x:v>Имена, подразделения и дополнительные официальные адреса.</x:v>
      </x:c>
      <x:c r="H290" s="5" t="str">
        <x:v>not_run</x:v>
      </x:c>
    </x:row>
    <x:row r="291" ht="25.5" customHeight="1">
      <x:c r="A291" s="5" t="str">
        <x:v>CU-0048-BUY</x:v>
      </x:c>
      <x:c r="B291" s="5" t="str">
        <x:v>CU-0048</x:v>
      </x:c>
      <x:c r="C291" s="5" t="str">
        <x:v>Корпоративный центр подготовки кадров «Персонал»</x:v>
      </x:c>
      <x:c r="D291" s="5" t="str">
        <x:v>RU</x:v>
      </x:c>
      <x:c r="E291" s="5" t="str">
        <x:v>Закупки и отбор</x:v>
      </x:c>
      <x:c r="F291" s="5" t="str">
        <x:v>"ММК" (обучение OR тренинг OR семинар) (закупки OR "запрос предложений" OR поставщик)</x:v>
      </x:c>
      <x:c r="G291" s="5" t="str">
        <x:v>Найти конкретную карточку и приложения; запрос не доказывает спрос.</x:v>
      </x:c>
      <x:c r="H291" s="5" t="str">
        <x:v>not_run</x:v>
      </x:c>
    </x:row>
    <x:row r="292" ht="25.5" customHeight="1">
      <x:c r="A292" s="5" t="str">
        <x:v>CU-0048-EXPERT</x:v>
      </x:c>
      <x:c r="B292" s="5" t="str">
        <x:v>CU-0048</x:v>
      </x:c>
      <x:c r="C292" s="5" t="str">
        <x:v>Корпоративный центр подготовки кадров «Персонал»</x:v>
      </x:c>
      <x:c r="D292" s="5" t="str">
        <x:v>RU</x:v>
      </x:c>
      <x:c r="E292" s="5" t="str">
        <x:v>Эксперты и партнеры</x:v>
      </x:c>
      <x:c r="F292" s="5" t="str">
        <x:v>"ММК" (преподаватель OR эксперт OR провайдер OR партнерство)</x:v>
      </x:c>
      <x:c r="G292" s="5" t="str">
        <x:v>Уточнить кто платит и какой вход для внешнего исполнителя.</x:v>
      </x:c>
      <x:c r="H292" s="5" t="str">
        <x:v>not_run</x:v>
      </x:c>
    </x:row>
    <x:row r="293" ht="25.5" customHeight="1">
      <x:c r="A293" s="5" t="str">
        <x:v>CU-0048-SIGNAL</x:v>
      </x:c>
      <x:c r="B293" s="5" t="str">
        <x:v>CU-0048</x:v>
      </x:c>
      <x:c r="C293" s="5" t="str">
        <x:v>Корпоративный центр подготовки кадров «Персонал»</x:v>
      </x:c>
      <x:c r="D293" s="5" t="str">
        <x:v>RU</x:v>
      </x:c>
      <x:c r="E293" s="5" t="str">
        <x:v>Новые программы</x:v>
      </x:c>
      <x:c r="F293" s="5" t="str">
        <x:v>"ММК" ("кадровый резерв" OR "электронный курс" OR "развитие руководителей")</x:v>
      </x:c>
      <x:c r="G293" s="5" t="str">
        <x:v>Ранний сигнал и предметный пробел; не подтвержденный заказ.</x:v>
      </x:c>
      <x:c r="H293" s="5" t="str">
        <x:v>not_run</x:v>
      </x:c>
    </x:row>
    <x:row r="294" ht="25.5" customHeight="1">
      <x:c r="A294" s="5" t="str">
        <x:v>CU-0049-DISCOVER</x:v>
      </x:c>
      <x:c r="B294" s="5" t="str">
        <x:v>CU-0049</x:v>
      </x:c>
      <x:c r="C294" s="5" t="str">
        <x:v>Корпоративный университет Полюса</x:v>
      </x:c>
      <x:c r="D294" s="5" t="str">
        <x:v>RU</x:v>
      </x:c>
      <x:c r="E294" s="5" t="str">
        <x:v>Новые каналы</x:v>
      </x:c>
      <x:c r="F294" s="5" t="str">
        <x:v>"Полюс" (университет OR академия OR "учебный центр" OR обучение)</x:v>
      </x:c>
      <x:c r="G294" s="5" t="str">
        <x:v>Имена, подразделения и дополнительные официальные адреса.</x:v>
      </x:c>
      <x:c r="H294" s="5" t="str">
        <x:v>not_run</x:v>
      </x:c>
    </x:row>
    <x:row r="295" ht="25.5" customHeight="1">
      <x:c r="A295" s="5" t="str">
        <x:v>CU-0049-BUY</x:v>
      </x:c>
      <x:c r="B295" s="5" t="str">
        <x:v>CU-0049</x:v>
      </x:c>
      <x:c r="C295" s="5" t="str">
        <x:v>Корпоративный университет Полюса</x:v>
      </x:c>
      <x:c r="D295" s="5" t="str">
        <x:v>RU</x:v>
      </x:c>
      <x:c r="E295" s="5" t="str">
        <x:v>Закупки и отбор</x:v>
      </x:c>
      <x:c r="F295" s="5" t="str">
        <x:v>"Полюс" (обучение OR тренинг OR семинар) (закупки OR "запрос предложений" OR поставщик)</x:v>
      </x:c>
      <x:c r="G295" s="5" t="str">
        <x:v>Найти конкретную карточку и приложения; запрос не доказывает спрос.</x:v>
      </x:c>
      <x:c r="H295" s="5" t="str">
        <x:v>not_run</x:v>
      </x:c>
    </x:row>
    <x:row r="296" ht="25.5" customHeight="1">
      <x:c r="A296" s="5" t="str">
        <x:v>CU-0049-EXPERT</x:v>
      </x:c>
      <x:c r="B296" s="5" t="str">
        <x:v>CU-0049</x:v>
      </x:c>
      <x:c r="C296" s="5" t="str">
        <x:v>Корпоративный университет Полюса</x:v>
      </x:c>
      <x:c r="D296" s="5" t="str">
        <x:v>RU</x:v>
      </x:c>
      <x:c r="E296" s="5" t="str">
        <x:v>Эксперты и партнеры</x:v>
      </x:c>
      <x:c r="F296" s="5" t="str">
        <x:v>"Полюс" (преподаватель OR эксперт OR провайдер OR партнерство)</x:v>
      </x:c>
      <x:c r="G296" s="5" t="str">
        <x:v>Уточнить кто платит и какой вход для внешнего исполнителя.</x:v>
      </x:c>
      <x:c r="H296" s="5" t="str">
        <x:v>not_run</x:v>
      </x:c>
    </x:row>
    <x:row r="297" ht="25.5" customHeight="1">
      <x:c r="A297" s="5" t="str">
        <x:v>CU-0049-SIGNAL</x:v>
      </x:c>
      <x:c r="B297" s="5" t="str">
        <x:v>CU-0049</x:v>
      </x:c>
      <x:c r="C297" s="5" t="str">
        <x:v>Корпоративный университет Полюса</x:v>
      </x:c>
      <x:c r="D297" s="5" t="str">
        <x:v>RU</x:v>
      </x:c>
      <x:c r="E297" s="5" t="str">
        <x:v>Новые программы</x:v>
      </x:c>
      <x:c r="F297" s="5" t="str">
        <x:v>"Полюс" ("кадровый резерв" OR "электронный курс" OR "развитие руководителей")</x:v>
      </x:c>
      <x:c r="G297" s="5" t="str">
        <x:v>Ранний сигнал и предметный пробел; не подтвержденный заказ.</x:v>
      </x:c>
      <x:c r="H297" s="5" t="str">
        <x:v>not_run</x:v>
      </x:c>
    </x:row>
    <x:row r="298" ht="25.5" customHeight="1">
      <x:c r="A298" s="5" t="str">
        <x:v>CU-0050-DISCOVER</x:v>
      </x:c>
      <x:c r="B298" s="5" t="str">
        <x:v>CU-0050</x:v>
      </x:c>
      <x:c r="C298" s="5" t="str">
        <x:v>Корпоративный университет АЛРОСА</x:v>
      </x:c>
      <x:c r="D298" s="5" t="str">
        <x:v>RU</x:v>
      </x:c>
      <x:c r="E298" s="5" t="str">
        <x:v>Новые каналы</x:v>
      </x:c>
      <x:c r="F298" s="5" t="str">
        <x:v>"АЛРОСА" (университет OR академия OR "учебный центр" OR обучение)</x:v>
      </x:c>
      <x:c r="G298" s="5" t="str">
        <x:v>Имена, подразделения и дополнительные официальные адреса.</x:v>
      </x:c>
      <x:c r="H298" s="5" t="str">
        <x:v>not_run</x:v>
      </x:c>
    </x:row>
    <x:row r="299" ht="25.5" customHeight="1">
      <x:c r="A299" s="5" t="str">
        <x:v>CU-0050-BUY</x:v>
      </x:c>
      <x:c r="B299" s="5" t="str">
        <x:v>CU-0050</x:v>
      </x:c>
      <x:c r="C299" s="5" t="str">
        <x:v>Корпоративный университет АЛРОСА</x:v>
      </x:c>
      <x:c r="D299" s="5" t="str">
        <x:v>RU</x:v>
      </x:c>
      <x:c r="E299" s="5" t="str">
        <x:v>Закупки и отбор</x:v>
      </x:c>
      <x:c r="F299" s="5" t="str">
        <x:v>"АЛРОСА" (обучение OR тренинг OR семинар) (закупки OR "запрос предложений" OR поставщик)</x:v>
      </x:c>
      <x:c r="G299" s="5" t="str">
        <x:v>Найти конкретную карточку и приложения; запрос не доказывает спрос.</x:v>
      </x:c>
      <x:c r="H299" s="5" t="str">
        <x:v>not_run</x:v>
      </x:c>
    </x:row>
    <x:row r="300" ht="25.5" customHeight="1">
      <x:c r="A300" s="5" t="str">
        <x:v>CU-0050-EXPERT</x:v>
      </x:c>
      <x:c r="B300" s="5" t="str">
        <x:v>CU-0050</x:v>
      </x:c>
      <x:c r="C300" s="5" t="str">
        <x:v>Корпоративный университет АЛРОСА</x:v>
      </x:c>
      <x:c r="D300" s="5" t="str">
        <x:v>RU</x:v>
      </x:c>
      <x:c r="E300" s="5" t="str">
        <x:v>Эксперты и партнеры</x:v>
      </x:c>
      <x:c r="F300" s="5" t="str">
        <x:v>"АЛРОСА" (преподаватель OR эксперт OR провайдер OR партнерство)</x:v>
      </x:c>
      <x:c r="G300" s="5" t="str">
        <x:v>Уточнить кто платит и какой вход для внешнего исполнителя.</x:v>
      </x:c>
      <x:c r="H300" s="5" t="str">
        <x:v>not_run</x:v>
      </x:c>
    </x:row>
    <x:row r="301" ht="25.5" customHeight="1">
      <x:c r="A301" s="5" t="str">
        <x:v>CU-0050-SIGNAL</x:v>
      </x:c>
      <x:c r="B301" s="5" t="str">
        <x:v>CU-0050</x:v>
      </x:c>
      <x:c r="C301" s="5" t="str">
        <x:v>Корпоративный университет АЛРОСА</x:v>
      </x:c>
      <x:c r="D301" s="5" t="str">
        <x:v>RU</x:v>
      </x:c>
      <x:c r="E301" s="5" t="str">
        <x:v>Новые программы</x:v>
      </x:c>
      <x:c r="F301" s="5" t="str">
        <x:v>"АЛРОСА" ("кадровый резерв" OR "электронный курс" OR "развитие руководителей")</x:v>
      </x:c>
      <x:c r="G301" s="5" t="str">
        <x:v>Ранний сигнал и предметный пробел; не подтвержденный заказ.</x:v>
      </x:c>
      <x:c r="H301" s="5" t="str">
        <x:v>not_run</x:v>
      </x:c>
    </x:row>
    <x:row r="302" ht="25.5" customHeight="1">
      <x:c r="A302" s="5" t="str">
        <x:v>CU-0054-DISCOVER</x:v>
      </x:c>
      <x:c r="B302" s="5" t="str">
        <x:v>CU-0054</x:v>
      </x:c>
      <x:c r="C302" s="5" t="str">
        <x:v>Корпоративный университет СИБУРа</x:v>
      </x:c>
      <x:c r="D302" s="5" t="str">
        <x:v>RU</x:v>
      </x:c>
      <x:c r="E302" s="5" t="str">
        <x:v>Новые каналы</x:v>
      </x:c>
      <x:c r="F302" s="5" t="str">
        <x:v>"СИБУР" (университет OR академия OR "учебный центр" OR обучение)</x:v>
      </x:c>
      <x:c r="G302" s="5" t="str">
        <x:v>Имена, подразделения и дополнительные официальные адреса.</x:v>
      </x:c>
      <x:c r="H302" s="5" t="str">
        <x:v>not_run</x:v>
      </x:c>
    </x:row>
    <x:row r="303" ht="25.5" customHeight="1">
      <x:c r="A303" s="5" t="str">
        <x:v>CU-0054-BUY</x:v>
      </x:c>
      <x:c r="B303" s="5" t="str">
        <x:v>CU-0054</x:v>
      </x:c>
      <x:c r="C303" s="5" t="str">
        <x:v>Корпоративный университет СИБУРа</x:v>
      </x:c>
      <x:c r="D303" s="5" t="str">
        <x:v>RU</x:v>
      </x:c>
      <x:c r="E303" s="5" t="str">
        <x:v>Закупки и отбор</x:v>
      </x:c>
      <x:c r="F303" s="5" t="str">
        <x:v>"СИБУР" (обучение OR тренинг OR семинар) (закупки OR "запрос предложений" OR поставщик)</x:v>
      </x:c>
      <x:c r="G303" s="5" t="str">
        <x:v>Найти конкретную карточку и приложения; запрос не доказывает спрос.</x:v>
      </x:c>
      <x:c r="H303" s="5" t="str">
        <x:v>not_run</x:v>
      </x:c>
    </x:row>
    <x:row r="304" ht="25.5" customHeight="1">
      <x:c r="A304" s="5" t="str">
        <x:v>CU-0054-EXPERT</x:v>
      </x:c>
      <x:c r="B304" s="5" t="str">
        <x:v>CU-0054</x:v>
      </x:c>
      <x:c r="C304" s="5" t="str">
        <x:v>Корпоративный университет СИБУРа</x:v>
      </x:c>
      <x:c r="D304" s="5" t="str">
        <x:v>RU</x:v>
      </x:c>
      <x:c r="E304" s="5" t="str">
        <x:v>Эксперты и партнеры</x:v>
      </x:c>
      <x:c r="F304" s="5" t="str">
        <x:v>"СИБУР" (преподаватель OR эксперт OR провайдер OR партнерство)</x:v>
      </x:c>
      <x:c r="G304" s="5" t="str">
        <x:v>Уточнить кто платит и какой вход для внешнего исполнителя.</x:v>
      </x:c>
      <x:c r="H304" s="5" t="str">
        <x:v>not_run</x:v>
      </x:c>
    </x:row>
    <x:row r="305" ht="25.5" customHeight="1">
      <x:c r="A305" s="5" t="str">
        <x:v>CU-0054-SIGNAL</x:v>
      </x:c>
      <x:c r="B305" s="5" t="str">
        <x:v>CU-0054</x:v>
      </x:c>
      <x:c r="C305" s="5" t="str">
        <x:v>Корпоративный университет СИБУРа</x:v>
      </x:c>
      <x:c r="D305" s="5" t="str">
        <x:v>RU</x:v>
      </x:c>
      <x:c r="E305" s="5" t="str">
        <x:v>Новые программы</x:v>
      </x:c>
      <x:c r="F305" s="5" t="str">
        <x:v>"СИБУР" ("кадровый резерв" OR "электронный курс" OR "развитие руководителей")</x:v>
      </x:c>
      <x:c r="G305" s="5" t="str">
        <x:v>Ранний сигнал и предметный пробел; не подтвержденный заказ.</x:v>
      </x:c>
      <x:c r="H305" s="5" t="str">
        <x:v>not_run</x:v>
      </x:c>
    </x:row>
    <x:row r="306" ht="25.5" customHeight="1">
      <x:c r="A306" s="5" t="str">
        <x:v>CU-0055-DISCOVER</x:v>
      </x:c>
      <x:c r="B306" s="5" t="str">
        <x:v>CU-0055</x:v>
      </x:c>
      <x:c r="C306" s="5" t="str">
        <x:v>Корпоративный университет Уралкалия</x:v>
      </x:c>
      <x:c r="D306" s="5" t="str">
        <x:v>RU</x:v>
      </x:c>
      <x:c r="E306" s="5" t="str">
        <x:v>Новые каналы</x:v>
      </x:c>
      <x:c r="F306" s="5" t="str">
        <x:v>"Группа Уралхим / Уралкалий" (университет OR академия OR "учебный центр" OR обучение)</x:v>
      </x:c>
      <x:c r="G306" s="5" t="str">
        <x:v>Имена, подразделения и дополнительные официальные адреса.</x:v>
      </x:c>
      <x:c r="H306" s="5" t="str">
        <x:v>not_run</x:v>
      </x:c>
    </x:row>
    <x:row r="307" ht="25.5" customHeight="1">
      <x:c r="A307" s="5" t="str">
        <x:v>CU-0055-BUY</x:v>
      </x:c>
      <x:c r="B307" s="5" t="str">
        <x:v>CU-0055</x:v>
      </x:c>
      <x:c r="C307" s="5" t="str">
        <x:v>Корпоративный университет Уралкалия</x:v>
      </x:c>
      <x:c r="D307" s="5" t="str">
        <x:v>RU</x:v>
      </x:c>
      <x:c r="E307" s="5" t="str">
        <x:v>Закупки и отбор</x:v>
      </x:c>
      <x:c r="F307" s="5" t="str">
        <x:v>"Группа Уралхим / Уралкалий" (обучение OR тренинг OR семинар) (закупки OR "запрос предложений" OR поставщик)</x:v>
      </x:c>
      <x:c r="G307" s="5" t="str">
        <x:v>Найти конкретную карточку и приложения; запрос не доказывает спрос.</x:v>
      </x:c>
      <x:c r="H307" s="5" t="str">
        <x:v>not_run</x:v>
      </x:c>
    </x:row>
    <x:row r="308" ht="25.5" customHeight="1">
      <x:c r="A308" s="5" t="str">
        <x:v>CU-0055-EXPERT</x:v>
      </x:c>
      <x:c r="B308" s="5" t="str">
        <x:v>CU-0055</x:v>
      </x:c>
      <x:c r="C308" s="5" t="str">
        <x:v>Корпоративный университет Уралкалия</x:v>
      </x:c>
      <x:c r="D308" s="5" t="str">
        <x:v>RU</x:v>
      </x:c>
      <x:c r="E308" s="5" t="str">
        <x:v>Эксперты и партнеры</x:v>
      </x:c>
      <x:c r="F308" s="5" t="str">
        <x:v>"Группа Уралхим / Уралкалий" (преподаватель OR эксперт OR провайдер OR партнерство)</x:v>
      </x:c>
      <x:c r="G308" s="5" t="str">
        <x:v>Уточнить кто платит и какой вход для внешнего исполнителя.</x:v>
      </x:c>
      <x:c r="H308" s="5" t="str">
        <x:v>not_run</x:v>
      </x:c>
    </x:row>
    <x:row r="309" ht="25.5" customHeight="1">
      <x:c r="A309" s="5" t="str">
        <x:v>CU-0055-SIGNAL</x:v>
      </x:c>
      <x:c r="B309" s="5" t="str">
        <x:v>CU-0055</x:v>
      </x:c>
      <x:c r="C309" s="5" t="str">
        <x:v>Корпоративный университет Уралкалия</x:v>
      </x:c>
      <x:c r="D309" s="5" t="str">
        <x:v>RU</x:v>
      </x:c>
      <x:c r="E309" s="5" t="str">
        <x:v>Новые программы</x:v>
      </x:c>
      <x:c r="F309" s="5" t="str">
        <x:v>"Группа Уралхим / Уралкалий" ("кадровый резерв" OR "электронный курс" OR "развитие руководителей")</x:v>
      </x:c>
      <x:c r="G309" s="5" t="str">
        <x:v>Ранний сигнал и предметный пробел; не подтвержденный заказ.</x:v>
      </x:c>
      <x:c r="H309" s="5" t="str">
        <x:v>not_run</x:v>
      </x:c>
    </x:row>
    <x:row r="310" ht="25.5" customHeight="1">
      <x:c r="A310" s="5" t="str">
        <x:v>CU-0056-DISCOVER</x:v>
      </x:c>
      <x:c r="B310" s="5" t="str">
        <x:v>CU-0056</x:v>
      </x:c>
      <x:c r="C310" s="5" t="str">
        <x:v>Корпоративный университет Уралхима</x:v>
      </x:c>
      <x:c r="D310" s="5" t="str">
        <x:v>RU</x:v>
      </x:c>
      <x:c r="E310" s="5" t="str">
        <x:v>Новые каналы</x:v>
      </x:c>
      <x:c r="F310" s="5" t="str">
        <x:v>"Группа Уралхим / Уралкалий" (университет OR академия OR "учебный центр" OR обучение)</x:v>
      </x:c>
      <x:c r="G310" s="5" t="str">
        <x:v>Имена, подразделения и дополнительные официальные адреса.</x:v>
      </x:c>
      <x:c r="H310" s="5" t="str">
        <x:v>not_run</x:v>
      </x:c>
    </x:row>
    <x:row r="311" ht="25.5" customHeight="1">
      <x:c r="A311" s="5" t="str">
        <x:v>CU-0056-BUY</x:v>
      </x:c>
      <x:c r="B311" s="5" t="str">
        <x:v>CU-0056</x:v>
      </x:c>
      <x:c r="C311" s="5" t="str">
        <x:v>Корпоративный университет Уралхима</x:v>
      </x:c>
      <x:c r="D311" s="5" t="str">
        <x:v>RU</x:v>
      </x:c>
      <x:c r="E311" s="5" t="str">
        <x:v>Закупки и отбор</x:v>
      </x:c>
      <x:c r="F311" s="5" t="str">
        <x:v>"Группа Уралхим / Уралкалий" (обучение OR тренинг OR семинар) (закупки OR "запрос предложений" OR поставщик)</x:v>
      </x:c>
      <x:c r="G311" s="5" t="str">
        <x:v>Найти конкретную карточку и приложения; запрос не доказывает спрос.</x:v>
      </x:c>
      <x:c r="H311" s="5" t="str">
        <x:v>not_run</x:v>
      </x:c>
    </x:row>
    <x:row r="312" ht="25.5" customHeight="1">
      <x:c r="A312" s="5" t="str">
        <x:v>CU-0056-EXPERT</x:v>
      </x:c>
      <x:c r="B312" s="5" t="str">
        <x:v>CU-0056</x:v>
      </x:c>
      <x:c r="C312" s="5" t="str">
        <x:v>Корпоративный университет Уралхима</x:v>
      </x:c>
      <x:c r="D312" s="5" t="str">
        <x:v>RU</x:v>
      </x:c>
      <x:c r="E312" s="5" t="str">
        <x:v>Эксперты и партнеры</x:v>
      </x:c>
      <x:c r="F312" s="5" t="str">
        <x:v>"Группа Уралхим / Уралкалий" (преподаватель OR эксперт OR провайдер OR партнерство)</x:v>
      </x:c>
      <x:c r="G312" s="5" t="str">
        <x:v>Уточнить кто платит и какой вход для внешнего исполнителя.</x:v>
      </x:c>
      <x:c r="H312" s="5" t="str">
        <x:v>not_run</x:v>
      </x:c>
    </x:row>
    <x:row r="313" ht="25.5" customHeight="1">
      <x:c r="A313" s="5" t="str">
        <x:v>CU-0056-SIGNAL</x:v>
      </x:c>
      <x:c r="B313" s="5" t="str">
        <x:v>CU-0056</x:v>
      </x:c>
      <x:c r="C313" s="5" t="str">
        <x:v>Корпоративный университет Уралхима</x:v>
      </x:c>
      <x:c r="D313" s="5" t="str">
        <x:v>RU</x:v>
      </x:c>
      <x:c r="E313" s="5" t="str">
        <x:v>Новые программы</x:v>
      </x:c>
      <x:c r="F313" s="5" t="str">
        <x:v>"Группа Уралхим / Уралкалий" ("кадровый резерв" OR "электронный курс" OR "развитие руководителей")</x:v>
      </x:c>
      <x:c r="G313" s="5" t="str">
        <x:v>Ранний сигнал и предметный пробел; не подтвержденный заказ.</x:v>
      </x:c>
      <x:c r="H313" s="5" t="str">
        <x:v>not_run</x:v>
      </x:c>
    </x:row>
    <x:row r="314" ht="25.5" customHeight="1">
      <x:c r="A314" s="5" t="str">
        <x:v>CU-0060-DISCOVER</x:v>
      </x:c>
      <x:c r="B314" s="5" t="str">
        <x:v>CU-0060</x:v>
      </x:c>
      <x:c r="C314" s="5" t="str">
        <x:v>Корпоративный университет Акрон Холдинг</x:v>
      </x:c>
      <x:c r="D314" s="5" t="str">
        <x:v>RU</x:v>
      </x:c>
      <x:c r="E314" s="5" t="str">
        <x:v>Новые каналы</x:v>
      </x:c>
      <x:c r="F314" s="5" t="str">
        <x:v>"Акрон Холдинг" (университет OR академия OR "учебный центр" OR обучение)</x:v>
      </x:c>
      <x:c r="G314" s="5" t="str">
        <x:v>Имена, подразделения и дополнительные официальные адреса.</x:v>
      </x:c>
      <x:c r="H314" s="5" t="str">
        <x:v>not_run</x:v>
      </x:c>
    </x:row>
    <x:row r="315" ht="25.5" customHeight="1">
      <x:c r="A315" s="5" t="str">
        <x:v>CU-0060-BUY</x:v>
      </x:c>
      <x:c r="B315" s="5" t="str">
        <x:v>CU-0060</x:v>
      </x:c>
      <x:c r="C315" s="5" t="str">
        <x:v>Корпоративный университет Акрон Холдинг</x:v>
      </x:c>
      <x:c r="D315" s="5" t="str">
        <x:v>RU</x:v>
      </x:c>
      <x:c r="E315" s="5" t="str">
        <x:v>Закупки и отбор</x:v>
      </x:c>
      <x:c r="F315" s="5" t="str">
        <x:v>"Акрон Холдинг" (обучение OR тренинг OR семинар) (закупки OR "запрос предложений" OR поставщик)</x:v>
      </x:c>
      <x:c r="G315" s="5" t="str">
        <x:v>Найти конкретную карточку и приложения; запрос не доказывает спрос.</x:v>
      </x:c>
      <x:c r="H315" s="5" t="str">
        <x:v>not_run</x:v>
      </x:c>
    </x:row>
    <x:row r="316" ht="25.5" customHeight="1">
      <x:c r="A316" s="5" t="str">
        <x:v>CU-0060-EXPERT</x:v>
      </x:c>
      <x:c r="B316" s="5" t="str">
        <x:v>CU-0060</x:v>
      </x:c>
      <x:c r="C316" s="5" t="str">
        <x:v>Корпоративный университет Акрон Холдинг</x:v>
      </x:c>
      <x:c r="D316" s="5" t="str">
        <x:v>RU</x:v>
      </x:c>
      <x:c r="E316" s="5" t="str">
        <x:v>Эксперты и партнеры</x:v>
      </x:c>
      <x:c r="F316" s="5" t="str">
        <x:v>"Акрон Холдинг" (преподаватель OR эксперт OR провайдер OR партнерство)</x:v>
      </x:c>
      <x:c r="G316" s="5" t="str">
        <x:v>Уточнить кто платит и какой вход для внешнего исполнителя.</x:v>
      </x:c>
      <x:c r="H316" s="5" t="str">
        <x:v>not_run</x:v>
      </x:c>
    </x:row>
    <x:row r="317" ht="25.5" customHeight="1">
      <x:c r="A317" s="5" t="str">
        <x:v>CU-0060-SIGNAL</x:v>
      </x:c>
      <x:c r="B317" s="5" t="str">
        <x:v>CU-0060</x:v>
      </x:c>
      <x:c r="C317" s="5" t="str">
        <x:v>Корпоративный университет Акрон Холдинг</x:v>
      </x:c>
      <x:c r="D317" s="5" t="str">
        <x:v>RU</x:v>
      </x:c>
      <x:c r="E317" s="5" t="str">
        <x:v>Новые программы</x:v>
      </x:c>
      <x:c r="F317" s="5" t="str">
        <x:v>"Акрон Холдинг" ("кадровый резерв" OR "электронный курс" OR "развитие руководителей")</x:v>
      </x:c>
      <x:c r="G317" s="5" t="str">
        <x:v>Ранний сигнал и предметный пробел; не подтвержденный заказ.</x:v>
      </x:c>
      <x:c r="H317" s="5" t="str">
        <x:v>not_run</x:v>
      </x:c>
    </x:row>
    <x:row r="318" ht="25.5" customHeight="1">
      <x:c r="A318" s="5" t="str">
        <x:v>CU-0061-DISCOVER</x:v>
      </x:c>
      <x:c r="B318" s="5" t="str">
        <x:v>CU-0061</x:v>
      </x:c>
      <x:c r="C318" s="5" t="str">
        <x:v>Академия Ростеха</x:v>
      </x:c>
      <x:c r="D318" s="5" t="str">
        <x:v>RU</x:v>
      </x:c>
      <x:c r="E318" s="5" t="str">
        <x:v>Новые каналы</x:v>
      </x:c>
      <x:c r="F318" s="5" t="str">
        <x:v>"Ростех" (университет OR академия OR "учебный центр" OR обучение)</x:v>
      </x:c>
      <x:c r="G318" s="5" t="str">
        <x:v>Имена, подразделения и дополнительные официальные адреса.</x:v>
      </x:c>
      <x:c r="H318" s="5" t="str">
        <x:v>not_run</x:v>
      </x:c>
    </x:row>
    <x:row r="319" ht="25.5" customHeight="1">
      <x:c r="A319" s="5" t="str">
        <x:v>CU-0061-BUY</x:v>
      </x:c>
      <x:c r="B319" s="5" t="str">
        <x:v>CU-0061</x:v>
      </x:c>
      <x:c r="C319" s="5" t="str">
        <x:v>Академия Ростеха</x:v>
      </x:c>
      <x:c r="D319" s="5" t="str">
        <x:v>RU</x:v>
      </x:c>
      <x:c r="E319" s="5" t="str">
        <x:v>Закупки и отбор</x:v>
      </x:c>
      <x:c r="F319" s="5" t="str">
        <x:v>"Ростех" (обучение OR тренинг OR семинар) (закупки OR "запрос предложений" OR поставщик)</x:v>
      </x:c>
      <x:c r="G319" s="5" t="str">
        <x:v>Найти конкретную карточку и приложения; запрос не доказывает спрос.</x:v>
      </x:c>
      <x:c r="H319" s="5" t="str">
        <x:v>not_run</x:v>
      </x:c>
    </x:row>
    <x:row r="320" ht="25.5" customHeight="1">
      <x:c r="A320" s="5" t="str">
        <x:v>CU-0061-EXPERT</x:v>
      </x:c>
      <x:c r="B320" s="5" t="str">
        <x:v>CU-0061</x:v>
      </x:c>
      <x:c r="C320" s="5" t="str">
        <x:v>Академия Ростеха</x:v>
      </x:c>
      <x:c r="D320" s="5" t="str">
        <x:v>RU</x:v>
      </x:c>
      <x:c r="E320" s="5" t="str">
        <x:v>Эксперты и партнеры</x:v>
      </x:c>
      <x:c r="F320" s="5" t="str">
        <x:v>"Ростех" (преподаватель OR эксперт OR провайдер OR партнерство)</x:v>
      </x:c>
      <x:c r="G320" s="5" t="str">
        <x:v>Уточнить кто платит и какой вход для внешнего исполнителя.</x:v>
      </x:c>
      <x:c r="H320" s="5" t="str">
        <x:v>not_run</x:v>
      </x:c>
    </x:row>
    <x:row r="321" ht="25.5" customHeight="1">
      <x:c r="A321" s="5" t="str">
        <x:v>CU-0061-SIGNAL</x:v>
      </x:c>
      <x:c r="B321" s="5" t="str">
        <x:v>CU-0061</x:v>
      </x:c>
      <x:c r="C321" s="5" t="str">
        <x:v>Академия Ростеха</x:v>
      </x:c>
      <x:c r="D321" s="5" t="str">
        <x:v>RU</x:v>
      </x:c>
      <x:c r="E321" s="5" t="str">
        <x:v>Новые программы</x:v>
      </x:c>
      <x:c r="F321" s="5" t="str">
        <x:v>"Ростех" ("кадровый резерв" OR "электронный курс" OR "развитие руководителей")</x:v>
      </x:c>
      <x:c r="G321" s="5" t="str">
        <x:v>Ранний сигнал и предметный пробел; не подтвержденный заказ.</x:v>
      </x:c>
      <x:c r="H321" s="5" t="str">
        <x:v>not_run</x:v>
      </x:c>
    </x:row>
    <x:row r="322" ht="25.5" customHeight="1">
      <x:c r="A322" s="5" t="str">
        <x:v>CU-0062-DISCOVER</x:v>
      </x:c>
      <x:c r="B322" s="5" t="str">
        <x:v>CU-0062</x:v>
      </x:c>
      <x:c r="C322" s="5" t="str">
        <x:v>Корпоративный университет КАМАЗа</x:v>
      </x:c>
      <x:c r="D322" s="5" t="str">
        <x:v>RU</x:v>
      </x:c>
      <x:c r="E322" s="5" t="str">
        <x:v>Новые каналы</x:v>
      </x:c>
      <x:c r="F322" s="5" t="str">
        <x:v>"КАМАЗ / Ростех" (университет OR академия OR "учебный центр" OR обучение)</x:v>
      </x:c>
      <x:c r="G322" s="5" t="str">
        <x:v>Имена, подразделения и дополнительные официальные адреса.</x:v>
      </x:c>
      <x:c r="H322" s="5" t="str">
        <x:v>not_run</x:v>
      </x:c>
    </x:row>
    <x:row r="323" ht="25.5" customHeight="1">
      <x:c r="A323" s="5" t="str">
        <x:v>CU-0062-BUY</x:v>
      </x:c>
      <x:c r="B323" s="5" t="str">
        <x:v>CU-0062</x:v>
      </x:c>
      <x:c r="C323" s="5" t="str">
        <x:v>Корпоративный университет КАМАЗа</x:v>
      </x:c>
      <x:c r="D323" s="5" t="str">
        <x:v>RU</x:v>
      </x:c>
      <x:c r="E323" s="5" t="str">
        <x:v>Закупки и отбор</x:v>
      </x:c>
      <x:c r="F323" s="5" t="str">
        <x:v>"КАМАЗ / Ростех" (обучение OR тренинг OR семинар) (закупки OR "запрос предложений" OR поставщик)</x:v>
      </x:c>
      <x:c r="G323" s="5" t="str">
        <x:v>Найти конкретную карточку и приложения; запрос не доказывает спрос.</x:v>
      </x:c>
      <x:c r="H323" s="5" t="str">
        <x:v>not_run</x:v>
      </x:c>
    </x:row>
    <x:row r="324" ht="25.5" customHeight="1">
      <x:c r="A324" s="5" t="str">
        <x:v>CU-0062-EXPERT</x:v>
      </x:c>
      <x:c r="B324" s="5" t="str">
        <x:v>CU-0062</x:v>
      </x:c>
      <x:c r="C324" s="5" t="str">
        <x:v>Корпоративный университет КАМАЗа</x:v>
      </x:c>
      <x:c r="D324" s="5" t="str">
        <x:v>RU</x:v>
      </x:c>
      <x:c r="E324" s="5" t="str">
        <x:v>Эксперты и партнеры</x:v>
      </x:c>
      <x:c r="F324" s="5" t="str">
        <x:v>"КАМАЗ / Ростех" (преподаватель OR эксперт OR провайдер OR партнерство)</x:v>
      </x:c>
      <x:c r="G324" s="5" t="str">
        <x:v>Уточнить кто платит и какой вход для внешнего исполнителя.</x:v>
      </x:c>
      <x:c r="H324" s="5" t="str">
        <x:v>not_run</x:v>
      </x:c>
    </x:row>
    <x:row r="325" ht="25.5" customHeight="1">
      <x:c r="A325" s="5" t="str">
        <x:v>CU-0062-SIGNAL</x:v>
      </x:c>
      <x:c r="B325" s="5" t="str">
        <x:v>CU-0062</x:v>
      </x:c>
      <x:c r="C325" s="5" t="str">
        <x:v>Корпоративный университет КАМАЗа</x:v>
      </x:c>
      <x:c r="D325" s="5" t="str">
        <x:v>RU</x:v>
      </x:c>
      <x:c r="E325" s="5" t="str">
        <x:v>Новые программы</x:v>
      </x:c>
      <x:c r="F325" s="5" t="str">
        <x:v>"КАМАЗ / Ростех" ("кадровый резерв" OR "электронный курс" OR "развитие руководителей")</x:v>
      </x:c>
      <x:c r="G325" s="5" t="str">
        <x:v>Ранний сигнал и предметный пробел; не подтвержденный заказ.</x:v>
      </x:c>
      <x:c r="H325" s="5" t="str">
        <x:v>not_run</x:v>
      </x:c>
    </x:row>
    <x:row r="326" ht="25.5" customHeight="1">
      <x:c r="A326" s="5" t="str">
        <x:v>CU-0063-DISCOVER</x:v>
      </x:c>
      <x:c r="B326" s="5" t="str">
        <x:v>CU-0063</x:v>
      </x:c>
      <x:c r="C326" s="5" t="str">
        <x:v>Корпоративный университет Горьковского автозавода</x:v>
      </x:c>
      <x:c r="D326" s="5" t="str">
        <x:v>RU</x:v>
      </x:c>
      <x:c r="E326" s="5" t="str">
        <x:v>Новые каналы</x:v>
      </x:c>
      <x:c r="F326" s="5" t="str">
        <x:v>"ГАЗ" (университет OR академия OR "учебный центр" OR обучение)</x:v>
      </x:c>
      <x:c r="G326" s="5" t="str">
        <x:v>Имена, подразделения и дополнительные официальные адреса.</x:v>
      </x:c>
      <x:c r="H326" s="5" t="str">
        <x:v>not_run</x:v>
      </x:c>
    </x:row>
    <x:row r="327" ht="25.5" customHeight="1">
      <x:c r="A327" s="5" t="str">
        <x:v>CU-0063-BUY</x:v>
      </x:c>
      <x:c r="B327" s="5" t="str">
        <x:v>CU-0063</x:v>
      </x:c>
      <x:c r="C327" s="5" t="str">
        <x:v>Корпоративный университет Горьковского автозавода</x:v>
      </x:c>
      <x:c r="D327" s="5" t="str">
        <x:v>RU</x:v>
      </x:c>
      <x:c r="E327" s="5" t="str">
        <x:v>Закупки и отбор</x:v>
      </x:c>
      <x:c r="F327" s="5" t="str">
        <x:v>"ГАЗ" (обучение OR тренинг OR семинар) (закупки OR "запрос предложений" OR поставщик)</x:v>
      </x:c>
      <x:c r="G327" s="5" t="str">
        <x:v>Найти конкретную карточку и приложения; запрос не доказывает спрос.</x:v>
      </x:c>
      <x:c r="H327" s="5" t="str">
        <x:v>not_run</x:v>
      </x:c>
    </x:row>
    <x:row r="328" ht="25.5" customHeight="1">
      <x:c r="A328" s="5" t="str">
        <x:v>CU-0063-EXPERT</x:v>
      </x:c>
      <x:c r="B328" s="5" t="str">
        <x:v>CU-0063</x:v>
      </x:c>
      <x:c r="C328" s="5" t="str">
        <x:v>Корпоративный университет Горьковского автозавода</x:v>
      </x:c>
      <x:c r="D328" s="5" t="str">
        <x:v>RU</x:v>
      </x:c>
      <x:c r="E328" s="5" t="str">
        <x:v>Эксперты и партнеры</x:v>
      </x:c>
      <x:c r="F328" s="5" t="str">
        <x:v>"ГАЗ" (преподаватель OR эксперт OR провайдер OR партнерство)</x:v>
      </x:c>
      <x:c r="G328" s="5" t="str">
        <x:v>Уточнить кто платит и какой вход для внешнего исполнителя.</x:v>
      </x:c>
      <x:c r="H328" s="5" t="str">
        <x:v>not_run</x:v>
      </x:c>
    </x:row>
    <x:row r="329" ht="25.5" customHeight="1">
      <x:c r="A329" s="5" t="str">
        <x:v>CU-0063-SIGNAL</x:v>
      </x:c>
      <x:c r="B329" s="5" t="str">
        <x:v>CU-0063</x:v>
      </x:c>
      <x:c r="C329" s="5" t="str">
        <x:v>Корпоративный университет Горьковского автозавода</x:v>
      </x:c>
      <x:c r="D329" s="5" t="str">
        <x:v>RU</x:v>
      </x:c>
      <x:c r="E329" s="5" t="str">
        <x:v>Новые программы</x:v>
      </x:c>
      <x:c r="F329" s="5" t="str">
        <x:v>"ГАЗ" ("кадровый резерв" OR "электронный курс" OR "развитие руководителей")</x:v>
      </x:c>
      <x:c r="G329" s="5" t="str">
        <x:v>Ранний сигнал и предметный пробел; не подтвержденный заказ.</x:v>
      </x:c>
      <x:c r="H329" s="5" t="str">
        <x:v>not_run</x:v>
      </x:c>
    </x:row>
    <x:row r="330" ht="25.5" customHeight="1">
      <x:c r="A330" s="5" t="str">
        <x:v>CU-0065-DISCOVER</x:v>
      </x:c>
      <x:c r="B330" s="5" t="str">
        <x:v>CU-0065</x:v>
      </x:c>
      <x:c r="C330" s="5" t="str">
        <x:v>Корпоративная академия Роскосмоса</x:v>
      </x:c>
      <x:c r="D330" s="5" t="str">
        <x:v>RU</x:v>
      </x:c>
      <x:c r="E330" s="5" t="str">
        <x:v>Новые каналы</x:v>
      </x:c>
      <x:c r="F330" s="5" t="str">
        <x:v>"Роскосмос" (университет OR академия OR "учебный центр" OR обучение)</x:v>
      </x:c>
      <x:c r="G330" s="5" t="str">
        <x:v>Имена, подразделения и дополнительные официальные адреса.</x:v>
      </x:c>
      <x:c r="H330" s="5" t="str">
        <x:v>not_run</x:v>
      </x:c>
    </x:row>
    <x:row r="331" ht="25.5" customHeight="1">
      <x:c r="A331" s="5" t="str">
        <x:v>CU-0065-BUY</x:v>
      </x:c>
      <x:c r="B331" s="5" t="str">
        <x:v>CU-0065</x:v>
      </x:c>
      <x:c r="C331" s="5" t="str">
        <x:v>Корпоративная академия Роскосмоса</x:v>
      </x:c>
      <x:c r="D331" s="5" t="str">
        <x:v>RU</x:v>
      </x:c>
      <x:c r="E331" s="5" t="str">
        <x:v>Закупки и отбор</x:v>
      </x:c>
      <x:c r="F331" s="5" t="str">
        <x:v>"Роскосмос" (обучение OR тренинг OR семинар) (закупки OR "запрос предложений" OR поставщик)</x:v>
      </x:c>
      <x:c r="G331" s="5" t="str">
        <x:v>Найти конкретную карточку и приложения; запрос не доказывает спрос.</x:v>
      </x:c>
      <x:c r="H331" s="5" t="str">
        <x:v>not_run</x:v>
      </x:c>
    </x:row>
    <x:row r="332" ht="25.5" customHeight="1">
      <x:c r="A332" s="5" t="str">
        <x:v>CU-0065-EXPERT</x:v>
      </x:c>
      <x:c r="B332" s="5" t="str">
        <x:v>CU-0065</x:v>
      </x:c>
      <x:c r="C332" s="5" t="str">
        <x:v>Корпоративная академия Роскосмоса</x:v>
      </x:c>
      <x:c r="D332" s="5" t="str">
        <x:v>RU</x:v>
      </x:c>
      <x:c r="E332" s="5" t="str">
        <x:v>Эксперты и партнеры</x:v>
      </x:c>
      <x:c r="F332" s="5" t="str">
        <x:v>"Роскосмос" (преподаватель OR эксперт OR провайдер OR партнерство)</x:v>
      </x:c>
      <x:c r="G332" s="5" t="str">
        <x:v>Уточнить кто платит и какой вход для внешнего исполнителя.</x:v>
      </x:c>
      <x:c r="H332" s="5" t="str">
        <x:v>not_run</x:v>
      </x:c>
    </x:row>
    <x:row r="333" ht="25.5" customHeight="1">
      <x:c r="A333" s="5" t="str">
        <x:v>CU-0065-SIGNAL</x:v>
      </x:c>
      <x:c r="B333" s="5" t="str">
        <x:v>CU-0065</x:v>
      </x:c>
      <x:c r="C333" s="5" t="str">
        <x:v>Корпоративная академия Роскосмоса</x:v>
      </x:c>
      <x:c r="D333" s="5" t="str">
        <x:v>RU</x:v>
      </x:c>
      <x:c r="E333" s="5" t="str">
        <x:v>Новые программы</x:v>
      </x:c>
      <x:c r="F333" s="5" t="str">
        <x:v>"Роскосмос" ("кадровый резерв" OR "электронный курс" OR "развитие руководителей")</x:v>
      </x:c>
      <x:c r="G333" s="5" t="str">
        <x:v>Ранний сигнал и предметный пробел; не подтвержденный заказ.</x:v>
      </x:c>
      <x:c r="H333" s="5" t="str">
        <x:v>not_run</x:v>
      </x:c>
    </x:row>
    <x:row r="334" ht="25.5" customHeight="1">
      <x:c r="A334" s="5" t="str">
        <x:v>CU-0066-DISCOVER</x:v>
      </x:c>
      <x:c r="B334" s="5" t="str">
        <x:v>CU-0066</x:v>
      </x:c>
      <x:c r="C334" s="5" t="str">
        <x:v>Корпоративный университет ОСК</x:v>
      </x:c>
      <x:c r="D334" s="5" t="str">
        <x:v>RU</x:v>
      </x:c>
      <x:c r="E334" s="5" t="str">
        <x:v>Новые каналы</x:v>
      </x:c>
      <x:c r="F334" s="5" t="str">
        <x:v>"ОСК" (университет OR академия OR "учебный центр" OR обучение)</x:v>
      </x:c>
      <x:c r="G334" s="5" t="str">
        <x:v>Имена, подразделения и дополнительные официальные адреса.</x:v>
      </x:c>
      <x:c r="H334" s="5" t="str">
        <x:v>not_run</x:v>
      </x:c>
    </x:row>
    <x:row r="335" ht="25.5" customHeight="1">
      <x:c r="A335" s="5" t="str">
        <x:v>CU-0066-BUY</x:v>
      </x:c>
      <x:c r="B335" s="5" t="str">
        <x:v>CU-0066</x:v>
      </x:c>
      <x:c r="C335" s="5" t="str">
        <x:v>Корпоративный университет ОСК</x:v>
      </x:c>
      <x:c r="D335" s="5" t="str">
        <x:v>RU</x:v>
      </x:c>
      <x:c r="E335" s="5" t="str">
        <x:v>Закупки и отбор</x:v>
      </x:c>
      <x:c r="F335" s="5" t="str">
        <x:v>"ОСК" (обучение OR тренинг OR семинар) (закупки OR "запрос предложений" OR поставщик)</x:v>
      </x:c>
      <x:c r="G335" s="5" t="str">
        <x:v>Найти конкретную карточку и приложения; запрос не доказывает спрос.</x:v>
      </x:c>
      <x:c r="H335" s="5" t="str">
        <x:v>not_run</x:v>
      </x:c>
    </x:row>
    <x:row r="336" ht="25.5" customHeight="1">
      <x:c r="A336" s="5" t="str">
        <x:v>CU-0066-EXPERT</x:v>
      </x:c>
      <x:c r="B336" s="5" t="str">
        <x:v>CU-0066</x:v>
      </x:c>
      <x:c r="C336" s="5" t="str">
        <x:v>Корпоративный университет ОСК</x:v>
      </x:c>
      <x:c r="D336" s="5" t="str">
        <x:v>RU</x:v>
      </x:c>
      <x:c r="E336" s="5" t="str">
        <x:v>Эксперты и партнеры</x:v>
      </x:c>
      <x:c r="F336" s="5" t="str">
        <x:v>"ОСК" (преподаватель OR эксперт OR провайдер OR партнерство)</x:v>
      </x:c>
      <x:c r="G336" s="5" t="str">
        <x:v>Уточнить кто платит и какой вход для внешнего исполнителя.</x:v>
      </x:c>
      <x:c r="H336" s="5" t="str">
        <x:v>not_run</x:v>
      </x:c>
    </x:row>
    <x:row r="337" ht="25.5" customHeight="1">
      <x:c r="A337" s="5" t="str">
        <x:v>CU-0066-SIGNAL</x:v>
      </x:c>
      <x:c r="B337" s="5" t="str">
        <x:v>CU-0066</x:v>
      </x:c>
      <x:c r="C337" s="5" t="str">
        <x:v>Корпоративный университет ОСК</x:v>
      </x:c>
      <x:c r="D337" s="5" t="str">
        <x:v>RU</x:v>
      </x:c>
      <x:c r="E337" s="5" t="str">
        <x:v>Новые программы</x:v>
      </x:c>
      <x:c r="F337" s="5" t="str">
        <x:v>"ОСК" ("кадровый резерв" OR "электронный курс" OR "развитие руководителей")</x:v>
      </x:c>
      <x:c r="G337" s="5" t="str">
        <x:v>Ранний сигнал и предметный пробел; не подтвержденный заказ.</x:v>
      </x:c>
      <x:c r="H337" s="5" t="str">
        <x:v>not_run</x:v>
      </x:c>
    </x:row>
    <x:row r="338" ht="25.5" customHeight="1">
      <x:c r="A338" s="5" t="str">
        <x:v>CU-0067-DISCOVER</x:v>
      </x:c>
      <x:c r="B338" s="5" t="str">
        <x:v>CU-0067</x:v>
      </x:c>
      <x:c r="C338" s="5" t="str">
        <x:v>Университет ТМХ</x:v>
      </x:c>
      <x:c r="D338" s="5" t="str">
        <x:v>RU</x:v>
      </x:c>
      <x:c r="E338" s="5" t="str">
        <x:v>Новые каналы</x:v>
      </x:c>
      <x:c r="F338" s="5" t="str">
        <x:v>"ТМХ" (университет OR академия OR "учебный центр" OR обучение)</x:v>
      </x:c>
      <x:c r="G338" s="5" t="str">
        <x:v>Имена, подразделения и дополнительные официальные адреса.</x:v>
      </x:c>
      <x:c r="H338" s="5" t="str">
        <x:v>not_run</x:v>
      </x:c>
    </x:row>
    <x:row r="339" ht="25.5" customHeight="1">
      <x:c r="A339" s="5" t="str">
        <x:v>CU-0067-BUY</x:v>
      </x:c>
      <x:c r="B339" s="5" t="str">
        <x:v>CU-0067</x:v>
      </x:c>
      <x:c r="C339" s="5" t="str">
        <x:v>Университет ТМХ</x:v>
      </x:c>
      <x:c r="D339" s="5" t="str">
        <x:v>RU</x:v>
      </x:c>
      <x:c r="E339" s="5" t="str">
        <x:v>Закупки и отбор</x:v>
      </x:c>
      <x:c r="F339" s="5" t="str">
        <x:v>"ТМХ" (обучение OR тренинг OR семинар) (закупки OR "запрос предложений" OR поставщик)</x:v>
      </x:c>
      <x:c r="G339" s="5" t="str">
        <x:v>Найти конкретную карточку и приложения; запрос не доказывает спрос.</x:v>
      </x:c>
      <x:c r="H339" s="5" t="str">
        <x:v>not_run</x:v>
      </x:c>
    </x:row>
    <x:row r="340" ht="25.5" customHeight="1">
      <x:c r="A340" s="5" t="str">
        <x:v>CU-0067-EXPERT</x:v>
      </x:c>
      <x:c r="B340" s="5" t="str">
        <x:v>CU-0067</x:v>
      </x:c>
      <x:c r="C340" s="5" t="str">
        <x:v>Университет ТМХ</x:v>
      </x:c>
      <x:c r="D340" s="5" t="str">
        <x:v>RU</x:v>
      </x:c>
      <x:c r="E340" s="5" t="str">
        <x:v>Эксперты и партнеры</x:v>
      </x:c>
      <x:c r="F340" s="5" t="str">
        <x:v>"ТМХ" (преподаватель OR эксперт OR провайдер OR партнерство)</x:v>
      </x:c>
      <x:c r="G340" s="5" t="str">
        <x:v>Уточнить кто платит и какой вход для внешнего исполнителя.</x:v>
      </x:c>
      <x:c r="H340" s="5" t="str">
        <x:v>not_run</x:v>
      </x:c>
    </x:row>
    <x:row r="341" ht="25.5" customHeight="1">
      <x:c r="A341" s="5" t="str">
        <x:v>CU-0067-SIGNAL</x:v>
      </x:c>
      <x:c r="B341" s="5" t="str">
        <x:v>CU-0067</x:v>
      </x:c>
      <x:c r="C341" s="5" t="str">
        <x:v>Университет ТМХ</x:v>
      </x:c>
      <x:c r="D341" s="5" t="str">
        <x:v>RU</x:v>
      </x:c>
      <x:c r="E341" s="5" t="str">
        <x:v>Новые программы</x:v>
      </x:c>
      <x:c r="F341" s="5" t="str">
        <x:v>"ТМХ" ("кадровый резерв" OR "электронный курс" OR "развитие руководителей")</x:v>
      </x:c>
      <x:c r="G341" s="5" t="str">
        <x:v>Ранний сигнал и предметный пробел; не подтвержденный заказ.</x:v>
      </x:c>
      <x:c r="H341" s="5" t="str">
        <x:v>not_run</x:v>
      </x:c>
    </x:row>
    <x:row r="342" ht="25.5" customHeight="1">
      <x:c r="A342" s="5" t="str">
        <x:v>CU-0068-DISCOVER</x:v>
      </x:c>
      <x:c r="B342" s="5" t="str">
        <x:v>CU-0068</x:v>
      </x:c>
      <x:c r="C342" s="5" t="str">
        <x:v>Корпоративный университет ОАК</x:v>
      </x:c>
      <x:c r="D342" s="5" t="str">
        <x:v>RU</x:v>
      </x:c>
      <x:c r="E342" s="5" t="str">
        <x:v>Новые каналы</x:v>
      </x:c>
      <x:c r="F342" s="5" t="str">
        <x:v>"ОАК / Ростех" (университет OR академия OR "учебный центр" OR обучение)</x:v>
      </x:c>
      <x:c r="G342" s="5" t="str">
        <x:v>Имена, подразделения и дополнительные официальные адреса.</x:v>
      </x:c>
      <x:c r="H342" s="5" t="str">
        <x:v>not_run</x:v>
      </x:c>
    </x:row>
    <x:row r="343" ht="25.5" customHeight="1">
      <x:c r="A343" s="5" t="str">
        <x:v>CU-0068-BUY</x:v>
      </x:c>
      <x:c r="B343" s="5" t="str">
        <x:v>CU-0068</x:v>
      </x:c>
      <x:c r="C343" s="5" t="str">
        <x:v>Корпоративный университет ОАК</x:v>
      </x:c>
      <x:c r="D343" s="5" t="str">
        <x:v>RU</x:v>
      </x:c>
      <x:c r="E343" s="5" t="str">
        <x:v>Закупки и отбор</x:v>
      </x:c>
      <x:c r="F343" s="5" t="str">
        <x:v>"ОАК / Ростех" (обучение OR тренинг OR семинар) (закупки OR "запрос предложений" OR поставщик)</x:v>
      </x:c>
      <x:c r="G343" s="5" t="str">
        <x:v>Найти конкретную карточку и приложения; запрос не доказывает спрос.</x:v>
      </x:c>
      <x:c r="H343" s="5" t="str">
        <x:v>not_run</x:v>
      </x:c>
    </x:row>
    <x:row r="344" ht="25.5" customHeight="1">
      <x:c r="A344" s="5" t="str">
        <x:v>CU-0068-EXPERT</x:v>
      </x:c>
      <x:c r="B344" s="5" t="str">
        <x:v>CU-0068</x:v>
      </x:c>
      <x:c r="C344" s="5" t="str">
        <x:v>Корпоративный университет ОАК</x:v>
      </x:c>
      <x:c r="D344" s="5" t="str">
        <x:v>RU</x:v>
      </x:c>
      <x:c r="E344" s="5" t="str">
        <x:v>Эксперты и партнеры</x:v>
      </x:c>
      <x:c r="F344" s="5" t="str">
        <x:v>"ОАК / Ростех" (преподаватель OR эксперт OR провайдер OR партнерство)</x:v>
      </x:c>
      <x:c r="G344" s="5" t="str">
        <x:v>Уточнить кто платит и какой вход для внешнего исполнителя.</x:v>
      </x:c>
      <x:c r="H344" s="5" t="str">
        <x:v>not_run</x:v>
      </x:c>
    </x:row>
    <x:row r="345" ht="25.5" customHeight="1">
      <x:c r="A345" s="5" t="str">
        <x:v>CU-0068-SIGNAL</x:v>
      </x:c>
      <x:c r="B345" s="5" t="str">
        <x:v>CU-0068</x:v>
      </x:c>
      <x:c r="C345" s="5" t="str">
        <x:v>Корпоративный университет ОАК</x:v>
      </x:c>
      <x:c r="D345" s="5" t="str">
        <x:v>RU</x:v>
      </x:c>
      <x:c r="E345" s="5" t="str">
        <x:v>Новые программы</x:v>
      </x:c>
      <x:c r="F345" s="5" t="str">
        <x:v>"ОАК / Ростех" ("кадровый резерв" OR "электронный курс" OR "развитие руководителей")</x:v>
      </x:c>
      <x:c r="G345" s="5" t="str">
        <x:v>Ранний сигнал и предметный пробел; не подтвержденный заказ.</x:v>
      </x:c>
      <x:c r="H345" s="5" t="str">
        <x:v>not_run</x:v>
      </x:c>
    </x:row>
    <x:row r="346" ht="25.5" customHeight="1">
      <x:c r="A346" s="5" t="str">
        <x:v>CU-0071-DISCOVER</x:v>
      </x:c>
      <x:c r="B346" s="5" t="str">
        <x:v>CU-0071</x:v>
      </x:c>
      <x:c r="C346" s="5" t="str">
        <x:v>Корпоративный университет Группы «Илим»</x:v>
      </x:c>
      <x:c r="D346" s="5" t="str">
        <x:v>RU</x:v>
      </x:c>
      <x:c r="E346" s="5" t="str">
        <x:v>Новые каналы</x:v>
      </x:c>
      <x:c r="F346" s="5" t="str">
        <x:v>"Илим" (университет OR академия OR "учебный центр" OR обучение)</x:v>
      </x:c>
      <x:c r="G346" s="5" t="str">
        <x:v>Имена, подразделения и дополнительные официальные адреса.</x:v>
      </x:c>
      <x:c r="H346" s="5" t="str">
        <x:v>not_run</x:v>
      </x:c>
    </x:row>
    <x:row r="347" ht="25.5" customHeight="1">
      <x:c r="A347" s="5" t="str">
        <x:v>CU-0071-BUY</x:v>
      </x:c>
      <x:c r="B347" s="5" t="str">
        <x:v>CU-0071</x:v>
      </x:c>
      <x:c r="C347" s="5" t="str">
        <x:v>Корпоративный университет Группы «Илим»</x:v>
      </x:c>
      <x:c r="D347" s="5" t="str">
        <x:v>RU</x:v>
      </x:c>
      <x:c r="E347" s="5" t="str">
        <x:v>Закупки и отбор</x:v>
      </x:c>
      <x:c r="F347" s="5" t="str">
        <x:v>"Илим" (обучение OR тренинг OR семинар) (закупки OR "запрос предложений" OR поставщик)</x:v>
      </x:c>
      <x:c r="G347" s="5" t="str">
        <x:v>Найти конкретную карточку и приложения; запрос не доказывает спрос.</x:v>
      </x:c>
      <x:c r="H347" s="5" t="str">
        <x:v>not_run</x:v>
      </x:c>
    </x:row>
    <x:row r="348" ht="25.5" customHeight="1">
      <x:c r="A348" s="5" t="str">
        <x:v>CU-0071-EXPERT</x:v>
      </x:c>
      <x:c r="B348" s="5" t="str">
        <x:v>CU-0071</x:v>
      </x:c>
      <x:c r="C348" s="5" t="str">
        <x:v>Корпоративный университет Группы «Илим»</x:v>
      </x:c>
      <x:c r="D348" s="5" t="str">
        <x:v>RU</x:v>
      </x:c>
      <x:c r="E348" s="5" t="str">
        <x:v>Эксперты и партнеры</x:v>
      </x:c>
      <x:c r="F348" s="5" t="str">
        <x:v>"Илим" (преподаватель OR эксперт OR провайдер OR партнерство)</x:v>
      </x:c>
      <x:c r="G348" s="5" t="str">
        <x:v>Уточнить кто платит и какой вход для внешнего исполнителя.</x:v>
      </x:c>
      <x:c r="H348" s="5" t="str">
        <x:v>not_run</x:v>
      </x:c>
    </x:row>
    <x:row r="349" ht="25.5" customHeight="1">
      <x:c r="A349" s="5" t="str">
        <x:v>CU-0071-SIGNAL</x:v>
      </x:c>
      <x:c r="B349" s="5" t="str">
        <x:v>CU-0071</x:v>
      </x:c>
      <x:c r="C349" s="5" t="str">
        <x:v>Корпоративный университет Группы «Илим»</x:v>
      </x:c>
      <x:c r="D349" s="5" t="str">
        <x:v>RU</x:v>
      </x:c>
      <x:c r="E349" s="5" t="str">
        <x:v>Новые программы</x:v>
      </x:c>
      <x:c r="F349" s="5" t="str">
        <x:v>"Илим" ("кадровый резерв" OR "электронный курс" OR "развитие руководителей")</x:v>
      </x:c>
      <x:c r="G349" s="5" t="str">
        <x:v>Ранний сигнал и предметный пробел; не подтвержденный заказ.</x:v>
      </x:c>
      <x:c r="H349" s="5" t="str">
        <x:v>not_run</x:v>
      </x:c>
    </x:row>
    <x:row r="350" ht="25.5" customHeight="1">
      <x:c r="A350" s="5" t="str">
        <x:v>CU-0072-DISCOVER</x:v>
      </x:c>
      <x:c r="B350" s="5" t="str">
        <x:v>CU-0072</x:v>
      </x:c>
      <x:c r="C350" s="5" t="str">
        <x:v>Корпоративный университет Асконы</x:v>
      </x:c>
      <x:c r="D350" s="5" t="str">
        <x:v>RU</x:v>
      </x:c>
      <x:c r="E350" s="5" t="str">
        <x:v>Новые каналы</x:v>
      </x:c>
      <x:c r="F350" s="5" t="str">
        <x:v>"Askona Life Group" (университет OR академия OR "учебный центр" OR обучение)</x:v>
      </x:c>
      <x:c r="G350" s="5" t="str">
        <x:v>Имена, подразделения и дополнительные официальные адреса.</x:v>
      </x:c>
      <x:c r="H350" s="5" t="str">
        <x:v>not_run</x:v>
      </x:c>
    </x:row>
    <x:row r="351" ht="25.5" customHeight="1">
      <x:c r="A351" s="5" t="str">
        <x:v>CU-0072-BUY</x:v>
      </x:c>
      <x:c r="B351" s="5" t="str">
        <x:v>CU-0072</x:v>
      </x:c>
      <x:c r="C351" s="5" t="str">
        <x:v>Корпоративный университет Асконы</x:v>
      </x:c>
      <x:c r="D351" s="5" t="str">
        <x:v>RU</x:v>
      </x:c>
      <x:c r="E351" s="5" t="str">
        <x:v>Закупки и отбор</x:v>
      </x:c>
      <x:c r="F351" s="5" t="str">
        <x:v>"Askona Life Group" (обучение OR тренинг OR семинар) (закупки OR "запрос предложений" OR поставщик)</x:v>
      </x:c>
      <x:c r="G351" s="5" t="str">
        <x:v>Найти конкретную карточку и приложения; запрос не доказывает спрос.</x:v>
      </x:c>
      <x:c r="H351" s="5" t="str">
        <x:v>not_run</x:v>
      </x:c>
    </x:row>
    <x:row r="352" ht="25.5" customHeight="1">
      <x:c r="A352" s="5" t="str">
        <x:v>CU-0072-EXPERT</x:v>
      </x:c>
      <x:c r="B352" s="5" t="str">
        <x:v>CU-0072</x:v>
      </x:c>
      <x:c r="C352" s="5" t="str">
        <x:v>Корпоративный университет Асконы</x:v>
      </x:c>
      <x:c r="D352" s="5" t="str">
        <x:v>RU</x:v>
      </x:c>
      <x:c r="E352" s="5" t="str">
        <x:v>Эксперты и партнеры</x:v>
      </x:c>
      <x:c r="F352" s="5" t="str">
        <x:v>"Askona Life Group" (преподаватель OR эксперт OR провайдер OR партнерство)</x:v>
      </x:c>
      <x:c r="G352" s="5" t="str">
        <x:v>Уточнить кто платит и какой вход для внешнего исполнителя.</x:v>
      </x:c>
      <x:c r="H352" s="5" t="str">
        <x:v>not_run</x:v>
      </x:c>
    </x:row>
    <x:row r="353" ht="25.5" customHeight="1">
      <x:c r="A353" s="5" t="str">
        <x:v>CU-0072-SIGNAL</x:v>
      </x:c>
      <x:c r="B353" s="5" t="str">
        <x:v>CU-0072</x:v>
      </x:c>
      <x:c r="C353" s="5" t="str">
        <x:v>Корпоративный университет Асконы</x:v>
      </x:c>
      <x:c r="D353" s="5" t="str">
        <x:v>RU</x:v>
      </x:c>
      <x:c r="E353" s="5" t="str">
        <x:v>Новые программы</x:v>
      </x:c>
      <x:c r="F353" s="5" t="str">
        <x:v>"Askona Life Group" ("кадровый резерв" OR "электронный курс" OR "развитие руководителей")</x:v>
      </x:c>
      <x:c r="G353" s="5" t="str">
        <x:v>Ранний сигнал и предметный пробел; не подтвержденный заказ.</x:v>
      </x:c>
      <x:c r="H353" s="5" t="str">
        <x:v>not_run</x:v>
      </x:c>
    </x:row>
    <x:row r="354" ht="25.5" customHeight="1">
      <x:c r="A354" s="5" t="str">
        <x:v>CU-0075-DISCOVER</x:v>
      </x:c>
      <x:c r="B354" s="5" t="str">
        <x:v>CU-0075</x:v>
      </x:c>
      <x:c r="C354" s="5" t="str">
        <x:v>НОЦ ВКО «Алмаз-Антей» им. академика В.П. Ефремова</x:v>
      </x:c>
      <x:c r="D354" s="5" t="str">
        <x:v>RU</x:v>
      </x:c>
      <x:c r="E354" s="5" t="str">
        <x:v>Новые каналы</x:v>
      </x:c>
      <x:c r="F354" s="5" t="str">
        <x:v>"Алмаз-Антей" (университет OR академия OR "учебный центр" OR обучение)</x:v>
      </x:c>
      <x:c r="G354" s="5" t="str">
        <x:v>Имена, подразделения и дополнительные официальные адреса.</x:v>
      </x:c>
      <x:c r="H354" s="5" t="str">
        <x:v>not_run</x:v>
      </x:c>
    </x:row>
    <x:row r="355" ht="25.5" customHeight="1">
      <x:c r="A355" s="5" t="str">
        <x:v>CU-0075-BUY</x:v>
      </x:c>
      <x:c r="B355" s="5" t="str">
        <x:v>CU-0075</x:v>
      </x:c>
      <x:c r="C355" s="5" t="str">
        <x:v>НОЦ ВКО «Алмаз-Антей» им. академика В.П. Ефремова</x:v>
      </x:c>
      <x:c r="D355" s="5" t="str">
        <x:v>RU</x:v>
      </x:c>
      <x:c r="E355" s="5" t="str">
        <x:v>Закупки и отбор</x:v>
      </x:c>
      <x:c r="F355" s="5" t="str">
        <x:v>"Алмаз-Антей" (обучение OR тренинг OR семинар) (закупки OR "запрос предложений" OR поставщик)</x:v>
      </x:c>
      <x:c r="G355" s="5" t="str">
        <x:v>Найти конкретную карточку и приложения; запрос не доказывает спрос.</x:v>
      </x:c>
      <x:c r="H355" s="5" t="str">
        <x:v>not_run</x:v>
      </x:c>
    </x:row>
    <x:row r="356" ht="25.5" customHeight="1">
      <x:c r="A356" s="5" t="str">
        <x:v>CU-0075-EXPERT</x:v>
      </x:c>
      <x:c r="B356" s="5" t="str">
        <x:v>CU-0075</x:v>
      </x:c>
      <x:c r="C356" s="5" t="str">
        <x:v>НОЦ ВКО «Алмаз-Антей» им. академика В.П. Ефремова</x:v>
      </x:c>
      <x:c r="D356" s="5" t="str">
        <x:v>RU</x:v>
      </x:c>
      <x:c r="E356" s="5" t="str">
        <x:v>Эксперты и партнеры</x:v>
      </x:c>
      <x:c r="F356" s="5" t="str">
        <x:v>"Алмаз-Антей" (преподаватель OR эксперт OR провайдер OR партнерство)</x:v>
      </x:c>
      <x:c r="G356" s="5" t="str">
        <x:v>Уточнить кто платит и какой вход для внешнего исполнителя.</x:v>
      </x:c>
      <x:c r="H356" s="5" t="str">
        <x:v>not_run</x:v>
      </x:c>
    </x:row>
    <x:row r="357" ht="25.5" customHeight="1">
      <x:c r="A357" s="5" t="str">
        <x:v>CU-0075-SIGNAL</x:v>
      </x:c>
      <x:c r="B357" s="5" t="str">
        <x:v>CU-0075</x:v>
      </x:c>
      <x:c r="C357" s="5" t="str">
        <x:v>НОЦ ВКО «Алмаз-Антей» им. академика В.П. Ефремова</x:v>
      </x:c>
      <x:c r="D357" s="5" t="str">
        <x:v>RU</x:v>
      </x:c>
      <x:c r="E357" s="5" t="str">
        <x:v>Новые программы</x:v>
      </x:c>
      <x:c r="F357" s="5" t="str">
        <x:v>"Алмаз-Антей" ("кадровый резерв" OR "электронный курс" OR "развитие руководителей")</x:v>
      </x:c>
      <x:c r="G357" s="5" t="str">
        <x:v>Ранний сигнал и предметный пробел; не подтвержденный заказ.</x:v>
      </x:c>
      <x:c r="H357" s="5" t="str">
        <x:v>not_run</x:v>
      </x:c>
    </x:row>
    <x:row r="358" ht="25.5" customHeight="1">
      <x:c r="A358" s="5" t="str">
        <x:v>CU-0081-DISCOVER</x:v>
      </x:c>
      <x:c r="B358" s="5" t="str">
        <x:v>CU-0081</x:v>
      </x:c>
      <x:c r="C358" s="5" t="str">
        <x:v>СберУниверситет</x:v>
      </x:c>
      <x:c r="D358" s="5" t="str">
        <x:v>RU</x:v>
      </x:c>
      <x:c r="E358" s="5" t="str">
        <x:v>Новые каналы</x:v>
      </x:c>
      <x:c r="F358" s="5" t="str">
        <x:v>"Сбер" (университет OR академия OR "учебный центр" OR обучение)</x:v>
      </x:c>
      <x:c r="G358" s="5" t="str">
        <x:v>Имена, подразделения и дополнительные официальные адреса.</x:v>
      </x:c>
      <x:c r="H358" s="5" t="str">
        <x:v>not_run</x:v>
      </x:c>
    </x:row>
    <x:row r="359" ht="25.5" customHeight="1">
      <x:c r="A359" s="5" t="str">
        <x:v>CU-0081-BUY</x:v>
      </x:c>
      <x:c r="B359" s="5" t="str">
        <x:v>CU-0081</x:v>
      </x:c>
      <x:c r="C359" s="5" t="str">
        <x:v>СберУниверситет</x:v>
      </x:c>
      <x:c r="D359" s="5" t="str">
        <x:v>RU</x:v>
      </x:c>
      <x:c r="E359" s="5" t="str">
        <x:v>Закупки и отбор</x:v>
      </x:c>
      <x:c r="F359" s="5" t="str">
        <x:v>"Сбер" (обучение OR тренинг OR семинар) (закупки OR "запрос предложений" OR поставщик)</x:v>
      </x:c>
      <x:c r="G359" s="5" t="str">
        <x:v>Найти конкретную карточку и приложения; запрос не доказывает спрос.</x:v>
      </x:c>
      <x:c r="H359" s="5" t="str">
        <x:v>not_run</x:v>
      </x:c>
    </x:row>
    <x:row r="360" ht="25.5" customHeight="1">
      <x:c r="A360" s="5" t="str">
        <x:v>CU-0081-EXPERT</x:v>
      </x:c>
      <x:c r="B360" s="5" t="str">
        <x:v>CU-0081</x:v>
      </x:c>
      <x:c r="C360" s="5" t="str">
        <x:v>СберУниверситет</x:v>
      </x:c>
      <x:c r="D360" s="5" t="str">
        <x:v>RU</x:v>
      </x:c>
      <x:c r="E360" s="5" t="str">
        <x:v>Эксперты и партнеры</x:v>
      </x:c>
      <x:c r="F360" s="5" t="str">
        <x:v>"Сбер" (преподаватель OR эксперт OR провайдер OR партнерство)</x:v>
      </x:c>
      <x:c r="G360" s="5" t="str">
        <x:v>Уточнить кто платит и какой вход для внешнего исполнителя.</x:v>
      </x:c>
      <x:c r="H360" s="5" t="str">
        <x:v>not_run</x:v>
      </x:c>
    </x:row>
    <x:row r="361" ht="25.5" customHeight="1">
      <x:c r="A361" s="5" t="str">
        <x:v>CU-0081-SIGNAL</x:v>
      </x:c>
      <x:c r="B361" s="5" t="str">
        <x:v>CU-0081</x:v>
      </x:c>
      <x:c r="C361" s="5" t="str">
        <x:v>СберУниверситет</x:v>
      </x:c>
      <x:c r="D361" s="5" t="str">
        <x:v>RU</x:v>
      </x:c>
      <x:c r="E361" s="5" t="str">
        <x:v>Новые программы</x:v>
      </x:c>
      <x:c r="F361" s="5" t="str">
        <x:v>"Сбер" ("кадровый резерв" OR "электронный курс" OR "развитие руководителей")</x:v>
      </x:c>
      <x:c r="G361" s="5" t="str">
        <x:v>Ранний сигнал и предметный пробел; не подтвержденный заказ.</x:v>
      </x:c>
      <x:c r="H361" s="5" t="str">
        <x:v>not_run</x:v>
      </x:c>
    </x:row>
    <x:row r="362" ht="25.5" customHeight="1">
      <x:c r="A362" s="5" t="str">
        <x:v>CU-0083-DISCOVER</x:v>
      </x:c>
      <x:c r="B362" s="5" t="str">
        <x:v>CU-0083</x:v>
      </x:c>
      <x:c r="C362" s="5" t="str">
        <x:v>Альфа-Академия</x:v>
      </x:c>
      <x:c r="D362" s="5" t="str">
        <x:v>RU</x:v>
      </x:c>
      <x:c r="E362" s="5" t="str">
        <x:v>Новые каналы</x:v>
      </x:c>
      <x:c r="F362" s="5" t="str">
        <x:v>"Альфа-Банк" (университет OR академия OR "учебный центр" OR обучение)</x:v>
      </x:c>
      <x:c r="G362" s="5" t="str">
        <x:v>Имена, подразделения и дополнительные официальные адреса.</x:v>
      </x:c>
      <x:c r="H362" s="5" t="str">
        <x:v>not_run</x:v>
      </x:c>
    </x:row>
    <x:row r="363" ht="25.5" customHeight="1">
      <x:c r="A363" s="5" t="str">
        <x:v>CU-0083-BUY</x:v>
      </x:c>
      <x:c r="B363" s="5" t="str">
        <x:v>CU-0083</x:v>
      </x:c>
      <x:c r="C363" s="5" t="str">
        <x:v>Альфа-Академия</x:v>
      </x:c>
      <x:c r="D363" s="5" t="str">
        <x:v>RU</x:v>
      </x:c>
      <x:c r="E363" s="5" t="str">
        <x:v>Закупки и отбор</x:v>
      </x:c>
      <x:c r="F363" s="5" t="str">
        <x:v>"Альфа-Банк" (обучение OR тренинг OR семинар) (закупки OR "запрос предложений" OR поставщик)</x:v>
      </x:c>
      <x:c r="G363" s="5" t="str">
        <x:v>Найти конкретную карточку и приложения; запрос не доказывает спрос.</x:v>
      </x:c>
      <x:c r="H363" s="5" t="str">
        <x:v>not_run</x:v>
      </x:c>
    </x:row>
    <x:row r="364" ht="25.5" customHeight="1">
      <x:c r="A364" s="5" t="str">
        <x:v>CU-0083-EXPERT</x:v>
      </x:c>
      <x:c r="B364" s="5" t="str">
        <x:v>CU-0083</x:v>
      </x:c>
      <x:c r="C364" s="5" t="str">
        <x:v>Альфа-Академия</x:v>
      </x:c>
      <x:c r="D364" s="5" t="str">
        <x:v>RU</x:v>
      </x:c>
      <x:c r="E364" s="5" t="str">
        <x:v>Эксперты и партнеры</x:v>
      </x:c>
      <x:c r="F364" s="5" t="str">
        <x:v>"Альфа-Банк" (преподаватель OR эксперт OR провайдер OR партнерство)</x:v>
      </x:c>
      <x:c r="G364" s="5" t="str">
        <x:v>Уточнить кто платит и какой вход для внешнего исполнителя.</x:v>
      </x:c>
      <x:c r="H364" s="5" t="str">
        <x:v>not_run</x:v>
      </x:c>
    </x:row>
    <x:row r="365" ht="25.5" customHeight="1">
      <x:c r="A365" s="5" t="str">
        <x:v>CU-0083-SIGNAL</x:v>
      </x:c>
      <x:c r="B365" s="5" t="str">
        <x:v>CU-0083</x:v>
      </x:c>
      <x:c r="C365" s="5" t="str">
        <x:v>Альфа-Академия</x:v>
      </x:c>
      <x:c r="D365" s="5" t="str">
        <x:v>RU</x:v>
      </x:c>
      <x:c r="E365" s="5" t="str">
        <x:v>Новые программы</x:v>
      </x:c>
      <x:c r="F365" s="5" t="str">
        <x:v>"Альфа-Банк" ("кадровый резерв" OR "электронный курс" OR "развитие руководителей")</x:v>
      </x:c>
      <x:c r="G365" s="5" t="str">
        <x:v>Ранний сигнал и предметный пробел; не подтвержденный заказ.</x:v>
      </x:c>
      <x:c r="H365" s="5" t="str">
        <x:v>not_run</x:v>
      </x:c>
    </x:row>
    <x:row r="366" ht="25.5" customHeight="1">
      <x:c r="A366" s="5" t="str">
        <x:v>CU-0084-DISCOVER</x:v>
      </x:c>
      <x:c r="B366" s="5" t="str">
        <x:v>CU-0084</x:v>
      </x:c>
      <x:c r="C366" s="5" t="str">
        <x:v>РСХБ-Университет</x:v>
      </x:c>
      <x:c r="D366" s="5" t="str">
        <x:v>RU</x:v>
      </x:c>
      <x:c r="E366" s="5" t="str">
        <x:v>Новые каналы</x:v>
      </x:c>
      <x:c r="F366" s="5" t="str">
        <x:v>"Россельхозбанк" (университет OR академия OR "учебный центр" OR обучение)</x:v>
      </x:c>
      <x:c r="G366" s="5" t="str">
        <x:v>Имена, подразделения и дополнительные официальные адреса.</x:v>
      </x:c>
      <x:c r="H366" s="5" t="str">
        <x:v>not_run</x:v>
      </x:c>
    </x:row>
    <x:row r="367" ht="25.5" customHeight="1">
      <x:c r="A367" s="5" t="str">
        <x:v>CU-0084-BUY</x:v>
      </x:c>
      <x:c r="B367" s="5" t="str">
        <x:v>CU-0084</x:v>
      </x:c>
      <x:c r="C367" s="5" t="str">
        <x:v>РСХБ-Университет</x:v>
      </x:c>
      <x:c r="D367" s="5" t="str">
        <x:v>RU</x:v>
      </x:c>
      <x:c r="E367" s="5" t="str">
        <x:v>Закупки и отбор</x:v>
      </x:c>
      <x:c r="F367" s="5" t="str">
        <x:v>"Россельхозбанк" (обучение OR тренинг OR семинар) (закупки OR "запрос предложений" OR поставщик)</x:v>
      </x:c>
      <x:c r="G367" s="5" t="str">
        <x:v>Найти конкретную карточку и приложения; запрос не доказывает спрос.</x:v>
      </x:c>
      <x:c r="H367" s="5" t="str">
        <x:v>not_run</x:v>
      </x:c>
    </x:row>
    <x:row r="368" ht="25.5" customHeight="1">
      <x:c r="A368" s="5" t="str">
        <x:v>CU-0084-EXPERT</x:v>
      </x:c>
      <x:c r="B368" s="5" t="str">
        <x:v>CU-0084</x:v>
      </x:c>
      <x:c r="C368" s="5" t="str">
        <x:v>РСХБ-Университет</x:v>
      </x:c>
      <x:c r="D368" s="5" t="str">
        <x:v>RU</x:v>
      </x:c>
      <x:c r="E368" s="5" t="str">
        <x:v>Эксперты и партнеры</x:v>
      </x:c>
      <x:c r="F368" s="5" t="str">
        <x:v>"Россельхозбанк" (преподаватель OR эксперт OR провайдер OR партнерство)</x:v>
      </x:c>
      <x:c r="G368" s="5" t="str">
        <x:v>Уточнить кто платит и какой вход для внешнего исполнителя.</x:v>
      </x:c>
      <x:c r="H368" s="5" t="str">
        <x:v>not_run</x:v>
      </x:c>
    </x:row>
    <x:row r="369" ht="25.5" customHeight="1">
      <x:c r="A369" s="5" t="str">
        <x:v>CU-0084-SIGNAL</x:v>
      </x:c>
      <x:c r="B369" s="5" t="str">
        <x:v>CU-0084</x:v>
      </x:c>
      <x:c r="C369" s="5" t="str">
        <x:v>РСХБ-Университет</x:v>
      </x:c>
      <x:c r="D369" s="5" t="str">
        <x:v>RU</x:v>
      </x:c>
      <x:c r="E369" s="5" t="str">
        <x:v>Новые программы</x:v>
      </x:c>
      <x:c r="F369" s="5" t="str">
        <x:v>"Россельхозбанк" ("кадровый резерв" OR "электронный курс" OR "развитие руководителей")</x:v>
      </x:c>
      <x:c r="G369" s="5" t="str">
        <x:v>Ранний сигнал и предметный пробел; не подтвержденный заказ.</x:v>
      </x:c>
      <x:c r="H369" s="5" t="str">
        <x:v>not_run</x:v>
      </x:c>
    </x:row>
    <x:row r="370" ht="25.5" customHeight="1">
      <x:c r="A370" s="5" t="str">
        <x:v>CU-0087-DISCOVER</x:v>
      </x:c>
      <x:c r="B370" s="5" t="str">
        <x:v>CU-0087</x:v>
      </x:c>
      <x:c r="C370" s="5" t="str">
        <x:v>Корпоративный университет Совкомбанка</x:v>
      </x:c>
      <x:c r="D370" s="5" t="str">
        <x:v>RU</x:v>
      </x:c>
      <x:c r="E370" s="5" t="str">
        <x:v>Новые каналы</x:v>
      </x:c>
      <x:c r="F370" s="5" t="str">
        <x:v>"Совкомбанк" (университет OR академия OR "учебный центр" OR обучение)</x:v>
      </x:c>
      <x:c r="G370" s="5" t="str">
        <x:v>Имена, подразделения и дополнительные официальные адреса.</x:v>
      </x:c>
      <x:c r="H370" s="5" t="str">
        <x:v>not_run</x:v>
      </x:c>
    </x:row>
    <x:row r="371" ht="25.5" customHeight="1">
      <x:c r="A371" s="5" t="str">
        <x:v>CU-0087-BUY</x:v>
      </x:c>
      <x:c r="B371" s="5" t="str">
        <x:v>CU-0087</x:v>
      </x:c>
      <x:c r="C371" s="5" t="str">
        <x:v>Корпоративный университет Совкомбанка</x:v>
      </x:c>
      <x:c r="D371" s="5" t="str">
        <x:v>RU</x:v>
      </x:c>
      <x:c r="E371" s="5" t="str">
        <x:v>Закупки и отбор</x:v>
      </x:c>
      <x:c r="F371" s="5" t="str">
        <x:v>"Совкомбанк" (обучение OR тренинг OR семинар) (закупки OR "запрос предложений" OR поставщик)</x:v>
      </x:c>
      <x:c r="G371" s="5" t="str">
        <x:v>Найти конкретную карточку и приложения; запрос не доказывает спрос.</x:v>
      </x:c>
      <x:c r="H371" s="5" t="str">
        <x:v>not_run</x:v>
      </x:c>
    </x:row>
    <x:row r="372" ht="25.5" customHeight="1">
      <x:c r="A372" s="5" t="str">
        <x:v>CU-0087-EXPERT</x:v>
      </x:c>
      <x:c r="B372" s="5" t="str">
        <x:v>CU-0087</x:v>
      </x:c>
      <x:c r="C372" s="5" t="str">
        <x:v>Корпоративный университет Совкомбанка</x:v>
      </x:c>
      <x:c r="D372" s="5" t="str">
        <x:v>RU</x:v>
      </x:c>
      <x:c r="E372" s="5" t="str">
        <x:v>Эксперты и партнеры</x:v>
      </x:c>
      <x:c r="F372" s="5" t="str">
        <x:v>"Совкомбанк" (преподаватель OR эксперт OR провайдер OR партнерство)</x:v>
      </x:c>
      <x:c r="G372" s="5" t="str">
        <x:v>Уточнить кто платит и какой вход для внешнего исполнителя.</x:v>
      </x:c>
      <x:c r="H372" s="5" t="str">
        <x:v>not_run</x:v>
      </x:c>
    </x:row>
    <x:row r="373" ht="25.5" customHeight="1">
      <x:c r="A373" s="5" t="str">
        <x:v>CU-0087-SIGNAL</x:v>
      </x:c>
      <x:c r="B373" s="5" t="str">
        <x:v>CU-0087</x:v>
      </x:c>
      <x:c r="C373" s="5" t="str">
        <x:v>Корпоративный университет Совкомбанка</x:v>
      </x:c>
      <x:c r="D373" s="5" t="str">
        <x:v>RU</x:v>
      </x:c>
      <x:c r="E373" s="5" t="str">
        <x:v>Новые программы</x:v>
      </x:c>
      <x:c r="F373" s="5" t="str">
        <x:v>"Совкомбанк" ("кадровый резерв" OR "электронный курс" OR "развитие руководителей")</x:v>
      </x:c>
      <x:c r="G373" s="5" t="str">
        <x:v>Ранний сигнал и предметный пробел; не подтвержденный заказ.</x:v>
      </x:c>
      <x:c r="H373" s="5" t="str">
        <x:v>not_run</x:v>
      </x:c>
    </x:row>
    <x:row r="374" ht="25.5" customHeight="1">
      <x:c r="A374" s="5" t="str">
        <x:v>CU-0088-DISCOVER</x:v>
      </x:c>
      <x:c r="B374" s="5" t="str">
        <x:v>CU-0088</x:v>
      </x:c>
      <x:c r="C374" s="5" t="str">
        <x:v>Корпоративный университет Ингосстраха</x:v>
      </x:c>
      <x:c r="D374" s="5" t="str">
        <x:v>RU</x:v>
      </x:c>
      <x:c r="E374" s="5" t="str">
        <x:v>Новые каналы</x:v>
      </x:c>
      <x:c r="F374" s="5" t="str">
        <x:v>"Ингосстрах" (университет OR академия OR "учебный центр" OR обучение)</x:v>
      </x:c>
      <x:c r="G374" s="5" t="str">
        <x:v>Имена, подразделения и дополнительные официальные адреса.</x:v>
      </x:c>
      <x:c r="H374" s="5" t="str">
        <x:v>not_run</x:v>
      </x:c>
    </x:row>
    <x:row r="375" ht="25.5" customHeight="1">
      <x:c r="A375" s="5" t="str">
        <x:v>CU-0088-BUY</x:v>
      </x:c>
      <x:c r="B375" s="5" t="str">
        <x:v>CU-0088</x:v>
      </x:c>
      <x:c r="C375" s="5" t="str">
        <x:v>Корпоративный университет Ингосстраха</x:v>
      </x:c>
      <x:c r="D375" s="5" t="str">
        <x:v>RU</x:v>
      </x:c>
      <x:c r="E375" s="5" t="str">
        <x:v>Закупки и отбор</x:v>
      </x:c>
      <x:c r="F375" s="5" t="str">
        <x:v>"Ингосстрах" (обучение OR тренинг OR семинар) (закупки OR "запрос предложений" OR поставщик)</x:v>
      </x:c>
      <x:c r="G375" s="5" t="str">
        <x:v>Найти конкретную карточку и приложения; запрос не доказывает спрос.</x:v>
      </x:c>
      <x:c r="H375" s="5" t="str">
        <x:v>not_run</x:v>
      </x:c>
    </x:row>
    <x:row r="376" ht="25.5" customHeight="1">
      <x:c r="A376" s="5" t="str">
        <x:v>CU-0088-EXPERT</x:v>
      </x:c>
      <x:c r="B376" s="5" t="str">
        <x:v>CU-0088</x:v>
      </x:c>
      <x:c r="C376" s="5" t="str">
        <x:v>Корпоративный университет Ингосстраха</x:v>
      </x:c>
      <x:c r="D376" s="5" t="str">
        <x:v>RU</x:v>
      </x:c>
      <x:c r="E376" s="5" t="str">
        <x:v>Эксперты и партнеры</x:v>
      </x:c>
      <x:c r="F376" s="5" t="str">
        <x:v>"Ингосстрах" (преподаватель OR эксперт OR провайдер OR партнерство)</x:v>
      </x:c>
      <x:c r="G376" s="5" t="str">
        <x:v>Уточнить кто платит и какой вход для внешнего исполнителя.</x:v>
      </x:c>
      <x:c r="H376" s="5" t="str">
        <x:v>not_run</x:v>
      </x:c>
    </x:row>
    <x:row r="377" ht="25.5" customHeight="1">
      <x:c r="A377" s="5" t="str">
        <x:v>CU-0088-SIGNAL</x:v>
      </x:c>
      <x:c r="B377" s="5" t="str">
        <x:v>CU-0088</x:v>
      </x:c>
      <x:c r="C377" s="5" t="str">
        <x:v>Корпоративный университет Ингосстраха</x:v>
      </x:c>
      <x:c r="D377" s="5" t="str">
        <x:v>RU</x:v>
      </x:c>
      <x:c r="E377" s="5" t="str">
        <x:v>Новые программы</x:v>
      </x:c>
      <x:c r="F377" s="5" t="str">
        <x:v>"Ингосстрах" ("кадровый резерв" OR "электронный курс" OR "развитие руководителей")</x:v>
      </x:c>
      <x:c r="G377" s="5" t="str">
        <x:v>Ранний сигнал и предметный пробел; не подтвержденный заказ.</x:v>
      </x:c>
      <x:c r="H377" s="5" t="str">
        <x:v>not_run</x:v>
      </x:c>
    </x:row>
    <x:row r="378" ht="25.5" customHeight="1">
      <x:c r="A378" s="5" t="str">
        <x:v>CU-0090-DISCOVER</x:v>
      </x:c>
      <x:c r="B378" s="5" t="str">
        <x:v>CU-0090</x:v>
      </x:c>
      <x:c r="C378" s="5" t="str">
        <x:v>Корпоративный университет АльфаСтрахования</x:v>
      </x:c>
      <x:c r="D378" s="5" t="str">
        <x:v>RU</x:v>
      </x:c>
      <x:c r="E378" s="5" t="str">
        <x:v>Новые каналы</x:v>
      </x:c>
      <x:c r="F378" s="5" t="str">
        <x:v>"АльфаСтрахование" (университет OR академия OR "учебный центр" OR обучение)</x:v>
      </x:c>
      <x:c r="G378" s="5" t="str">
        <x:v>Имена, подразделения и дополнительные официальные адреса.</x:v>
      </x:c>
      <x:c r="H378" s="5" t="str">
        <x:v>not_run</x:v>
      </x:c>
    </x:row>
    <x:row r="379" ht="25.5" customHeight="1">
      <x:c r="A379" s="5" t="str">
        <x:v>CU-0090-BUY</x:v>
      </x:c>
      <x:c r="B379" s="5" t="str">
        <x:v>CU-0090</x:v>
      </x:c>
      <x:c r="C379" s="5" t="str">
        <x:v>Корпоративный университет АльфаСтрахования</x:v>
      </x:c>
      <x:c r="D379" s="5" t="str">
        <x:v>RU</x:v>
      </x:c>
      <x:c r="E379" s="5" t="str">
        <x:v>Закупки и отбор</x:v>
      </x:c>
      <x:c r="F379" s="5" t="str">
        <x:v>"АльфаСтрахование" (обучение OR тренинг OR семинар) (закупки OR "запрос предложений" OR поставщик)</x:v>
      </x:c>
      <x:c r="G379" s="5" t="str">
        <x:v>Найти конкретную карточку и приложения; запрос не доказывает спрос.</x:v>
      </x:c>
      <x:c r="H379" s="5" t="str">
        <x:v>not_run</x:v>
      </x:c>
    </x:row>
    <x:row r="380" ht="25.5" customHeight="1">
      <x:c r="A380" s="5" t="str">
        <x:v>CU-0090-EXPERT</x:v>
      </x:c>
      <x:c r="B380" s="5" t="str">
        <x:v>CU-0090</x:v>
      </x:c>
      <x:c r="C380" s="5" t="str">
        <x:v>Корпоративный университет АльфаСтрахования</x:v>
      </x:c>
      <x:c r="D380" s="5" t="str">
        <x:v>RU</x:v>
      </x:c>
      <x:c r="E380" s="5" t="str">
        <x:v>Эксперты и партнеры</x:v>
      </x:c>
      <x:c r="F380" s="5" t="str">
        <x:v>"АльфаСтрахование" (преподаватель OR эксперт OR провайдер OR партнерство)</x:v>
      </x:c>
      <x:c r="G380" s="5" t="str">
        <x:v>Уточнить кто платит и какой вход для внешнего исполнителя.</x:v>
      </x:c>
      <x:c r="H380" s="5" t="str">
        <x:v>not_run</x:v>
      </x:c>
    </x:row>
    <x:row r="381" ht="25.5" customHeight="1">
      <x:c r="A381" s="5" t="str">
        <x:v>CU-0090-SIGNAL</x:v>
      </x:c>
      <x:c r="B381" s="5" t="str">
        <x:v>CU-0090</x:v>
      </x:c>
      <x:c r="C381" s="5" t="str">
        <x:v>Корпоративный университет АльфаСтрахования</x:v>
      </x:c>
      <x:c r="D381" s="5" t="str">
        <x:v>RU</x:v>
      </x:c>
      <x:c r="E381" s="5" t="str">
        <x:v>Новые программы</x:v>
      </x:c>
      <x:c r="F381" s="5" t="str">
        <x:v>"АльфаСтрахование" ("кадровый резерв" OR "электронный курс" OR "развитие руководителей")</x:v>
      </x:c>
      <x:c r="G381" s="5" t="str">
        <x:v>Ранний сигнал и предметный пробел; не подтвержденный заказ.</x:v>
      </x:c>
      <x:c r="H381" s="5" t="str">
        <x:v>not_run</x:v>
      </x:c>
    </x:row>
    <x:row r="382" ht="25.5" customHeight="1">
      <x:c r="A382" s="5" t="str">
        <x:v>CU-0092-DISCOVER</x:v>
      </x:c>
      <x:c r="B382" s="5" t="str">
        <x:v>CU-0092</x:v>
      </x:c>
      <x:c r="C382" s="5" t="str">
        <x:v>Университет Банка России</x:v>
      </x:c>
      <x:c r="D382" s="5" t="str">
        <x:v>RU</x:v>
      </x:c>
      <x:c r="E382" s="5" t="str">
        <x:v>Новые каналы</x:v>
      </x:c>
      <x:c r="F382" s="5" t="str">
        <x:v>"Банк России" (университет OR академия OR "учебный центр" OR обучение)</x:v>
      </x:c>
      <x:c r="G382" s="5" t="str">
        <x:v>Имена, подразделения и дополнительные официальные адреса.</x:v>
      </x:c>
      <x:c r="H382" s="5" t="str">
        <x:v>not_run</x:v>
      </x:c>
    </x:row>
    <x:row r="383" ht="25.5" customHeight="1">
      <x:c r="A383" s="5" t="str">
        <x:v>CU-0092-BUY</x:v>
      </x:c>
      <x:c r="B383" s="5" t="str">
        <x:v>CU-0092</x:v>
      </x:c>
      <x:c r="C383" s="5" t="str">
        <x:v>Университет Банка России</x:v>
      </x:c>
      <x:c r="D383" s="5" t="str">
        <x:v>RU</x:v>
      </x:c>
      <x:c r="E383" s="5" t="str">
        <x:v>Закупки и отбор</x:v>
      </x:c>
      <x:c r="F383" s="5" t="str">
        <x:v>"Банк России" (обучение OR тренинг OR семинар) (закупки OR "запрос предложений" OR поставщик)</x:v>
      </x:c>
      <x:c r="G383" s="5" t="str">
        <x:v>Найти конкретную карточку и приложения; запрос не доказывает спрос.</x:v>
      </x:c>
      <x:c r="H383" s="5" t="str">
        <x:v>not_run</x:v>
      </x:c>
    </x:row>
    <x:row r="384" ht="25.5" customHeight="1">
      <x:c r="A384" s="5" t="str">
        <x:v>CU-0092-EXPERT</x:v>
      </x:c>
      <x:c r="B384" s="5" t="str">
        <x:v>CU-0092</x:v>
      </x:c>
      <x:c r="C384" s="5" t="str">
        <x:v>Университет Банка России</x:v>
      </x:c>
      <x:c r="D384" s="5" t="str">
        <x:v>RU</x:v>
      </x:c>
      <x:c r="E384" s="5" t="str">
        <x:v>Эксперты и партнеры</x:v>
      </x:c>
      <x:c r="F384" s="5" t="str">
        <x:v>"Банк России" (преподаватель OR эксперт OR провайдер OR партнерство)</x:v>
      </x:c>
      <x:c r="G384" s="5" t="str">
        <x:v>Уточнить кто платит и какой вход для внешнего исполнителя.</x:v>
      </x:c>
      <x:c r="H384" s="5" t="str">
        <x:v>not_run</x:v>
      </x:c>
    </x:row>
    <x:row r="385" ht="25.5" customHeight="1">
      <x:c r="A385" s="5" t="str">
        <x:v>CU-0092-SIGNAL</x:v>
      </x:c>
      <x:c r="B385" s="5" t="str">
        <x:v>CU-0092</x:v>
      </x:c>
      <x:c r="C385" s="5" t="str">
        <x:v>Университет Банка России</x:v>
      </x:c>
      <x:c r="D385" s="5" t="str">
        <x:v>RU</x:v>
      </x:c>
      <x:c r="E385" s="5" t="str">
        <x:v>Новые программы</x:v>
      </x:c>
      <x:c r="F385" s="5" t="str">
        <x:v>"Банк России" ("кадровый резерв" OR "электронный курс" OR "развитие руководителей")</x:v>
      </x:c>
      <x:c r="G385" s="5" t="str">
        <x:v>Ранний сигнал и предметный пробел; не подтвержденный заказ.</x:v>
      </x:c>
      <x:c r="H385" s="5" t="str">
        <x:v>not_run</x:v>
      </x:c>
    </x:row>
    <x:row r="386" ht="25.5" customHeight="1">
      <x:c r="A386" s="5" t="str">
        <x:v>CU-0093-DISCOVER</x:v>
      </x:c>
      <x:c r="B386" s="5" t="str">
        <x:v>CU-0093</x:v>
      </x:c>
      <x:c r="C386" s="5" t="str">
        <x:v>Корпоративный университет МТС</x:v>
      </x:c>
      <x:c r="D386" s="5" t="str">
        <x:v>RU</x:v>
      </x:c>
      <x:c r="E386" s="5" t="str">
        <x:v>Новые каналы</x:v>
      </x:c>
      <x:c r="F386" s="5" t="str">
        <x:v>"МТС" (университет OR академия OR "учебный центр" OR обучение)</x:v>
      </x:c>
      <x:c r="G386" s="5" t="str">
        <x:v>Имена, подразделения и дополнительные официальные адреса.</x:v>
      </x:c>
      <x:c r="H386" s="5" t="str">
        <x:v>not_run</x:v>
      </x:c>
    </x:row>
    <x:row r="387" ht="25.5" customHeight="1">
      <x:c r="A387" s="5" t="str">
        <x:v>CU-0093-BUY</x:v>
      </x:c>
      <x:c r="B387" s="5" t="str">
        <x:v>CU-0093</x:v>
      </x:c>
      <x:c r="C387" s="5" t="str">
        <x:v>Корпоративный университет МТС</x:v>
      </x:c>
      <x:c r="D387" s="5" t="str">
        <x:v>RU</x:v>
      </x:c>
      <x:c r="E387" s="5" t="str">
        <x:v>Закупки и отбор</x:v>
      </x:c>
      <x:c r="F387" s="5" t="str">
        <x:v>"МТС" (обучение OR тренинг OR семинар) (закупки OR "запрос предложений" OR поставщик)</x:v>
      </x:c>
      <x:c r="G387" s="5" t="str">
        <x:v>Найти конкретную карточку и приложения; запрос не доказывает спрос.</x:v>
      </x:c>
      <x:c r="H387" s="5" t="str">
        <x:v>not_run</x:v>
      </x:c>
    </x:row>
    <x:row r="388" ht="25.5" customHeight="1">
      <x:c r="A388" s="5" t="str">
        <x:v>CU-0093-EXPERT</x:v>
      </x:c>
      <x:c r="B388" s="5" t="str">
        <x:v>CU-0093</x:v>
      </x:c>
      <x:c r="C388" s="5" t="str">
        <x:v>Корпоративный университет МТС</x:v>
      </x:c>
      <x:c r="D388" s="5" t="str">
        <x:v>RU</x:v>
      </x:c>
      <x:c r="E388" s="5" t="str">
        <x:v>Эксперты и партнеры</x:v>
      </x:c>
      <x:c r="F388" s="5" t="str">
        <x:v>"МТС" (преподаватель OR эксперт OR провайдер OR партнерство)</x:v>
      </x:c>
      <x:c r="G388" s="5" t="str">
        <x:v>Уточнить кто платит и какой вход для внешнего исполнителя.</x:v>
      </x:c>
      <x:c r="H388" s="5" t="str">
        <x:v>not_run</x:v>
      </x:c>
    </x:row>
    <x:row r="389" ht="25.5" customHeight="1">
      <x:c r="A389" s="5" t="str">
        <x:v>CU-0093-SIGNAL</x:v>
      </x:c>
      <x:c r="B389" s="5" t="str">
        <x:v>CU-0093</x:v>
      </x:c>
      <x:c r="C389" s="5" t="str">
        <x:v>Корпоративный университет МТС</x:v>
      </x:c>
      <x:c r="D389" s="5" t="str">
        <x:v>RU</x:v>
      </x:c>
      <x:c r="E389" s="5" t="str">
        <x:v>Новые программы</x:v>
      </x:c>
      <x:c r="F389" s="5" t="str">
        <x:v>"МТС" ("кадровый резерв" OR "электронный курс" OR "развитие руководителей")</x:v>
      </x:c>
      <x:c r="G389" s="5" t="str">
        <x:v>Ранний сигнал и предметный пробел; не подтвержденный заказ.</x:v>
      </x:c>
      <x:c r="H389" s="5" t="str">
        <x:v>not_run</x:v>
      </x:c>
    </x:row>
    <x:row r="390" ht="25.5" customHeight="1">
      <x:c r="A390" s="5" t="str">
        <x:v>CU-0094-DISCOVER</x:v>
      </x:c>
      <x:c r="B390" s="5" t="str">
        <x:v>CU-0094</x:v>
      </x:c>
      <x:c r="C390" s="5" t="str">
        <x:v>билайн университет</x:v>
      </x:c>
      <x:c r="D390" s="5" t="str">
        <x:v>RU</x:v>
      </x:c>
      <x:c r="E390" s="5" t="str">
        <x:v>Новые каналы</x:v>
      </x:c>
      <x:c r="F390" s="5" t="str">
        <x:v>"ВымпелКом / билайн" (университет OR академия OR "учебный центр" OR обучение)</x:v>
      </x:c>
      <x:c r="G390" s="5" t="str">
        <x:v>Имена, подразделения и дополнительные официальные адреса.</x:v>
      </x:c>
      <x:c r="H390" s="5" t="str">
        <x:v>not_run</x:v>
      </x:c>
    </x:row>
    <x:row r="391" ht="25.5" customHeight="1">
      <x:c r="A391" s="5" t="str">
        <x:v>CU-0094-BUY</x:v>
      </x:c>
      <x:c r="B391" s="5" t="str">
        <x:v>CU-0094</x:v>
      </x:c>
      <x:c r="C391" s="5" t="str">
        <x:v>билайн университет</x:v>
      </x:c>
      <x:c r="D391" s="5" t="str">
        <x:v>RU</x:v>
      </x:c>
      <x:c r="E391" s="5" t="str">
        <x:v>Закупки и отбор</x:v>
      </x:c>
      <x:c r="F391" s="5" t="str">
        <x:v>"ВымпелКом / билайн" (обучение OR тренинг OR семинар) (закупки OR "запрос предложений" OR поставщик)</x:v>
      </x:c>
      <x:c r="G391" s="5" t="str">
        <x:v>Найти конкретную карточку и приложения; запрос не доказывает спрос.</x:v>
      </x:c>
      <x:c r="H391" s="5" t="str">
        <x:v>not_run</x:v>
      </x:c>
    </x:row>
    <x:row r="392" ht="25.5" customHeight="1">
      <x:c r="A392" s="5" t="str">
        <x:v>CU-0094-EXPERT</x:v>
      </x:c>
      <x:c r="B392" s="5" t="str">
        <x:v>CU-0094</x:v>
      </x:c>
      <x:c r="C392" s="5" t="str">
        <x:v>билайн университет</x:v>
      </x:c>
      <x:c r="D392" s="5" t="str">
        <x:v>RU</x:v>
      </x:c>
      <x:c r="E392" s="5" t="str">
        <x:v>Эксперты и партнеры</x:v>
      </x:c>
      <x:c r="F392" s="5" t="str">
        <x:v>"ВымпелКом / билайн" (преподаватель OR эксперт OR провайдер OR партнерство)</x:v>
      </x:c>
      <x:c r="G392" s="5" t="str">
        <x:v>Уточнить кто платит и какой вход для внешнего исполнителя.</x:v>
      </x:c>
      <x:c r="H392" s="5" t="str">
        <x:v>not_run</x:v>
      </x:c>
    </x:row>
    <x:row r="393" ht="25.5" customHeight="1">
      <x:c r="A393" s="5" t="str">
        <x:v>CU-0094-SIGNAL</x:v>
      </x:c>
      <x:c r="B393" s="5" t="str">
        <x:v>CU-0094</x:v>
      </x:c>
      <x:c r="C393" s="5" t="str">
        <x:v>билайн университет</x:v>
      </x:c>
      <x:c r="D393" s="5" t="str">
        <x:v>RU</x:v>
      </x:c>
      <x:c r="E393" s="5" t="str">
        <x:v>Новые программы</x:v>
      </x:c>
      <x:c r="F393" s="5" t="str">
        <x:v>"ВымпелКом / билайн" ("кадровый резерв" OR "электронный курс" OR "развитие руководителей")</x:v>
      </x:c>
      <x:c r="G393" s="5" t="str">
        <x:v>Ранний сигнал и предметный пробел; не подтвержденный заказ.</x:v>
      </x:c>
      <x:c r="H393" s="5" t="str">
        <x:v>not_run</x:v>
      </x:c>
    </x:row>
    <x:row r="394" ht="25.5" customHeight="1">
      <x:c r="A394" s="5" t="str">
        <x:v>CU-0095-DISCOVER</x:v>
      </x:c>
      <x:c r="B394" s="5" t="str">
        <x:v>CU-0095</x:v>
      </x:c>
      <x:c r="C394" s="5" t="str">
        <x:v>Корпоративный онлайн-университет Ростелекома</x:v>
      </x:c>
      <x:c r="D394" s="5" t="str">
        <x:v>RU</x:v>
      </x:c>
      <x:c r="E394" s="5" t="str">
        <x:v>Новые каналы</x:v>
      </x:c>
      <x:c r="F394" s="5" t="str">
        <x:v>"Ростелеком" (университет OR академия OR "учебный центр" OR обучение)</x:v>
      </x:c>
      <x:c r="G394" s="5" t="str">
        <x:v>Имена, подразделения и дополнительные официальные адреса.</x:v>
      </x:c>
      <x:c r="H394" s="5" t="str">
        <x:v>not_run</x:v>
      </x:c>
    </x:row>
    <x:row r="395" ht="25.5" customHeight="1">
      <x:c r="A395" s="5" t="str">
        <x:v>CU-0095-BUY</x:v>
      </x:c>
      <x:c r="B395" s="5" t="str">
        <x:v>CU-0095</x:v>
      </x:c>
      <x:c r="C395" s="5" t="str">
        <x:v>Корпоративный онлайн-университет Ростелекома</x:v>
      </x:c>
      <x:c r="D395" s="5" t="str">
        <x:v>RU</x:v>
      </x:c>
      <x:c r="E395" s="5" t="str">
        <x:v>Закупки и отбор</x:v>
      </x:c>
      <x:c r="F395" s="5" t="str">
        <x:v>"Ростелеком" (обучение OR тренинг OR семинар) (закупки OR "запрос предложений" OR поставщик)</x:v>
      </x:c>
      <x:c r="G395" s="5" t="str">
        <x:v>Найти конкретную карточку и приложения; запрос не доказывает спрос.</x:v>
      </x:c>
      <x:c r="H395" s="5" t="str">
        <x:v>not_run</x:v>
      </x:c>
    </x:row>
    <x:row r="396" ht="25.5" customHeight="1">
      <x:c r="A396" s="5" t="str">
        <x:v>CU-0095-EXPERT</x:v>
      </x:c>
      <x:c r="B396" s="5" t="str">
        <x:v>CU-0095</x:v>
      </x:c>
      <x:c r="C396" s="5" t="str">
        <x:v>Корпоративный онлайн-университет Ростелекома</x:v>
      </x:c>
      <x:c r="D396" s="5" t="str">
        <x:v>RU</x:v>
      </x:c>
      <x:c r="E396" s="5" t="str">
        <x:v>Эксперты и партнеры</x:v>
      </x:c>
      <x:c r="F396" s="5" t="str">
        <x:v>"Ростелеком" (преподаватель OR эксперт OR провайдер OR партнерство)</x:v>
      </x:c>
      <x:c r="G396" s="5" t="str">
        <x:v>Уточнить кто платит и какой вход для внешнего исполнителя.</x:v>
      </x:c>
      <x:c r="H396" s="5" t="str">
        <x:v>not_run</x:v>
      </x:c>
    </x:row>
    <x:row r="397" ht="25.5" customHeight="1">
      <x:c r="A397" s="5" t="str">
        <x:v>CU-0095-SIGNAL</x:v>
      </x:c>
      <x:c r="B397" s="5" t="str">
        <x:v>CU-0095</x:v>
      </x:c>
      <x:c r="C397" s="5" t="str">
        <x:v>Корпоративный онлайн-университет Ростелекома</x:v>
      </x:c>
      <x:c r="D397" s="5" t="str">
        <x:v>RU</x:v>
      </x:c>
      <x:c r="E397" s="5" t="str">
        <x:v>Новые программы</x:v>
      </x:c>
      <x:c r="F397" s="5" t="str">
        <x:v>"Ростелеком" ("кадровый резерв" OR "электронный курс" OR "развитие руководителей")</x:v>
      </x:c>
      <x:c r="G397" s="5" t="str">
        <x:v>Ранний сигнал и предметный пробел; не подтвержденный заказ.</x:v>
      </x:c>
      <x:c r="H397" s="5" t="str">
        <x:v>not_run</x:v>
      </x:c>
    </x:row>
    <x:row r="398" ht="25.5" customHeight="1">
      <x:c r="A398" s="5" t="str">
        <x:v>CU-0097-DISCOVER</x:v>
      </x:c>
      <x:c r="B398" s="5" t="str">
        <x:v>CU-0097</x:v>
      </x:c>
      <x:c r="C398" s="5" t="str">
        <x:v>Полка X5</x:v>
      </x:c>
      <x:c r="D398" s="5" t="str">
        <x:v>RU</x:v>
      </x:c>
      <x:c r="E398" s="5" t="str">
        <x:v>Новые каналы</x:v>
      </x:c>
      <x:c r="F398" s="5" t="str">
        <x:v>"X5 Group" (университет OR академия OR "учебный центр" OR обучение)</x:v>
      </x:c>
      <x:c r="G398" s="5" t="str">
        <x:v>Имена, подразделения и дополнительные официальные адреса.</x:v>
      </x:c>
      <x:c r="H398" s="5" t="str">
        <x:v>not_run</x:v>
      </x:c>
    </x:row>
    <x:row r="399" ht="25.5" customHeight="1">
      <x:c r="A399" s="5" t="str">
        <x:v>CU-0097-BUY</x:v>
      </x:c>
      <x:c r="B399" s="5" t="str">
        <x:v>CU-0097</x:v>
      </x:c>
      <x:c r="C399" s="5" t="str">
        <x:v>Полка X5</x:v>
      </x:c>
      <x:c r="D399" s="5" t="str">
        <x:v>RU</x:v>
      </x:c>
      <x:c r="E399" s="5" t="str">
        <x:v>Закупки и отбор</x:v>
      </x:c>
      <x:c r="F399" s="5" t="str">
        <x:v>"X5 Group" (обучение OR тренинг OR семинар) (закупки OR "запрос предложений" OR поставщик)</x:v>
      </x:c>
      <x:c r="G399" s="5" t="str">
        <x:v>Найти конкретную карточку и приложения; запрос не доказывает спрос.</x:v>
      </x:c>
      <x:c r="H399" s="5" t="str">
        <x:v>not_run</x:v>
      </x:c>
    </x:row>
    <x:row r="400" ht="25.5" customHeight="1">
      <x:c r="A400" s="5" t="str">
        <x:v>CU-0097-EXPERT</x:v>
      </x:c>
      <x:c r="B400" s="5" t="str">
        <x:v>CU-0097</x:v>
      </x:c>
      <x:c r="C400" s="5" t="str">
        <x:v>Полка X5</x:v>
      </x:c>
      <x:c r="D400" s="5" t="str">
        <x:v>RU</x:v>
      </x:c>
      <x:c r="E400" s="5" t="str">
        <x:v>Эксперты и партнеры</x:v>
      </x:c>
      <x:c r="F400" s="5" t="str">
        <x:v>"X5 Group" (преподаватель OR эксперт OR провайдер OR партнерство)</x:v>
      </x:c>
      <x:c r="G400" s="5" t="str">
        <x:v>Уточнить кто платит и какой вход для внешнего исполнителя.</x:v>
      </x:c>
      <x:c r="H400" s="5" t="str">
        <x:v>not_run</x:v>
      </x:c>
    </x:row>
    <x:row r="401" ht="25.5" customHeight="1">
      <x:c r="A401" s="5" t="str">
        <x:v>CU-0097-SIGNAL</x:v>
      </x:c>
      <x:c r="B401" s="5" t="str">
        <x:v>CU-0097</x:v>
      </x:c>
      <x:c r="C401" s="5" t="str">
        <x:v>Полка X5</x:v>
      </x:c>
      <x:c r="D401" s="5" t="str">
        <x:v>RU</x:v>
      </x:c>
      <x:c r="E401" s="5" t="str">
        <x:v>Новые программы</x:v>
      </x:c>
      <x:c r="F401" s="5" t="str">
        <x:v>"X5 Group" ("кадровый резерв" OR "электронный курс" OR "развитие руководителей")</x:v>
      </x:c>
      <x:c r="G401" s="5" t="str">
        <x:v>Ранний сигнал и предметный пробел; не подтвержденный заказ.</x:v>
      </x:c>
      <x:c r="H401" s="5" t="str">
        <x:v>not_run</x:v>
      </x:c>
    </x:row>
    <x:row r="402" ht="25.5" customHeight="1">
      <x:c r="A402" s="5" t="str">
        <x:v>CU-0099-DISCOVER</x:v>
      </x:c>
      <x:c r="B402" s="5" t="str">
        <x:v>CU-0099</x:v>
      </x:c>
      <x:c r="C402" s="5" t="str">
        <x:v>Корпоративный университет Монетки</x:v>
      </x:c>
      <x:c r="D402" s="5" t="str">
        <x:v>RU</x:v>
      </x:c>
      <x:c r="E402" s="5" t="str">
        <x:v>Новые каналы</x:v>
      </x:c>
      <x:c r="F402" s="5" t="str">
        <x:v>"Группа Лента" (университет OR академия OR "учебный центр" OR обучение)</x:v>
      </x:c>
      <x:c r="G402" s="5" t="str">
        <x:v>Имена, подразделения и дополнительные официальные адреса.</x:v>
      </x:c>
      <x:c r="H402" s="5" t="str">
        <x:v>not_run</x:v>
      </x:c>
    </x:row>
    <x:row r="403" ht="25.5" customHeight="1">
      <x:c r="A403" s="5" t="str">
        <x:v>CU-0099-BUY</x:v>
      </x:c>
      <x:c r="B403" s="5" t="str">
        <x:v>CU-0099</x:v>
      </x:c>
      <x:c r="C403" s="5" t="str">
        <x:v>Корпоративный университет Монетки</x:v>
      </x:c>
      <x:c r="D403" s="5" t="str">
        <x:v>RU</x:v>
      </x:c>
      <x:c r="E403" s="5" t="str">
        <x:v>Закупки и отбор</x:v>
      </x:c>
      <x:c r="F403" s="5" t="str">
        <x:v>"Группа Лента" (обучение OR тренинг OR семинар) (закупки OR "запрос предложений" OR поставщик)</x:v>
      </x:c>
      <x:c r="G403" s="5" t="str">
        <x:v>Найти конкретную карточку и приложения; запрос не доказывает спрос.</x:v>
      </x:c>
      <x:c r="H403" s="5" t="str">
        <x:v>not_run</x:v>
      </x:c>
    </x:row>
    <x:row r="404" ht="25.5" customHeight="1">
      <x:c r="A404" s="5" t="str">
        <x:v>CU-0099-EXPERT</x:v>
      </x:c>
      <x:c r="B404" s="5" t="str">
        <x:v>CU-0099</x:v>
      </x:c>
      <x:c r="C404" s="5" t="str">
        <x:v>Корпоративный университет Монетки</x:v>
      </x:c>
      <x:c r="D404" s="5" t="str">
        <x:v>RU</x:v>
      </x:c>
      <x:c r="E404" s="5" t="str">
        <x:v>Эксперты и партнеры</x:v>
      </x:c>
      <x:c r="F404" s="5" t="str">
        <x:v>"Группа Лента" (преподаватель OR эксперт OR провайдер OR партнерство)</x:v>
      </x:c>
      <x:c r="G404" s="5" t="str">
        <x:v>Уточнить кто платит и какой вход для внешнего исполнителя.</x:v>
      </x:c>
      <x:c r="H404" s="5" t="str">
        <x:v>not_run</x:v>
      </x:c>
    </x:row>
    <x:row r="405" ht="25.5" customHeight="1">
      <x:c r="A405" s="5" t="str">
        <x:v>CU-0099-SIGNAL</x:v>
      </x:c>
      <x:c r="B405" s="5" t="str">
        <x:v>CU-0099</x:v>
      </x:c>
      <x:c r="C405" s="5" t="str">
        <x:v>Корпоративный университет Монетки</x:v>
      </x:c>
      <x:c r="D405" s="5" t="str">
        <x:v>RU</x:v>
      </x:c>
      <x:c r="E405" s="5" t="str">
        <x:v>Новые программы</x:v>
      </x:c>
      <x:c r="F405" s="5" t="str">
        <x:v>"Группа Лента" ("кадровый резерв" OR "электронный курс" OR "развитие руководителей")</x:v>
      </x:c>
      <x:c r="G405" s="5" t="str">
        <x:v>Ранний сигнал и предметный пробел; не подтвержденный заказ.</x:v>
      </x:c>
      <x:c r="H405" s="5" t="str">
        <x:v>not_run</x:v>
      </x:c>
    </x:row>
    <x:row r="406" ht="25.5" customHeight="1">
      <x:c r="A406" s="5" t="str">
        <x:v>CU-0102-DISCOVER</x:v>
      </x:c>
      <x:c r="B406" s="5" t="str">
        <x:v>CU-0102</x:v>
      </x:c>
      <x:c r="C406" s="5" t="str">
        <x:v>Корпоративный университет КРОК</x:v>
      </x:c>
      <x:c r="D406" s="5" t="str">
        <x:v>RU</x:v>
      </x:c>
      <x:c r="E406" s="5" t="str">
        <x:v>Новые каналы</x:v>
      </x:c>
      <x:c r="F406" s="5" t="str">
        <x:v>"КРОК" (университет OR академия OR "учебный центр" OR обучение)</x:v>
      </x:c>
      <x:c r="G406" s="5" t="str">
        <x:v>Имена, подразделения и дополнительные официальные адреса.</x:v>
      </x:c>
      <x:c r="H406" s="5" t="str">
        <x:v>not_run</x:v>
      </x:c>
    </x:row>
    <x:row r="407" ht="25.5" customHeight="1">
      <x:c r="A407" s="5" t="str">
        <x:v>CU-0102-BUY</x:v>
      </x:c>
      <x:c r="B407" s="5" t="str">
        <x:v>CU-0102</x:v>
      </x:c>
      <x:c r="C407" s="5" t="str">
        <x:v>Корпоративный университет КРОК</x:v>
      </x:c>
      <x:c r="D407" s="5" t="str">
        <x:v>RU</x:v>
      </x:c>
      <x:c r="E407" s="5" t="str">
        <x:v>Закупки и отбор</x:v>
      </x:c>
      <x:c r="F407" s="5" t="str">
        <x:v>"КРОК" (обучение OR тренинг OR семинар) (закупки OR "запрос предложений" OR поставщик)</x:v>
      </x:c>
      <x:c r="G407" s="5" t="str">
        <x:v>Найти конкретную карточку и приложения; запрос не доказывает спрос.</x:v>
      </x:c>
      <x:c r="H407" s="5" t="str">
        <x:v>not_run</x:v>
      </x:c>
    </x:row>
    <x:row r="408" ht="25.5" customHeight="1">
      <x:c r="A408" s="5" t="str">
        <x:v>CU-0102-EXPERT</x:v>
      </x:c>
      <x:c r="B408" s="5" t="str">
        <x:v>CU-0102</x:v>
      </x:c>
      <x:c r="C408" s="5" t="str">
        <x:v>Корпоративный университет КРОК</x:v>
      </x:c>
      <x:c r="D408" s="5" t="str">
        <x:v>RU</x:v>
      </x:c>
      <x:c r="E408" s="5" t="str">
        <x:v>Эксперты и партнеры</x:v>
      </x:c>
      <x:c r="F408" s="5" t="str">
        <x:v>"КРОК" (преподаватель OR эксперт OR провайдер OR партнерство)</x:v>
      </x:c>
      <x:c r="G408" s="5" t="str">
        <x:v>Уточнить кто платит и какой вход для внешнего исполнителя.</x:v>
      </x:c>
      <x:c r="H408" s="5" t="str">
        <x:v>not_run</x:v>
      </x:c>
    </x:row>
    <x:row r="409" ht="25.5" customHeight="1">
      <x:c r="A409" s="5" t="str">
        <x:v>CU-0102-SIGNAL</x:v>
      </x:c>
      <x:c r="B409" s="5" t="str">
        <x:v>CU-0102</x:v>
      </x:c>
      <x:c r="C409" s="5" t="str">
        <x:v>Корпоративный университет КРОК</x:v>
      </x:c>
      <x:c r="D409" s="5" t="str">
        <x:v>RU</x:v>
      </x:c>
      <x:c r="E409" s="5" t="str">
        <x:v>Новые программы</x:v>
      </x:c>
      <x:c r="F409" s="5" t="str">
        <x:v>"КРОК" ("кадровый резерв" OR "электронный курс" OR "развитие руководителей")</x:v>
      </x:c>
      <x:c r="G409" s="5" t="str">
        <x:v>Ранний сигнал и предметный пробел; не подтвержденный заказ.</x:v>
      </x:c>
      <x:c r="H409" s="5" t="str">
        <x:v>not_run</x:v>
      </x:c>
    </x:row>
    <x:row r="410" ht="31.5" customHeight="1">
      <x:c r="A410" s="5" t="str">
        <x:v>CU-0103-DISCOVER</x:v>
      </x:c>
      <x:c r="B410" s="5" t="str">
        <x:v>CU-0103</x:v>
      </x:c>
      <x:c r="C410" s="5" t="str">
        <x:v>Корпоративный университет / внутренняя Академия Softline</x:v>
      </x:c>
      <x:c r="D410" s="5" t="str">
        <x:v>RU</x:v>
      </x:c>
      <x:c r="E410" s="5" t="str">
        <x:v>Новые каналы</x:v>
      </x:c>
      <x:c r="F410" s="5" t="str">
        <x:v>"Softline" (университет OR академия OR "учебный центр" OR обучение)</x:v>
      </x:c>
      <x:c r="G410" s="5" t="str">
        <x:v>Имена, подразделения и дополнительные официальные адреса.</x:v>
      </x:c>
      <x:c r="H410" s="5" t="str">
        <x:v>not_run</x:v>
      </x:c>
    </x:row>
    <x:row r="411" ht="31.5" customHeight="1">
      <x:c r="A411" s="5" t="str">
        <x:v>CU-0103-BUY</x:v>
      </x:c>
      <x:c r="B411" s="5" t="str">
        <x:v>CU-0103</x:v>
      </x:c>
      <x:c r="C411" s="5" t="str">
        <x:v>Корпоративный университет / внутренняя Академия Softline</x:v>
      </x:c>
      <x:c r="D411" s="5" t="str">
        <x:v>RU</x:v>
      </x:c>
      <x:c r="E411" s="5" t="str">
        <x:v>Закупки и отбор</x:v>
      </x:c>
      <x:c r="F411" s="5" t="str">
        <x:v>"Softline" (обучение OR тренинг OR семинар) (закупки OR "запрос предложений" OR поставщик)</x:v>
      </x:c>
      <x:c r="G411" s="5" t="str">
        <x:v>Найти конкретную карточку и приложения; запрос не доказывает спрос.</x:v>
      </x:c>
      <x:c r="H411" s="5" t="str">
        <x:v>not_run</x:v>
      </x:c>
    </x:row>
    <x:row r="412" ht="31.5" customHeight="1">
      <x:c r="A412" s="5" t="str">
        <x:v>CU-0103-EXPERT</x:v>
      </x:c>
      <x:c r="B412" s="5" t="str">
        <x:v>CU-0103</x:v>
      </x:c>
      <x:c r="C412" s="5" t="str">
        <x:v>Корпоративный университет / внутренняя Академия Softline</x:v>
      </x:c>
      <x:c r="D412" s="5" t="str">
        <x:v>RU</x:v>
      </x:c>
      <x:c r="E412" s="5" t="str">
        <x:v>Эксперты и партнеры</x:v>
      </x:c>
      <x:c r="F412" s="5" t="str">
        <x:v>"Softline" (преподаватель OR эксперт OR провайдер OR партнерство)</x:v>
      </x:c>
      <x:c r="G412" s="5" t="str">
        <x:v>Уточнить кто платит и какой вход для внешнего исполнителя.</x:v>
      </x:c>
      <x:c r="H412" s="5" t="str">
        <x:v>not_run</x:v>
      </x:c>
    </x:row>
    <x:row r="413" ht="31.5" customHeight="1">
      <x:c r="A413" s="5" t="str">
        <x:v>CU-0103-SIGNAL</x:v>
      </x:c>
      <x:c r="B413" s="5" t="str">
        <x:v>CU-0103</x:v>
      </x:c>
      <x:c r="C413" s="5" t="str">
        <x:v>Корпоративный университет / внутренняя Академия Softline</x:v>
      </x:c>
      <x:c r="D413" s="5" t="str">
        <x:v>RU</x:v>
      </x:c>
      <x:c r="E413" s="5" t="str">
        <x:v>Новые программы</x:v>
      </x:c>
      <x:c r="F413" s="5" t="str">
        <x:v>"Softline" ("кадровый резерв" OR "электронный курс" OR "развитие руководителей")</x:v>
      </x:c>
      <x:c r="G413" s="5" t="str">
        <x:v>Ранний сигнал и предметный пробел; не подтвержденный заказ.</x:v>
      </x:c>
      <x:c r="H413" s="5" t="str">
        <x:v>not_run</x:v>
      </x:c>
    </x:row>
    <x:row r="414" ht="25.5" customHeight="1">
      <x:c r="A414" s="5" t="str">
        <x:v>CU-0105-DISCOVER</x:v>
      </x:c>
      <x:c r="B414" s="5" t="str">
        <x:v>CU-0105</x:v>
      </x:c>
      <x:c r="C414" s="5" t="str">
        <x:v>Ozon Универ</x:v>
      </x:c>
      <x:c r="D414" s="5" t="str">
        <x:v>RU</x:v>
      </x:c>
      <x:c r="E414" s="5" t="str">
        <x:v>Новые каналы</x:v>
      </x:c>
      <x:c r="F414" s="5" t="str">
        <x:v>"Ozon" (университет OR академия OR "учебный центр" OR обучение)</x:v>
      </x:c>
      <x:c r="G414" s="5" t="str">
        <x:v>Имена, подразделения и дополнительные официальные адреса.</x:v>
      </x:c>
      <x:c r="H414" s="5" t="str">
        <x:v>not_run</x:v>
      </x:c>
    </x:row>
    <x:row r="415" ht="25.5" customHeight="1">
      <x:c r="A415" s="5" t="str">
        <x:v>CU-0105-BUY</x:v>
      </x:c>
      <x:c r="B415" s="5" t="str">
        <x:v>CU-0105</x:v>
      </x:c>
      <x:c r="C415" s="5" t="str">
        <x:v>Ozon Универ</x:v>
      </x:c>
      <x:c r="D415" s="5" t="str">
        <x:v>RU</x:v>
      </x:c>
      <x:c r="E415" s="5" t="str">
        <x:v>Закупки и отбор</x:v>
      </x:c>
      <x:c r="F415" s="5" t="str">
        <x:v>"Ozon" (обучение OR тренинг OR семинар) (закупки OR "запрос предложений" OR поставщик)</x:v>
      </x:c>
      <x:c r="G415" s="5" t="str">
        <x:v>Найти конкретную карточку и приложения; запрос не доказывает спрос.</x:v>
      </x:c>
      <x:c r="H415" s="5" t="str">
        <x:v>not_run</x:v>
      </x:c>
    </x:row>
    <x:row r="416" ht="25.5" customHeight="1">
      <x:c r="A416" s="5" t="str">
        <x:v>CU-0105-EXPERT</x:v>
      </x:c>
      <x:c r="B416" s="5" t="str">
        <x:v>CU-0105</x:v>
      </x:c>
      <x:c r="C416" s="5" t="str">
        <x:v>Ozon Универ</x:v>
      </x:c>
      <x:c r="D416" s="5" t="str">
        <x:v>RU</x:v>
      </x:c>
      <x:c r="E416" s="5" t="str">
        <x:v>Эксперты и партнеры</x:v>
      </x:c>
      <x:c r="F416" s="5" t="str">
        <x:v>"Ozon" (преподаватель OR эксперт OR провайдер OR партнерство)</x:v>
      </x:c>
      <x:c r="G416" s="5" t="str">
        <x:v>Уточнить кто платит и какой вход для внешнего исполнителя.</x:v>
      </x:c>
      <x:c r="H416" s="5" t="str">
        <x:v>not_run</x:v>
      </x:c>
    </x:row>
    <x:row r="417" ht="25.5" customHeight="1">
      <x:c r="A417" s="5" t="str">
        <x:v>CU-0105-SIGNAL</x:v>
      </x:c>
      <x:c r="B417" s="5" t="str">
        <x:v>CU-0105</x:v>
      </x:c>
      <x:c r="C417" s="5" t="str">
        <x:v>Ozon Универ</x:v>
      </x:c>
      <x:c r="D417" s="5" t="str">
        <x:v>RU</x:v>
      </x:c>
      <x:c r="E417" s="5" t="str">
        <x:v>Новые программы</x:v>
      </x:c>
      <x:c r="F417" s="5" t="str">
        <x:v>"Ozon" ("кадровый резерв" OR "электронный курс" OR "развитие руководителей")</x:v>
      </x:c>
      <x:c r="G417" s="5" t="str">
        <x:v>Ранний сигнал и предметный пробел; не подтвержденный заказ.</x:v>
      </x:c>
      <x:c r="H417" s="5" t="str">
        <x:v>not_run</x:v>
      </x:c>
    </x:row>
    <x:row r="418" ht="25.5" customHeight="1">
      <x:c r="A418" s="5" t="str">
        <x:v>CU-0106-DISCOVER</x:v>
      </x:c>
      <x:c r="B418" s="5" t="str">
        <x:v>CU-0106</x:v>
      </x:c>
      <x:c r="C418" s="5" t="str">
        <x:v>Корпоративный университет Петровича</x:v>
      </x:c>
      <x:c r="D418" s="5" t="str">
        <x:v>RU</x:v>
      </x:c>
      <x:c r="E418" s="5" t="str">
        <x:v>Новые каналы</x:v>
      </x:c>
      <x:c r="F418" s="5" t="str">
        <x:v>"СТД Петрович" (университет OR академия OR "учебный центр" OR обучение)</x:v>
      </x:c>
      <x:c r="G418" s="5" t="str">
        <x:v>Имена, подразделения и дополнительные официальные адреса.</x:v>
      </x:c>
      <x:c r="H418" s="5" t="str">
        <x:v>not_run</x:v>
      </x:c>
    </x:row>
    <x:row r="419" ht="25.5" customHeight="1">
      <x:c r="A419" s="5" t="str">
        <x:v>CU-0106-BUY</x:v>
      </x:c>
      <x:c r="B419" s="5" t="str">
        <x:v>CU-0106</x:v>
      </x:c>
      <x:c r="C419" s="5" t="str">
        <x:v>Корпоративный университет Петровича</x:v>
      </x:c>
      <x:c r="D419" s="5" t="str">
        <x:v>RU</x:v>
      </x:c>
      <x:c r="E419" s="5" t="str">
        <x:v>Закупки и отбор</x:v>
      </x:c>
      <x:c r="F419" s="5" t="str">
        <x:v>"СТД Петрович" (обучение OR тренинг OR семинар) (закупки OR "запрос предложений" OR поставщик)</x:v>
      </x:c>
      <x:c r="G419" s="5" t="str">
        <x:v>Найти конкретную карточку и приложения; запрос не доказывает спрос.</x:v>
      </x:c>
      <x:c r="H419" s="5" t="str">
        <x:v>not_run</x:v>
      </x:c>
    </x:row>
    <x:row r="420" ht="25.5" customHeight="1">
      <x:c r="A420" s="5" t="str">
        <x:v>CU-0106-EXPERT</x:v>
      </x:c>
      <x:c r="B420" s="5" t="str">
        <x:v>CU-0106</x:v>
      </x:c>
      <x:c r="C420" s="5" t="str">
        <x:v>Корпоративный университет Петровича</x:v>
      </x:c>
      <x:c r="D420" s="5" t="str">
        <x:v>RU</x:v>
      </x:c>
      <x:c r="E420" s="5" t="str">
        <x:v>Эксперты и партнеры</x:v>
      </x:c>
      <x:c r="F420" s="5" t="str">
        <x:v>"СТД Петрович" (преподаватель OR эксперт OR провайдер OR партнерство)</x:v>
      </x:c>
      <x:c r="G420" s="5" t="str">
        <x:v>Уточнить кто платит и какой вход для внешнего исполнителя.</x:v>
      </x:c>
      <x:c r="H420" s="5" t="str">
        <x:v>not_run</x:v>
      </x:c>
    </x:row>
    <x:row r="421" ht="25.5" customHeight="1">
      <x:c r="A421" s="5" t="str">
        <x:v>CU-0106-SIGNAL</x:v>
      </x:c>
      <x:c r="B421" s="5" t="str">
        <x:v>CU-0106</x:v>
      </x:c>
      <x:c r="C421" s="5" t="str">
        <x:v>Корпоративный университет Петровича</x:v>
      </x:c>
      <x:c r="D421" s="5" t="str">
        <x:v>RU</x:v>
      </x:c>
      <x:c r="E421" s="5" t="str">
        <x:v>Новые программы</x:v>
      </x:c>
      <x:c r="F421" s="5" t="str">
        <x:v>"СТД Петрович" ("кадровый резерв" OR "электронный курс" OR "развитие руководителей")</x:v>
      </x:c>
      <x:c r="G421" s="5" t="str">
        <x:v>Ранний сигнал и предметный пробел; не подтвержденный заказ.</x:v>
      </x:c>
      <x:c r="H421" s="5" t="str">
        <x:v>not_run</x:v>
      </x:c>
    </x:row>
    <x:row r="422" ht="25.5" customHeight="1">
      <x:c r="A422" s="5" t="str">
        <x:v>CU-0107-DISCOVER</x:v>
      </x:c>
      <x:c r="B422" s="5" t="str">
        <x:v>CU-0107</x:v>
      </x:c>
      <x:c r="C422" s="5" t="str">
        <x:v>Корпоративный университет СК Согласие</x:v>
      </x:c>
      <x:c r="D422" s="5" t="str">
        <x:v>RU</x:v>
      </x:c>
      <x:c r="E422" s="5" t="str">
        <x:v>Новые каналы</x:v>
      </x:c>
      <x:c r="F422" s="5" t="str">
        <x:v>"СК Согласие" (университет OR академия OR "учебный центр" OR обучение)</x:v>
      </x:c>
      <x:c r="G422" s="5" t="str">
        <x:v>Имена, подразделения и дополнительные официальные адреса.</x:v>
      </x:c>
      <x:c r="H422" s="5" t="str">
        <x:v>not_run</x:v>
      </x:c>
    </x:row>
    <x:row r="423" ht="25.5" customHeight="1">
      <x:c r="A423" s="5" t="str">
        <x:v>CU-0107-BUY</x:v>
      </x:c>
      <x:c r="B423" s="5" t="str">
        <x:v>CU-0107</x:v>
      </x:c>
      <x:c r="C423" s="5" t="str">
        <x:v>Корпоративный университет СК Согласие</x:v>
      </x:c>
      <x:c r="D423" s="5" t="str">
        <x:v>RU</x:v>
      </x:c>
      <x:c r="E423" s="5" t="str">
        <x:v>Закупки и отбор</x:v>
      </x:c>
      <x:c r="F423" s="5" t="str">
        <x:v>"СК Согласие" (обучение OR тренинг OR семинар) (закупки OR "запрос предложений" OR поставщик)</x:v>
      </x:c>
      <x:c r="G423" s="5" t="str">
        <x:v>Найти конкретную карточку и приложения; запрос не доказывает спрос.</x:v>
      </x:c>
      <x:c r="H423" s="5" t="str">
        <x:v>not_run</x:v>
      </x:c>
    </x:row>
    <x:row r="424" ht="25.5" customHeight="1">
      <x:c r="A424" s="5" t="str">
        <x:v>CU-0107-EXPERT</x:v>
      </x:c>
      <x:c r="B424" s="5" t="str">
        <x:v>CU-0107</x:v>
      </x:c>
      <x:c r="C424" s="5" t="str">
        <x:v>Корпоративный университет СК Согласие</x:v>
      </x:c>
      <x:c r="D424" s="5" t="str">
        <x:v>RU</x:v>
      </x:c>
      <x:c r="E424" s="5" t="str">
        <x:v>Эксперты и партнеры</x:v>
      </x:c>
      <x:c r="F424" s="5" t="str">
        <x:v>"СК Согласие" (преподаватель OR эксперт OR провайдер OR партнерство)</x:v>
      </x:c>
      <x:c r="G424" s="5" t="str">
        <x:v>Уточнить кто платит и какой вход для внешнего исполнителя.</x:v>
      </x:c>
      <x:c r="H424" s="5" t="str">
        <x:v>not_run</x:v>
      </x:c>
    </x:row>
    <x:row r="425" ht="25.5" customHeight="1">
      <x:c r="A425" s="5" t="str">
        <x:v>CU-0107-SIGNAL</x:v>
      </x:c>
      <x:c r="B425" s="5" t="str">
        <x:v>CU-0107</x:v>
      </x:c>
      <x:c r="C425" s="5" t="str">
        <x:v>Корпоративный университет СК Согласие</x:v>
      </x:c>
      <x:c r="D425" s="5" t="str">
        <x:v>RU</x:v>
      </x:c>
      <x:c r="E425" s="5" t="str">
        <x:v>Новые программы</x:v>
      </x:c>
      <x:c r="F425" s="5" t="str">
        <x:v>"СК Согласие" ("кадровый резерв" OR "электронный курс" OR "развитие руководителей")</x:v>
      </x:c>
      <x:c r="G425" s="5" t="str">
        <x:v>Ранний сигнал и предметный пробел; не подтвержденный заказ.</x:v>
      </x:c>
      <x:c r="H425" s="5" t="str">
        <x:v>not_run</x:v>
      </x:c>
    </x:row>
    <x:row r="426" ht="25.5" customHeight="1">
      <x:c r="A426" s="5" t="str">
        <x:v>CU-0112-DISCOVER</x:v>
      </x:c>
      <x:c r="B426" s="5" t="str">
        <x:v>CU-0112</x:v>
      </x:c>
      <x:c r="C426" s="5" t="str">
        <x:v>Корпоративный университет СКБ Контур</x:v>
      </x:c>
      <x:c r="D426" s="5" t="str">
        <x:v>RU</x:v>
      </x:c>
      <x:c r="E426" s="5" t="str">
        <x:v>Новые каналы</x:v>
      </x:c>
      <x:c r="F426" s="5" t="str">
        <x:v>"СКБ Контур" (университет OR академия OR "учебный центр" OR обучение)</x:v>
      </x:c>
      <x:c r="G426" s="5" t="str">
        <x:v>Имена, подразделения и дополнительные официальные адреса.</x:v>
      </x:c>
      <x:c r="H426" s="5" t="str">
        <x:v>not_run</x:v>
      </x:c>
    </x:row>
    <x:row r="427" ht="25.5" customHeight="1">
      <x:c r="A427" s="5" t="str">
        <x:v>CU-0112-BUY</x:v>
      </x:c>
      <x:c r="B427" s="5" t="str">
        <x:v>CU-0112</x:v>
      </x:c>
      <x:c r="C427" s="5" t="str">
        <x:v>Корпоративный университет СКБ Контур</x:v>
      </x:c>
      <x:c r="D427" s="5" t="str">
        <x:v>RU</x:v>
      </x:c>
      <x:c r="E427" s="5" t="str">
        <x:v>Закупки и отбор</x:v>
      </x:c>
      <x:c r="F427" s="5" t="str">
        <x:v>"СКБ Контур" (обучение OR тренинг OR семинар) (закупки OR "запрос предложений" OR поставщик)</x:v>
      </x:c>
      <x:c r="G427" s="5" t="str">
        <x:v>Найти конкретную карточку и приложения; запрос не доказывает спрос.</x:v>
      </x:c>
      <x:c r="H427" s="5" t="str">
        <x:v>not_run</x:v>
      </x:c>
    </x:row>
    <x:row r="428" ht="25.5" customHeight="1">
      <x:c r="A428" s="5" t="str">
        <x:v>CU-0112-EXPERT</x:v>
      </x:c>
      <x:c r="B428" s="5" t="str">
        <x:v>CU-0112</x:v>
      </x:c>
      <x:c r="C428" s="5" t="str">
        <x:v>Корпоративный университет СКБ Контур</x:v>
      </x:c>
      <x:c r="D428" s="5" t="str">
        <x:v>RU</x:v>
      </x:c>
      <x:c r="E428" s="5" t="str">
        <x:v>Эксперты и партнеры</x:v>
      </x:c>
      <x:c r="F428" s="5" t="str">
        <x:v>"СКБ Контур" (преподаватель OR эксперт OR провайдер OR партнерство)</x:v>
      </x:c>
      <x:c r="G428" s="5" t="str">
        <x:v>Уточнить кто платит и какой вход для внешнего исполнителя.</x:v>
      </x:c>
      <x:c r="H428" s="5" t="str">
        <x:v>not_run</x:v>
      </x:c>
    </x:row>
    <x:row r="429" ht="25.5" customHeight="1">
      <x:c r="A429" s="5" t="str">
        <x:v>CU-0112-SIGNAL</x:v>
      </x:c>
      <x:c r="B429" s="5" t="str">
        <x:v>CU-0112</x:v>
      </x:c>
      <x:c r="C429" s="5" t="str">
        <x:v>Корпоративный университет СКБ Контур</x:v>
      </x:c>
      <x:c r="D429" s="5" t="str">
        <x:v>RU</x:v>
      </x:c>
      <x:c r="E429" s="5" t="str">
        <x:v>Новые программы</x:v>
      </x:c>
      <x:c r="F429" s="5" t="str">
        <x:v>"СКБ Контур" ("кадровый резерв" OR "электронный курс" OR "развитие руководителей")</x:v>
      </x:c>
      <x:c r="G429" s="5" t="str">
        <x:v>Ранний сигнал и предметный пробел; не подтвержденный заказ.</x:v>
      </x:c>
      <x:c r="H429" s="5" t="str">
        <x:v>not_run</x:v>
      </x:c>
    </x:row>
    <x:row r="430" ht="25.5" customHeight="1">
      <x:c r="A430" s="5" t="str">
        <x:v>CU-0113-DISCOVER</x:v>
      </x:c>
      <x:c r="B430" s="5" t="str">
        <x:v>CU-0113</x:v>
      </x:c>
      <x:c r="C430" s="5" t="str">
        <x:v>Корпоративный университет Тензора</x:v>
      </x:c>
      <x:c r="D430" s="5" t="str">
        <x:v>RU</x:v>
      </x:c>
      <x:c r="E430" s="5" t="str">
        <x:v>Новые каналы</x:v>
      </x:c>
      <x:c r="F430" s="5" t="str">
        <x:v>"Тензор / Saby" (университет OR академия OR "учебный центр" OR обучение)</x:v>
      </x:c>
      <x:c r="G430" s="5" t="str">
        <x:v>Имена, подразделения и дополнительные официальные адреса.</x:v>
      </x:c>
      <x:c r="H430" s="5" t="str">
        <x:v>not_run</x:v>
      </x:c>
    </x:row>
    <x:row r="431" ht="25.5" customHeight="1">
      <x:c r="A431" s="5" t="str">
        <x:v>CU-0113-BUY</x:v>
      </x:c>
      <x:c r="B431" s="5" t="str">
        <x:v>CU-0113</x:v>
      </x:c>
      <x:c r="C431" s="5" t="str">
        <x:v>Корпоративный университет Тензора</x:v>
      </x:c>
      <x:c r="D431" s="5" t="str">
        <x:v>RU</x:v>
      </x:c>
      <x:c r="E431" s="5" t="str">
        <x:v>Закупки и отбор</x:v>
      </x:c>
      <x:c r="F431" s="5" t="str">
        <x:v>"Тензор / Saby" (обучение OR тренинг OR семинар) (закупки OR "запрос предложений" OR поставщик)</x:v>
      </x:c>
      <x:c r="G431" s="5" t="str">
        <x:v>Найти конкретную карточку и приложения; запрос не доказывает спрос.</x:v>
      </x:c>
      <x:c r="H431" s="5" t="str">
        <x:v>not_run</x:v>
      </x:c>
    </x:row>
    <x:row r="432" ht="25.5" customHeight="1">
      <x:c r="A432" s="5" t="str">
        <x:v>CU-0113-EXPERT</x:v>
      </x:c>
      <x:c r="B432" s="5" t="str">
        <x:v>CU-0113</x:v>
      </x:c>
      <x:c r="C432" s="5" t="str">
        <x:v>Корпоративный университет Тензора</x:v>
      </x:c>
      <x:c r="D432" s="5" t="str">
        <x:v>RU</x:v>
      </x:c>
      <x:c r="E432" s="5" t="str">
        <x:v>Эксперты и партнеры</x:v>
      </x:c>
      <x:c r="F432" s="5" t="str">
        <x:v>"Тензор / Saby" (преподаватель OR эксперт OR провайдер OR партнерство)</x:v>
      </x:c>
      <x:c r="G432" s="5" t="str">
        <x:v>Уточнить кто платит и какой вход для внешнего исполнителя.</x:v>
      </x:c>
      <x:c r="H432" s="5" t="str">
        <x:v>not_run</x:v>
      </x:c>
    </x:row>
    <x:row r="433" ht="25.5" customHeight="1">
      <x:c r="A433" s="5" t="str">
        <x:v>CU-0113-SIGNAL</x:v>
      </x:c>
      <x:c r="B433" s="5" t="str">
        <x:v>CU-0113</x:v>
      </x:c>
      <x:c r="C433" s="5" t="str">
        <x:v>Корпоративный университет Тензора</x:v>
      </x:c>
      <x:c r="D433" s="5" t="str">
        <x:v>RU</x:v>
      </x:c>
      <x:c r="E433" s="5" t="str">
        <x:v>Новые программы</x:v>
      </x:c>
      <x:c r="F433" s="5" t="str">
        <x:v>"Тензор / Saby" ("кадровый резерв" OR "электронный курс" OR "развитие руководителей")</x:v>
      </x:c>
      <x:c r="G433" s="5" t="str">
        <x:v>Ранний сигнал и предметный пробел; не подтвержденный заказ.</x:v>
      </x:c>
      <x:c r="H433" s="5" t="str">
        <x:v>not_run</x:v>
      </x:c>
    </x:row>
    <x:row r="434" ht="25.5" customHeight="1">
      <x:c r="A434" s="5" t="str">
        <x:v>CU-0114-DISCOVER</x:v>
      </x:c>
      <x:c r="B434" s="5" t="str">
        <x:v>CU-0114</x:v>
      </x:c>
      <x:c r="C434" s="5" t="str">
        <x:v>Nexign Academy / корпоративный университет Nexign</x:v>
      </x:c>
      <x:c r="D434" s="5" t="str">
        <x:v>RU</x:v>
      </x:c>
      <x:c r="E434" s="5" t="str">
        <x:v>Новые каналы</x:v>
      </x:c>
      <x:c r="F434" s="5" t="str">
        <x:v>"Nexign" (университет OR академия OR "учебный центр" OR обучение)</x:v>
      </x:c>
      <x:c r="G434" s="5" t="str">
        <x:v>Имена, подразделения и дополнительные официальные адреса.</x:v>
      </x:c>
      <x:c r="H434" s="5" t="str">
        <x:v>not_run</x:v>
      </x:c>
    </x:row>
    <x:row r="435" ht="25.5" customHeight="1">
      <x:c r="A435" s="5" t="str">
        <x:v>CU-0114-BUY</x:v>
      </x:c>
      <x:c r="B435" s="5" t="str">
        <x:v>CU-0114</x:v>
      </x:c>
      <x:c r="C435" s="5" t="str">
        <x:v>Nexign Academy / корпоративный университет Nexign</x:v>
      </x:c>
      <x:c r="D435" s="5" t="str">
        <x:v>RU</x:v>
      </x:c>
      <x:c r="E435" s="5" t="str">
        <x:v>Закупки и отбор</x:v>
      </x:c>
      <x:c r="F435" s="5" t="str">
        <x:v>"Nexign" (обучение OR тренинг OR семинар) (закупки OR "запрос предложений" OR поставщик)</x:v>
      </x:c>
      <x:c r="G435" s="5" t="str">
        <x:v>Найти конкретную карточку и приложения; запрос не доказывает спрос.</x:v>
      </x:c>
      <x:c r="H435" s="5" t="str">
        <x:v>not_run</x:v>
      </x:c>
    </x:row>
    <x:row r="436" ht="25.5" customHeight="1">
      <x:c r="A436" s="5" t="str">
        <x:v>CU-0114-EXPERT</x:v>
      </x:c>
      <x:c r="B436" s="5" t="str">
        <x:v>CU-0114</x:v>
      </x:c>
      <x:c r="C436" s="5" t="str">
        <x:v>Nexign Academy / корпоративный университет Nexign</x:v>
      </x:c>
      <x:c r="D436" s="5" t="str">
        <x:v>RU</x:v>
      </x:c>
      <x:c r="E436" s="5" t="str">
        <x:v>Эксперты и партнеры</x:v>
      </x:c>
      <x:c r="F436" s="5" t="str">
        <x:v>"Nexign" (преподаватель OR эксперт OR провайдер OR партнерство)</x:v>
      </x:c>
      <x:c r="G436" s="5" t="str">
        <x:v>Уточнить кто платит и какой вход для внешнего исполнителя.</x:v>
      </x:c>
      <x:c r="H436" s="5" t="str">
        <x:v>not_run</x:v>
      </x:c>
    </x:row>
    <x:row r="437" ht="25.5" customHeight="1">
      <x:c r="A437" s="5" t="str">
        <x:v>CU-0114-SIGNAL</x:v>
      </x:c>
      <x:c r="B437" s="5" t="str">
        <x:v>CU-0114</x:v>
      </x:c>
      <x:c r="C437" s="5" t="str">
        <x:v>Nexign Academy / корпоративный университет Nexign</x:v>
      </x:c>
      <x:c r="D437" s="5" t="str">
        <x:v>RU</x:v>
      </x:c>
      <x:c r="E437" s="5" t="str">
        <x:v>Новые программы</x:v>
      </x:c>
      <x:c r="F437" s="5" t="str">
        <x:v>"Nexign" ("кадровый резерв" OR "электронный курс" OR "развитие руководителей")</x:v>
      </x:c>
      <x:c r="G437" s="5" t="str">
        <x:v>Ранний сигнал и предметный пробел; не подтвержденный заказ.</x:v>
      </x:c>
      <x:c r="H437" s="5" t="str">
        <x:v>not_run</x:v>
      </x:c>
    </x:row>
    <x:row r="438" ht="25.5" customHeight="1">
      <x:c r="A438" s="5" t="str">
        <x:v>CU-0115-DISCOVER</x:v>
      </x:c>
      <x:c r="B438" s="5" t="str">
        <x:v>CU-0115</x:v>
      </x:c>
      <x:c r="C438" s="5" t="str">
        <x:v>ВСК Университет</x:v>
      </x:c>
      <x:c r="D438" s="5" t="str">
        <x:v>RU</x:v>
      </x:c>
      <x:c r="E438" s="5" t="str">
        <x:v>Новые каналы</x:v>
      </x:c>
      <x:c r="F438" s="5" t="str">
        <x:v>"ВСК" (университет OR академия OR "учебный центр" OR обучение)</x:v>
      </x:c>
      <x:c r="G438" s="5" t="str">
        <x:v>Имена, подразделения и дополнительные официальные адреса.</x:v>
      </x:c>
      <x:c r="H438" s="5" t="str">
        <x:v>not_run</x:v>
      </x:c>
    </x:row>
    <x:row r="439" ht="25.5" customHeight="1">
      <x:c r="A439" s="5" t="str">
        <x:v>CU-0115-BUY</x:v>
      </x:c>
      <x:c r="B439" s="5" t="str">
        <x:v>CU-0115</x:v>
      </x:c>
      <x:c r="C439" s="5" t="str">
        <x:v>ВСК Университет</x:v>
      </x:c>
      <x:c r="D439" s="5" t="str">
        <x:v>RU</x:v>
      </x:c>
      <x:c r="E439" s="5" t="str">
        <x:v>Закупки и отбор</x:v>
      </x:c>
      <x:c r="F439" s="5" t="str">
        <x:v>"ВСК" (обучение OR тренинг OR семинар) (закупки OR "запрос предложений" OR поставщик)</x:v>
      </x:c>
      <x:c r="G439" s="5" t="str">
        <x:v>Найти конкретную карточку и приложения; запрос не доказывает спрос.</x:v>
      </x:c>
      <x:c r="H439" s="5" t="str">
        <x:v>not_run</x:v>
      </x:c>
    </x:row>
    <x:row r="440" ht="25.5" customHeight="1">
      <x:c r="A440" s="5" t="str">
        <x:v>CU-0115-EXPERT</x:v>
      </x:c>
      <x:c r="B440" s="5" t="str">
        <x:v>CU-0115</x:v>
      </x:c>
      <x:c r="C440" s="5" t="str">
        <x:v>ВСК Университет</x:v>
      </x:c>
      <x:c r="D440" s="5" t="str">
        <x:v>RU</x:v>
      </x:c>
      <x:c r="E440" s="5" t="str">
        <x:v>Эксперты и партнеры</x:v>
      </x:c>
      <x:c r="F440" s="5" t="str">
        <x:v>"ВСК" (преподаватель OR эксперт OR провайдер OR партнерство)</x:v>
      </x:c>
      <x:c r="G440" s="5" t="str">
        <x:v>Уточнить кто платит и какой вход для внешнего исполнителя.</x:v>
      </x:c>
      <x:c r="H440" s="5" t="str">
        <x:v>not_run</x:v>
      </x:c>
    </x:row>
    <x:row r="441" ht="25.5" customHeight="1">
      <x:c r="A441" s="5" t="str">
        <x:v>CU-0115-SIGNAL</x:v>
      </x:c>
      <x:c r="B441" s="5" t="str">
        <x:v>CU-0115</x:v>
      </x:c>
      <x:c r="C441" s="5" t="str">
        <x:v>ВСК Университет</x:v>
      </x:c>
      <x:c r="D441" s="5" t="str">
        <x:v>RU</x:v>
      </x:c>
      <x:c r="E441" s="5" t="str">
        <x:v>Новые программы</x:v>
      </x:c>
      <x:c r="F441" s="5" t="str">
        <x:v>"ВСК" ("кадровый резерв" OR "электронный курс" OR "развитие руководителей")</x:v>
      </x:c>
      <x:c r="G441" s="5" t="str">
        <x:v>Ранний сигнал и предметный пробел; не подтвержденный заказ.</x:v>
      </x:c>
      <x:c r="H441" s="5" t="str">
        <x:v>not_run</x:v>
      </x:c>
    </x:row>
    <x:row r="442" ht="25.5" customHeight="1">
      <x:c r="A442" s="5" t="str">
        <x:v>CU-0116-DISCOVER</x:v>
      </x:c>
      <x:c r="B442" s="5" t="str">
        <x:v>CU-0116</x:v>
      </x:c>
      <x:c r="C442" s="5" t="str">
        <x:v>Корпоративный университет Ак Барс Банка</x:v>
      </x:c>
      <x:c r="D442" s="5" t="str">
        <x:v>RU</x:v>
      </x:c>
      <x:c r="E442" s="5" t="str">
        <x:v>Новые каналы</x:v>
      </x:c>
      <x:c r="F442" s="5" t="str">
        <x:v>"Ак Барс Банк" (университет OR академия OR "учебный центр" OR обучение)</x:v>
      </x:c>
      <x:c r="G442" s="5" t="str">
        <x:v>Имена, подразделения и дополнительные официальные адреса.</x:v>
      </x:c>
      <x:c r="H442" s="5" t="str">
        <x:v>not_run</x:v>
      </x:c>
    </x:row>
    <x:row r="443" ht="25.5" customHeight="1">
      <x:c r="A443" s="5" t="str">
        <x:v>CU-0116-BUY</x:v>
      </x:c>
      <x:c r="B443" s="5" t="str">
        <x:v>CU-0116</x:v>
      </x:c>
      <x:c r="C443" s="5" t="str">
        <x:v>Корпоративный университет Ак Барс Банка</x:v>
      </x:c>
      <x:c r="D443" s="5" t="str">
        <x:v>RU</x:v>
      </x:c>
      <x:c r="E443" s="5" t="str">
        <x:v>Закупки и отбор</x:v>
      </x:c>
      <x:c r="F443" s="5" t="str">
        <x:v>"Ак Барс Банк" (обучение OR тренинг OR семинар) (закупки OR "запрос предложений" OR поставщик)</x:v>
      </x:c>
      <x:c r="G443" s="5" t="str">
        <x:v>Найти конкретную карточку и приложения; запрос не доказывает спрос.</x:v>
      </x:c>
      <x:c r="H443" s="5" t="str">
        <x:v>not_run</x:v>
      </x:c>
    </x:row>
    <x:row r="444" ht="25.5" customHeight="1">
      <x:c r="A444" s="5" t="str">
        <x:v>CU-0116-EXPERT</x:v>
      </x:c>
      <x:c r="B444" s="5" t="str">
        <x:v>CU-0116</x:v>
      </x:c>
      <x:c r="C444" s="5" t="str">
        <x:v>Корпоративный университет Ак Барс Банка</x:v>
      </x:c>
      <x:c r="D444" s="5" t="str">
        <x:v>RU</x:v>
      </x:c>
      <x:c r="E444" s="5" t="str">
        <x:v>Эксперты и партнеры</x:v>
      </x:c>
      <x:c r="F444" s="5" t="str">
        <x:v>"Ак Барс Банк" (преподаватель OR эксперт OR провайдер OR партнерство)</x:v>
      </x:c>
      <x:c r="G444" s="5" t="str">
        <x:v>Уточнить кто платит и какой вход для внешнего исполнителя.</x:v>
      </x:c>
      <x:c r="H444" s="5" t="str">
        <x:v>not_run</x:v>
      </x:c>
    </x:row>
    <x:row r="445" ht="25.5" customHeight="1">
      <x:c r="A445" s="5" t="str">
        <x:v>CU-0116-SIGNAL</x:v>
      </x:c>
      <x:c r="B445" s="5" t="str">
        <x:v>CU-0116</x:v>
      </x:c>
      <x:c r="C445" s="5" t="str">
        <x:v>Корпоративный университет Ак Барс Банка</x:v>
      </x:c>
      <x:c r="D445" s="5" t="str">
        <x:v>RU</x:v>
      </x:c>
      <x:c r="E445" s="5" t="str">
        <x:v>Новые программы</x:v>
      </x:c>
      <x:c r="F445" s="5" t="str">
        <x:v>"Ак Барс Банк" ("кадровый резерв" OR "электронный курс" OR "развитие руководителей")</x:v>
      </x:c>
      <x:c r="G445" s="5" t="str">
        <x:v>Ранний сигнал и предметный пробел; не подтвержденный заказ.</x:v>
      </x:c>
      <x:c r="H445" s="5" t="str">
        <x:v>not_run</x:v>
      </x:c>
    </x:row>
    <x:row r="446" ht="25.5" customHeight="1">
      <x:c r="A446" s="5" t="str">
        <x:v>CU-0117-DISCOVER</x:v>
      </x:c>
      <x:c r="B446" s="5" t="str">
        <x:v>CU-0117</x:v>
      </x:c>
      <x:c r="C446" s="5" t="str">
        <x:v>Корпоративный университет Газпромбанка</x:v>
      </x:c>
      <x:c r="D446" s="5" t="str">
        <x:v>RU</x:v>
      </x:c>
      <x:c r="E446" s="5" t="str">
        <x:v>Новые каналы</x:v>
      </x:c>
      <x:c r="F446" s="5" t="str">
        <x:v>"Газпромбанк" (университет OR академия OR "учебный центр" OR обучение)</x:v>
      </x:c>
      <x:c r="G446" s="5" t="str">
        <x:v>Имена, подразделения и дополнительные официальные адреса.</x:v>
      </x:c>
      <x:c r="H446" s="5" t="str">
        <x:v>not_run</x:v>
      </x:c>
    </x:row>
    <x:row r="447" ht="25.5" customHeight="1">
      <x:c r="A447" s="5" t="str">
        <x:v>CU-0117-BUY</x:v>
      </x:c>
      <x:c r="B447" s="5" t="str">
        <x:v>CU-0117</x:v>
      </x:c>
      <x:c r="C447" s="5" t="str">
        <x:v>Корпоративный университет Газпромбанка</x:v>
      </x:c>
      <x:c r="D447" s="5" t="str">
        <x:v>RU</x:v>
      </x:c>
      <x:c r="E447" s="5" t="str">
        <x:v>Закупки и отбор</x:v>
      </x:c>
      <x:c r="F447" s="5" t="str">
        <x:v>"Газпромбанк" (обучение OR тренинг OR семинар) (закупки OR "запрос предложений" OR поставщик)</x:v>
      </x:c>
      <x:c r="G447" s="5" t="str">
        <x:v>Найти конкретную карточку и приложения; запрос не доказывает спрос.</x:v>
      </x:c>
      <x:c r="H447" s="5" t="str">
        <x:v>not_run</x:v>
      </x:c>
    </x:row>
    <x:row r="448" ht="25.5" customHeight="1">
      <x:c r="A448" s="5" t="str">
        <x:v>CU-0117-EXPERT</x:v>
      </x:c>
      <x:c r="B448" s="5" t="str">
        <x:v>CU-0117</x:v>
      </x:c>
      <x:c r="C448" s="5" t="str">
        <x:v>Корпоративный университет Газпромбанка</x:v>
      </x:c>
      <x:c r="D448" s="5" t="str">
        <x:v>RU</x:v>
      </x:c>
      <x:c r="E448" s="5" t="str">
        <x:v>Эксперты и партнеры</x:v>
      </x:c>
      <x:c r="F448" s="5" t="str">
        <x:v>"Газпромбанк" (преподаватель OR эксперт OR провайдер OR партнерство)</x:v>
      </x:c>
      <x:c r="G448" s="5" t="str">
        <x:v>Уточнить кто платит и какой вход для внешнего исполнителя.</x:v>
      </x:c>
      <x:c r="H448" s="5" t="str">
        <x:v>not_run</x:v>
      </x:c>
    </x:row>
    <x:row r="449" ht="25.5" customHeight="1">
      <x:c r="A449" s="5" t="str">
        <x:v>CU-0117-SIGNAL</x:v>
      </x:c>
      <x:c r="B449" s="5" t="str">
        <x:v>CU-0117</x:v>
      </x:c>
      <x:c r="C449" s="5" t="str">
        <x:v>Корпоративный университет Газпромбанка</x:v>
      </x:c>
      <x:c r="D449" s="5" t="str">
        <x:v>RU</x:v>
      </x:c>
      <x:c r="E449" s="5" t="str">
        <x:v>Новые программы</x:v>
      </x:c>
      <x:c r="F449" s="5" t="str">
        <x:v>"Газпромбанк" ("кадровый резерв" OR "электронный курс" OR "развитие руководителей")</x:v>
      </x:c>
      <x:c r="G449" s="5" t="str">
        <x:v>Ранний сигнал и предметный пробел; не подтвержденный заказ.</x:v>
      </x:c>
      <x:c r="H449" s="5" t="str">
        <x:v>not_run</x:v>
      </x:c>
    </x:row>
    <x:row r="450" ht="25.5" customHeight="1">
      <x:c r="A450" s="5" t="str">
        <x:v>CU-0122-DISCOVER</x:v>
      </x:c>
      <x:c r="B450" s="5" t="str">
        <x:v>CU-0122</x:v>
      </x:c>
      <x:c r="C450" s="5" t="str">
        <x:v>Корпоративный университет РЖД</x:v>
      </x:c>
      <x:c r="D450" s="5" t="str">
        <x:v>RU</x:v>
      </x:c>
      <x:c r="E450" s="5" t="str">
        <x:v>Новые каналы</x:v>
      </x:c>
      <x:c r="F450" s="5" t="str">
        <x:v>"РЖД" (университет OR академия OR "учебный центр" OR обучение)</x:v>
      </x:c>
      <x:c r="G450" s="5" t="str">
        <x:v>Имена, подразделения и дополнительные официальные адреса.</x:v>
      </x:c>
      <x:c r="H450" s="5" t="str">
        <x:v>not_run</x:v>
      </x:c>
    </x:row>
    <x:row r="451" ht="25.5" customHeight="1">
      <x:c r="A451" s="5" t="str">
        <x:v>CU-0122-BUY</x:v>
      </x:c>
      <x:c r="B451" s="5" t="str">
        <x:v>CU-0122</x:v>
      </x:c>
      <x:c r="C451" s="5" t="str">
        <x:v>Корпоративный университет РЖД</x:v>
      </x:c>
      <x:c r="D451" s="5" t="str">
        <x:v>RU</x:v>
      </x:c>
      <x:c r="E451" s="5" t="str">
        <x:v>Закупки и отбор</x:v>
      </x:c>
      <x:c r="F451" s="5" t="str">
        <x:v>"РЖД" (обучение OR тренинг OR семинар) (закупки OR "запрос предложений" OR поставщик)</x:v>
      </x:c>
      <x:c r="G451" s="5" t="str">
        <x:v>Найти конкретную карточку и приложения; запрос не доказывает спрос.</x:v>
      </x:c>
      <x:c r="H451" s="5" t="str">
        <x:v>not_run</x:v>
      </x:c>
    </x:row>
    <x:row r="452" ht="25.5" customHeight="1">
      <x:c r="A452" s="5" t="str">
        <x:v>CU-0122-EXPERT</x:v>
      </x:c>
      <x:c r="B452" s="5" t="str">
        <x:v>CU-0122</x:v>
      </x:c>
      <x:c r="C452" s="5" t="str">
        <x:v>Корпоративный университет РЖД</x:v>
      </x:c>
      <x:c r="D452" s="5" t="str">
        <x:v>RU</x:v>
      </x:c>
      <x:c r="E452" s="5" t="str">
        <x:v>Эксперты и партнеры</x:v>
      </x:c>
      <x:c r="F452" s="5" t="str">
        <x:v>"РЖД" (преподаватель OR эксперт OR провайдер OR партнерство)</x:v>
      </x:c>
      <x:c r="G452" s="5" t="str">
        <x:v>Уточнить кто платит и какой вход для внешнего исполнителя.</x:v>
      </x:c>
      <x:c r="H452" s="5" t="str">
        <x:v>not_run</x:v>
      </x:c>
    </x:row>
    <x:row r="453" ht="25.5" customHeight="1">
      <x:c r="A453" s="5" t="str">
        <x:v>CU-0122-SIGNAL</x:v>
      </x:c>
      <x:c r="B453" s="5" t="str">
        <x:v>CU-0122</x:v>
      </x:c>
      <x:c r="C453" s="5" t="str">
        <x:v>Корпоративный университет РЖД</x:v>
      </x:c>
      <x:c r="D453" s="5" t="str">
        <x:v>RU</x:v>
      </x:c>
      <x:c r="E453" s="5" t="str">
        <x:v>Новые программы</x:v>
      </x:c>
      <x:c r="F453" s="5" t="str">
        <x:v>"РЖД" ("кадровый резерв" OR "электронный курс" OR "развитие руководителей")</x:v>
      </x:c>
      <x:c r="G453" s="5" t="str">
        <x:v>Ранний сигнал и предметный пробел; не подтвержденный заказ.</x:v>
      </x:c>
      <x:c r="H453" s="5" t="str">
        <x:v>not_run</x:v>
      </x:c>
    </x:row>
    <x:row r="454" ht="25.5" customHeight="1">
      <x:c r="A454" s="5" t="str">
        <x:v>CU-0123-DISCOVER</x:v>
      </x:c>
      <x:c r="B454" s="5" t="str">
        <x:v>CU-0123</x:v>
      </x:c>
      <x:c r="C454" s="5" t="str">
        <x:v>Корпоративный университет группы «Волга-Днепр»</x:v>
      </x:c>
      <x:c r="D454" s="5" t="str">
        <x:v>RU</x:v>
      </x:c>
      <x:c r="E454" s="5" t="str">
        <x:v>Новые каналы</x:v>
      </x:c>
      <x:c r="F454" s="5" t="str">
        <x:v>"Группа Волга-Днепр" (университет OR академия OR "учебный центр" OR обучение)</x:v>
      </x:c>
      <x:c r="G454" s="5" t="str">
        <x:v>Имена, подразделения и дополнительные официальные адреса.</x:v>
      </x:c>
      <x:c r="H454" s="5" t="str">
        <x:v>not_run</x:v>
      </x:c>
    </x:row>
    <x:row r="455" ht="25.5" customHeight="1">
      <x:c r="A455" s="5" t="str">
        <x:v>CU-0123-BUY</x:v>
      </x:c>
      <x:c r="B455" s="5" t="str">
        <x:v>CU-0123</x:v>
      </x:c>
      <x:c r="C455" s="5" t="str">
        <x:v>Корпоративный университет группы «Волга-Днепр»</x:v>
      </x:c>
      <x:c r="D455" s="5" t="str">
        <x:v>RU</x:v>
      </x:c>
      <x:c r="E455" s="5" t="str">
        <x:v>Закупки и отбор</x:v>
      </x:c>
      <x:c r="F455" s="5" t="str">
        <x:v>"Группа Волга-Днепр" (обучение OR тренинг OR семинар) (закупки OR "запрос предложений" OR поставщик)</x:v>
      </x:c>
      <x:c r="G455" s="5" t="str">
        <x:v>Найти конкретную карточку и приложения; запрос не доказывает спрос.</x:v>
      </x:c>
      <x:c r="H455" s="5" t="str">
        <x:v>not_run</x:v>
      </x:c>
    </x:row>
    <x:row r="456" ht="25.5" customHeight="1">
      <x:c r="A456" s="5" t="str">
        <x:v>CU-0123-EXPERT</x:v>
      </x:c>
      <x:c r="B456" s="5" t="str">
        <x:v>CU-0123</x:v>
      </x:c>
      <x:c r="C456" s="5" t="str">
        <x:v>Корпоративный университет группы «Волга-Днепр»</x:v>
      </x:c>
      <x:c r="D456" s="5" t="str">
        <x:v>RU</x:v>
      </x:c>
      <x:c r="E456" s="5" t="str">
        <x:v>Эксперты и партнеры</x:v>
      </x:c>
      <x:c r="F456" s="5" t="str">
        <x:v>"Группа Волга-Днепр" (преподаватель OR эксперт OR провайдер OR партнерство)</x:v>
      </x:c>
      <x:c r="G456" s="5" t="str">
        <x:v>Уточнить кто платит и какой вход для внешнего исполнителя.</x:v>
      </x:c>
      <x:c r="H456" s="5" t="str">
        <x:v>not_run</x:v>
      </x:c>
    </x:row>
    <x:row r="457" ht="25.5" customHeight="1">
      <x:c r="A457" s="5" t="str">
        <x:v>CU-0123-SIGNAL</x:v>
      </x:c>
      <x:c r="B457" s="5" t="str">
        <x:v>CU-0123</x:v>
      </x:c>
      <x:c r="C457" s="5" t="str">
        <x:v>Корпоративный университет группы «Волга-Днепр»</x:v>
      </x:c>
      <x:c r="D457" s="5" t="str">
        <x:v>RU</x:v>
      </x:c>
      <x:c r="E457" s="5" t="str">
        <x:v>Новые программы</x:v>
      </x:c>
      <x:c r="F457" s="5" t="str">
        <x:v>"Группа Волга-Днепр" ("кадровый резерв" OR "электронный курс" OR "развитие руководителей")</x:v>
      </x:c>
      <x:c r="G457" s="5" t="str">
        <x:v>Ранний сигнал и предметный пробел; не подтвержденный заказ.</x:v>
      </x:c>
      <x:c r="H457" s="5" t="str">
        <x:v>not_run</x:v>
      </x:c>
    </x:row>
    <x:row r="458" ht="25.5" customHeight="1">
      <x:c r="A458" s="5" t="str">
        <x:v>CU-0128-DISCOVER</x:v>
      </x:c>
      <x:c r="B458" s="5" t="str">
        <x:v>CU-0128</x:v>
      </x:c>
      <x:c r="C458" s="5" t="str">
        <x:v>Корпоративный университет Почты России</x:v>
      </x:c>
      <x:c r="D458" s="5" t="str">
        <x:v>RU</x:v>
      </x:c>
      <x:c r="E458" s="5" t="str">
        <x:v>Новые каналы</x:v>
      </x:c>
      <x:c r="F458" s="5" t="str">
        <x:v>"Почта России" (университет OR академия OR "учебный центр" OR обучение)</x:v>
      </x:c>
      <x:c r="G458" s="5" t="str">
        <x:v>Имена, подразделения и дополнительные официальные адреса.</x:v>
      </x:c>
      <x:c r="H458" s="5" t="str">
        <x:v>not_run</x:v>
      </x:c>
    </x:row>
    <x:row r="459" ht="25.5" customHeight="1">
      <x:c r="A459" s="5" t="str">
        <x:v>CU-0128-BUY</x:v>
      </x:c>
      <x:c r="B459" s="5" t="str">
        <x:v>CU-0128</x:v>
      </x:c>
      <x:c r="C459" s="5" t="str">
        <x:v>Корпоративный университет Почты России</x:v>
      </x:c>
      <x:c r="D459" s="5" t="str">
        <x:v>RU</x:v>
      </x:c>
      <x:c r="E459" s="5" t="str">
        <x:v>Закупки и отбор</x:v>
      </x:c>
      <x:c r="F459" s="5" t="str">
        <x:v>"Почта России" (обучение OR тренинг OR семинар) (закупки OR "запрос предложений" OR поставщик)</x:v>
      </x:c>
      <x:c r="G459" s="5" t="str">
        <x:v>Найти конкретную карточку и приложения; запрос не доказывает спрос.</x:v>
      </x:c>
      <x:c r="H459" s="5" t="str">
        <x:v>not_run</x:v>
      </x:c>
    </x:row>
    <x:row r="460" ht="25.5" customHeight="1">
      <x:c r="A460" s="5" t="str">
        <x:v>CU-0128-EXPERT</x:v>
      </x:c>
      <x:c r="B460" s="5" t="str">
        <x:v>CU-0128</x:v>
      </x:c>
      <x:c r="C460" s="5" t="str">
        <x:v>Корпоративный университет Почты России</x:v>
      </x:c>
      <x:c r="D460" s="5" t="str">
        <x:v>RU</x:v>
      </x:c>
      <x:c r="E460" s="5" t="str">
        <x:v>Эксперты и партнеры</x:v>
      </x:c>
      <x:c r="F460" s="5" t="str">
        <x:v>"Почта России" (преподаватель OR эксперт OR провайдер OR партнерство)</x:v>
      </x:c>
      <x:c r="G460" s="5" t="str">
        <x:v>Уточнить кто платит и какой вход для внешнего исполнителя.</x:v>
      </x:c>
      <x:c r="H460" s="5" t="str">
        <x:v>not_run</x:v>
      </x:c>
    </x:row>
    <x:row r="461" ht="25.5" customHeight="1">
      <x:c r="A461" s="5" t="str">
        <x:v>CU-0128-SIGNAL</x:v>
      </x:c>
      <x:c r="B461" s="5" t="str">
        <x:v>CU-0128</x:v>
      </x:c>
      <x:c r="C461" s="5" t="str">
        <x:v>Корпоративный университет Почты России</x:v>
      </x:c>
      <x:c r="D461" s="5" t="str">
        <x:v>RU</x:v>
      </x:c>
      <x:c r="E461" s="5" t="str">
        <x:v>Новые программы</x:v>
      </x:c>
      <x:c r="F461" s="5" t="str">
        <x:v>"Почта России" ("кадровый резерв" OR "электронный курс" OR "развитие руководителей")</x:v>
      </x:c>
      <x:c r="G461" s="5" t="str">
        <x:v>Ранний сигнал и предметный пробел; не подтвержденный заказ.</x:v>
      </x:c>
      <x:c r="H461" s="5" t="str">
        <x:v>not_run</x:v>
      </x:c>
    </x:row>
    <x:row r="462" ht="31.5" customHeight="1">
      <x:c r="A462" s="5" t="str">
        <x:v>CU-0129-DISCOVER</x:v>
      </x:c>
      <x:c r="B462" s="5" t="str">
        <x:v>CU-0129</x:v>
      </x:c>
      <x:c r="C462" s="5" t="str">
        <x:v>Корпоративный университет Транспортного комплекса Москвы</x:v>
      </x:c>
      <x:c r="D462" s="5" t="str">
        <x:v>RU</x:v>
      </x:c>
      <x:c r="E462" s="5" t="str">
        <x:v>Новые каналы</x:v>
      </x:c>
      <x:c r="F462" s="5" t="str">
        <x:v>"ГУП Московский метрополитен / Московский транспорт" (университет OR академия OR "учебный центр" OR обучение)</x:v>
      </x:c>
      <x:c r="G462" s="5" t="str">
        <x:v>Имена, подразделения и дополнительные официальные адреса.</x:v>
      </x:c>
      <x:c r="H462" s="5" t="str">
        <x:v>not_run</x:v>
      </x:c>
    </x:row>
    <x:row r="463" ht="31.5" customHeight="1">
      <x:c r="A463" s="5" t="str">
        <x:v>CU-0129-BUY</x:v>
      </x:c>
      <x:c r="B463" s="5" t="str">
        <x:v>CU-0129</x:v>
      </x:c>
      <x:c r="C463" s="5" t="str">
        <x:v>Корпоративный университет Транспортного комплекса Москвы</x:v>
      </x:c>
      <x:c r="D463" s="5" t="str">
        <x:v>RU</x:v>
      </x:c>
      <x:c r="E463" s="5" t="str">
        <x:v>Закупки и отбор</x:v>
      </x:c>
      <x:c r="F463" s="5" t="str">
        <x:v>"ГУП Московский метрополитен / Московский транспорт" (обучение OR тренинг OR семинар) (закупки OR "запрос предложений" OR поставщик)</x:v>
      </x:c>
      <x:c r="G463" s="5" t="str">
        <x:v>Найти конкретную карточку и приложения; запрос не доказывает спрос.</x:v>
      </x:c>
      <x:c r="H463" s="5" t="str">
        <x:v>not_run</x:v>
      </x:c>
    </x:row>
    <x:row r="464" ht="31.5" customHeight="1">
      <x:c r="A464" s="5" t="str">
        <x:v>CU-0129-EXPERT</x:v>
      </x:c>
      <x:c r="B464" s="5" t="str">
        <x:v>CU-0129</x:v>
      </x:c>
      <x:c r="C464" s="5" t="str">
        <x:v>Корпоративный университет Транспортного комплекса Москвы</x:v>
      </x:c>
      <x:c r="D464" s="5" t="str">
        <x:v>RU</x:v>
      </x:c>
      <x:c r="E464" s="5" t="str">
        <x:v>Эксперты и партнеры</x:v>
      </x:c>
      <x:c r="F464" s="5" t="str">
        <x:v>"ГУП Московский метрополитен / Московский транспорт" (преподаватель OR эксперт OR провайдер OR партнерство)</x:v>
      </x:c>
      <x:c r="G464" s="5" t="str">
        <x:v>Уточнить кто платит и какой вход для внешнего исполнителя.</x:v>
      </x:c>
      <x:c r="H464" s="5" t="str">
        <x:v>not_run</x:v>
      </x:c>
    </x:row>
    <x:row r="465" ht="31.5" customHeight="1">
      <x:c r="A465" s="5" t="str">
        <x:v>CU-0129-SIGNAL</x:v>
      </x:c>
      <x:c r="B465" s="5" t="str">
        <x:v>CU-0129</x:v>
      </x:c>
      <x:c r="C465" s="5" t="str">
        <x:v>Корпоративный университет Транспортного комплекса Москвы</x:v>
      </x:c>
      <x:c r="D465" s="5" t="str">
        <x:v>RU</x:v>
      </x:c>
      <x:c r="E465" s="5" t="str">
        <x:v>Новые программы</x:v>
      </x:c>
      <x:c r="F465" s="5" t="str">
        <x:v>"ГУП Московский метрополитен / Московский транспорт" ("кадровый резерв" OR "электронный курс" OR "развитие руководителей")</x:v>
      </x:c>
      <x:c r="G465" s="5" t="str">
        <x:v>Ранний сигнал и предметный пробел; не подтвержденный заказ.</x:v>
      </x:c>
      <x:c r="H465" s="5" t="str">
        <x:v>not_run</x:v>
      </x:c>
    </x:row>
    <x:row r="466" ht="25.5" customHeight="1">
      <x:c r="A466" s="5" t="str">
        <x:v>CU-0133-DISCOVER</x:v>
      </x:c>
      <x:c r="B466" s="5" t="str">
        <x:v>CU-0133</x:v>
      </x:c>
      <x:c r="C466" s="5" t="str">
        <x:v>CDEK University / CDEK.Univer</x:v>
      </x:c>
      <x:c r="D466" s="5" t="str">
        <x:v>RU</x:v>
      </x:c>
      <x:c r="E466" s="5" t="str">
        <x:v>Новые каналы</x:v>
      </x:c>
      <x:c r="F466" s="5" t="str">
        <x:v>"СДЭК" (университет OR академия OR "учебный центр" OR обучение)</x:v>
      </x:c>
      <x:c r="G466" s="5" t="str">
        <x:v>Имена, подразделения и дополнительные официальные адреса.</x:v>
      </x:c>
      <x:c r="H466" s="5" t="str">
        <x:v>not_run</x:v>
      </x:c>
    </x:row>
    <x:row r="467" ht="25.5" customHeight="1">
      <x:c r="A467" s="5" t="str">
        <x:v>CU-0133-BUY</x:v>
      </x:c>
      <x:c r="B467" s="5" t="str">
        <x:v>CU-0133</x:v>
      </x:c>
      <x:c r="C467" s="5" t="str">
        <x:v>CDEK University / CDEK.Univer</x:v>
      </x:c>
      <x:c r="D467" s="5" t="str">
        <x:v>RU</x:v>
      </x:c>
      <x:c r="E467" s="5" t="str">
        <x:v>Закупки и отбор</x:v>
      </x:c>
      <x:c r="F467" s="5" t="str">
        <x:v>"СДЭК" (обучение OR тренинг OR семинар) (закупки OR "запрос предложений" OR поставщик)</x:v>
      </x:c>
      <x:c r="G467" s="5" t="str">
        <x:v>Найти конкретную карточку и приложения; запрос не доказывает спрос.</x:v>
      </x:c>
      <x:c r="H467" s="5" t="str">
        <x:v>not_run</x:v>
      </x:c>
    </x:row>
    <x:row r="468" ht="25.5" customHeight="1">
      <x:c r="A468" s="5" t="str">
        <x:v>CU-0133-EXPERT</x:v>
      </x:c>
      <x:c r="B468" s="5" t="str">
        <x:v>CU-0133</x:v>
      </x:c>
      <x:c r="C468" s="5" t="str">
        <x:v>CDEK University / CDEK.Univer</x:v>
      </x:c>
      <x:c r="D468" s="5" t="str">
        <x:v>RU</x:v>
      </x:c>
      <x:c r="E468" s="5" t="str">
        <x:v>Эксперты и партнеры</x:v>
      </x:c>
      <x:c r="F468" s="5" t="str">
        <x:v>"СДЭК" (преподаватель OR эксперт OR провайдер OR партнерство)</x:v>
      </x:c>
      <x:c r="G468" s="5" t="str">
        <x:v>Уточнить кто платит и какой вход для внешнего исполнителя.</x:v>
      </x:c>
      <x:c r="H468" s="5" t="str">
        <x:v>not_run</x:v>
      </x:c>
    </x:row>
    <x:row r="469" ht="25.5" customHeight="1">
      <x:c r="A469" s="5" t="str">
        <x:v>CU-0133-SIGNAL</x:v>
      </x:c>
      <x:c r="B469" s="5" t="str">
        <x:v>CU-0133</x:v>
      </x:c>
      <x:c r="C469" s="5" t="str">
        <x:v>CDEK University / CDEK.Univer</x:v>
      </x:c>
      <x:c r="D469" s="5" t="str">
        <x:v>RU</x:v>
      </x:c>
      <x:c r="E469" s="5" t="str">
        <x:v>Новые программы</x:v>
      </x:c>
      <x:c r="F469" s="5" t="str">
        <x:v>"СДЭК" ("кадровый резерв" OR "электронный курс" OR "развитие руководителей")</x:v>
      </x:c>
      <x:c r="G469" s="5" t="str">
        <x:v>Ранний сигнал и предметный пробел; не подтвержденный заказ.</x:v>
      </x:c>
      <x:c r="H469" s="5" t="str">
        <x:v>not_run</x:v>
      </x:c>
    </x:row>
    <x:row r="470" ht="25.5" customHeight="1">
      <x:c r="A470" s="5" t="str">
        <x:v>CU-0135-DISCOVER</x:v>
      </x:c>
      <x:c r="B470" s="5" t="str">
        <x:v>CU-0135</x:v>
      </x:c>
      <x:c r="C470" s="5" t="str">
        <x:v>Корпоративный университет Самолёт Плюс</x:v>
      </x:c>
      <x:c r="D470" s="5" t="str">
        <x:v>RU</x:v>
      </x:c>
      <x:c r="E470" s="5" t="str">
        <x:v>Новые каналы</x:v>
      </x:c>
      <x:c r="F470" s="5" t="str">
        <x:v>"Самолёт Плюс" (университет OR академия OR "учебный центр" OR обучение)</x:v>
      </x:c>
      <x:c r="G470" s="5" t="str">
        <x:v>Имена, подразделения и дополнительные официальные адреса.</x:v>
      </x:c>
      <x:c r="H470" s="5" t="str">
        <x:v>not_run</x:v>
      </x:c>
    </x:row>
    <x:row r="471" ht="25.5" customHeight="1">
      <x:c r="A471" s="5" t="str">
        <x:v>CU-0135-BUY</x:v>
      </x:c>
      <x:c r="B471" s="5" t="str">
        <x:v>CU-0135</x:v>
      </x:c>
      <x:c r="C471" s="5" t="str">
        <x:v>Корпоративный университет Самолёт Плюс</x:v>
      </x:c>
      <x:c r="D471" s="5" t="str">
        <x:v>RU</x:v>
      </x:c>
      <x:c r="E471" s="5" t="str">
        <x:v>Закупки и отбор</x:v>
      </x:c>
      <x:c r="F471" s="5" t="str">
        <x:v>"Самолёт Плюс" (обучение OR тренинг OR семинар) (закупки OR "запрос предложений" OR поставщик)</x:v>
      </x:c>
      <x:c r="G471" s="5" t="str">
        <x:v>Найти конкретную карточку и приложения; запрос не доказывает спрос.</x:v>
      </x:c>
      <x:c r="H471" s="5" t="str">
        <x:v>not_run</x:v>
      </x:c>
    </x:row>
    <x:row r="472" ht="25.5" customHeight="1">
      <x:c r="A472" s="5" t="str">
        <x:v>CU-0135-EXPERT</x:v>
      </x:c>
      <x:c r="B472" s="5" t="str">
        <x:v>CU-0135</x:v>
      </x:c>
      <x:c r="C472" s="5" t="str">
        <x:v>Корпоративный университет Самолёт Плюс</x:v>
      </x:c>
      <x:c r="D472" s="5" t="str">
        <x:v>RU</x:v>
      </x:c>
      <x:c r="E472" s="5" t="str">
        <x:v>Эксперты и партнеры</x:v>
      </x:c>
      <x:c r="F472" s="5" t="str">
        <x:v>"Самолёт Плюс" (преподаватель OR эксперт OR провайдер OR партнерство)</x:v>
      </x:c>
      <x:c r="G472" s="5" t="str">
        <x:v>Уточнить кто платит и какой вход для внешнего исполнителя.</x:v>
      </x:c>
      <x:c r="H472" s="5" t="str">
        <x:v>not_run</x:v>
      </x:c>
    </x:row>
    <x:row r="473" ht="25.5" customHeight="1">
      <x:c r="A473" s="5" t="str">
        <x:v>CU-0135-SIGNAL</x:v>
      </x:c>
      <x:c r="B473" s="5" t="str">
        <x:v>CU-0135</x:v>
      </x:c>
      <x:c r="C473" s="5" t="str">
        <x:v>Корпоративный университет Самолёт Плюс</x:v>
      </x:c>
      <x:c r="D473" s="5" t="str">
        <x:v>RU</x:v>
      </x:c>
      <x:c r="E473" s="5" t="str">
        <x:v>Новые программы</x:v>
      </x:c>
      <x:c r="F473" s="5" t="str">
        <x:v>"Самолёт Плюс" ("кадровый резерв" OR "электронный курс" OR "развитие руководителей")</x:v>
      </x:c>
      <x:c r="G473" s="5" t="str">
        <x:v>Ранний сигнал и предметный пробел; не подтвержденный заказ.</x:v>
      </x:c>
      <x:c r="H473" s="5" t="str">
        <x:v>not_run</x:v>
      </x:c>
    </x:row>
    <x:row r="474" ht="25.5" customHeight="1">
      <x:c r="A474" s="5" t="str">
        <x:v>CU-0136-DISCOVER</x:v>
      </x:c>
      <x:c r="B474" s="5" t="str">
        <x:v>CU-0136</x:v>
      </x:c>
      <x:c r="C474" s="5" t="str">
        <x:v>Корпоративный университет ПЕТОН</x:v>
      </x:c>
      <x:c r="D474" s="5" t="str">
        <x:v>RU</x:v>
      </x:c>
      <x:c r="E474" s="5" t="str">
        <x:v>Новые каналы</x:v>
      </x:c>
      <x:c r="F474" s="5" t="str">
        <x:v>"НИПИ НГ Петон" (университет OR академия OR "учебный центр" OR обучение)</x:v>
      </x:c>
      <x:c r="G474" s="5" t="str">
        <x:v>Имена, подразделения и дополнительные официальные адреса.</x:v>
      </x:c>
      <x:c r="H474" s="5" t="str">
        <x:v>not_run</x:v>
      </x:c>
    </x:row>
    <x:row r="475" ht="25.5" customHeight="1">
      <x:c r="A475" s="5" t="str">
        <x:v>CU-0136-BUY</x:v>
      </x:c>
      <x:c r="B475" s="5" t="str">
        <x:v>CU-0136</x:v>
      </x:c>
      <x:c r="C475" s="5" t="str">
        <x:v>Корпоративный университет ПЕТОН</x:v>
      </x:c>
      <x:c r="D475" s="5" t="str">
        <x:v>RU</x:v>
      </x:c>
      <x:c r="E475" s="5" t="str">
        <x:v>Закупки и отбор</x:v>
      </x:c>
      <x:c r="F475" s="5" t="str">
        <x:v>"НИПИ НГ Петон" (обучение OR тренинг OR семинар) (закупки OR "запрос предложений" OR поставщик)</x:v>
      </x:c>
      <x:c r="G475" s="5" t="str">
        <x:v>Найти конкретную карточку и приложения; запрос не доказывает спрос.</x:v>
      </x:c>
      <x:c r="H475" s="5" t="str">
        <x:v>not_run</x:v>
      </x:c>
    </x:row>
    <x:row r="476" ht="25.5" customHeight="1">
      <x:c r="A476" s="5" t="str">
        <x:v>CU-0136-EXPERT</x:v>
      </x:c>
      <x:c r="B476" s="5" t="str">
        <x:v>CU-0136</x:v>
      </x:c>
      <x:c r="C476" s="5" t="str">
        <x:v>Корпоративный университет ПЕТОН</x:v>
      </x:c>
      <x:c r="D476" s="5" t="str">
        <x:v>RU</x:v>
      </x:c>
      <x:c r="E476" s="5" t="str">
        <x:v>Эксперты и партнеры</x:v>
      </x:c>
      <x:c r="F476" s="5" t="str">
        <x:v>"НИПИ НГ Петон" (преподаватель OR эксперт OR провайдер OR партнерство)</x:v>
      </x:c>
      <x:c r="G476" s="5" t="str">
        <x:v>Уточнить кто платит и какой вход для внешнего исполнителя.</x:v>
      </x:c>
      <x:c r="H476" s="5" t="str">
        <x:v>not_run</x:v>
      </x:c>
    </x:row>
    <x:row r="477" ht="25.5" customHeight="1">
      <x:c r="A477" s="5" t="str">
        <x:v>CU-0136-SIGNAL</x:v>
      </x:c>
      <x:c r="B477" s="5" t="str">
        <x:v>CU-0136</x:v>
      </x:c>
      <x:c r="C477" s="5" t="str">
        <x:v>Корпоративный университет ПЕТОН</x:v>
      </x:c>
      <x:c r="D477" s="5" t="str">
        <x:v>RU</x:v>
      </x:c>
      <x:c r="E477" s="5" t="str">
        <x:v>Новые программы</x:v>
      </x:c>
      <x:c r="F477" s="5" t="str">
        <x:v>"НИПИ НГ Петон" ("кадровый резерв" OR "электронный курс" OR "развитие руководителей")</x:v>
      </x:c>
      <x:c r="G477" s="5" t="str">
        <x:v>Ранний сигнал и предметный пробел; не подтвержденный заказ.</x:v>
      </x:c>
      <x:c r="H477" s="5" t="str">
        <x:v>not_run</x:v>
      </x:c>
    </x:row>
    <x:row r="478" ht="25.5" customHeight="1">
      <x:c r="A478" s="5" t="str">
        <x:v>CU-0137-DISCOVER</x:v>
      </x:c>
      <x:c r="B478" s="5" t="str">
        <x:v>CU-0137</x:v>
      </x:c>
      <x:c r="C478" s="5" t="str">
        <x:v>Корпоративный университет ТЕХНОНИКОЛЬ</x:v>
      </x:c>
      <x:c r="D478" s="5" t="str">
        <x:v>RU</x:v>
      </x:c>
      <x:c r="E478" s="5" t="str">
        <x:v>Новые каналы</x:v>
      </x:c>
      <x:c r="F478" s="5" t="str">
        <x:v>"Производственная компания ТЕХНОНИКОЛЬ" (университет OR академия OR "учебный центр" OR обучение)</x:v>
      </x:c>
      <x:c r="G478" s="5" t="str">
        <x:v>Имена, подразделения и дополнительные официальные адреса.</x:v>
      </x:c>
      <x:c r="H478" s="5" t="str">
        <x:v>not_run</x:v>
      </x:c>
    </x:row>
    <x:row r="479" ht="31.5" customHeight="1">
      <x:c r="A479" s="5" t="str">
        <x:v>CU-0137-BUY</x:v>
      </x:c>
      <x:c r="B479" s="5" t="str">
        <x:v>CU-0137</x:v>
      </x:c>
      <x:c r="C479" s="5" t="str">
        <x:v>Корпоративный университет ТЕХНОНИКОЛЬ</x:v>
      </x:c>
      <x:c r="D479" s="5" t="str">
        <x:v>RU</x:v>
      </x:c>
      <x:c r="E479" s="5" t="str">
        <x:v>Закупки и отбор</x:v>
      </x:c>
      <x:c r="F479" s="5" t="str">
        <x:v>"Производственная компания ТЕХНОНИКОЛЬ" (обучение OR тренинг OR семинар) (закупки OR "запрос предложений" OR поставщик)</x:v>
      </x:c>
      <x:c r="G479" s="5" t="str">
        <x:v>Найти конкретную карточку и приложения; запрос не доказывает спрос.</x:v>
      </x:c>
      <x:c r="H479" s="5" t="str">
        <x:v>not_run</x:v>
      </x:c>
    </x:row>
    <x:row r="480" ht="25.5" customHeight="1">
      <x:c r="A480" s="5" t="str">
        <x:v>CU-0137-EXPERT</x:v>
      </x:c>
      <x:c r="B480" s="5" t="str">
        <x:v>CU-0137</x:v>
      </x:c>
      <x:c r="C480" s="5" t="str">
        <x:v>Корпоративный университет ТЕХНОНИКОЛЬ</x:v>
      </x:c>
      <x:c r="D480" s="5" t="str">
        <x:v>RU</x:v>
      </x:c>
      <x:c r="E480" s="5" t="str">
        <x:v>Эксперты и партнеры</x:v>
      </x:c>
      <x:c r="F480" s="5" t="str">
        <x:v>"Производственная компания ТЕХНОНИКОЛЬ" (преподаватель OR эксперт OR провайдер OR партнерство)</x:v>
      </x:c>
      <x:c r="G480" s="5" t="str">
        <x:v>Уточнить кто платит и какой вход для внешнего исполнителя.</x:v>
      </x:c>
      <x:c r="H480" s="5" t="str">
        <x:v>not_run</x:v>
      </x:c>
    </x:row>
    <x:row r="481" ht="25.5" customHeight="1">
      <x:c r="A481" s="5" t="str">
        <x:v>CU-0137-SIGNAL</x:v>
      </x:c>
      <x:c r="B481" s="5" t="str">
        <x:v>CU-0137</x:v>
      </x:c>
      <x:c r="C481" s="5" t="str">
        <x:v>Корпоративный университет ТЕХНОНИКОЛЬ</x:v>
      </x:c>
      <x:c r="D481" s="5" t="str">
        <x:v>RU</x:v>
      </x:c>
      <x:c r="E481" s="5" t="str">
        <x:v>Новые программы</x:v>
      </x:c>
      <x:c r="F481" s="5" t="str">
        <x:v>"Производственная компания ТЕХНОНИКОЛЬ" ("кадровый резерв" OR "электронный курс" OR "развитие руководителей")</x:v>
      </x:c>
      <x:c r="G481" s="5" t="str">
        <x:v>Ранний сигнал и предметный пробел; не подтвержденный заказ.</x:v>
      </x:c>
      <x:c r="H481" s="5" t="str">
        <x:v>not_run</x:v>
      </x:c>
    </x:row>
    <x:row r="482" ht="31.5" customHeight="1">
      <x:c r="A482" s="5" t="str">
        <x:v>CU-0138-DISCOVER</x:v>
      </x:c>
      <x:c r="B482" s="5" t="str">
        <x:v>CU-0138</x:v>
      </x:c>
      <x:c r="C482" s="5" t="str">
        <x:v>Корпоративный университет ТСТН — Академия директоров</x:v>
      </x:c>
      <x:c r="D482" s="5" t="str">
        <x:v>RU</x:v>
      </x:c>
      <x:c r="E482" s="5" t="str">
        <x:v>Новые каналы</x:v>
      </x:c>
      <x:c r="F482" s="5" t="str">
        <x:v>"Торговая Сеть ТЕХНОНИКОЛЬ (ТСТН)" (университет OR академия OR "учебный центр" OR обучение)</x:v>
      </x:c>
      <x:c r="G482" s="5" t="str">
        <x:v>Имена, подразделения и дополнительные официальные адреса.</x:v>
      </x:c>
      <x:c r="H482" s="5" t="str">
        <x:v>not_run</x:v>
      </x:c>
    </x:row>
    <x:row r="483" ht="31.5" customHeight="1">
      <x:c r="A483" s="5" t="str">
        <x:v>CU-0138-BUY</x:v>
      </x:c>
      <x:c r="B483" s="5" t="str">
        <x:v>CU-0138</x:v>
      </x:c>
      <x:c r="C483" s="5" t="str">
        <x:v>Корпоративный университет ТСТН — Академия директоров</x:v>
      </x:c>
      <x:c r="D483" s="5" t="str">
        <x:v>RU</x:v>
      </x:c>
      <x:c r="E483" s="5" t="str">
        <x:v>Закупки и отбор</x:v>
      </x:c>
      <x:c r="F483" s="5" t="str">
        <x:v>"Торговая Сеть ТЕХНОНИКОЛЬ (ТСТН)" (обучение OR тренинг OR семинар) (закупки OR "запрос предложений" OR поставщик)</x:v>
      </x:c>
      <x:c r="G483" s="5" t="str">
        <x:v>Найти конкретную карточку и приложения; запрос не доказывает спрос.</x:v>
      </x:c>
      <x:c r="H483" s="5" t="str">
        <x:v>not_run</x:v>
      </x:c>
    </x:row>
    <x:row r="484" ht="31.5" customHeight="1">
      <x:c r="A484" s="5" t="str">
        <x:v>CU-0138-EXPERT</x:v>
      </x:c>
      <x:c r="B484" s="5" t="str">
        <x:v>CU-0138</x:v>
      </x:c>
      <x:c r="C484" s="5" t="str">
        <x:v>Корпоративный университет ТСТН — Академия директоров</x:v>
      </x:c>
      <x:c r="D484" s="5" t="str">
        <x:v>RU</x:v>
      </x:c>
      <x:c r="E484" s="5" t="str">
        <x:v>Эксперты и партнеры</x:v>
      </x:c>
      <x:c r="F484" s="5" t="str">
        <x:v>"Торговая Сеть ТЕХНОНИКОЛЬ (ТСТН)" (преподаватель OR эксперт OR провайдер OR партнерство)</x:v>
      </x:c>
      <x:c r="G484" s="5" t="str">
        <x:v>Уточнить кто платит и какой вход для внешнего исполнителя.</x:v>
      </x:c>
      <x:c r="H484" s="5" t="str">
        <x:v>not_run</x:v>
      </x:c>
    </x:row>
    <x:row r="485" ht="31.5" customHeight="1">
      <x:c r="A485" s="5" t="str">
        <x:v>CU-0138-SIGNAL</x:v>
      </x:c>
      <x:c r="B485" s="5" t="str">
        <x:v>CU-0138</x:v>
      </x:c>
      <x:c r="C485" s="5" t="str">
        <x:v>Корпоративный университет ТСТН — Академия директоров</x:v>
      </x:c>
      <x:c r="D485" s="5" t="str">
        <x:v>RU</x:v>
      </x:c>
      <x:c r="E485" s="5" t="str">
        <x:v>Новые программы</x:v>
      </x:c>
      <x:c r="F485" s="5" t="str">
        <x:v>"Торговая Сеть ТЕХНОНИКОЛЬ (ТСТН)" ("кадровый резерв" OR "электронный курс" OR "развитие руководителей")</x:v>
      </x:c>
      <x:c r="G485" s="5" t="str">
        <x:v>Ранний сигнал и предметный пробел; не подтвержденный заказ.</x:v>
      </x:c>
      <x:c r="H485" s="5" t="str">
        <x:v>not_run</x:v>
      </x:c>
    </x:row>
    <x:row r="486" ht="25.5" customHeight="1">
      <x:c r="A486" s="5" t="str">
        <x:v>CU-0140-DISCOVER</x:v>
      </x:c>
      <x:c r="B486" s="5" t="str">
        <x:v>CU-0140</x:v>
      </x:c>
      <x:c r="C486" s="5" t="str">
        <x:v>Корпоративный университет «РУСЛАКТО»</x:v>
      </x:c>
      <x:c r="D486" s="5" t="str">
        <x:v>RU</x:v>
      </x:c>
      <x:c r="E486" s="5" t="str">
        <x:v>Новые каналы</x:v>
      </x:c>
      <x:c r="F486" s="5" t="str">
        <x:v>"Агрохолдинг РУСЛАКТО" (университет OR академия OR "учебный центр" OR обучение)</x:v>
      </x:c>
      <x:c r="G486" s="5" t="str">
        <x:v>Имена, подразделения и дополнительные официальные адреса.</x:v>
      </x:c>
      <x:c r="H486" s="5" t="str">
        <x:v>not_run</x:v>
      </x:c>
    </x:row>
    <x:row r="487" ht="25.5" customHeight="1">
      <x:c r="A487" s="5" t="str">
        <x:v>CU-0140-BUY</x:v>
      </x:c>
      <x:c r="B487" s="5" t="str">
        <x:v>CU-0140</x:v>
      </x:c>
      <x:c r="C487" s="5" t="str">
        <x:v>Корпоративный университет «РУСЛАКТО»</x:v>
      </x:c>
      <x:c r="D487" s="5" t="str">
        <x:v>RU</x:v>
      </x:c>
      <x:c r="E487" s="5" t="str">
        <x:v>Закупки и отбор</x:v>
      </x:c>
      <x:c r="F487" s="5" t="str">
        <x:v>"Агрохолдинг РУСЛАКТО" (обучение OR тренинг OR семинар) (закупки OR "запрос предложений" OR поставщик)</x:v>
      </x:c>
      <x:c r="G487" s="5" t="str">
        <x:v>Найти конкретную карточку и приложения; запрос не доказывает спрос.</x:v>
      </x:c>
      <x:c r="H487" s="5" t="str">
        <x:v>not_run</x:v>
      </x:c>
    </x:row>
    <x:row r="488" ht="25.5" customHeight="1">
      <x:c r="A488" s="5" t="str">
        <x:v>CU-0140-EXPERT</x:v>
      </x:c>
      <x:c r="B488" s="5" t="str">
        <x:v>CU-0140</x:v>
      </x:c>
      <x:c r="C488" s="5" t="str">
        <x:v>Корпоративный университет «РУСЛАКТО»</x:v>
      </x:c>
      <x:c r="D488" s="5" t="str">
        <x:v>RU</x:v>
      </x:c>
      <x:c r="E488" s="5" t="str">
        <x:v>Эксперты и партнеры</x:v>
      </x:c>
      <x:c r="F488" s="5" t="str">
        <x:v>"Агрохолдинг РУСЛАКТО" (преподаватель OR эксперт OR провайдер OR партнерство)</x:v>
      </x:c>
      <x:c r="G488" s="5" t="str">
        <x:v>Уточнить кто платит и какой вход для внешнего исполнителя.</x:v>
      </x:c>
      <x:c r="H488" s="5" t="str">
        <x:v>not_run</x:v>
      </x:c>
    </x:row>
    <x:row r="489" ht="25.5" customHeight="1">
      <x:c r="A489" s="5" t="str">
        <x:v>CU-0140-SIGNAL</x:v>
      </x:c>
      <x:c r="B489" s="5" t="str">
        <x:v>CU-0140</x:v>
      </x:c>
      <x:c r="C489" s="5" t="str">
        <x:v>Корпоративный университет «РУСЛАКТО»</x:v>
      </x:c>
      <x:c r="D489" s="5" t="str">
        <x:v>RU</x:v>
      </x:c>
      <x:c r="E489" s="5" t="str">
        <x:v>Новые программы</x:v>
      </x:c>
      <x:c r="F489" s="5" t="str">
        <x:v>"Агрохолдинг РУСЛАКТО" ("кадровый резерв" OR "электронный курс" OR "развитие руководителей")</x:v>
      </x:c>
      <x:c r="G489" s="5" t="str">
        <x:v>Ранний сигнал и предметный пробел; не подтвержденный заказ.</x:v>
      </x:c>
      <x:c r="H489" s="5" t="str">
        <x:v>not_run</x:v>
      </x:c>
    </x:row>
    <x:row r="490" ht="25.5" customHeight="1">
      <x:c r="A490" s="5" t="str">
        <x:v>CU-0143-DISCOVER</x:v>
      </x:c>
      <x:c r="B490" s="5" t="str">
        <x:v>CU-0143</x:v>
      </x:c>
      <x:c r="C490" s="5" t="str">
        <x:v>Научно-образовательный центр «Бирюч» ЭФКО</x:v>
      </x:c>
      <x:c r="D490" s="5" t="str">
        <x:v>RU</x:v>
      </x:c>
      <x:c r="E490" s="5" t="str">
        <x:v>Новые каналы</x:v>
      </x:c>
      <x:c r="F490" s="5" t="str">
        <x:v>"Группа ЭФКО" (университет OR академия OR "учебный центр" OR обучение)</x:v>
      </x:c>
      <x:c r="G490" s="5" t="str">
        <x:v>Имена, подразделения и дополнительные официальные адреса.</x:v>
      </x:c>
      <x:c r="H490" s="5" t="str">
        <x:v>not_run</x:v>
      </x:c>
    </x:row>
    <x:row r="491" ht="25.5" customHeight="1">
      <x:c r="A491" s="5" t="str">
        <x:v>CU-0143-BUY</x:v>
      </x:c>
      <x:c r="B491" s="5" t="str">
        <x:v>CU-0143</x:v>
      </x:c>
      <x:c r="C491" s="5" t="str">
        <x:v>Научно-образовательный центр «Бирюч» ЭФКО</x:v>
      </x:c>
      <x:c r="D491" s="5" t="str">
        <x:v>RU</x:v>
      </x:c>
      <x:c r="E491" s="5" t="str">
        <x:v>Закупки и отбор</x:v>
      </x:c>
      <x:c r="F491" s="5" t="str">
        <x:v>"Группа ЭФКО" (обучение OR тренинг OR семинар) (закупки OR "запрос предложений" OR поставщик)</x:v>
      </x:c>
      <x:c r="G491" s="5" t="str">
        <x:v>Найти конкретную карточку и приложения; запрос не доказывает спрос.</x:v>
      </x:c>
      <x:c r="H491" s="5" t="str">
        <x:v>not_run</x:v>
      </x:c>
    </x:row>
    <x:row r="492" ht="25.5" customHeight="1">
      <x:c r="A492" s="5" t="str">
        <x:v>CU-0143-EXPERT</x:v>
      </x:c>
      <x:c r="B492" s="5" t="str">
        <x:v>CU-0143</x:v>
      </x:c>
      <x:c r="C492" s="5" t="str">
        <x:v>Научно-образовательный центр «Бирюч» ЭФКО</x:v>
      </x:c>
      <x:c r="D492" s="5" t="str">
        <x:v>RU</x:v>
      </x:c>
      <x:c r="E492" s="5" t="str">
        <x:v>Эксперты и партнеры</x:v>
      </x:c>
      <x:c r="F492" s="5" t="str">
        <x:v>"Группа ЭФКО" (преподаватель OR эксперт OR провайдер OR партнерство)</x:v>
      </x:c>
      <x:c r="G492" s="5" t="str">
        <x:v>Уточнить кто платит и какой вход для внешнего исполнителя.</x:v>
      </x:c>
      <x:c r="H492" s="5" t="str">
        <x:v>not_run</x:v>
      </x:c>
    </x:row>
    <x:row r="493" ht="25.5" customHeight="1">
      <x:c r="A493" s="5" t="str">
        <x:v>CU-0143-SIGNAL</x:v>
      </x:c>
      <x:c r="B493" s="5" t="str">
        <x:v>CU-0143</x:v>
      </x:c>
      <x:c r="C493" s="5" t="str">
        <x:v>Научно-образовательный центр «Бирюч» ЭФКО</x:v>
      </x:c>
      <x:c r="D493" s="5" t="str">
        <x:v>RU</x:v>
      </x:c>
      <x:c r="E493" s="5" t="str">
        <x:v>Новые программы</x:v>
      </x:c>
      <x:c r="F493" s="5" t="str">
        <x:v>"Группа ЭФКО" ("кадровый резерв" OR "электронный курс" OR "развитие руководителей")</x:v>
      </x:c>
      <x:c r="G493" s="5" t="str">
        <x:v>Ранний сигнал и предметный пробел; не подтвержденный заказ.</x:v>
      </x:c>
      <x:c r="H493" s="5" t="str">
        <x:v>not_run</x:v>
      </x:c>
    </x:row>
    <x:row r="494" ht="25.5" customHeight="1">
      <x:c r="A494" s="5" t="str">
        <x:v>CU-0146-DISCOVER</x:v>
      </x:c>
      <x:c r="B494" s="5" t="str">
        <x:v>CU-0146</x:v>
      </x:c>
      <x:c r="C494" s="5" t="str">
        <x:v>Корпоративный университет BIOCAD</x:v>
      </x:c>
      <x:c r="D494" s="5" t="str">
        <x:v>RU</x:v>
      </x:c>
      <x:c r="E494" s="5" t="str">
        <x:v>Новые каналы</x:v>
      </x:c>
      <x:c r="F494" s="5" t="str">
        <x:v>"BIOCAD" (университет OR академия OR "учебный центр" OR обучение)</x:v>
      </x:c>
      <x:c r="G494" s="5" t="str">
        <x:v>Имена, подразделения и дополнительные официальные адреса.</x:v>
      </x:c>
      <x:c r="H494" s="5" t="str">
        <x:v>not_run</x:v>
      </x:c>
    </x:row>
    <x:row r="495" ht="25.5" customHeight="1">
      <x:c r="A495" s="5" t="str">
        <x:v>CU-0146-BUY</x:v>
      </x:c>
      <x:c r="B495" s="5" t="str">
        <x:v>CU-0146</x:v>
      </x:c>
      <x:c r="C495" s="5" t="str">
        <x:v>Корпоративный университет BIOCAD</x:v>
      </x:c>
      <x:c r="D495" s="5" t="str">
        <x:v>RU</x:v>
      </x:c>
      <x:c r="E495" s="5" t="str">
        <x:v>Закупки и отбор</x:v>
      </x:c>
      <x:c r="F495" s="5" t="str">
        <x:v>"BIOCAD" (обучение OR тренинг OR семинар) (закупки OR "запрос предложений" OR поставщик)</x:v>
      </x:c>
      <x:c r="G495" s="5" t="str">
        <x:v>Найти конкретную карточку и приложения; запрос не доказывает спрос.</x:v>
      </x:c>
      <x:c r="H495" s="5" t="str">
        <x:v>not_run</x:v>
      </x:c>
    </x:row>
    <x:row r="496" ht="25.5" customHeight="1">
      <x:c r="A496" s="5" t="str">
        <x:v>CU-0146-EXPERT</x:v>
      </x:c>
      <x:c r="B496" s="5" t="str">
        <x:v>CU-0146</x:v>
      </x:c>
      <x:c r="C496" s="5" t="str">
        <x:v>Корпоративный университет BIOCAD</x:v>
      </x:c>
      <x:c r="D496" s="5" t="str">
        <x:v>RU</x:v>
      </x:c>
      <x:c r="E496" s="5" t="str">
        <x:v>Эксперты и партнеры</x:v>
      </x:c>
      <x:c r="F496" s="5" t="str">
        <x:v>"BIOCAD" (преподаватель OR эксперт OR провайдер OR партнерство)</x:v>
      </x:c>
      <x:c r="G496" s="5" t="str">
        <x:v>Уточнить кто платит и какой вход для внешнего исполнителя.</x:v>
      </x:c>
      <x:c r="H496" s="5" t="str">
        <x:v>not_run</x:v>
      </x:c>
    </x:row>
    <x:row r="497" ht="25.5" customHeight="1">
      <x:c r="A497" s="5" t="str">
        <x:v>CU-0146-SIGNAL</x:v>
      </x:c>
      <x:c r="B497" s="5" t="str">
        <x:v>CU-0146</x:v>
      </x:c>
      <x:c r="C497" s="5" t="str">
        <x:v>Корпоративный университет BIOCAD</x:v>
      </x:c>
      <x:c r="D497" s="5" t="str">
        <x:v>RU</x:v>
      </x:c>
      <x:c r="E497" s="5" t="str">
        <x:v>Новые программы</x:v>
      </x:c>
      <x:c r="F497" s="5" t="str">
        <x:v>"BIOCAD" ("кадровый резерв" OR "электронный курс" OR "развитие руководителей")</x:v>
      </x:c>
      <x:c r="G497" s="5" t="str">
        <x:v>Ранний сигнал и предметный пробел; не подтвержденный заказ.</x:v>
      </x:c>
      <x:c r="H497" s="5" t="str">
        <x:v>not_run</x:v>
      </x:c>
    </x:row>
    <x:row r="498" ht="25.5" customHeight="1">
      <x:c r="A498" s="5" t="str">
        <x:v>CU-0147-DISCOVER</x:v>
      </x:c>
      <x:c r="B498" s="5" t="str">
        <x:v>CU-0147</x:v>
      </x:c>
      <x:c r="C498" s="5" t="str">
        <x:v>Академия Р-Фарм</x:v>
      </x:c>
      <x:c r="D498" s="5" t="str">
        <x:v>RU</x:v>
      </x:c>
      <x:c r="E498" s="5" t="str">
        <x:v>Новые каналы</x:v>
      </x:c>
      <x:c r="F498" s="5" t="str">
        <x:v>"Группа Р-Фарм" (университет OR академия OR "учебный центр" OR обучение)</x:v>
      </x:c>
      <x:c r="G498" s="5" t="str">
        <x:v>Имена, подразделения и дополнительные официальные адреса.</x:v>
      </x:c>
      <x:c r="H498" s="5" t="str">
        <x:v>not_run</x:v>
      </x:c>
    </x:row>
    <x:row r="499" ht="25.5" customHeight="1">
      <x:c r="A499" s="5" t="str">
        <x:v>CU-0147-BUY</x:v>
      </x:c>
      <x:c r="B499" s="5" t="str">
        <x:v>CU-0147</x:v>
      </x:c>
      <x:c r="C499" s="5" t="str">
        <x:v>Академия Р-Фарм</x:v>
      </x:c>
      <x:c r="D499" s="5" t="str">
        <x:v>RU</x:v>
      </x:c>
      <x:c r="E499" s="5" t="str">
        <x:v>Закупки и отбор</x:v>
      </x:c>
      <x:c r="F499" s="5" t="str">
        <x:v>"Группа Р-Фарм" (обучение OR тренинг OR семинар) (закупки OR "запрос предложений" OR поставщик)</x:v>
      </x:c>
      <x:c r="G499" s="5" t="str">
        <x:v>Найти конкретную карточку и приложения; запрос не доказывает спрос.</x:v>
      </x:c>
      <x:c r="H499" s="5" t="str">
        <x:v>not_run</x:v>
      </x:c>
    </x:row>
    <x:row r="500" ht="25.5" customHeight="1">
      <x:c r="A500" s="5" t="str">
        <x:v>CU-0147-EXPERT</x:v>
      </x:c>
      <x:c r="B500" s="5" t="str">
        <x:v>CU-0147</x:v>
      </x:c>
      <x:c r="C500" s="5" t="str">
        <x:v>Академия Р-Фарм</x:v>
      </x:c>
      <x:c r="D500" s="5" t="str">
        <x:v>RU</x:v>
      </x:c>
      <x:c r="E500" s="5" t="str">
        <x:v>Эксперты и партнеры</x:v>
      </x:c>
      <x:c r="F500" s="5" t="str">
        <x:v>"Группа Р-Фарм" (преподаватель OR эксперт OR провайдер OR партнерство)</x:v>
      </x:c>
      <x:c r="G500" s="5" t="str">
        <x:v>Уточнить кто платит и какой вход для внешнего исполнителя.</x:v>
      </x:c>
      <x:c r="H500" s="5" t="str">
        <x:v>not_run</x:v>
      </x:c>
    </x:row>
    <x:row r="501" ht="25.5" customHeight="1">
      <x:c r="A501" s="5" t="str">
        <x:v>CU-0147-SIGNAL</x:v>
      </x:c>
      <x:c r="B501" s="5" t="str">
        <x:v>CU-0147</x:v>
      </x:c>
      <x:c r="C501" s="5" t="str">
        <x:v>Академия Р-Фарм</x:v>
      </x:c>
      <x:c r="D501" s="5" t="str">
        <x:v>RU</x:v>
      </x:c>
      <x:c r="E501" s="5" t="str">
        <x:v>Новые программы</x:v>
      </x:c>
      <x:c r="F501" s="5" t="str">
        <x:v>"Группа Р-Фарм" ("кадровый резерв" OR "электронный курс" OR "развитие руководителей")</x:v>
      </x:c>
      <x:c r="G501" s="5" t="str">
        <x:v>Ранний сигнал и предметный пробел; не подтвержденный заказ.</x:v>
      </x:c>
      <x:c r="H501" s="5" t="str">
        <x:v>not_run</x:v>
      </x:c>
    </x:row>
    <x:row r="502" ht="25.5" customHeight="1">
      <x:c r="A502" s="5" t="str">
        <x:v>CU-0148-DISCOVER</x:v>
      </x:c>
      <x:c r="B502" s="5" t="str">
        <x:v>CU-0148</x:v>
      </x:c>
      <x:c r="C502" s="5" t="str">
        <x:v>Академия гостеприимства COSMOS</x:v>
      </x:c>
      <x:c r="D502" s="5" t="str">
        <x:v>RU</x:v>
      </x:c>
      <x:c r="E502" s="5" t="str">
        <x:v>Новые каналы</x:v>
      </x:c>
      <x:c r="F502" s="5" t="str">
        <x:v>"Cosmos Hotel Group" (университет OR академия OR "учебный центр" OR обучение)</x:v>
      </x:c>
      <x:c r="G502" s="5" t="str">
        <x:v>Имена, подразделения и дополнительные официальные адреса.</x:v>
      </x:c>
      <x:c r="H502" s="5" t="str">
        <x:v>not_run</x:v>
      </x:c>
    </x:row>
    <x:row r="503" ht="25.5" customHeight="1">
      <x:c r="A503" s="5" t="str">
        <x:v>CU-0148-BUY</x:v>
      </x:c>
      <x:c r="B503" s="5" t="str">
        <x:v>CU-0148</x:v>
      </x:c>
      <x:c r="C503" s="5" t="str">
        <x:v>Академия гостеприимства COSMOS</x:v>
      </x:c>
      <x:c r="D503" s="5" t="str">
        <x:v>RU</x:v>
      </x:c>
      <x:c r="E503" s="5" t="str">
        <x:v>Закупки и отбор</x:v>
      </x:c>
      <x:c r="F503" s="5" t="str">
        <x:v>"Cosmos Hotel Group" (обучение OR тренинг OR семинар) (закупки OR "запрос предложений" OR поставщик)</x:v>
      </x:c>
      <x:c r="G503" s="5" t="str">
        <x:v>Найти конкретную карточку и приложения; запрос не доказывает спрос.</x:v>
      </x:c>
      <x:c r="H503" s="5" t="str">
        <x:v>not_run</x:v>
      </x:c>
    </x:row>
    <x:row r="504" ht="25.5" customHeight="1">
      <x:c r="A504" s="5" t="str">
        <x:v>CU-0148-EXPERT</x:v>
      </x:c>
      <x:c r="B504" s="5" t="str">
        <x:v>CU-0148</x:v>
      </x:c>
      <x:c r="C504" s="5" t="str">
        <x:v>Академия гостеприимства COSMOS</x:v>
      </x:c>
      <x:c r="D504" s="5" t="str">
        <x:v>RU</x:v>
      </x:c>
      <x:c r="E504" s="5" t="str">
        <x:v>Эксперты и партнеры</x:v>
      </x:c>
      <x:c r="F504" s="5" t="str">
        <x:v>"Cosmos Hotel Group" (преподаватель OR эксперт OR провайдер OR партнерство)</x:v>
      </x:c>
      <x:c r="G504" s="5" t="str">
        <x:v>Уточнить кто платит и какой вход для внешнего исполнителя.</x:v>
      </x:c>
      <x:c r="H504" s="5" t="str">
        <x:v>not_run</x:v>
      </x:c>
    </x:row>
    <x:row r="505" ht="25.5" customHeight="1">
      <x:c r="A505" s="5" t="str">
        <x:v>CU-0148-SIGNAL</x:v>
      </x:c>
      <x:c r="B505" s="5" t="str">
        <x:v>CU-0148</x:v>
      </x:c>
      <x:c r="C505" s="5" t="str">
        <x:v>Академия гостеприимства COSMOS</x:v>
      </x:c>
      <x:c r="D505" s="5" t="str">
        <x:v>RU</x:v>
      </x:c>
      <x:c r="E505" s="5" t="str">
        <x:v>Новые программы</x:v>
      </x:c>
      <x:c r="F505" s="5" t="str">
        <x:v>"Cosmos Hotel Group" ("кадровый резерв" OR "электронный курс" OR "развитие руководителей")</x:v>
      </x:c>
      <x:c r="G505" s="5" t="str">
        <x:v>Ранний сигнал и предметный пробел; не подтвержденный заказ.</x:v>
      </x:c>
      <x:c r="H505" s="5" t="str">
        <x:v>not_run</x:v>
      </x:c>
    </x:row>
    <x:row r="506" ht="25.5" customHeight="1">
      <x:c r="A506" s="5" t="str">
        <x:v>CU-0149-DISCOVER</x:v>
      </x:c>
      <x:c r="B506" s="5" t="str">
        <x:v>CU-0149</x:v>
      </x:c>
      <x:c r="C506" s="5" t="str">
        <x:v>Академия гостеприимства курорта «Мрия»</x:v>
      </x:c>
      <x:c r="D506" s="5" t="str">
        <x:v>RU</x:v>
      </x:c>
      <x:c r="E506" s="5" t="str">
        <x:v>Новые каналы</x:v>
      </x:c>
      <x:c r="F506" s="5" t="str">
        <x:v>"Курорт Мрия" (университет OR академия OR "учебный центр" OR обучение)</x:v>
      </x:c>
      <x:c r="G506" s="5" t="str">
        <x:v>Имена, подразделения и дополнительные официальные адреса.</x:v>
      </x:c>
      <x:c r="H506" s="5" t="str">
        <x:v>not_run</x:v>
      </x:c>
    </x:row>
    <x:row r="507" ht="25.5" customHeight="1">
      <x:c r="A507" s="5" t="str">
        <x:v>CU-0149-BUY</x:v>
      </x:c>
      <x:c r="B507" s="5" t="str">
        <x:v>CU-0149</x:v>
      </x:c>
      <x:c r="C507" s="5" t="str">
        <x:v>Академия гостеприимства курорта «Мрия»</x:v>
      </x:c>
      <x:c r="D507" s="5" t="str">
        <x:v>RU</x:v>
      </x:c>
      <x:c r="E507" s="5" t="str">
        <x:v>Закупки и отбор</x:v>
      </x:c>
      <x:c r="F507" s="5" t="str">
        <x:v>"Курорт Мрия" (обучение OR тренинг OR семинар) (закупки OR "запрос предложений" OR поставщик)</x:v>
      </x:c>
      <x:c r="G507" s="5" t="str">
        <x:v>Найти конкретную карточку и приложения; запрос не доказывает спрос.</x:v>
      </x:c>
      <x:c r="H507" s="5" t="str">
        <x:v>not_run</x:v>
      </x:c>
    </x:row>
    <x:row r="508" ht="25.5" customHeight="1">
      <x:c r="A508" s="5" t="str">
        <x:v>CU-0149-EXPERT</x:v>
      </x:c>
      <x:c r="B508" s="5" t="str">
        <x:v>CU-0149</x:v>
      </x:c>
      <x:c r="C508" s="5" t="str">
        <x:v>Академия гостеприимства курорта «Мрия»</x:v>
      </x:c>
      <x:c r="D508" s="5" t="str">
        <x:v>RU</x:v>
      </x:c>
      <x:c r="E508" s="5" t="str">
        <x:v>Эксперты и партнеры</x:v>
      </x:c>
      <x:c r="F508" s="5" t="str">
        <x:v>"Курорт Мрия" (преподаватель OR эксперт OR провайдер OR партнерство)</x:v>
      </x:c>
      <x:c r="G508" s="5" t="str">
        <x:v>Уточнить кто платит и какой вход для внешнего исполнителя.</x:v>
      </x:c>
      <x:c r="H508" s="5" t="str">
        <x:v>not_run</x:v>
      </x:c>
    </x:row>
    <x:row r="509" ht="25.5" customHeight="1">
      <x:c r="A509" s="5" t="str">
        <x:v>CU-0149-SIGNAL</x:v>
      </x:c>
      <x:c r="B509" s="5" t="str">
        <x:v>CU-0149</x:v>
      </x:c>
      <x:c r="C509" s="5" t="str">
        <x:v>Академия гостеприимства курорта «Мрия»</x:v>
      </x:c>
      <x:c r="D509" s="5" t="str">
        <x:v>RU</x:v>
      </x:c>
      <x:c r="E509" s="5" t="str">
        <x:v>Новые программы</x:v>
      </x:c>
      <x:c r="F509" s="5" t="str">
        <x:v>"Курорт Мрия" ("кадровый резерв" OR "электронный курс" OR "развитие руководителей")</x:v>
      </x:c>
      <x:c r="G509" s="5" t="str">
        <x:v>Ранний сигнал и предметный пробел; не подтвержденный заказ.</x:v>
      </x:c>
      <x:c r="H509" s="5" t="str">
        <x:v>not_run</x:v>
      </x:c>
    </x:row>
    <x:row r="510" ht="25.5" customHeight="1">
      <x:c r="A510" s="5" t="str">
        <x:v>CU-0151-DISCOVER</x:v>
      </x:c>
      <x:c r="B510" s="5" t="str">
        <x:v>CU-0151</x:v>
      </x:c>
      <x:c r="C510" s="5" t="str">
        <x:v>Корпоративный университет «Автобан»</x:v>
      </x:c>
      <x:c r="D510" s="5" t="str">
        <x:v>RU</x:v>
      </x:c>
      <x:c r="E510" s="5" t="str">
        <x:v>Новые каналы</x:v>
      </x:c>
      <x:c r="F510" s="5" t="str">
        <x:v>"Строительно-инвестиционный холдинг Автобан" (университет OR академия OR "учебный центр" OR обучение)</x:v>
      </x:c>
      <x:c r="G510" s="5" t="str">
        <x:v>Имена, подразделения и дополнительные официальные адреса.</x:v>
      </x:c>
      <x:c r="H510" s="5" t="str">
        <x:v>not_run</x:v>
      </x:c>
    </x:row>
    <x:row r="511" ht="31.5" customHeight="1">
      <x:c r="A511" s="5" t="str">
        <x:v>CU-0151-BUY</x:v>
      </x:c>
      <x:c r="B511" s="5" t="str">
        <x:v>CU-0151</x:v>
      </x:c>
      <x:c r="C511" s="5" t="str">
        <x:v>Корпоративный университет «Автобан»</x:v>
      </x:c>
      <x:c r="D511" s="5" t="str">
        <x:v>RU</x:v>
      </x:c>
      <x:c r="E511" s="5" t="str">
        <x:v>Закупки и отбор</x:v>
      </x:c>
      <x:c r="F511" s="5" t="str">
        <x:v>"Строительно-инвестиционный холдинг Автобан" (обучение OR тренинг OR семинар) (закупки OR "запрос предложений" OR поставщик)</x:v>
      </x:c>
      <x:c r="G511" s="5" t="str">
        <x:v>Найти конкретную карточку и приложения; запрос не доказывает спрос.</x:v>
      </x:c>
      <x:c r="H511" s="5" t="str">
        <x:v>not_run</x:v>
      </x:c>
    </x:row>
    <x:row r="512" ht="25.5" customHeight="1">
      <x:c r="A512" s="5" t="str">
        <x:v>CU-0151-EXPERT</x:v>
      </x:c>
      <x:c r="B512" s="5" t="str">
        <x:v>CU-0151</x:v>
      </x:c>
      <x:c r="C512" s="5" t="str">
        <x:v>Корпоративный университет «Автобан»</x:v>
      </x:c>
      <x:c r="D512" s="5" t="str">
        <x:v>RU</x:v>
      </x:c>
      <x:c r="E512" s="5" t="str">
        <x:v>Эксперты и партнеры</x:v>
      </x:c>
      <x:c r="F512" s="5" t="str">
        <x:v>"Строительно-инвестиционный холдинг Автобан" (преподаватель OR эксперт OR провайдер OR партнерство)</x:v>
      </x:c>
      <x:c r="G512" s="5" t="str">
        <x:v>Уточнить кто платит и какой вход для внешнего исполнителя.</x:v>
      </x:c>
      <x:c r="H512" s="5" t="str">
        <x:v>not_run</x:v>
      </x:c>
    </x:row>
    <x:row r="513" ht="25.5" customHeight="1">
      <x:c r="A513" s="5" t="str">
        <x:v>CU-0151-SIGNAL</x:v>
      </x:c>
      <x:c r="B513" s="5" t="str">
        <x:v>CU-0151</x:v>
      </x:c>
      <x:c r="C513" s="5" t="str">
        <x:v>Корпоративный университет «Автобан»</x:v>
      </x:c>
      <x:c r="D513" s="5" t="str">
        <x:v>RU</x:v>
      </x:c>
      <x:c r="E513" s="5" t="str">
        <x:v>Новые программы</x:v>
      </x:c>
      <x:c r="F513" s="5" t="str">
        <x:v>"Строительно-инвестиционный холдинг Автобан" ("кадровый резерв" OR "электронный курс" OR "развитие руководителей")</x:v>
      </x:c>
      <x:c r="G513" s="5" t="str">
        <x:v>Ранний сигнал и предметный пробел; не подтвержденный заказ.</x:v>
      </x:c>
      <x:c r="H513" s="5" t="str">
        <x:v>not_run</x:v>
      </x:c>
    </x:row>
    <x:row r="514" ht="25.5" customHeight="1">
      <x:c r="A514" s="5" t="str">
        <x:v>CU-0152-DISCOVER</x:v>
      </x:c>
      <x:c r="B514" s="5" t="str">
        <x:v>CU-0152</x:v>
      </x:c>
      <x:c r="C514" s="5" t="str">
        <x:v>Корпоративный университет СКФ</x:v>
      </x:c>
      <x:c r="D514" s="5" t="str">
        <x:v>RU</x:v>
      </x:c>
      <x:c r="E514" s="5" t="str">
        <x:v>Новые каналы</x:v>
      </x:c>
      <x:c r="F514" s="5" t="str">
        <x:v>"Совкомфлот" (университет OR академия OR "учебный центр" OR обучение)</x:v>
      </x:c>
      <x:c r="G514" s="5" t="str">
        <x:v>Имена, подразделения и дополнительные официальные адреса.</x:v>
      </x:c>
      <x:c r="H514" s="5" t="str">
        <x:v>not_run</x:v>
      </x:c>
    </x:row>
    <x:row r="515" ht="25.5" customHeight="1">
      <x:c r="A515" s="5" t="str">
        <x:v>CU-0152-BUY</x:v>
      </x:c>
      <x:c r="B515" s="5" t="str">
        <x:v>CU-0152</x:v>
      </x:c>
      <x:c r="C515" s="5" t="str">
        <x:v>Корпоративный университет СКФ</x:v>
      </x:c>
      <x:c r="D515" s="5" t="str">
        <x:v>RU</x:v>
      </x:c>
      <x:c r="E515" s="5" t="str">
        <x:v>Закупки и отбор</x:v>
      </x:c>
      <x:c r="F515" s="5" t="str">
        <x:v>"Совкомфлот" (обучение OR тренинг OR семинар) (закупки OR "запрос предложений" OR поставщик)</x:v>
      </x:c>
      <x:c r="G515" s="5" t="str">
        <x:v>Найти конкретную карточку и приложения; запрос не доказывает спрос.</x:v>
      </x:c>
      <x:c r="H515" s="5" t="str">
        <x:v>not_run</x:v>
      </x:c>
    </x:row>
    <x:row r="516" ht="25.5" customHeight="1">
      <x:c r="A516" s="5" t="str">
        <x:v>CU-0152-EXPERT</x:v>
      </x:c>
      <x:c r="B516" s="5" t="str">
        <x:v>CU-0152</x:v>
      </x:c>
      <x:c r="C516" s="5" t="str">
        <x:v>Корпоративный университет СКФ</x:v>
      </x:c>
      <x:c r="D516" s="5" t="str">
        <x:v>RU</x:v>
      </x:c>
      <x:c r="E516" s="5" t="str">
        <x:v>Эксперты и партнеры</x:v>
      </x:c>
      <x:c r="F516" s="5" t="str">
        <x:v>"Совкомфлот" (преподаватель OR эксперт OR провайдер OR партнерство)</x:v>
      </x:c>
      <x:c r="G516" s="5" t="str">
        <x:v>Уточнить кто платит и какой вход для внешнего исполнителя.</x:v>
      </x:c>
      <x:c r="H516" s="5" t="str">
        <x:v>not_run</x:v>
      </x:c>
    </x:row>
    <x:row r="517" ht="25.5" customHeight="1">
      <x:c r="A517" s="5" t="str">
        <x:v>CU-0152-SIGNAL</x:v>
      </x:c>
      <x:c r="B517" s="5" t="str">
        <x:v>CU-0152</x:v>
      </x:c>
      <x:c r="C517" s="5" t="str">
        <x:v>Корпоративный университет СКФ</x:v>
      </x:c>
      <x:c r="D517" s="5" t="str">
        <x:v>RU</x:v>
      </x:c>
      <x:c r="E517" s="5" t="str">
        <x:v>Новые программы</x:v>
      </x:c>
      <x:c r="F517" s="5" t="str">
        <x:v>"Совкомфлот" ("кадровый резерв" OR "электронный курс" OR "развитие руководителей")</x:v>
      </x:c>
      <x:c r="G517" s="5" t="str">
        <x:v>Ранний сигнал и предметный пробел; не подтвержденный заказ.</x:v>
      </x:c>
      <x:c r="H517" s="5" t="str">
        <x:v>not_run</x:v>
      </x:c>
    </x:row>
    <x:row r="518" ht="25.5" customHeight="1">
      <x:c r="A518" s="5" t="str">
        <x:v>CU-0155-DISCOVER</x:v>
      </x:c>
      <x:c r="B518" s="5" t="str">
        <x:v>CU-0155</x:v>
      </x:c>
      <x:c r="C518" s="5" t="str">
        <x:v>Корпоративный университет Медскан Hadassah</x:v>
      </x:c>
      <x:c r="D518" s="5" t="str">
        <x:v>RU</x:v>
      </x:c>
      <x:c r="E518" s="5" t="str">
        <x:v>Новые каналы</x:v>
      </x:c>
      <x:c r="F518" s="5" t="str">
        <x:v>"Медскан / Hadassah Medical Moscow" (университет OR академия OR "учебный центр" OR обучение)</x:v>
      </x:c>
      <x:c r="G518" s="5" t="str">
        <x:v>Имена, подразделения и дополнительные официальные адреса.</x:v>
      </x:c>
      <x:c r="H518" s="5" t="str">
        <x:v>not_run</x:v>
      </x:c>
    </x:row>
    <x:row r="519" ht="25.5" customHeight="1">
      <x:c r="A519" s="5" t="str">
        <x:v>CU-0155-BUY</x:v>
      </x:c>
      <x:c r="B519" s="5" t="str">
        <x:v>CU-0155</x:v>
      </x:c>
      <x:c r="C519" s="5" t="str">
        <x:v>Корпоративный университет Медскан Hadassah</x:v>
      </x:c>
      <x:c r="D519" s="5" t="str">
        <x:v>RU</x:v>
      </x:c>
      <x:c r="E519" s="5" t="str">
        <x:v>Закупки и отбор</x:v>
      </x:c>
      <x:c r="F519" s="5" t="str">
        <x:v>"Медскан / Hadassah Medical Moscow" (обучение OR тренинг OR семинар) (закупки OR "запрос предложений" OR поставщик)</x:v>
      </x:c>
      <x:c r="G519" s="5" t="str">
        <x:v>Найти конкретную карточку и приложения; запрос не доказывает спрос.</x:v>
      </x:c>
      <x:c r="H519" s="5" t="str">
        <x:v>not_run</x:v>
      </x:c>
    </x:row>
    <x:row r="520" ht="25.5" customHeight="1">
      <x:c r="A520" s="5" t="str">
        <x:v>CU-0155-EXPERT</x:v>
      </x:c>
      <x:c r="B520" s="5" t="str">
        <x:v>CU-0155</x:v>
      </x:c>
      <x:c r="C520" s="5" t="str">
        <x:v>Корпоративный университет Медскан Hadassah</x:v>
      </x:c>
      <x:c r="D520" s="5" t="str">
        <x:v>RU</x:v>
      </x:c>
      <x:c r="E520" s="5" t="str">
        <x:v>Эксперты и партнеры</x:v>
      </x:c>
      <x:c r="F520" s="5" t="str">
        <x:v>"Медскан / Hadassah Medical Moscow" (преподаватель OR эксперт OR провайдер OR партнерство)</x:v>
      </x:c>
      <x:c r="G520" s="5" t="str">
        <x:v>Уточнить кто платит и какой вход для внешнего исполнителя.</x:v>
      </x:c>
      <x:c r="H520" s="5" t="str">
        <x:v>not_run</x:v>
      </x:c>
    </x:row>
    <x:row r="521" ht="25.5" customHeight="1">
      <x:c r="A521" s="5" t="str">
        <x:v>CU-0155-SIGNAL</x:v>
      </x:c>
      <x:c r="B521" s="5" t="str">
        <x:v>CU-0155</x:v>
      </x:c>
      <x:c r="C521" s="5" t="str">
        <x:v>Корпоративный университет Медскан Hadassah</x:v>
      </x:c>
      <x:c r="D521" s="5" t="str">
        <x:v>RU</x:v>
      </x:c>
      <x:c r="E521" s="5" t="str">
        <x:v>Новые программы</x:v>
      </x:c>
      <x:c r="F521" s="5" t="str">
        <x:v>"Медскан / Hadassah Medical Moscow" ("кадровый резерв" OR "электронный курс" OR "развитие руководителей")</x:v>
      </x:c>
      <x:c r="G521" s="5" t="str">
        <x:v>Ранний сигнал и предметный пробел; не подтвержденный заказ.</x:v>
      </x:c>
      <x:c r="H521" s="5" t="str">
        <x:v>not_run</x:v>
      </x:c>
    </x:row>
    <x:row r="522" ht="25.5" customHeight="1">
      <x:c r="A522" s="5" t="str">
        <x:v>CU-0231-DISCOVER</x:v>
      </x:c>
      <x:c r="B522" s="5" t="str">
        <x:v>CU-0231</x:v>
      </x:c>
      <x:c r="C522" s="5" t="str">
        <x:v>Корпоративный университет Группы «Эталон»</x:v>
      </x:c>
      <x:c r="D522" s="5" t="str">
        <x:v>RU</x:v>
      </x:c>
      <x:c r="E522" s="5" t="str">
        <x:v>Новые каналы</x:v>
      </x:c>
      <x:c r="F522" s="5" t="str">
        <x:v>"Эталон" (университет OR академия OR "учебный центр" OR обучение)</x:v>
      </x:c>
      <x:c r="G522" s="5" t="str">
        <x:v>Имена, подразделения и дополнительные официальные адреса.</x:v>
      </x:c>
      <x:c r="H522" s="5" t="str">
        <x:v>not_run</x:v>
      </x:c>
    </x:row>
    <x:row r="523" ht="25.5" customHeight="1">
      <x:c r="A523" s="5" t="str">
        <x:v>CU-0231-BUY</x:v>
      </x:c>
      <x:c r="B523" s="5" t="str">
        <x:v>CU-0231</x:v>
      </x:c>
      <x:c r="C523" s="5" t="str">
        <x:v>Корпоративный университет Группы «Эталон»</x:v>
      </x:c>
      <x:c r="D523" s="5" t="str">
        <x:v>RU</x:v>
      </x:c>
      <x:c r="E523" s="5" t="str">
        <x:v>Закупки и отбор</x:v>
      </x:c>
      <x:c r="F523" s="5" t="str">
        <x:v>"Эталон" (обучение OR тренинг OR семинар) (закупки OR "запрос предложений" OR поставщик)</x:v>
      </x:c>
      <x:c r="G523" s="5" t="str">
        <x:v>Найти конкретную карточку и приложения; запрос не доказывает спрос.</x:v>
      </x:c>
      <x:c r="H523" s="5" t="str">
        <x:v>not_run</x:v>
      </x:c>
    </x:row>
    <x:row r="524" ht="25.5" customHeight="1">
      <x:c r="A524" s="5" t="str">
        <x:v>CU-0231-EXPERT</x:v>
      </x:c>
      <x:c r="B524" s="5" t="str">
        <x:v>CU-0231</x:v>
      </x:c>
      <x:c r="C524" s="5" t="str">
        <x:v>Корпоративный университет Группы «Эталон»</x:v>
      </x:c>
      <x:c r="D524" s="5" t="str">
        <x:v>RU</x:v>
      </x:c>
      <x:c r="E524" s="5" t="str">
        <x:v>Эксперты и партнеры</x:v>
      </x:c>
      <x:c r="F524" s="5" t="str">
        <x:v>"Эталон" (преподаватель OR эксперт OR провайдер OR партнерство)</x:v>
      </x:c>
      <x:c r="G524" s="5" t="str">
        <x:v>Уточнить кто платит и какой вход для внешнего исполнителя.</x:v>
      </x:c>
      <x:c r="H524" s="5" t="str">
        <x:v>not_run</x:v>
      </x:c>
    </x:row>
    <x:row r="525" ht="25.5" customHeight="1">
      <x:c r="A525" s="5" t="str">
        <x:v>CU-0231-SIGNAL</x:v>
      </x:c>
      <x:c r="B525" s="5" t="str">
        <x:v>CU-0231</x:v>
      </x:c>
      <x:c r="C525" s="5" t="str">
        <x:v>Корпоративный университет Группы «Эталон»</x:v>
      </x:c>
      <x:c r="D525" s="5" t="str">
        <x:v>RU</x:v>
      </x:c>
      <x:c r="E525" s="5" t="str">
        <x:v>Новые программы</x:v>
      </x:c>
      <x:c r="F525" s="5" t="str">
        <x:v>"Эталон" ("кадровый резерв" OR "электронный курс" OR "развитие руководителей")</x:v>
      </x:c>
      <x:c r="G525" s="5" t="str">
        <x:v>Ранний сигнал и предметный пробел; не подтвержденный заказ.</x:v>
      </x:c>
      <x:c r="H525" s="5" t="str">
        <x:v>not_run</x:v>
      </x:c>
    </x:row>
    <x:row r="526" ht="25.5" customHeight="1">
      <x:c r="A526" s="5" t="str">
        <x:v>CU-0232-DISCOVER</x:v>
      </x:c>
      <x:c r="B526" s="5" t="str">
        <x:v>CU-0232</x:v>
      </x:c>
      <x:c r="C526" s="5" t="str">
        <x:v>Корпоративный учебный центр ГК «А101»</x:v>
      </x:c>
      <x:c r="D526" s="5" t="str">
        <x:v>RU</x:v>
      </x:c>
      <x:c r="E526" s="5" t="str">
        <x:v>Новые каналы</x:v>
      </x:c>
      <x:c r="F526" s="5" t="str">
        <x:v>"А101" (университет OR академия OR "учебный центр" OR обучение)</x:v>
      </x:c>
      <x:c r="G526" s="5" t="str">
        <x:v>Имена, подразделения и дополнительные официальные адреса.</x:v>
      </x:c>
      <x:c r="H526" s="5" t="str">
        <x:v>not_run</x:v>
      </x:c>
    </x:row>
    <x:row r="527" ht="25.5" customHeight="1">
      <x:c r="A527" s="5" t="str">
        <x:v>CU-0232-BUY</x:v>
      </x:c>
      <x:c r="B527" s="5" t="str">
        <x:v>CU-0232</x:v>
      </x:c>
      <x:c r="C527" s="5" t="str">
        <x:v>Корпоративный учебный центр ГК «А101»</x:v>
      </x:c>
      <x:c r="D527" s="5" t="str">
        <x:v>RU</x:v>
      </x:c>
      <x:c r="E527" s="5" t="str">
        <x:v>Закупки и отбор</x:v>
      </x:c>
      <x:c r="F527" s="5" t="str">
        <x:v>"А101" (обучение OR тренинг OR семинар) (закупки OR "запрос предложений" OR поставщик)</x:v>
      </x:c>
      <x:c r="G527" s="5" t="str">
        <x:v>Найти конкретную карточку и приложения; запрос не доказывает спрос.</x:v>
      </x:c>
      <x:c r="H527" s="5" t="str">
        <x:v>not_run</x:v>
      </x:c>
    </x:row>
    <x:row r="528" ht="25.5" customHeight="1">
      <x:c r="A528" s="5" t="str">
        <x:v>CU-0232-EXPERT</x:v>
      </x:c>
      <x:c r="B528" s="5" t="str">
        <x:v>CU-0232</x:v>
      </x:c>
      <x:c r="C528" s="5" t="str">
        <x:v>Корпоративный учебный центр ГК «А101»</x:v>
      </x:c>
      <x:c r="D528" s="5" t="str">
        <x:v>RU</x:v>
      </x:c>
      <x:c r="E528" s="5" t="str">
        <x:v>Эксперты и партнеры</x:v>
      </x:c>
      <x:c r="F528" s="5" t="str">
        <x:v>"А101" (преподаватель OR эксперт OR провайдер OR партнерство)</x:v>
      </x:c>
      <x:c r="G528" s="5" t="str">
        <x:v>Уточнить кто платит и какой вход для внешнего исполнителя.</x:v>
      </x:c>
      <x:c r="H528" s="5" t="str">
        <x:v>not_run</x:v>
      </x:c>
    </x:row>
    <x:row r="529" ht="25.5" customHeight="1">
      <x:c r="A529" s="5" t="str">
        <x:v>CU-0232-SIGNAL</x:v>
      </x:c>
      <x:c r="B529" s="5" t="str">
        <x:v>CU-0232</x:v>
      </x:c>
      <x:c r="C529" s="5" t="str">
        <x:v>Корпоративный учебный центр ГК «А101»</x:v>
      </x:c>
      <x:c r="D529" s="5" t="str">
        <x:v>RU</x:v>
      </x:c>
      <x:c r="E529" s="5" t="str">
        <x:v>Новые программы</x:v>
      </x:c>
      <x:c r="F529" s="5" t="str">
        <x:v>"А101" ("кадровый резерв" OR "электронный курс" OR "развитие руководителей")</x:v>
      </x:c>
      <x:c r="G529" s="5" t="str">
        <x:v>Ранний сигнал и предметный пробел; не подтвержденный заказ.</x:v>
      </x:c>
      <x:c r="H529" s="5" t="str">
        <x:v>not_run</x:v>
      </x:c>
    </x:row>
    <x:row r="530" ht="25.5" customHeight="1">
      <x:c r="A530" s="5" t="str">
        <x:v>CU-0239-DISCOVER</x:v>
      </x:c>
      <x:c r="B530" s="5" t="str">
        <x:v>CU-0239</x:v>
      </x:c>
      <x:c r="C530" s="5" t="str">
        <x:v>Учебный центр ПАО «МОЭК»</x:v>
      </x:c>
      <x:c r="D530" s="5" t="str">
        <x:v>RU</x:v>
      </x:c>
      <x:c r="E530" s="5" t="str">
        <x:v>Новые каналы</x:v>
      </x:c>
      <x:c r="F530" s="5" t="str">
        <x:v>"Газпром" (университет OR академия OR "учебный центр" OR обучение)</x:v>
      </x:c>
      <x:c r="G530" s="5" t="str">
        <x:v>Имена, подразделения и дополнительные официальные адреса.</x:v>
      </x:c>
      <x:c r="H530" s="5" t="str">
        <x:v>not_run</x:v>
      </x:c>
    </x:row>
    <x:row r="531" ht="25.5" customHeight="1">
      <x:c r="A531" s="5" t="str">
        <x:v>CU-0239-BUY</x:v>
      </x:c>
      <x:c r="B531" s="5" t="str">
        <x:v>CU-0239</x:v>
      </x:c>
      <x:c r="C531" s="5" t="str">
        <x:v>Учебный центр ПАО «МОЭК»</x:v>
      </x:c>
      <x:c r="D531" s="5" t="str">
        <x:v>RU</x:v>
      </x:c>
      <x:c r="E531" s="5" t="str">
        <x:v>Закупки и отбор</x:v>
      </x:c>
      <x:c r="F531" s="5" t="str">
        <x:v>"Газпром" (обучение OR тренинг OR семинар) (закупки OR "запрос предложений" OR поставщик)</x:v>
      </x:c>
      <x:c r="G531" s="5" t="str">
        <x:v>Найти конкретную карточку и приложения; запрос не доказывает спрос.</x:v>
      </x:c>
      <x:c r="H531" s="5" t="str">
        <x:v>not_run</x:v>
      </x:c>
    </x:row>
    <x:row r="532" ht="25.5" customHeight="1">
      <x:c r="A532" s="5" t="str">
        <x:v>CU-0239-EXPERT</x:v>
      </x:c>
      <x:c r="B532" s="5" t="str">
        <x:v>CU-0239</x:v>
      </x:c>
      <x:c r="C532" s="5" t="str">
        <x:v>Учебный центр ПАО «МОЭК»</x:v>
      </x:c>
      <x:c r="D532" s="5" t="str">
        <x:v>RU</x:v>
      </x:c>
      <x:c r="E532" s="5" t="str">
        <x:v>Эксперты и партнеры</x:v>
      </x:c>
      <x:c r="F532" s="5" t="str">
        <x:v>"Газпром" (преподаватель OR эксперт OR провайдер OR партнерство)</x:v>
      </x:c>
      <x:c r="G532" s="5" t="str">
        <x:v>Уточнить кто платит и какой вход для внешнего исполнителя.</x:v>
      </x:c>
      <x:c r="H532" s="5" t="str">
        <x:v>not_run</x:v>
      </x:c>
    </x:row>
    <x:row r="533" ht="25.5" customHeight="1">
      <x:c r="A533" s="5" t="str">
        <x:v>CU-0239-SIGNAL</x:v>
      </x:c>
      <x:c r="B533" s="5" t="str">
        <x:v>CU-0239</x:v>
      </x:c>
      <x:c r="C533" s="5" t="str">
        <x:v>Учебный центр ПАО «МОЭК»</x:v>
      </x:c>
      <x:c r="D533" s="5" t="str">
        <x:v>RU</x:v>
      </x:c>
      <x:c r="E533" s="5" t="str">
        <x:v>Новые программы</x:v>
      </x:c>
      <x:c r="F533" s="5" t="str">
        <x:v>"Газпром" ("кадровый резерв" OR "электронный курс" OR "развитие руководителей")</x:v>
      </x:c>
      <x:c r="G533" s="5" t="str">
        <x:v>Ранний сигнал и предметный пробел; не подтвержденный заказ.</x:v>
      </x:c>
      <x:c r="H533" s="5" t="str">
        <x:v>not_run</x:v>
      </x:c>
    </x:row>
    <x:row r="534" ht="25.5" customHeight="1">
      <x:c r="A534" s="5" t="str">
        <x:v>CU-0245-DISCOVER</x:v>
      </x:c>
      <x:c r="B534" s="5" t="str">
        <x:v>CU-0245</x:v>
      </x:c>
      <x:c r="C534" s="5" t="str">
        <x:v>Эн+ Университет</x:v>
      </x:c>
      <x:c r="D534" s="5" t="str">
        <x:v>RU</x:v>
      </x:c>
      <x:c r="E534" s="5" t="str">
        <x:v>Новые каналы</x:v>
      </x:c>
      <x:c r="F534" s="5" t="str">
        <x:v>"Эн+" (университет OR академия OR "учебный центр" OR обучение)</x:v>
      </x:c>
      <x:c r="G534" s="5" t="str">
        <x:v>Имена, подразделения и дополнительные официальные адреса.</x:v>
      </x:c>
      <x:c r="H534" s="5" t="str">
        <x:v>not_run</x:v>
      </x:c>
    </x:row>
    <x:row r="535" ht="25.5" customHeight="1">
      <x:c r="A535" s="5" t="str">
        <x:v>CU-0245-BUY</x:v>
      </x:c>
      <x:c r="B535" s="5" t="str">
        <x:v>CU-0245</x:v>
      </x:c>
      <x:c r="C535" s="5" t="str">
        <x:v>Эн+ Университет</x:v>
      </x:c>
      <x:c r="D535" s="5" t="str">
        <x:v>RU</x:v>
      </x:c>
      <x:c r="E535" s="5" t="str">
        <x:v>Закупки и отбор</x:v>
      </x:c>
      <x:c r="F535" s="5" t="str">
        <x:v>"Эн+" (обучение OR тренинг OR семинар) (закупки OR "запрос предложений" OR поставщик)</x:v>
      </x:c>
      <x:c r="G535" s="5" t="str">
        <x:v>Найти конкретную карточку и приложения; запрос не доказывает спрос.</x:v>
      </x:c>
      <x:c r="H535" s="5" t="str">
        <x:v>not_run</x:v>
      </x:c>
    </x:row>
    <x:row r="536" ht="25.5" customHeight="1">
      <x:c r="A536" s="5" t="str">
        <x:v>CU-0245-EXPERT</x:v>
      </x:c>
      <x:c r="B536" s="5" t="str">
        <x:v>CU-0245</x:v>
      </x:c>
      <x:c r="C536" s="5" t="str">
        <x:v>Эн+ Университет</x:v>
      </x:c>
      <x:c r="D536" s="5" t="str">
        <x:v>RU</x:v>
      </x:c>
      <x:c r="E536" s="5" t="str">
        <x:v>Эксперты и партнеры</x:v>
      </x:c>
      <x:c r="F536" s="5" t="str">
        <x:v>"Эн+" (преподаватель OR эксперт OR провайдер OR партнерство)</x:v>
      </x:c>
      <x:c r="G536" s="5" t="str">
        <x:v>Уточнить кто платит и какой вход для внешнего исполнителя.</x:v>
      </x:c>
      <x:c r="H536" s="5" t="str">
        <x:v>not_run</x:v>
      </x:c>
    </x:row>
    <x:row r="537" ht="25.5" customHeight="1">
      <x:c r="A537" s="5" t="str">
        <x:v>CU-0245-SIGNAL</x:v>
      </x:c>
      <x:c r="B537" s="5" t="str">
        <x:v>CU-0245</x:v>
      </x:c>
      <x:c r="C537" s="5" t="str">
        <x:v>Эн+ Университет</x:v>
      </x:c>
      <x:c r="D537" s="5" t="str">
        <x:v>RU</x:v>
      </x:c>
      <x:c r="E537" s="5" t="str">
        <x:v>Новые программы</x:v>
      </x:c>
      <x:c r="F537" s="5" t="str">
        <x:v>"Эн+" ("кадровый резерв" OR "электронный курс" OR "развитие руководителей")</x:v>
      </x:c>
      <x:c r="G537" s="5" t="str">
        <x:v>Ранний сигнал и предметный пробел; не подтвержденный заказ.</x:v>
      </x:c>
      <x:c r="H537" s="5" t="str">
        <x:v>not_run</x:v>
      </x:c>
    </x:row>
    <x:row r="538" ht="25.5" customHeight="1">
      <x:c r="A538" s="5" t="str">
        <x:v>CU-0246-DISCOVER</x:v>
      </x:c>
      <x:c r="B538" s="5" t="str">
        <x:v>CU-0246</x:v>
      </x:c>
      <x:c r="C538" s="5" t="str">
        <x:v>МИТТУ — корпоративный учебный центр ПАО «КАМАЗ»</x:v>
      </x:c>
      <x:c r="D538" s="5" t="str">
        <x:v>RU</x:v>
      </x:c>
      <x:c r="E538" s="5" t="str">
        <x:v>Новые каналы</x:v>
      </x:c>
      <x:c r="F538" s="5" t="str">
        <x:v>"КАМАЗ" (университет OR академия OR "учебный центр" OR обучение)</x:v>
      </x:c>
      <x:c r="G538" s="5" t="str">
        <x:v>Имена, подразделения и дополнительные официальные адреса.</x:v>
      </x:c>
      <x:c r="H538" s="5" t="str">
        <x:v>not_run</x:v>
      </x:c>
    </x:row>
    <x:row r="539" ht="25.5" customHeight="1">
      <x:c r="A539" s="5" t="str">
        <x:v>CU-0246-BUY</x:v>
      </x:c>
      <x:c r="B539" s="5" t="str">
        <x:v>CU-0246</x:v>
      </x:c>
      <x:c r="C539" s="5" t="str">
        <x:v>МИТТУ — корпоративный учебный центр ПАО «КАМАЗ»</x:v>
      </x:c>
      <x:c r="D539" s="5" t="str">
        <x:v>RU</x:v>
      </x:c>
      <x:c r="E539" s="5" t="str">
        <x:v>Закупки и отбор</x:v>
      </x:c>
      <x:c r="F539" s="5" t="str">
        <x:v>"КАМАЗ" (обучение OR тренинг OR семинар) (закупки OR "запрос предложений" OR поставщик)</x:v>
      </x:c>
      <x:c r="G539" s="5" t="str">
        <x:v>Найти конкретную карточку и приложения; запрос не доказывает спрос.</x:v>
      </x:c>
      <x:c r="H539" s="5" t="str">
        <x:v>not_run</x:v>
      </x:c>
    </x:row>
    <x:row r="540" ht="25.5" customHeight="1">
      <x:c r="A540" s="5" t="str">
        <x:v>CU-0246-EXPERT</x:v>
      </x:c>
      <x:c r="B540" s="5" t="str">
        <x:v>CU-0246</x:v>
      </x:c>
      <x:c r="C540" s="5" t="str">
        <x:v>МИТТУ — корпоративный учебный центр ПАО «КАМАЗ»</x:v>
      </x:c>
      <x:c r="D540" s="5" t="str">
        <x:v>RU</x:v>
      </x:c>
      <x:c r="E540" s="5" t="str">
        <x:v>Эксперты и партнеры</x:v>
      </x:c>
      <x:c r="F540" s="5" t="str">
        <x:v>"КАМАЗ" (преподаватель OR эксперт OR провайдер OR партнерство)</x:v>
      </x:c>
      <x:c r="G540" s="5" t="str">
        <x:v>Уточнить кто платит и какой вход для внешнего исполнителя.</x:v>
      </x:c>
      <x:c r="H540" s="5" t="str">
        <x:v>not_run</x:v>
      </x:c>
    </x:row>
    <x:row r="541" ht="25.5" customHeight="1">
      <x:c r="A541" s="5" t="str">
        <x:v>CU-0246-SIGNAL</x:v>
      </x:c>
      <x:c r="B541" s="5" t="str">
        <x:v>CU-0246</x:v>
      </x:c>
      <x:c r="C541" s="5" t="str">
        <x:v>МИТТУ — корпоративный учебный центр ПАО «КАМАЗ»</x:v>
      </x:c>
      <x:c r="D541" s="5" t="str">
        <x:v>RU</x:v>
      </x:c>
      <x:c r="E541" s="5" t="str">
        <x:v>Новые программы</x:v>
      </x:c>
      <x:c r="F541" s="5" t="str">
        <x:v>"КАМАЗ" ("кадровый резерв" OR "электронный курс" OR "развитие руководителей")</x:v>
      </x:c>
      <x:c r="G541" s="5" t="str">
        <x:v>Ранний сигнал и предметный пробел; не подтвержденный заказ.</x:v>
      </x:c>
      <x:c r="H541" s="5" t="str">
        <x:v>not_run</x:v>
      </x:c>
    </x:row>
    <x:row r="542" ht="25.5" customHeight="1">
      <x:c r="A542" s="5" t="str">
        <x:v>CU-0247-DISCOVER</x:v>
      </x:c>
      <x:c r="B542" s="5" t="str">
        <x:v>CU-0247</x:v>
      </x:c>
      <x:c r="C542" s="5" t="str">
        <x:v>Университет Группы «АВТОВАЗ»</x:v>
      </x:c>
      <x:c r="D542" s="5" t="str">
        <x:v>RU</x:v>
      </x:c>
      <x:c r="E542" s="5" t="str">
        <x:v>Новые каналы</x:v>
      </x:c>
      <x:c r="F542" s="5" t="str">
        <x:v>"АВТОВАЗ" (университет OR академия OR "учебный центр" OR обучение)</x:v>
      </x:c>
      <x:c r="G542" s="5" t="str">
        <x:v>Имена, подразделения и дополнительные официальные адреса.</x:v>
      </x:c>
      <x:c r="H542" s="5" t="str">
        <x:v>not_run</x:v>
      </x:c>
    </x:row>
    <x:row r="543" ht="25.5" customHeight="1">
      <x:c r="A543" s="5" t="str">
        <x:v>CU-0247-BUY</x:v>
      </x:c>
      <x:c r="B543" s="5" t="str">
        <x:v>CU-0247</x:v>
      </x:c>
      <x:c r="C543" s="5" t="str">
        <x:v>Университет Группы «АВТОВАЗ»</x:v>
      </x:c>
      <x:c r="D543" s="5" t="str">
        <x:v>RU</x:v>
      </x:c>
      <x:c r="E543" s="5" t="str">
        <x:v>Закупки и отбор</x:v>
      </x:c>
      <x:c r="F543" s="5" t="str">
        <x:v>"АВТОВАЗ" (обучение OR тренинг OR семинар) (закупки OR "запрос предложений" OR поставщик)</x:v>
      </x:c>
      <x:c r="G543" s="5" t="str">
        <x:v>Найти конкретную карточку и приложения; запрос не доказывает спрос.</x:v>
      </x:c>
      <x:c r="H543" s="5" t="str">
        <x:v>not_run</x:v>
      </x:c>
    </x:row>
    <x:row r="544" ht="25.5" customHeight="1">
      <x:c r="A544" s="5" t="str">
        <x:v>CU-0247-EXPERT</x:v>
      </x:c>
      <x:c r="B544" s="5" t="str">
        <x:v>CU-0247</x:v>
      </x:c>
      <x:c r="C544" s="5" t="str">
        <x:v>Университет Группы «АВТОВАЗ»</x:v>
      </x:c>
      <x:c r="D544" s="5" t="str">
        <x:v>RU</x:v>
      </x:c>
      <x:c r="E544" s="5" t="str">
        <x:v>Эксперты и партнеры</x:v>
      </x:c>
      <x:c r="F544" s="5" t="str">
        <x:v>"АВТОВАЗ" (преподаватель OR эксперт OR провайдер OR партнерство)</x:v>
      </x:c>
      <x:c r="G544" s="5" t="str">
        <x:v>Уточнить кто платит и какой вход для внешнего исполнителя.</x:v>
      </x:c>
      <x:c r="H544" s="5" t="str">
        <x:v>not_run</x:v>
      </x:c>
    </x:row>
    <x:row r="545" ht="25.5" customHeight="1">
      <x:c r="A545" s="5" t="str">
        <x:v>CU-0247-SIGNAL</x:v>
      </x:c>
      <x:c r="B545" s="5" t="str">
        <x:v>CU-0247</x:v>
      </x:c>
      <x:c r="C545" s="5" t="str">
        <x:v>Университет Группы «АВТОВАЗ»</x:v>
      </x:c>
      <x:c r="D545" s="5" t="str">
        <x:v>RU</x:v>
      </x:c>
      <x:c r="E545" s="5" t="str">
        <x:v>Новые программы</x:v>
      </x:c>
      <x:c r="F545" s="5" t="str">
        <x:v>"АВТОВАЗ" ("кадровый резерв" OR "электронный курс" OR "развитие руководителей")</x:v>
      </x:c>
      <x:c r="G545" s="5" t="str">
        <x:v>Ранний сигнал и предметный пробел; не подтвержденный заказ.</x:v>
      </x:c>
      <x:c r="H545" s="5" t="str">
        <x:v>not_run</x:v>
      </x:c>
    </x:row>
    <x:row r="546" ht="25.5" customHeight="1">
      <x:c r="A546" s="5" t="str">
        <x:v>CU-0002-DISCOVER</x:v>
      </x:c>
      <x:c r="B546" s="5" t="str">
        <x:v>CU-0002</x:v>
      </x:c>
      <x:c r="C546" s="5" t="str">
        <x:v>Учебный центр ПАО «Газпром»</x:v>
      </x:c>
      <x:c r="D546" s="5" t="str">
        <x:v>RU</x:v>
      </x:c>
      <x:c r="E546" s="5" t="str">
        <x:v>Новые каналы</x:v>
      </x:c>
      <x:c r="F546" s="5" t="str">
        <x:v>"Газпром" (университет OR академия OR "учебный центр" OR обучение)</x:v>
      </x:c>
      <x:c r="G546" s="5" t="str">
        <x:v>Имена, подразделения и дополнительные официальные адреса.</x:v>
      </x:c>
      <x:c r="H546" s="5" t="str">
        <x:v>not_run</x:v>
      </x:c>
    </x:row>
    <x:row r="547" ht="25.5" customHeight="1">
      <x:c r="A547" s="5" t="str">
        <x:v>CU-0002-BUY</x:v>
      </x:c>
      <x:c r="B547" s="5" t="str">
        <x:v>CU-0002</x:v>
      </x:c>
      <x:c r="C547" s="5" t="str">
        <x:v>Учебный центр ПАО «Газпром»</x:v>
      </x:c>
      <x:c r="D547" s="5" t="str">
        <x:v>RU</x:v>
      </x:c>
      <x:c r="E547" s="5" t="str">
        <x:v>Закупки и отбор</x:v>
      </x:c>
      <x:c r="F547" s="5" t="str">
        <x:v>"Газпром" (обучение OR тренинг OR семинар) (закупки OR "запрос предложений" OR поставщик)</x:v>
      </x:c>
      <x:c r="G547" s="5" t="str">
        <x:v>Найти конкретную карточку и приложения; запрос не доказывает спрос.</x:v>
      </x:c>
      <x:c r="H547" s="5" t="str">
        <x:v>not_run</x:v>
      </x:c>
    </x:row>
    <x:row r="548" ht="25.5" customHeight="1">
      <x:c r="A548" s="5" t="str">
        <x:v>CU-0002-EXPERT</x:v>
      </x:c>
      <x:c r="B548" s="5" t="str">
        <x:v>CU-0002</x:v>
      </x:c>
      <x:c r="C548" s="5" t="str">
        <x:v>Учебный центр ПАО «Газпром»</x:v>
      </x:c>
      <x:c r="D548" s="5" t="str">
        <x:v>RU</x:v>
      </x:c>
      <x:c r="E548" s="5" t="str">
        <x:v>Эксперты и партнеры</x:v>
      </x:c>
      <x:c r="F548" s="5" t="str">
        <x:v>"Газпром" (преподаватель OR эксперт OR провайдер OR партнерство)</x:v>
      </x:c>
      <x:c r="G548" s="5" t="str">
        <x:v>Уточнить кто платит и какой вход для внешнего исполнителя.</x:v>
      </x:c>
      <x:c r="H548" s="5" t="str">
        <x:v>not_run</x:v>
      </x:c>
    </x:row>
    <x:row r="549" ht="25.5" customHeight="1">
      <x:c r="A549" s="5" t="str">
        <x:v>CU-0002-SIGNAL</x:v>
      </x:c>
      <x:c r="B549" s="5" t="str">
        <x:v>CU-0002</x:v>
      </x:c>
      <x:c r="C549" s="5" t="str">
        <x:v>Учебный центр ПАО «Газпром»</x:v>
      </x:c>
      <x:c r="D549" s="5" t="str">
        <x:v>RU</x:v>
      </x:c>
      <x:c r="E549" s="5" t="str">
        <x:v>Новые программы</x:v>
      </x:c>
      <x:c r="F549" s="5" t="str">
        <x:v>"Газпром" ("кадровый резерв" OR "электронный курс" OR "развитие руководителей")</x:v>
      </x:c>
      <x:c r="G549" s="5" t="str">
        <x:v>Ранний сигнал и предметный пробел; не подтвержденный заказ.</x:v>
      </x:c>
      <x:c r="H549" s="5" t="str">
        <x:v>not_run</x:v>
      </x:c>
    </x:row>
    <x:row r="550" ht="31.5" customHeight="1">
      <x:c r="A550" s="5" t="str">
        <x:v>CU-0005-DISCOVER</x:v>
      </x:c>
      <x:c r="B550" s="5" t="str">
        <x:v>CU-0005</x:v>
      </x:c>
      <x:c r="C550" s="5" t="str">
        <x:v>Учебно-производственный центр ООО «Газпром трансгаз Екатеринбург»</x:v>
      </x:c>
      <x:c r="D550" s="5" t="str">
        <x:v>RU</x:v>
      </x:c>
      <x:c r="E550" s="5" t="str">
        <x:v>Новые каналы</x:v>
      </x:c>
      <x:c r="F550" s="5" t="str">
        <x:v>"Газпром" (университет OR академия OR "учебный центр" OR обучение)</x:v>
      </x:c>
      <x:c r="G550" s="5" t="str">
        <x:v>Имена, подразделения и дополнительные официальные адреса.</x:v>
      </x:c>
      <x:c r="H550" s="5" t="str">
        <x:v>not_run</x:v>
      </x:c>
    </x:row>
    <x:row r="551" ht="31.5" customHeight="1">
      <x:c r="A551" s="5" t="str">
        <x:v>CU-0005-BUY</x:v>
      </x:c>
      <x:c r="B551" s="5" t="str">
        <x:v>CU-0005</x:v>
      </x:c>
      <x:c r="C551" s="5" t="str">
        <x:v>Учебно-производственный центр ООО «Газпром трансгаз Екатеринбург»</x:v>
      </x:c>
      <x:c r="D551" s="5" t="str">
        <x:v>RU</x:v>
      </x:c>
      <x:c r="E551" s="5" t="str">
        <x:v>Закупки и отбор</x:v>
      </x:c>
      <x:c r="F551" s="5" t="str">
        <x:v>"Газпром" (обучение OR тренинг OR семинар) (закупки OR "запрос предложений" OR поставщик)</x:v>
      </x:c>
      <x:c r="G551" s="5" t="str">
        <x:v>Найти конкретную карточку и приложения; запрос не доказывает спрос.</x:v>
      </x:c>
      <x:c r="H551" s="5" t="str">
        <x:v>not_run</x:v>
      </x:c>
    </x:row>
    <x:row r="552" ht="31.5" customHeight="1">
      <x:c r="A552" s="5" t="str">
        <x:v>CU-0005-EXPERT</x:v>
      </x:c>
      <x:c r="B552" s="5" t="str">
        <x:v>CU-0005</x:v>
      </x:c>
      <x:c r="C552" s="5" t="str">
        <x:v>Учебно-производственный центр ООО «Газпром трансгаз Екатеринбург»</x:v>
      </x:c>
      <x:c r="D552" s="5" t="str">
        <x:v>RU</x:v>
      </x:c>
      <x:c r="E552" s="5" t="str">
        <x:v>Эксперты и партнеры</x:v>
      </x:c>
      <x:c r="F552" s="5" t="str">
        <x:v>"Газпром" (преподаватель OR эксперт OR провайдер OR партнерство)</x:v>
      </x:c>
      <x:c r="G552" s="5" t="str">
        <x:v>Уточнить кто платит и какой вход для внешнего исполнителя.</x:v>
      </x:c>
      <x:c r="H552" s="5" t="str">
        <x:v>not_run</x:v>
      </x:c>
    </x:row>
    <x:row r="553" ht="31.5" customHeight="1">
      <x:c r="A553" s="5" t="str">
        <x:v>CU-0005-SIGNAL</x:v>
      </x:c>
      <x:c r="B553" s="5" t="str">
        <x:v>CU-0005</x:v>
      </x:c>
      <x:c r="C553" s="5" t="str">
        <x:v>Учебно-производственный центр ООО «Газпром трансгаз Екатеринбург»</x:v>
      </x:c>
      <x:c r="D553" s="5" t="str">
        <x:v>RU</x:v>
      </x:c>
      <x:c r="E553" s="5" t="str">
        <x:v>Новые программы</x:v>
      </x:c>
      <x:c r="F553" s="5" t="str">
        <x:v>"Газпром" ("кадровый резерв" OR "электронный курс" OR "развитие руководителей")</x:v>
      </x:c>
      <x:c r="G553" s="5" t="str">
        <x:v>Ранний сигнал и предметный пробел; не подтвержденный заказ.</x:v>
      </x:c>
      <x:c r="H553" s="5" t="str">
        <x:v>not_run</x:v>
      </x:c>
    </x:row>
    <x:row r="554" ht="31.5" customHeight="1">
      <x:c r="A554" s="5" t="str">
        <x:v>CU-0006-DISCOVER</x:v>
      </x:c>
      <x:c r="B554" s="5" t="str">
        <x:v>CU-0006</x:v>
      </x:c>
      <x:c r="C554" s="5" t="str">
        <x:v>Учебно-производственный центр ООО «Газпром трансгаз Ухта»</x:v>
      </x:c>
      <x:c r="D554" s="5" t="str">
        <x:v>RU</x:v>
      </x:c>
      <x:c r="E554" s="5" t="str">
        <x:v>Новые каналы</x:v>
      </x:c>
      <x:c r="F554" s="5" t="str">
        <x:v>"Газпром" (университет OR академия OR "учебный центр" OR обучение)</x:v>
      </x:c>
      <x:c r="G554" s="5" t="str">
        <x:v>Имена, подразделения и дополнительные официальные адреса.</x:v>
      </x:c>
      <x:c r="H554" s="5" t="str">
        <x:v>not_run</x:v>
      </x:c>
    </x:row>
    <x:row r="555" ht="31.5" customHeight="1">
      <x:c r="A555" s="5" t="str">
        <x:v>CU-0006-BUY</x:v>
      </x:c>
      <x:c r="B555" s="5" t="str">
        <x:v>CU-0006</x:v>
      </x:c>
      <x:c r="C555" s="5" t="str">
        <x:v>Учебно-производственный центр ООО «Газпром трансгаз Ухта»</x:v>
      </x:c>
      <x:c r="D555" s="5" t="str">
        <x:v>RU</x:v>
      </x:c>
      <x:c r="E555" s="5" t="str">
        <x:v>Закупки и отбор</x:v>
      </x:c>
      <x:c r="F555" s="5" t="str">
        <x:v>"Газпром" (обучение OR тренинг OR семинар) (закупки OR "запрос предложений" OR поставщик)</x:v>
      </x:c>
      <x:c r="G555" s="5" t="str">
        <x:v>Найти конкретную карточку и приложения; запрос не доказывает спрос.</x:v>
      </x:c>
      <x:c r="H555" s="5" t="str">
        <x:v>not_run</x:v>
      </x:c>
    </x:row>
    <x:row r="556" ht="31.5" customHeight="1">
      <x:c r="A556" s="5" t="str">
        <x:v>CU-0006-EXPERT</x:v>
      </x:c>
      <x:c r="B556" s="5" t="str">
        <x:v>CU-0006</x:v>
      </x:c>
      <x:c r="C556" s="5" t="str">
        <x:v>Учебно-производственный центр ООО «Газпром трансгаз Ухта»</x:v>
      </x:c>
      <x:c r="D556" s="5" t="str">
        <x:v>RU</x:v>
      </x:c>
      <x:c r="E556" s="5" t="str">
        <x:v>Эксперты и партнеры</x:v>
      </x:c>
      <x:c r="F556" s="5" t="str">
        <x:v>"Газпром" (преподаватель OR эксперт OR провайдер OR партнерство)</x:v>
      </x:c>
      <x:c r="G556" s="5" t="str">
        <x:v>Уточнить кто платит и какой вход для внешнего исполнителя.</x:v>
      </x:c>
      <x:c r="H556" s="5" t="str">
        <x:v>not_run</x:v>
      </x:c>
    </x:row>
    <x:row r="557" ht="31.5" customHeight="1">
      <x:c r="A557" s="5" t="str">
        <x:v>CU-0006-SIGNAL</x:v>
      </x:c>
      <x:c r="B557" s="5" t="str">
        <x:v>CU-0006</x:v>
      </x:c>
      <x:c r="C557" s="5" t="str">
        <x:v>Учебно-производственный центр ООО «Газпром трансгаз Ухта»</x:v>
      </x:c>
      <x:c r="D557" s="5" t="str">
        <x:v>RU</x:v>
      </x:c>
      <x:c r="E557" s="5" t="str">
        <x:v>Новые программы</x:v>
      </x:c>
      <x:c r="F557" s="5" t="str">
        <x:v>"Газпром" ("кадровый резерв" OR "электронный курс" OR "развитие руководителей")</x:v>
      </x:c>
      <x:c r="G557" s="5" t="str">
        <x:v>Ранний сигнал и предметный пробел; не подтвержденный заказ.</x:v>
      </x:c>
      <x:c r="H557" s="5" t="str">
        <x:v>not_run</x:v>
      </x:c>
    </x:row>
    <x:row r="558" ht="31.5" customHeight="1">
      <x:c r="A558" s="5" t="str">
        <x:v>CU-0007-DISCOVER</x:v>
      </x:c>
      <x:c r="B558" s="5" t="str">
        <x:v>CU-0007</x:v>
      </x:c>
      <x:c r="C558" s="5" t="str">
        <x:v>Учебно-производственный центр ООО «Газпром трансгаз Москва»</x:v>
      </x:c>
      <x:c r="D558" s="5" t="str">
        <x:v>RU</x:v>
      </x:c>
      <x:c r="E558" s="5" t="str">
        <x:v>Новые каналы</x:v>
      </x:c>
      <x:c r="F558" s="5" t="str">
        <x:v>"Газпром" (университет OR академия OR "учебный центр" OR обучение)</x:v>
      </x:c>
      <x:c r="G558" s="5" t="str">
        <x:v>Имена, подразделения и дополнительные официальные адреса.</x:v>
      </x:c>
      <x:c r="H558" s="5" t="str">
        <x:v>not_run</x:v>
      </x:c>
    </x:row>
    <x:row r="559" ht="31.5" customHeight="1">
      <x:c r="A559" s="5" t="str">
        <x:v>CU-0007-BUY</x:v>
      </x:c>
      <x:c r="B559" s="5" t="str">
        <x:v>CU-0007</x:v>
      </x:c>
      <x:c r="C559" s="5" t="str">
        <x:v>Учебно-производственный центр ООО «Газпром трансгаз Москва»</x:v>
      </x:c>
      <x:c r="D559" s="5" t="str">
        <x:v>RU</x:v>
      </x:c>
      <x:c r="E559" s="5" t="str">
        <x:v>Закупки и отбор</x:v>
      </x:c>
      <x:c r="F559" s="5" t="str">
        <x:v>"Газпром" (обучение OR тренинг OR семинар) (закупки OR "запрос предложений" OR поставщик)</x:v>
      </x:c>
      <x:c r="G559" s="5" t="str">
        <x:v>Найти конкретную карточку и приложения; запрос не доказывает спрос.</x:v>
      </x:c>
      <x:c r="H559" s="5" t="str">
        <x:v>not_run</x:v>
      </x:c>
    </x:row>
    <x:row r="560" ht="31.5" customHeight="1">
      <x:c r="A560" s="5" t="str">
        <x:v>CU-0007-EXPERT</x:v>
      </x:c>
      <x:c r="B560" s="5" t="str">
        <x:v>CU-0007</x:v>
      </x:c>
      <x:c r="C560" s="5" t="str">
        <x:v>Учебно-производственный центр ООО «Газпром трансгаз Москва»</x:v>
      </x:c>
      <x:c r="D560" s="5" t="str">
        <x:v>RU</x:v>
      </x:c>
      <x:c r="E560" s="5" t="str">
        <x:v>Эксперты и партнеры</x:v>
      </x:c>
      <x:c r="F560" s="5" t="str">
        <x:v>"Газпром" (преподаватель OR эксперт OR провайдер OR партнерство)</x:v>
      </x:c>
      <x:c r="G560" s="5" t="str">
        <x:v>Уточнить кто платит и какой вход для внешнего исполнителя.</x:v>
      </x:c>
      <x:c r="H560" s="5" t="str">
        <x:v>not_run</x:v>
      </x:c>
    </x:row>
    <x:row r="561" ht="31.5" customHeight="1">
      <x:c r="A561" s="5" t="str">
        <x:v>CU-0007-SIGNAL</x:v>
      </x:c>
      <x:c r="B561" s="5" t="str">
        <x:v>CU-0007</x:v>
      </x:c>
      <x:c r="C561" s="5" t="str">
        <x:v>Учебно-производственный центр ООО «Газпром трансгаз Москва»</x:v>
      </x:c>
      <x:c r="D561" s="5" t="str">
        <x:v>RU</x:v>
      </x:c>
      <x:c r="E561" s="5" t="str">
        <x:v>Новые программы</x:v>
      </x:c>
      <x:c r="F561" s="5" t="str">
        <x:v>"Газпром" ("кадровый резерв" OR "электронный курс" OR "развитие руководителей")</x:v>
      </x:c>
      <x:c r="G561" s="5" t="str">
        <x:v>Ранний сигнал и предметный пробел; не подтвержденный заказ.</x:v>
      </x:c>
      <x:c r="H561" s="5" t="str">
        <x:v>not_run</x:v>
      </x:c>
    </x:row>
    <x:row r="562" ht="31.5" customHeight="1">
      <x:c r="A562" s="5" t="str">
        <x:v>CU-0008-DISCOVER</x:v>
      </x:c>
      <x:c r="B562" s="5" t="str">
        <x:v>CU-0008</x:v>
      </x:c>
      <x:c r="C562" s="5" t="str">
        <x:v>Учебно-производственный центр ООО «Газпром трансгаз Югорск»</x:v>
      </x:c>
      <x:c r="D562" s="5" t="str">
        <x:v>RU</x:v>
      </x:c>
      <x:c r="E562" s="5" t="str">
        <x:v>Новые каналы</x:v>
      </x:c>
      <x:c r="F562" s="5" t="str">
        <x:v>"Газпром" (университет OR академия OR "учебный центр" OR обучение)</x:v>
      </x:c>
      <x:c r="G562" s="5" t="str">
        <x:v>Имена, подразделения и дополнительные официальные адреса.</x:v>
      </x:c>
      <x:c r="H562" s="5" t="str">
        <x:v>not_run</x:v>
      </x:c>
    </x:row>
    <x:row r="563" ht="31.5" customHeight="1">
      <x:c r="A563" s="5" t="str">
        <x:v>CU-0008-BUY</x:v>
      </x:c>
      <x:c r="B563" s="5" t="str">
        <x:v>CU-0008</x:v>
      </x:c>
      <x:c r="C563" s="5" t="str">
        <x:v>Учебно-производственный центр ООО «Газпром трансгаз Югорск»</x:v>
      </x:c>
      <x:c r="D563" s="5" t="str">
        <x:v>RU</x:v>
      </x:c>
      <x:c r="E563" s="5" t="str">
        <x:v>Закупки и отбор</x:v>
      </x:c>
      <x:c r="F563" s="5" t="str">
        <x:v>"Газпром" (обучение OR тренинг OR семинар) (закупки OR "запрос предложений" OR поставщик)</x:v>
      </x:c>
      <x:c r="G563" s="5" t="str">
        <x:v>Найти конкретную карточку и приложения; запрос не доказывает спрос.</x:v>
      </x:c>
      <x:c r="H563" s="5" t="str">
        <x:v>not_run</x:v>
      </x:c>
    </x:row>
    <x:row r="564" ht="31.5" customHeight="1">
      <x:c r="A564" s="5" t="str">
        <x:v>CU-0008-EXPERT</x:v>
      </x:c>
      <x:c r="B564" s="5" t="str">
        <x:v>CU-0008</x:v>
      </x:c>
      <x:c r="C564" s="5" t="str">
        <x:v>Учебно-производственный центр ООО «Газпром трансгаз Югорск»</x:v>
      </x:c>
      <x:c r="D564" s="5" t="str">
        <x:v>RU</x:v>
      </x:c>
      <x:c r="E564" s="5" t="str">
        <x:v>Эксперты и партнеры</x:v>
      </x:c>
      <x:c r="F564" s="5" t="str">
        <x:v>"Газпром" (преподаватель OR эксперт OR провайдер OR партнерство)</x:v>
      </x:c>
      <x:c r="G564" s="5" t="str">
        <x:v>Уточнить кто платит и какой вход для внешнего исполнителя.</x:v>
      </x:c>
      <x:c r="H564" s="5" t="str">
        <x:v>not_run</x:v>
      </x:c>
    </x:row>
    <x:row r="565" ht="31.5" customHeight="1">
      <x:c r="A565" s="5" t="str">
        <x:v>CU-0008-SIGNAL</x:v>
      </x:c>
      <x:c r="B565" s="5" t="str">
        <x:v>CU-0008</x:v>
      </x:c>
      <x:c r="C565" s="5" t="str">
        <x:v>Учебно-производственный центр ООО «Газпром трансгаз Югорск»</x:v>
      </x:c>
      <x:c r="D565" s="5" t="str">
        <x:v>RU</x:v>
      </x:c>
      <x:c r="E565" s="5" t="str">
        <x:v>Новые программы</x:v>
      </x:c>
      <x:c r="F565" s="5" t="str">
        <x:v>"Газпром" ("кадровый резерв" OR "электронный курс" OR "развитие руководителей")</x:v>
      </x:c>
      <x:c r="G565" s="5" t="str">
        <x:v>Ранний сигнал и предметный пробел; не подтвержденный заказ.</x:v>
      </x:c>
      <x:c r="H565" s="5" t="str">
        <x:v>not_run</x:v>
      </x:c>
    </x:row>
    <x:row r="566" ht="31.5" customHeight="1">
      <x:c r="A566" s="5" t="str">
        <x:v>CU-0009-DISCOVER</x:v>
      </x:c>
      <x:c r="B566" s="5" t="str">
        <x:v>CU-0009</x:v>
      </x:c>
      <x:c r="C566" s="5" t="str">
        <x:v>Учебно-производственный центр ООО «Газпром трансгаз Сургут»</x:v>
      </x:c>
      <x:c r="D566" s="5" t="str">
        <x:v>RU</x:v>
      </x:c>
      <x:c r="E566" s="5" t="str">
        <x:v>Новые каналы</x:v>
      </x:c>
      <x:c r="F566" s="5" t="str">
        <x:v>"Газпром" (университет OR академия OR "учебный центр" OR обучение)</x:v>
      </x:c>
      <x:c r="G566" s="5" t="str">
        <x:v>Имена, подразделения и дополнительные официальные адреса.</x:v>
      </x:c>
      <x:c r="H566" s="5" t="str">
        <x:v>not_run</x:v>
      </x:c>
    </x:row>
    <x:row r="567" ht="31.5" customHeight="1">
      <x:c r="A567" s="5" t="str">
        <x:v>CU-0009-BUY</x:v>
      </x:c>
      <x:c r="B567" s="5" t="str">
        <x:v>CU-0009</x:v>
      </x:c>
      <x:c r="C567" s="5" t="str">
        <x:v>Учебно-производственный центр ООО «Газпром трансгаз Сургут»</x:v>
      </x:c>
      <x:c r="D567" s="5" t="str">
        <x:v>RU</x:v>
      </x:c>
      <x:c r="E567" s="5" t="str">
        <x:v>Закупки и отбор</x:v>
      </x:c>
      <x:c r="F567" s="5" t="str">
        <x:v>"Газпром" (обучение OR тренинг OR семинар) (закупки OR "запрос предложений" OR поставщик)</x:v>
      </x:c>
      <x:c r="G567" s="5" t="str">
        <x:v>Найти конкретную карточку и приложения; запрос не доказывает спрос.</x:v>
      </x:c>
      <x:c r="H567" s="5" t="str">
        <x:v>not_run</x:v>
      </x:c>
    </x:row>
    <x:row r="568" ht="31.5" customHeight="1">
      <x:c r="A568" s="5" t="str">
        <x:v>CU-0009-EXPERT</x:v>
      </x:c>
      <x:c r="B568" s="5" t="str">
        <x:v>CU-0009</x:v>
      </x:c>
      <x:c r="C568" s="5" t="str">
        <x:v>Учебно-производственный центр ООО «Газпром трансгаз Сургут»</x:v>
      </x:c>
      <x:c r="D568" s="5" t="str">
        <x:v>RU</x:v>
      </x:c>
      <x:c r="E568" s="5" t="str">
        <x:v>Эксперты и партнеры</x:v>
      </x:c>
      <x:c r="F568" s="5" t="str">
        <x:v>"Газпром" (преподаватель OR эксперт OR провайдер OR партнерство)</x:v>
      </x:c>
      <x:c r="G568" s="5" t="str">
        <x:v>Уточнить кто платит и какой вход для внешнего исполнителя.</x:v>
      </x:c>
      <x:c r="H568" s="5" t="str">
        <x:v>not_run</x:v>
      </x:c>
    </x:row>
    <x:row r="569" ht="31.5" customHeight="1">
      <x:c r="A569" s="5" t="str">
        <x:v>CU-0009-SIGNAL</x:v>
      </x:c>
      <x:c r="B569" s="5" t="str">
        <x:v>CU-0009</x:v>
      </x:c>
      <x:c r="C569" s="5" t="str">
        <x:v>Учебно-производственный центр ООО «Газпром трансгаз Сургут»</x:v>
      </x:c>
      <x:c r="D569" s="5" t="str">
        <x:v>RU</x:v>
      </x:c>
      <x:c r="E569" s="5" t="str">
        <x:v>Новые программы</x:v>
      </x:c>
      <x:c r="F569" s="5" t="str">
        <x:v>"Газпром" ("кадровый резерв" OR "электронный курс" OR "развитие руководителей")</x:v>
      </x:c>
      <x:c r="G569" s="5" t="str">
        <x:v>Ранний сигнал и предметный пробел; не подтвержденный заказ.</x:v>
      </x:c>
      <x:c r="H569" s="5" t="str">
        <x:v>not_run</x:v>
      </x:c>
    </x:row>
    <x:row r="570" ht="31.5" customHeight="1">
      <x:c r="A570" s="5" t="str">
        <x:v>CU-0010-DISCOVER</x:v>
      </x:c>
      <x:c r="B570" s="5" t="str">
        <x:v>CU-0010</x:v>
      </x:c>
      <x:c r="C570" s="5" t="str">
        <x:v>Учебно-производственный центр ООО «Газпром трансгаз Ставрополь»</x:v>
      </x:c>
      <x:c r="D570" s="5" t="str">
        <x:v>RU</x:v>
      </x:c>
      <x:c r="E570" s="5" t="str">
        <x:v>Новые каналы</x:v>
      </x:c>
      <x:c r="F570" s="5" t="str">
        <x:v>"Газпром" (университет OR академия OR "учебный центр" OR обучение)</x:v>
      </x:c>
      <x:c r="G570" s="5" t="str">
        <x:v>Имена, подразделения и дополнительные официальные адреса.</x:v>
      </x:c>
      <x:c r="H570" s="5" t="str">
        <x:v>not_run</x:v>
      </x:c>
    </x:row>
    <x:row r="571" ht="31.5" customHeight="1">
      <x:c r="A571" s="5" t="str">
        <x:v>CU-0010-BUY</x:v>
      </x:c>
      <x:c r="B571" s="5" t="str">
        <x:v>CU-0010</x:v>
      </x:c>
      <x:c r="C571" s="5" t="str">
        <x:v>Учебно-производственный центр ООО «Газпром трансгаз Ставрополь»</x:v>
      </x:c>
      <x:c r="D571" s="5" t="str">
        <x:v>RU</x:v>
      </x:c>
      <x:c r="E571" s="5" t="str">
        <x:v>Закупки и отбор</x:v>
      </x:c>
      <x:c r="F571" s="5" t="str">
        <x:v>"Газпром" (обучение OR тренинг OR семинар) (закупки OR "запрос предложений" OR поставщик)</x:v>
      </x:c>
      <x:c r="G571" s="5" t="str">
        <x:v>Найти конкретную карточку и приложения; запрос не доказывает спрос.</x:v>
      </x:c>
      <x:c r="H571" s="5" t="str">
        <x:v>not_run</x:v>
      </x:c>
    </x:row>
    <x:row r="572" ht="31.5" customHeight="1">
      <x:c r="A572" s="5" t="str">
        <x:v>CU-0010-EXPERT</x:v>
      </x:c>
      <x:c r="B572" s="5" t="str">
        <x:v>CU-0010</x:v>
      </x:c>
      <x:c r="C572" s="5" t="str">
        <x:v>Учебно-производственный центр ООО «Газпром трансгаз Ставрополь»</x:v>
      </x:c>
      <x:c r="D572" s="5" t="str">
        <x:v>RU</x:v>
      </x:c>
      <x:c r="E572" s="5" t="str">
        <x:v>Эксперты и партнеры</x:v>
      </x:c>
      <x:c r="F572" s="5" t="str">
        <x:v>"Газпром" (преподаватель OR эксперт OR провайдер OR партнерство)</x:v>
      </x:c>
      <x:c r="G572" s="5" t="str">
        <x:v>Уточнить кто платит и какой вход для внешнего исполнителя.</x:v>
      </x:c>
      <x:c r="H572" s="5" t="str">
        <x:v>not_run</x:v>
      </x:c>
    </x:row>
    <x:row r="573" ht="31.5" customHeight="1">
      <x:c r="A573" s="5" t="str">
        <x:v>CU-0010-SIGNAL</x:v>
      </x:c>
      <x:c r="B573" s="5" t="str">
        <x:v>CU-0010</x:v>
      </x:c>
      <x:c r="C573" s="5" t="str">
        <x:v>Учебно-производственный центр ООО «Газпром трансгаз Ставрополь»</x:v>
      </x:c>
      <x:c r="D573" s="5" t="str">
        <x:v>RU</x:v>
      </x:c>
      <x:c r="E573" s="5" t="str">
        <x:v>Новые программы</x:v>
      </x:c>
      <x:c r="F573" s="5" t="str">
        <x:v>"Газпром" ("кадровый резерв" OR "электронный курс" OR "развитие руководителей")</x:v>
      </x:c>
      <x:c r="G573" s="5" t="str">
        <x:v>Ранний сигнал и предметный пробел; не подтвержденный заказ.</x:v>
      </x:c>
      <x:c r="H573" s="5" t="str">
        <x:v>not_run</x:v>
      </x:c>
    </x:row>
    <x:row r="574" ht="31.5" customHeight="1">
      <x:c r="A574" s="5" t="str">
        <x:v>CU-0011-DISCOVER</x:v>
      </x:c>
      <x:c r="B574" s="5" t="str">
        <x:v>CU-0011</x:v>
      </x:c>
      <x:c r="C574" s="5" t="str">
        <x:v>Учебно-производственный центр ООО «Газпром трансгаз Саратов»</x:v>
      </x:c>
      <x:c r="D574" s="5" t="str">
        <x:v>RU</x:v>
      </x:c>
      <x:c r="E574" s="5" t="str">
        <x:v>Новые каналы</x:v>
      </x:c>
      <x:c r="F574" s="5" t="str">
        <x:v>"Газпром" (университет OR академия OR "учебный центр" OR обучение)</x:v>
      </x:c>
      <x:c r="G574" s="5" t="str">
        <x:v>Имена, подразделения и дополнительные официальные адреса.</x:v>
      </x:c>
      <x:c r="H574" s="5" t="str">
        <x:v>not_run</x:v>
      </x:c>
    </x:row>
    <x:row r="575" ht="31.5" customHeight="1">
      <x:c r="A575" s="5" t="str">
        <x:v>CU-0011-BUY</x:v>
      </x:c>
      <x:c r="B575" s="5" t="str">
        <x:v>CU-0011</x:v>
      </x:c>
      <x:c r="C575" s="5" t="str">
        <x:v>Учебно-производственный центр ООО «Газпром трансгаз Саратов»</x:v>
      </x:c>
      <x:c r="D575" s="5" t="str">
        <x:v>RU</x:v>
      </x:c>
      <x:c r="E575" s="5" t="str">
        <x:v>Закупки и отбор</x:v>
      </x:c>
      <x:c r="F575" s="5" t="str">
        <x:v>"Газпром" (обучение OR тренинг OR семинар) (закупки OR "запрос предложений" OR поставщик)</x:v>
      </x:c>
      <x:c r="G575" s="5" t="str">
        <x:v>Найти конкретную карточку и приложения; запрос не доказывает спрос.</x:v>
      </x:c>
      <x:c r="H575" s="5" t="str">
        <x:v>not_run</x:v>
      </x:c>
    </x:row>
    <x:row r="576" ht="31.5" customHeight="1">
      <x:c r="A576" s="5" t="str">
        <x:v>CU-0011-EXPERT</x:v>
      </x:c>
      <x:c r="B576" s="5" t="str">
        <x:v>CU-0011</x:v>
      </x:c>
      <x:c r="C576" s="5" t="str">
        <x:v>Учебно-производственный центр ООО «Газпром трансгаз Саратов»</x:v>
      </x:c>
      <x:c r="D576" s="5" t="str">
        <x:v>RU</x:v>
      </x:c>
      <x:c r="E576" s="5" t="str">
        <x:v>Эксперты и партнеры</x:v>
      </x:c>
      <x:c r="F576" s="5" t="str">
        <x:v>"Газпром" (преподаватель OR эксперт OR провайдер OR партнерство)</x:v>
      </x:c>
      <x:c r="G576" s="5" t="str">
        <x:v>Уточнить кто платит и какой вход для внешнего исполнителя.</x:v>
      </x:c>
      <x:c r="H576" s="5" t="str">
        <x:v>not_run</x:v>
      </x:c>
    </x:row>
    <x:row r="577" ht="31.5" customHeight="1">
      <x:c r="A577" s="5" t="str">
        <x:v>CU-0011-SIGNAL</x:v>
      </x:c>
      <x:c r="B577" s="5" t="str">
        <x:v>CU-0011</x:v>
      </x:c>
      <x:c r="C577" s="5" t="str">
        <x:v>Учебно-производственный центр ООО «Газпром трансгаз Саратов»</x:v>
      </x:c>
      <x:c r="D577" s="5" t="str">
        <x:v>RU</x:v>
      </x:c>
      <x:c r="E577" s="5" t="str">
        <x:v>Новые программы</x:v>
      </x:c>
      <x:c r="F577" s="5" t="str">
        <x:v>"Газпром" ("кадровый резерв" OR "электронный курс" OR "развитие руководителей")</x:v>
      </x:c>
      <x:c r="G577" s="5" t="str">
        <x:v>Ранний сигнал и предметный пробел; не подтвержденный заказ.</x:v>
      </x:c>
      <x:c r="H577" s="5" t="str">
        <x:v>not_run</x:v>
      </x:c>
    </x:row>
    <x:row r="578" ht="31.5" customHeight="1">
      <x:c r="A578" s="5" t="str">
        <x:v>CU-0012-DISCOVER</x:v>
      </x:c>
      <x:c r="B578" s="5" t="str">
        <x:v>CU-0012</x:v>
      </x:c>
      <x:c r="C578" s="5" t="str">
        <x:v>Учебно-производственный центр ООО «Газпром трансгаз Санкт-Петербург»</x:v>
      </x:c>
      <x:c r="D578" s="5" t="str">
        <x:v>RU</x:v>
      </x:c>
      <x:c r="E578" s="5" t="str">
        <x:v>Новые каналы</x:v>
      </x:c>
      <x:c r="F578" s="5" t="str">
        <x:v>"Газпром" (университет OR академия OR "учебный центр" OR обучение)</x:v>
      </x:c>
      <x:c r="G578" s="5" t="str">
        <x:v>Имена, подразделения и дополнительные официальные адреса.</x:v>
      </x:c>
      <x:c r="H578" s="5" t="str">
        <x:v>not_run</x:v>
      </x:c>
    </x:row>
    <x:row r="579" ht="31.5" customHeight="1">
      <x:c r="A579" s="5" t="str">
        <x:v>CU-0012-BUY</x:v>
      </x:c>
      <x:c r="B579" s="5" t="str">
        <x:v>CU-0012</x:v>
      </x:c>
      <x:c r="C579" s="5" t="str">
        <x:v>Учебно-производственный центр ООО «Газпром трансгаз Санкт-Петербург»</x:v>
      </x:c>
      <x:c r="D579" s="5" t="str">
        <x:v>RU</x:v>
      </x:c>
      <x:c r="E579" s="5" t="str">
        <x:v>Закупки и отбор</x:v>
      </x:c>
      <x:c r="F579" s="5" t="str">
        <x:v>"Газпром" (обучение OR тренинг OR семинар) (закупки OR "запрос предложений" OR поставщик)</x:v>
      </x:c>
      <x:c r="G579" s="5" t="str">
        <x:v>Найти конкретную карточку и приложения; запрос не доказывает спрос.</x:v>
      </x:c>
      <x:c r="H579" s="5" t="str">
        <x:v>not_run</x:v>
      </x:c>
    </x:row>
    <x:row r="580" ht="31.5" customHeight="1">
      <x:c r="A580" s="5" t="str">
        <x:v>CU-0012-EXPERT</x:v>
      </x:c>
      <x:c r="B580" s="5" t="str">
        <x:v>CU-0012</x:v>
      </x:c>
      <x:c r="C580" s="5" t="str">
        <x:v>Учебно-производственный центр ООО «Газпром трансгаз Санкт-Петербург»</x:v>
      </x:c>
      <x:c r="D580" s="5" t="str">
        <x:v>RU</x:v>
      </x:c>
      <x:c r="E580" s="5" t="str">
        <x:v>Эксперты и партнеры</x:v>
      </x:c>
      <x:c r="F580" s="5" t="str">
        <x:v>"Газпром" (преподаватель OR эксперт OR провайдер OR партнерство)</x:v>
      </x:c>
      <x:c r="G580" s="5" t="str">
        <x:v>Уточнить кто платит и какой вход для внешнего исполнителя.</x:v>
      </x:c>
      <x:c r="H580" s="5" t="str">
        <x:v>not_run</x:v>
      </x:c>
    </x:row>
    <x:row r="581" ht="31.5" customHeight="1">
      <x:c r="A581" s="5" t="str">
        <x:v>CU-0012-SIGNAL</x:v>
      </x:c>
      <x:c r="B581" s="5" t="str">
        <x:v>CU-0012</x:v>
      </x:c>
      <x:c r="C581" s="5" t="str">
        <x:v>Учебно-производственный центр ООО «Газпром трансгаз Санкт-Петербург»</x:v>
      </x:c>
      <x:c r="D581" s="5" t="str">
        <x:v>RU</x:v>
      </x:c>
      <x:c r="E581" s="5" t="str">
        <x:v>Новые программы</x:v>
      </x:c>
      <x:c r="F581" s="5" t="str">
        <x:v>"Газпром" ("кадровый резерв" OR "электронный курс" OR "развитие руководителей")</x:v>
      </x:c>
      <x:c r="G581" s="5" t="str">
        <x:v>Ранний сигнал и предметный пробел; не подтвержденный заказ.</x:v>
      </x:c>
      <x:c r="H581" s="5" t="str">
        <x:v>not_run</x:v>
      </x:c>
    </x:row>
    <x:row r="582" ht="25.5" customHeight="1">
      <x:c r="A582" s="5" t="str">
        <x:v>CU-0014-DISCOVER</x:v>
      </x:c>
      <x:c r="B582" s="5" t="str">
        <x:v>CU-0014</x:v>
      </x:c>
      <x:c r="C582" s="5" t="str">
        <x:v>Корпоративный учебный центр ЛУКОЙЛ</x:v>
      </x:c>
      <x:c r="D582" s="5" t="str">
        <x:v>RU</x:v>
      </x:c>
      <x:c r="E582" s="5" t="str">
        <x:v>Новые каналы</x:v>
      </x:c>
      <x:c r="F582" s="5" t="str">
        <x:v>"ЛУКОЙЛ" (университет OR академия OR "учебный центр" OR обучение)</x:v>
      </x:c>
      <x:c r="G582" s="5" t="str">
        <x:v>Имена, подразделения и дополнительные официальные адреса.</x:v>
      </x:c>
      <x:c r="H582" s="5" t="str">
        <x:v>not_run</x:v>
      </x:c>
    </x:row>
    <x:row r="583" ht="25.5" customHeight="1">
      <x:c r="A583" s="5" t="str">
        <x:v>CU-0014-BUY</x:v>
      </x:c>
      <x:c r="B583" s="5" t="str">
        <x:v>CU-0014</x:v>
      </x:c>
      <x:c r="C583" s="5" t="str">
        <x:v>Корпоративный учебный центр ЛУКОЙЛ</x:v>
      </x:c>
      <x:c r="D583" s="5" t="str">
        <x:v>RU</x:v>
      </x:c>
      <x:c r="E583" s="5" t="str">
        <x:v>Закупки и отбор</x:v>
      </x:c>
      <x:c r="F583" s="5" t="str">
        <x:v>"ЛУКОЙЛ" (обучение OR тренинг OR семинар) (закупки OR "запрос предложений" OR поставщик)</x:v>
      </x:c>
      <x:c r="G583" s="5" t="str">
        <x:v>Найти конкретную карточку и приложения; запрос не доказывает спрос.</x:v>
      </x:c>
      <x:c r="H583" s="5" t="str">
        <x:v>not_run</x:v>
      </x:c>
    </x:row>
    <x:row r="584" ht="25.5" customHeight="1">
      <x:c r="A584" s="5" t="str">
        <x:v>CU-0014-EXPERT</x:v>
      </x:c>
      <x:c r="B584" s="5" t="str">
        <x:v>CU-0014</x:v>
      </x:c>
      <x:c r="C584" s="5" t="str">
        <x:v>Корпоративный учебный центр ЛУКОЙЛ</x:v>
      </x:c>
      <x:c r="D584" s="5" t="str">
        <x:v>RU</x:v>
      </x:c>
      <x:c r="E584" s="5" t="str">
        <x:v>Эксперты и партнеры</x:v>
      </x:c>
      <x:c r="F584" s="5" t="str">
        <x:v>"ЛУКОЙЛ" (преподаватель OR эксперт OR провайдер OR партнерство)</x:v>
      </x:c>
      <x:c r="G584" s="5" t="str">
        <x:v>Уточнить кто платит и какой вход для внешнего исполнителя.</x:v>
      </x:c>
      <x:c r="H584" s="5" t="str">
        <x:v>not_run</x:v>
      </x:c>
    </x:row>
    <x:row r="585" ht="25.5" customHeight="1">
      <x:c r="A585" s="5" t="str">
        <x:v>CU-0014-SIGNAL</x:v>
      </x:c>
      <x:c r="B585" s="5" t="str">
        <x:v>CU-0014</x:v>
      </x:c>
      <x:c r="C585" s="5" t="str">
        <x:v>Корпоративный учебный центр ЛУКОЙЛ</x:v>
      </x:c>
      <x:c r="D585" s="5" t="str">
        <x:v>RU</x:v>
      </x:c>
      <x:c r="E585" s="5" t="str">
        <x:v>Новые программы</x:v>
      </x:c>
      <x:c r="F585" s="5" t="str">
        <x:v>"ЛУКОЙЛ" ("кадровый резерв" OR "электронный курс" OR "развитие руководителей")</x:v>
      </x:c>
      <x:c r="G585" s="5" t="str">
        <x:v>Ранний сигнал и предметный пробел; не подтвержденный заказ.</x:v>
      </x:c>
      <x:c r="H585" s="5" t="str">
        <x:v>not_run</x:v>
      </x:c>
    </x:row>
    <x:row r="586" ht="31.5" customHeight="1">
      <x:c r="A586" s="5" t="str">
        <x:v>CU-0016-DISCOVER</x:v>
      </x:c>
      <x:c r="B586" s="5" t="str">
        <x:v>CU-0016</x:v>
      </x:c>
      <x:c r="C586" s="5" t="str">
        <x:v>Центр политехнического обучения ПАО «Сургутнефтегаз»</x:v>
      </x:c>
      <x:c r="D586" s="5" t="str">
        <x:v>RU</x:v>
      </x:c>
      <x:c r="E586" s="5" t="str">
        <x:v>Новые каналы</x:v>
      </x:c>
      <x:c r="F586" s="5" t="str">
        <x:v>"Сургутнефтегаз" (университет OR академия OR "учебный центр" OR обучение)</x:v>
      </x:c>
      <x:c r="G586" s="5" t="str">
        <x:v>Имена, подразделения и дополнительные официальные адреса.</x:v>
      </x:c>
      <x:c r="H586" s="5" t="str">
        <x:v>not_run</x:v>
      </x:c>
    </x:row>
    <x:row r="587" ht="31.5" customHeight="1">
      <x:c r="A587" s="5" t="str">
        <x:v>CU-0016-BUY</x:v>
      </x:c>
      <x:c r="B587" s="5" t="str">
        <x:v>CU-0016</x:v>
      </x:c>
      <x:c r="C587" s="5" t="str">
        <x:v>Центр политехнического обучения ПАО «Сургутнефтегаз»</x:v>
      </x:c>
      <x:c r="D587" s="5" t="str">
        <x:v>RU</x:v>
      </x:c>
      <x:c r="E587" s="5" t="str">
        <x:v>Закупки и отбор</x:v>
      </x:c>
      <x:c r="F587" s="5" t="str">
        <x:v>"Сургутнефтегаз" (обучение OR тренинг OR семинар) (закупки OR "запрос предложений" OR поставщик)</x:v>
      </x:c>
      <x:c r="G587" s="5" t="str">
        <x:v>Найти конкретную карточку и приложения; запрос не доказывает спрос.</x:v>
      </x:c>
      <x:c r="H587" s="5" t="str">
        <x:v>not_run</x:v>
      </x:c>
    </x:row>
    <x:row r="588" ht="31.5" customHeight="1">
      <x:c r="A588" s="5" t="str">
        <x:v>CU-0016-EXPERT</x:v>
      </x:c>
      <x:c r="B588" s="5" t="str">
        <x:v>CU-0016</x:v>
      </x:c>
      <x:c r="C588" s="5" t="str">
        <x:v>Центр политехнического обучения ПАО «Сургутнефтегаз»</x:v>
      </x:c>
      <x:c r="D588" s="5" t="str">
        <x:v>RU</x:v>
      </x:c>
      <x:c r="E588" s="5" t="str">
        <x:v>Эксперты и партнеры</x:v>
      </x:c>
      <x:c r="F588" s="5" t="str">
        <x:v>"Сургутнефтегаз" (преподаватель OR эксперт OR провайдер OR партнерство)</x:v>
      </x:c>
      <x:c r="G588" s="5" t="str">
        <x:v>Уточнить кто платит и какой вход для внешнего исполнителя.</x:v>
      </x:c>
      <x:c r="H588" s="5" t="str">
        <x:v>not_run</x:v>
      </x:c>
    </x:row>
    <x:row r="589" ht="31.5" customHeight="1">
      <x:c r="A589" s="5" t="str">
        <x:v>CU-0016-SIGNAL</x:v>
      </x:c>
      <x:c r="B589" s="5" t="str">
        <x:v>CU-0016</x:v>
      </x:c>
      <x:c r="C589" s="5" t="str">
        <x:v>Центр политехнического обучения ПАО «Сургутнефтегаз»</x:v>
      </x:c>
      <x:c r="D589" s="5" t="str">
        <x:v>RU</x:v>
      </x:c>
      <x:c r="E589" s="5" t="str">
        <x:v>Новые программы</x:v>
      </x:c>
      <x:c r="F589" s="5" t="str">
        <x:v>"Сургутнефтегаз" ("кадровый резерв" OR "электронный курс" OR "развитие руководителей")</x:v>
      </x:c>
      <x:c r="G589" s="5" t="str">
        <x:v>Ранний сигнал и предметный пробел; не подтвержденный заказ.</x:v>
      </x:c>
      <x:c r="H589" s="5" t="str">
        <x:v>not_run</x:v>
      </x:c>
    </x:row>
    <x:row r="590" ht="25.5" customHeight="1">
      <x:c r="A590" s="5" t="str">
        <x:v>CU-0017-DISCOVER</x:v>
      </x:c>
      <x:c r="B590" s="5" t="str">
        <x:v>CU-0017</x:v>
      </x:c>
      <x:c r="C590" s="5" t="str">
        <x:v>Учебный центр ООО «РН-Юганскнефтегаз»</x:v>
      </x:c>
      <x:c r="D590" s="5" t="str">
        <x:v>RU</x:v>
      </x:c>
      <x:c r="E590" s="5" t="str">
        <x:v>Новые каналы</x:v>
      </x:c>
      <x:c r="F590" s="5" t="str">
        <x:v>"Роснефть" (университет OR академия OR "учебный центр" OR обучение)</x:v>
      </x:c>
      <x:c r="G590" s="5" t="str">
        <x:v>Имена, подразделения и дополнительные официальные адреса.</x:v>
      </x:c>
      <x:c r="H590" s="5" t="str">
        <x:v>not_run</x:v>
      </x:c>
    </x:row>
    <x:row r="591" ht="25.5" customHeight="1">
      <x:c r="A591" s="5" t="str">
        <x:v>CU-0017-BUY</x:v>
      </x:c>
      <x:c r="B591" s="5" t="str">
        <x:v>CU-0017</x:v>
      </x:c>
      <x:c r="C591" s="5" t="str">
        <x:v>Учебный центр ООО «РН-Юганскнефтегаз»</x:v>
      </x:c>
      <x:c r="D591" s="5" t="str">
        <x:v>RU</x:v>
      </x:c>
      <x:c r="E591" s="5" t="str">
        <x:v>Закупки и отбор</x:v>
      </x:c>
      <x:c r="F591" s="5" t="str">
        <x:v>"Роснефть" (обучение OR тренинг OR семинар) (закупки OR "запрос предложений" OR поставщик)</x:v>
      </x:c>
      <x:c r="G591" s="5" t="str">
        <x:v>Найти конкретную карточку и приложения; запрос не доказывает спрос.</x:v>
      </x:c>
      <x:c r="H591" s="5" t="str">
        <x:v>not_run</x:v>
      </x:c>
    </x:row>
    <x:row r="592" ht="25.5" customHeight="1">
      <x:c r="A592" s="5" t="str">
        <x:v>CU-0017-EXPERT</x:v>
      </x:c>
      <x:c r="B592" s="5" t="str">
        <x:v>CU-0017</x:v>
      </x:c>
      <x:c r="C592" s="5" t="str">
        <x:v>Учебный центр ООО «РН-Юганскнефтегаз»</x:v>
      </x:c>
      <x:c r="D592" s="5" t="str">
        <x:v>RU</x:v>
      </x:c>
      <x:c r="E592" s="5" t="str">
        <x:v>Эксперты и партнеры</x:v>
      </x:c>
      <x:c r="F592" s="5" t="str">
        <x:v>"Роснефть" (преподаватель OR эксперт OR провайдер OR партнерство)</x:v>
      </x:c>
      <x:c r="G592" s="5" t="str">
        <x:v>Уточнить кто платит и какой вход для внешнего исполнителя.</x:v>
      </x:c>
      <x:c r="H592" s="5" t="str">
        <x:v>not_run</x:v>
      </x:c>
    </x:row>
    <x:row r="593" ht="25.5" customHeight="1">
      <x:c r="A593" s="5" t="str">
        <x:v>CU-0017-SIGNAL</x:v>
      </x:c>
      <x:c r="B593" s="5" t="str">
        <x:v>CU-0017</x:v>
      </x:c>
      <x:c r="C593" s="5" t="str">
        <x:v>Учебный центр ООО «РН-Юганскнефтегаз»</x:v>
      </x:c>
      <x:c r="D593" s="5" t="str">
        <x:v>RU</x:v>
      </x:c>
      <x:c r="E593" s="5" t="str">
        <x:v>Новые программы</x:v>
      </x:c>
      <x:c r="F593" s="5" t="str">
        <x:v>"Роснефть" ("кадровый резерв" OR "электронный курс" OR "развитие руководителей")</x:v>
      </x:c>
      <x:c r="G593" s="5" t="str">
        <x:v>Ранний сигнал и предметный пробел; не подтвержденный заказ.</x:v>
      </x:c>
      <x:c r="H593" s="5" t="str">
        <x:v>not_run</x:v>
      </x:c>
    </x:row>
    <x:row r="594" ht="25.5" customHeight="1">
      <x:c r="A594" s="5" t="str">
        <x:v>CU-0024-DISCOVER</x:v>
      </x:c>
      <x:c r="B594" s="5" t="str">
        <x:v>CU-0024</x:v>
      </x:c>
      <x:c r="C594" s="5" t="str">
        <x:v>Тверской учебно-производственный центр</x:v>
      </x:c>
      <x:c r="D594" s="5" t="str">
        <x:v>RU</x:v>
      </x:c>
      <x:c r="E594" s="5" t="str">
        <x:v>Новые каналы</x:v>
      </x:c>
      <x:c r="F594" s="5" t="str">
        <x:v>"Россети" (университет OR академия OR "учебный центр" OR обучение)</x:v>
      </x:c>
      <x:c r="G594" s="5" t="str">
        <x:v>Имена, подразделения и дополнительные официальные адреса.</x:v>
      </x:c>
      <x:c r="H594" s="5" t="str">
        <x:v>not_run</x:v>
      </x:c>
    </x:row>
    <x:row r="595" ht="25.5" customHeight="1">
      <x:c r="A595" s="5" t="str">
        <x:v>CU-0024-BUY</x:v>
      </x:c>
      <x:c r="B595" s="5" t="str">
        <x:v>CU-0024</x:v>
      </x:c>
      <x:c r="C595" s="5" t="str">
        <x:v>Тверской учебно-производственный центр</x:v>
      </x:c>
      <x:c r="D595" s="5" t="str">
        <x:v>RU</x:v>
      </x:c>
      <x:c r="E595" s="5" t="str">
        <x:v>Закупки и отбор</x:v>
      </x:c>
      <x:c r="F595" s="5" t="str">
        <x:v>"Россети" (обучение OR тренинг OR семинар) (закупки OR "запрос предложений" OR поставщик)</x:v>
      </x:c>
      <x:c r="G595" s="5" t="str">
        <x:v>Найти конкретную карточку и приложения; запрос не доказывает спрос.</x:v>
      </x:c>
      <x:c r="H595" s="5" t="str">
        <x:v>not_run</x:v>
      </x:c>
    </x:row>
    <x:row r="596" ht="25.5" customHeight="1">
      <x:c r="A596" s="5" t="str">
        <x:v>CU-0024-EXPERT</x:v>
      </x:c>
      <x:c r="B596" s="5" t="str">
        <x:v>CU-0024</x:v>
      </x:c>
      <x:c r="C596" s="5" t="str">
        <x:v>Тверской учебно-производственный центр</x:v>
      </x:c>
      <x:c r="D596" s="5" t="str">
        <x:v>RU</x:v>
      </x:c>
      <x:c r="E596" s="5" t="str">
        <x:v>Эксперты и партнеры</x:v>
      </x:c>
      <x:c r="F596" s="5" t="str">
        <x:v>"Россети" (преподаватель OR эксперт OR провайдер OR партнерство)</x:v>
      </x:c>
      <x:c r="G596" s="5" t="str">
        <x:v>Уточнить кто платит и какой вход для внешнего исполнителя.</x:v>
      </x:c>
      <x:c r="H596" s="5" t="str">
        <x:v>not_run</x:v>
      </x:c>
    </x:row>
    <x:row r="597" ht="25.5" customHeight="1">
      <x:c r="A597" s="5" t="str">
        <x:v>CU-0024-SIGNAL</x:v>
      </x:c>
      <x:c r="B597" s="5" t="str">
        <x:v>CU-0024</x:v>
      </x:c>
      <x:c r="C597" s="5" t="str">
        <x:v>Тверской учебно-производственный центр</x:v>
      </x:c>
      <x:c r="D597" s="5" t="str">
        <x:v>RU</x:v>
      </x:c>
      <x:c r="E597" s="5" t="str">
        <x:v>Новые программы</x:v>
      </x:c>
      <x:c r="F597" s="5" t="str">
        <x:v>"Россети" ("кадровый резерв" OR "электронный курс" OR "развитие руководителей")</x:v>
      </x:c>
      <x:c r="G597" s="5" t="str">
        <x:v>Ранний сигнал и предметный пробел; не подтвержденный заказ.</x:v>
      </x:c>
      <x:c r="H597" s="5" t="str">
        <x:v>not_run</x:v>
      </x:c>
    </x:row>
    <x:row r="598" ht="25.5" customHeight="1">
      <x:c r="A598" s="5" t="str">
        <x:v>CU-0025-DISCOVER</x:v>
      </x:c>
      <x:c r="B598" s="5" t="str">
        <x:v>CU-0025</x:v>
      </x:c>
      <x:c r="C598" s="5" t="str">
        <x:v>Орловский учебный комбинат</x:v>
      </x:c>
      <x:c r="D598" s="5" t="str">
        <x:v>RU</x:v>
      </x:c>
      <x:c r="E598" s="5" t="str">
        <x:v>Новые каналы</x:v>
      </x:c>
      <x:c r="F598" s="5" t="str">
        <x:v>"Россети" (университет OR академия OR "учебный центр" OR обучение)</x:v>
      </x:c>
      <x:c r="G598" s="5" t="str">
        <x:v>Имена, подразделения и дополнительные официальные адреса.</x:v>
      </x:c>
      <x:c r="H598" s="5" t="str">
        <x:v>not_run</x:v>
      </x:c>
    </x:row>
    <x:row r="599" ht="25.5" customHeight="1">
      <x:c r="A599" s="5" t="str">
        <x:v>CU-0025-BUY</x:v>
      </x:c>
      <x:c r="B599" s="5" t="str">
        <x:v>CU-0025</x:v>
      </x:c>
      <x:c r="C599" s="5" t="str">
        <x:v>Орловский учебный комбинат</x:v>
      </x:c>
      <x:c r="D599" s="5" t="str">
        <x:v>RU</x:v>
      </x:c>
      <x:c r="E599" s="5" t="str">
        <x:v>Закупки и отбор</x:v>
      </x:c>
      <x:c r="F599" s="5" t="str">
        <x:v>"Россети" (обучение OR тренинг OR семинар) (закупки OR "запрос предложений" OR поставщик)</x:v>
      </x:c>
      <x:c r="G599" s="5" t="str">
        <x:v>Найти конкретную карточку и приложения; запрос не доказывает спрос.</x:v>
      </x:c>
      <x:c r="H599" s="5" t="str">
        <x:v>not_run</x:v>
      </x:c>
    </x:row>
    <x:row r="600" ht="25.5" customHeight="1">
      <x:c r="A600" s="5" t="str">
        <x:v>CU-0025-EXPERT</x:v>
      </x:c>
      <x:c r="B600" s="5" t="str">
        <x:v>CU-0025</x:v>
      </x:c>
      <x:c r="C600" s="5" t="str">
        <x:v>Орловский учебный комбинат</x:v>
      </x:c>
      <x:c r="D600" s="5" t="str">
        <x:v>RU</x:v>
      </x:c>
      <x:c r="E600" s="5" t="str">
        <x:v>Эксперты и партнеры</x:v>
      </x:c>
      <x:c r="F600" s="5" t="str">
        <x:v>"Россети" (преподаватель OR эксперт OR провайдер OR партнерство)</x:v>
      </x:c>
      <x:c r="G600" s="5" t="str">
        <x:v>Уточнить кто платит и какой вход для внешнего исполнителя.</x:v>
      </x:c>
      <x:c r="H600" s="5" t="str">
        <x:v>not_run</x:v>
      </x:c>
    </x:row>
    <x:row r="601" ht="25.5" customHeight="1">
      <x:c r="A601" s="5" t="str">
        <x:v>CU-0025-SIGNAL</x:v>
      </x:c>
      <x:c r="B601" s="5" t="str">
        <x:v>CU-0025</x:v>
      </x:c>
      <x:c r="C601" s="5" t="str">
        <x:v>Орловский учебный комбинат</x:v>
      </x:c>
      <x:c r="D601" s="5" t="str">
        <x:v>RU</x:v>
      </x:c>
      <x:c r="E601" s="5" t="str">
        <x:v>Новые программы</x:v>
      </x:c>
      <x:c r="F601" s="5" t="str">
        <x:v>"Россети" ("кадровый резерв" OR "электронный курс" OR "развитие руководителей")</x:v>
      </x:c>
      <x:c r="G601" s="5" t="str">
        <x:v>Ранний сигнал и предметный пробел; не подтвержденный заказ.</x:v>
      </x:c>
      <x:c r="H601" s="5" t="str">
        <x:v>not_run</x:v>
      </x:c>
    </x:row>
    <x:row r="602" ht="25.5" customHeight="1">
      <x:c r="A602" s="5" t="str">
        <x:v>CU-0026-DISCOVER</x:v>
      </x:c>
      <x:c r="B602" s="5" t="str">
        <x:v>CU-0026</x:v>
      </x:c>
      <x:c r="C602" s="5" t="str">
        <x:v>Воронежский учебный центр «Энергетик»</x:v>
      </x:c>
      <x:c r="D602" s="5" t="str">
        <x:v>RU</x:v>
      </x:c>
      <x:c r="E602" s="5" t="str">
        <x:v>Новые каналы</x:v>
      </x:c>
      <x:c r="F602" s="5" t="str">
        <x:v>"Россети" (университет OR академия OR "учебный центр" OR обучение)</x:v>
      </x:c>
      <x:c r="G602" s="5" t="str">
        <x:v>Имена, подразделения и дополнительные официальные адреса.</x:v>
      </x:c>
      <x:c r="H602" s="5" t="str">
        <x:v>not_run</x:v>
      </x:c>
    </x:row>
    <x:row r="603" ht="25.5" customHeight="1">
      <x:c r="A603" s="5" t="str">
        <x:v>CU-0026-BUY</x:v>
      </x:c>
      <x:c r="B603" s="5" t="str">
        <x:v>CU-0026</x:v>
      </x:c>
      <x:c r="C603" s="5" t="str">
        <x:v>Воронежский учебный центр «Энергетик»</x:v>
      </x:c>
      <x:c r="D603" s="5" t="str">
        <x:v>RU</x:v>
      </x:c>
      <x:c r="E603" s="5" t="str">
        <x:v>Закупки и отбор</x:v>
      </x:c>
      <x:c r="F603" s="5" t="str">
        <x:v>"Россети" (обучение OR тренинг OR семинар) (закупки OR "запрос предложений" OR поставщик)</x:v>
      </x:c>
      <x:c r="G603" s="5" t="str">
        <x:v>Найти конкретную карточку и приложения; запрос не доказывает спрос.</x:v>
      </x:c>
      <x:c r="H603" s="5" t="str">
        <x:v>not_run</x:v>
      </x:c>
    </x:row>
    <x:row r="604" ht="25.5" customHeight="1">
      <x:c r="A604" s="5" t="str">
        <x:v>CU-0026-EXPERT</x:v>
      </x:c>
      <x:c r="B604" s="5" t="str">
        <x:v>CU-0026</x:v>
      </x:c>
      <x:c r="C604" s="5" t="str">
        <x:v>Воронежский учебный центр «Энергетик»</x:v>
      </x:c>
      <x:c r="D604" s="5" t="str">
        <x:v>RU</x:v>
      </x:c>
      <x:c r="E604" s="5" t="str">
        <x:v>Эксперты и партнеры</x:v>
      </x:c>
      <x:c r="F604" s="5" t="str">
        <x:v>"Россети" (преподаватель OR эксперт OR провайдер OR партнерство)</x:v>
      </x:c>
      <x:c r="G604" s="5" t="str">
        <x:v>Уточнить кто платит и какой вход для внешнего исполнителя.</x:v>
      </x:c>
      <x:c r="H604" s="5" t="str">
        <x:v>not_run</x:v>
      </x:c>
    </x:row>
    <x:row r="605" ht="25.5" customHeight="1">
      <x:c r="A605" s="5" t="str">
        <x:v>CU-0026-SIGNAL</x:v>
      </x:c>
      <x:c r="B605" s="5" t="str">
        <x:v>CU-0026</x:v>
      </x:c>
      <x:c r="C605" s="5" t="str">
        <x:v>Воронежский учебный центр «Энергетик»</x:v>
      </x:c>
      <x:c r="D605" s="5" t="str">
        <x:v>RU</x:v>
      </x:c>
      <x:c r="E605" s="5" t="str">
        <x:v>Новые программы</x:v>
      </x:c>
      <x:c r="F605" s="5" t="str">
        <x:v>"Россети" ("кадровый резерв" OR "электронный курс" OR "развитие руководителей")</x:v>
      </x:c>
      <x:c r="G605" s="5" t="str">
        <x:v>Ранний сигнал и предметный пробел; не подтвержденный заказ.</x:v>
      </x:c>
      <x:c r="H605" s="5" t="str">
        <x:v>not_run</x:v>
      </x:c>
    </x:row>
    <x:row r="606" ht="25.5" customHeight="1">
      <x:c r="A606" s="5" t="str">
        <x:v>CU-0027-DISCOVER</x:v>
      </x:c>
      <x:c r="B606" s="5" t="str">
        <x:v>CU-0027</x:v>
      </x:c>
      <x:c r="C606" s="5" t="str">
        <x:v>Владимирский учебный центр «Энергетик»</x:v>
      </x:c>
      <x:c r="D606" s="5" t="str">
        <x:v>RU</x:v>
      </x:c>
      <x:c r="E606" s="5" t="str">
        <x:v>Новые каналы</x:v>
      </x:c>
      <x:c r="F606" s="5" t="str">
        <x:v>"Россети" (университет OR академия OR "учебный центр" OR обучение)</x:v>
      </x:c>
      <x:c r="G606" s="5" t="str">
        <x:v>Имена, подразделения и дополнительные официальные адреса.</x:v>
      </x:c>
      <x:c r="H606" s="5" t="str">
        <x:v>not_run</x:v>
      </x:c>
    </x:row>
    <x:row r="607" ht="25.5" customHeight="1">
      <x:c r="A607" s="5" t="str">
        <x:v>CU-0027-BUY</x:v>
      </x:c>
      <x:c r="B607" s="5" t="str">
        <x:v>CU-0027</x:v>
      </x:c>
      <x:c r="C607" s="5" t="str">
        <x:v>Владимирский учебный центр «Энергетик»</x:v>
      </x:c>
      <x:c r="D607" s="5" t="str">
        <x:v>RU</x:v>
      </x:c>
      <x:c r="E607" s="5" t="str">
        <x:v>Закупки и отбор</x:v>
      </x:c>
      <x:c r="F607" s="5" t="str">
        <x:v>"Россети" (обучение OR тренинг OR семинар) (закупки OR "запрос предложений" OR поставщик)</x:v>
      </x:c>
      <x:c r="G607" s="5" t="str">
        <x:v>Найти конкретную карточку и приложения; запрос не доказывает спрос.</x:v>
      </x:c>
      <x:c r="H607" s="5" t="str">
        <x:v>not_run</x:v>
      </x:c>
    </x:row>
    <x:row r="608" ht="25.5" customHeight="1">
      <x:c r="A608" s="5" t="str">
        <x:v>CU-0027-EXPERT</x:v>
      </x:c>
      <x:c r="B608" s="5" t="str">
        <x:v>CU-0027</x:v>
      </x:c>
      <x:c r="C608" s="5" t="str">
        <x:v>Владимирский учебный центр «Энергетик»</x:v>
      </x:c>
      <x:c r="D608" s="5" t="str">
        <x:v>RU</x:v>
      </x:c>
      <x:c r="E608" s="5" t="str">
        <x:v>Эксперты и партнеры</x:v>
      </x:c>
      <x:c r="F608" s="5" t="str">
        <x:v>"Россети" (преподаватель OR эксперт OR провайдер OR партнерство)</x:v>
      </x:c>
      <x:c r="G608" s="5" t="str">
        <x:v>Уточнить кто платит и какой вход для внешнего исполнителя.</x:v>
      </x:c>
      <x:c r="H608" s="5" t="str">
        <x:v>not_run</x:v>
      </x:c>
    </x:row>
    <x:row r="609" ht="25.5" customHeight="1">
      <x:c r="A609" s="5" t="str">
        <x:v>CU-0027-SIGNAL</x:v>
      </x:c>
      <x:c r="B609" s="5" t="str">
        <x:v>CU-0027</x:v>
      </x:c>
      <x:c r="C609" s="5" t="str">
        <x:v>Владимирский учебный центр «Энергетик»</x:v>
      </x:c>
      <x:c r="D609" s="5" t="str">
        <x:v>RU</x:v>
      </x:c>
      <x:c r="E609" s="5" t="str">
        <x:v>Новые программы</x:v>
      </x:c>
      <x:c r="F609" s="5" t="str">
        <x:v>"Россети" ("кадровый резерв" OR "электронный курс" OR "развитие руководителей")</x:v>
      </x:c>
      <x:c r="G609" s="5" t="str">
        <x:v>Ранний сигнал и предметный пробел; не подтвержденный заказ.</x:v>
      </x:c>
      <x:c r="H609" s="5" t="str">
        <x:v>not_run</x:v>
      </x:c>
    </x:row>
    <x:row r="610" ht="25.5" customHeight="1">
      <x:c r="A610" s="5" t="str">
        <x:v>CU-0028-DISCOVER</x:v>
      </x:c>
      <x:c r="B610" s="5" t="str">
        <x:v>CU-0028</x:v>
      </x:c>
      <x:c r="C610" s="5" t="str">
        <x:v>Ивановский учебный центр «Энергетик»</x:v>
      </x:c>
      <x:c r="D610" s="5" t="str">
        <x:v>RU</x:v>
      </x:c>
      <x:c r="E610" s="5" t="str">
        <x:v>Новые каналы</x:v>
      </x:c>
      <x:c r="F610" s="5" t="str">
        <x:v>"Россети" (университет OR академия OR "учебный центр" OR обучение)</x:v>
      </x:c>
      <x:c r="G610" s="5" t="str">
        <x:v>Имена, подразделения и дополнительные официальные адреса.</x:v>
      </x:c>
      <x:c r="H610" s="5" t="str">
        <x:v>not_run</x:v>
      </x:c>
    </x:row>
    <x:row r="611" ht="25.5" customHeight="1">
      <x:c r="A611" s="5" t="str">
        <x:v>CU-0028-BUY</x:v>
      </x:c>
      <x:c r="B611" s="5" t="str">
        <x:v>CU-0028</x:v>
      </x:c>
      <x:c r="C611" s="5" t="str">
        <x:v>Ивановский учебный центр «Энергетик»</x:v>
      </x:c>
      <x:c r="D611" s="5" t="str">
        <x:v>RU</x:v>
      </x:c>
      <x:c r="E611" s="5" t="str">
        <x:v>Закупки и отбор</x:v>
      </x:c>
      <x:c r="F611" s="5" t="str">
        <x:v>"Россети" (обучение OR тренинг OR семинар) (закупки OR "запрос предложений" OR поставщик)</x:v>
      </x:c>
      <x:c r="G611" s="5" t="str">
        <x:v>Найти конкретную карточку и приложения; запрос не доказывает спрос.</x:v>
      </x:c>
      <x:c r="H611" s="5" t="str">
        <x:v>not_run</x:v>
      </x:c>
    </x:row>
    <x:row r="612" ht="25.5" customHeight="1">
      <x:c r="A612" s="5" t="str">
        <x:v>CU-0028-EXPERT</x:v>
      </x:c>
      <x:c r="B612" s="5" t="str">
        <x:v>CU-0028</x:v>
      </x:c>
      <x:c r="C612" s="5" t="str">
        <x:v>Ивановский учебный центр «Энергетик»</x:v>
      </x:c>
      <x:c r="D612" s="5" t="str">
        <x:v>RU</x:v>
      </x:c>
      <x:c r="E612" s="5" t="str">
        <x:v>Эксперты и партнеры</x:v>
      </x:c>
      <x:c r="F612" s="5" t="str">
        <x:v>"Россети" (преподаватель OR эксперт OR провайдер OR партнерство)</x:v>
      </x:c>
      <x:c r="G612" s="5" t="str">
        <x:v>Уточнить кто платит и какой вход для внешнего исполнителя.</x:v>
      </x:c>
      <x:c r="H612" s="5" t="str">
        <x:v>not_run</x:v>
      </x:c>
    </x:row>
    <x:row r="613" ht="25.5" customHeight="1">
      <x:c r="A613" s="5" t="str">
        <x:v>CU-0028-SIGNAL</x:v>
      </x:c>
      <x:c r="B613" s="5" t="str">
        <x:v>CU-0028</x:v>
      </x:c>
      <x:c r="C613" s="5" t="str">
        <x:v>Ивановский учебный центр «Энергетик»</x:v>
      </x:c>
      <x:c r="D613" s="5" t="str">
        <x:v>RU</x:v>
      </x:c>
      <x:c r="E613" s="5" t="str">
        <x:v>Новые программы</x:v>
      </x:c>
      <x:c r="F613" s="5" t="str">
        <x:v>"Россети" ("кадровый резерв" OR "электронный курс" OR "развитие руководителей")</x:v>
      </x:c>
      <x:c r="G613" s="5" t="str">
        <x:v>Ранний сигнал и предметный пробел; не подтвержденный заказ.</x:v>
      </x:c>
      <x:c r="H613" s="5" t="str">
        <x:v>not_run</x:v>
      </x:c>
    </x:row>
    <x:row r="614" ht="25.5" customHeight="1">
      <x:c r="A614" s="5" t="str">
        <x:v>CU-0029-DISCOVER</x:v>
      </x:c>
      <x:c r="B614" s="5" t="str">
        <x:v>CU-0029</x:v>
      </x:c>
      <x:c r="C614" s="5" t="str">
        <x:v>Ижевский учебный центр «Энергетик»</x:v>
      </x:c>
      <x:c r="D614" s="5" t="str">
        <x:v>RU</x:v>
      </x:c>
      <x:c r="E614" s="5" t="str">
        <x:v>Новые каналы</x:v>
      </x:c>
      <x:c r="F614" s="5" t="str">
        <x:v>"Россети" (университет OR академия OR "учебный центр" OR обучение)</x:v>
      </x:c>
      <x:c r="G614" s="5" t="str">
        <x:v>Имена, подразделения и дополнительные официальные адреса.</x:v>
      </x:c>
      <x:c r="H614" s="5" t="str">
        <x:v>not_run</x:v>
      </x:c>
    </x:row>
    <x:row r="615" ht="25.5" customHeight="1">
      <x:c r="A615" s="5" t="str">
        <x:v>CU-0029-BUY</x:v>
      </x:c>
      <x:c r="B615" s="5" t="str">
        <x:v>CU-0029</x:v>
      </x:c>
      <x:c r="C615" s="5" t="str">
        <x:v>Ижевский учебный центр «Энергетик»</x:v>
      </x:c>
      <x:c r="D615" s="5" t="str">
        <x:v>RU</x:v>
      </x:c>
      <x:c r="E615" s="5" t="str">
        <x:v>Закупки и отбор</x:v>
      </x:c>
      <x:c r="F615" s="5" t="str">
        <x:v>"Россети" (обучение OR тренинг OR семинар) (закупки OR "запрос предложений" OR поставщик)</x:v>
      </x:c>
      <x:c r="G615" s="5" t="str">
        <x:v>Найти конкретную карточку и приложения; запрос не доказывает спрос.</x:v>
      </x:c>
      <x:c r="H615" s="5" t="str">
        <x:v>not_run</x:v>
      </x:c>
    </x:row>
    <x:row r="616" ht="25.5" customHeight="1">
      <x:c r="A616" s="5" t="str">
        <x:v>CU-0029-EXPERT</x:v>
      </x:c>
      <x:c r="B616" s="5" t="str">
        <x:v>CU-0029</x:v>
      </x:c>
      <x:c r="C616" s="5" t="str">
        <x:v>Ижевский учебный центр «Энергетик»</x:v>
      </x:c>
      <x:c r="D616" s="5" t="str">
        <x:v>RU</x:v>
      </x:c>
      <x:c r="E616" s="5" t="str">
        <x:v>Эксперты и партнеры</x:v>
      </x:c>
      <x:c r="F616" s="5" t="str">
        <x:v>"Россети" (преподаватель OR эксперт OR провайдер OR партнерство)</x:v>
      </x:c>
      <x:c r="G616" s="5" t="str">
        <x:v>Уточнить кто платит и какой вход для внешнего исполнителя.</x:v>
      </x:c>
      <x:c r="H616" s="5" t="str">
        <x:v>not_run</x:v>
      </x:c>
    </x:row>
    <x:row r="617" ht="25.5" customHeight="1">
      <x:c r="A617" s="5" t="str">
        <x:v>CU-0029-SIGNAL</x:v>
      </x:c>
      <x:c r="B617" s="5" t="str">
        <x:v>CU-0029</x:v>
      </x:c>
      <x:c r="C617" s="5" t="str">
        <x:v>Ижевский учебный центр «Энергетик»</x:v>
      </x:c>
      <x:c r="D617" s="5" t="str">
        <x:v>RU</x:v>
      </x:c>
      <x:c r="E617" s="5" t="str">
        <x:v>Новые программы</x:v>
      </x:c>
      <x:c r="F617" s="5" t="str">
        <x:v>"Россети" ("кадровый резерв" OR "электронный курс" OR "развитие руководителей")</x:v>
      </x:c>
      <x:c r="G617" s="5" t="str">
        <x:v>Ранний сигнал и предметный пробел; не подтвержденный заказ.</x:v>
      </x:c>
      <x:c r="H617" s="5" t="str">
        <x:v>not_run</x:v>
      </x:c>
    </x:row>
    <x:row r="618" ht="25.5" customHeight="1">
      <x:c r="A618" s="5" t="str">
        <x:v>CU-0030-DISCOVER</x:v>
      </x:c>
      <x:c r="B618" s="5" t="str">
        <x:v>CU-0030</x:v>
      </x:c>
      <x:c r="C618" s="5" t="str">
        <x:v>Калужский учебный центр «Энергетик»</x:v>
      </x:c>
      <x:c r="D618" s="5" t="str">
        <x:v>RU</x:v>
      </x:c>
      <x:c r="E618" s="5" t="str">
        <x:v>Новые каналы</x:v>
      </x:c>
      <x:c r="F618" s="5" t="str">
        <x:v>"Россети" (университет OR академия OR "учебный центр" OR обучение)</x:v>
      </x:c>
      <x:c r="G618" s="5" t="str">
        <x:v>Имена, подразделения и дополнительные официальные адреса.</x:v>
      </x:c>
      <x:c r="H618" s="5" t="str">
        <x:v>not_run</x:v>
      </x:c>
    </x:row>
    <x:row r="619" ht="25.5" customHeight="1">
      <x:c r="A619" s="5" t="str">
        <x:v>CU-0030-BUY</x:v>
      </x:c>
      <x:c r="B619" s="5" t="str">
        <x:v>CU-0030</x:v>
      </x:c>
      <x:c r="C619" s="5" t="str">
        <x:v>Калужский учебный центр «Энергетик»</x:v>
      </x:c>
      <x:c r="D619" s="5" t="str">
        <x:v>RU</x:v>
      </x:c>
      <x:c r="E619" s="5" t="str">
        <x:v>Закупки и отбор</x:v>
      </x:c>
      <x:c r="F619" s="5" t="str">
        <x:v>"Россети" (обучение OR тренинг OR семинар) (закупки OR "запрос предложений" OR поставщик)</x:v>
      </x:c>
      <x:c r="G619" s="5" t="str">
        <x:v>Найти конкретную карточку и приложения; запрос не доказывает спрос.</x:v>
      </x:c>
      <x:c r="H619" s="5" t="str">
        <x:v>not_run</x:v>
      </x:c>
    </x:row>
    <x:row r="620" ht="25.5" customHeight="1">
      <x:c r="A620" s="5" t="str">
        <x:v>CU-0030-EXPERT</x:v>
      </x:c>
      <x:c r="B620" s="5" t="str">
        <x:v>CU-0030</x:v>
      </x:c>
      <x:c r="C620" s="5" t="str">
        <x:v>Калужский учебный центр «Энергетик»</x:v>
      </x:c>
      <x:c r="D620" s="5" t="str">
        <x:v>RU</x:v>
      </x:c>
      <x:c r="E620" s="5" t="str">
        <x:v>Эксперты и партнеры</x:v>
      </x:c>
      <x:c r="F620" s="5" t="str">
        <x:v>"Россети" (преподаватель OR эксперт OR провайдер OR партнерство)</x:v>
      </x:c>
      <x:c r="G620" s="5" t="str">
        <x:v>Уточнить кто платит и какой вход для внешнего исполнителя.</x:v>
      </x:c>
      <x:c r="H620" s="5" t="str">
        <x:v>not_run</x:v>
      </x:c>
    </x:row>
    <x:row r="621" ht="25.5" customHeight="1">
      <x:c r="A621" s="5" t="str">
        <x:v>CU-0030-SIGNAL</x:v>
      </x:c>
      <x:c r="B621" s="5" t="str">
        <x:v>CU-0030</x:v>
      </x:c>
      <x:c r="C621" s="5" t="str">
        <x:v>Калужский учебный центр «Энергетик»</x:v>
      </x:c>
      <x:c r="D621" s="5" t="str">
        <x:v>RU</x:v>
      </x:c>
      <x:c r="E621" s="5" t="str">
        <x:v>Новые программы</x:v>
      </x:c>
      <x:c r="F621" s="5" t="str">
        <x:v>"Россети" ("кадровый резерв" OR "электронный курс" OR "развитие руководителей")</x:v>
      </x:c>
      <x:c r="G621" s="5" t="str">
        <x:v>Ранний сигнал и предметный пробел; не подтвержденный заказ.</x:v>
      </x:c>
      <x:c r="H621" s="5" t="str">
        <x:v>not_run</x:v>
      </x:c>
    </x:row>
    <x:row r="622" ht="25.5" customHeight="1">
      <x:c r="A622" s="5" t="str">
        <x:v>CU-0031-DISCOVER</x:v>
      </x:c>
      <x:c r="B622" s="5" t="str">
        <x:v>CU-0031</x:v>
      </x:c>
      <x:c r="C622" s="5" t="str">
        <x:v>Кировский учебный центр «Энергетик»</x:v>
      </x:c>
      <x:c r="D622" s="5" t="str">
        <x:v>RU</x:v>
      </x:c>
      <x:c r="E622" s="5" t="str">
        <x:v>Новые каналы</x:v>
      </x:c>
      <x:c r="F622" s="5" t="str">
        <x:v>"Россети" (университет OR академия OR "учебный центр" OR обучение)</x:v>
      </x:c>
      <x:c r="G622" s="5" t="str">
        <x:v>Имена, подразделения и дополнительные официальные адреса.</x:v>
      </x:c>
      <x:c r="H622" s="5" t="str">
        <x:v>not_run</x:v>
      </x:c>
    </x:row>
    <x:row r="623" ht="25.5" customHeight="1">
      <x:c r="A623" s="5" t="str">
        <x:v>CU-0031-BUY</x:v>
      </x:c>
      <x:c r="B623" s="5" t="str">
        <x:v>CU-0031</x:v>
      </x:c>
      <x:c r="C623" s="5" t="str">
        <x:v>Кировский учебный центр «Энергетик»</x:v>
      </x:c>
      <x:c r="D623" s="5" t="str">
        <x:v>RU</x:v>
      </x:c>
      <x:c r="E623" s="5" t="str">
        <x:v>Закупки и отбор</x:v>
      </x:c>
      <x:c r="F623" s="5" t="str">
        <x:v>"Россети" (обучение OR тренинг OR семинар) (закупки OR "запрос предложений" OR поставщик)</x:v>
      </x:c>
      <x:c r="G623" s="5" t="str">
        <x:v>Найти конкретную карточку и приложения; запрос не доказывает спрос.</x:v>
      </x:c>
      <x:c r="H623" s="5" t="str">
        <x:v>not_run</x:v>
      </x:c>
    </x:row>
    <x:row r="624" ht="25.5" customHeight="1">
      <x:c r="A624" s="5" t="str">
        <x:v>CU-0031-EXPERT</x:v>
      </x:c>
      <x:c r="B624" s="5" t="str">
        <x:v>CU-0031</x:v>
      </x:c>
      <x:c r="C624" s="5" t="str">
        <x:v>Кировский учебный центр «Энергетик»</x:v>
      </x:c>
      <x:c r="D624" s="5" t="str">
        <x:v>RU</x:v>
      </x:c>
      <x:c r="E624" s="5" t="str">
        <x:v>Эксперты и партнеры</x:v>
      </x:c>
      <x:c r="F624" s="5" t="str">
        <x:v>"Россети" (преподаватель OR эксперт OR провайдер OR партнерство)</x:v>
      </x:c>
      <x:c r="G624" s="5" t="str">
        <x:v>Уточнить кто платит и какой вход для внешнего исполнителя.</x:v>
      </x:c>
      <x:c r="H624" s="5" t="str">
        <x:v>not_run</x:v>
      </x:c>
    </x:row>
    <x:row r="625" ht="25.5" customHeight="1">
      <x:c r="A625" s="5" t="str">
        <x:v>CU-0031-SIGNAL</x:v>
      </x:c>
      <x:c r="B625" s="5" t="str">
        <x:v>CU-0031</x:v>
      </x:c>
      <x:c r="C625" s="5" t="str">
        <x:v>Кировский учебный центр «Энергетик»</x:v>
      </x:c>
      <x:c r="D625" s="5" t="str">
        <x:v>RU</x:v>
      </x:c>
      <x:c r="E625" s="5" t="str">
        <x:v>Новые программы</x:v>
      </x:c>
      <x:c r="F625" s="5" t="str">
        <x:v>"Россети" ("кадровый резерв" OR "электронный курс" OR "развитие руководителей")</x:v>
      </x:c>
      <x:c r="G625" s="5" t="str">
        <x:v>Ранний сигнал и предметный пробел; не подтвержденный заказ.</x:v>
      </x:c>
      <x:c r="H625" s="5" t="str">
        <x:v>not_run</x:v>
      </x:c>
    </x:row>
    <x:row r="626" ht="25.5" customHeight="1">
      <x:c r="A626" s="5" t="str">
        <x:v>CU-0032-DISCOVER</x:v>
      </x:c>
      <x:c r="B626" s="5" t="str">
        <x:v>CU-0032</x:v>
      </x:c>
      <x:c r="C626" s="5" t="str">
        <x:v>Тульский учебный центр «Энергетик»</x:v>
      </x:c>
      <x:c r="D626" s="5" t="str">
        <x:v>RU</x:v>
      </x:c>
      <x:c r="E626" s="5" t="str">
        <x:v>Новые каналы</x:v>
      </x:c>
      <x:c r="F626" s="5" t="str">
        <x:v>"Россети" (университет OR академия OR "учебный центр" OR обучение)</x:v>
      </x:c>
      <x:c r="G626" s="5" t="str">
        <x:v>Имена, подразделения и дополнительные официальные адреса.</x:v>
      </x:c>
      <x:c r="H626" s="5" t="str">
        <x:v>not_run</x:v>
      </x:c>
    </x:row>
    <x:row r="627" ht="25.5" customHeight="1">
      <x:c r="A627" s="5" t="str">
        <x:v>CU-0032-BUY</x:v>
      </x:c>
      <x:c r="B627" s="5" t="str">
        <x:v>CU-0032</x:v>
      </x:c>
      <x:c r="C627" s="5" t="str">
        <x:v>Тульский учебный центр «Энергетик»</x:v>
      </x:c>
      <x:c r="D627" s="5" t="str">
        <x:v>RU</x:v>
      </x:c>
      <x:c r="E627" s="5" t="str">
        <x:v>Закупки и отбор</x:v>
      </x:c>
      <x:c r="F627" s="5" t="str">
        <x:v>"Россети" (обучение OR тренинг OR семинар) (закупки OR "запрос предложений" OR поставщик)</x:v>
      </x:c>
      <x:c r="G627" s="5" t="str">
        <x:v>Найти конкретную карточку и приложения; запрос не доказывает спрос.</x:v>
      </x:c>
      <x:c r="H627" s="5" t="str">
        <x:v>not_run</x:v>
      </x:c>
    </x:row>
    <x:row r="628" ht="25.5" customHeight="1">
      <x:c r="A628" s="5" t="str">
        <x:v>CU-0032-EXPERT</x:v>
      </x:c>
      <x:c r="B628" s="5" t="str">
        <x:v>CU-0032</x:v>
      </x:c>
      <x:c r="C628" s="5" t="str">
        <x:v>Тульский учебный центр «Энергетик»</x:v>
      </x:c>
      <x:c r="D628" s="5" t="str">
        <x:v>RU</x:v>
      </x:c>
      <x:c r="E628" s="5" t="str">
        <x:v>Эксперты и партнеры</x:v>
      </x:c>
      <x:c r="F628" s="5" t="str">
        <x:v>"Россети" (преподаватель OR эксперт OR провайдер OR партнерство)</x:v>
      </x:c>
      <x:c r="G628" s="5" t="str">
        <x:v>Уточнить кто платит и какой вход для внешнего исполнителя.</x:v>
      </x:c>
      <x:c r="H628" s="5" t="str">
        <x:v>not_run</x:v>
      </x:c>
    </x:row>
    <x:row r="629" ht="25.5" customHeight="1">
      <x:c r="A629" s="5" t="str">
        <x:v>CU-0032-SIGNAL</x:v>
      </x:c>
      <x:c r="B629" s="5" t="str">
        <x:v>CU-0032</x:v>
      </x:c>
      <x:c r="C629" s="5" t="str">
        <x:v>Тульский учебный центр «Энергетик»</x:v>
      </x:c>
      <x:c r="D629" s="5" t="str">
        <x:v>RU</x:v>
      </x:c>
      <x:c r="E629" s="5" t="str">
        <x:v>Новые программы</x:v>
      </x:c>
      <x:c r="F629" s="5" t="str">
        <x:v>"Россети" ("кадровый резерв" OR "электронный курс" OR "развитие руководителей")</x:v>
      </x:c>
      <x:c r="G629" s="5" t="str">
        <x:v>Ранний сигнал и предметный пробел; не подтвержденный заказ.</x:v>
      </x:c>
      <x:c r="H629" s="5" t="str">
        <x:v>not_run</x:v>
      </x:c>
    </x:row>
    <x:row r="630" ht="25.5" customHeight="1">
      <x:c r="A630" s="5" t="str">
        <x:v>CU-0033-DISCOVER</x:v>
      </x:c>
      <x:c r="B630" s="5" t="str">
        <x:v>CU-0033</x:v>
      </x:c>
      <x:c r="C630" s="5" t="str">
        <x:v>Нижегородский учебный центр «Энергетик»</x:v>
      </x:c>
      <x:c r="D630" s="5" t="str">
        <x:v>RU</x:v>
      </x:c>
      <x:c r="E630" s="5" t="str">
        <x:v>Новые каналы</x:v>
      </x:c>
      <x:c r="F630" s="5" t="str">
        <x:v>"Россети" (университет OR академия OR "учебный центр" OR обучение)</x:v>
      </x:c>
      <x:c r="G630" s="5" t="str">
        <x:v>Имена, подразделения и дополнительные официальные адреса.</x:v>
      </x:c>
      <x:c r="H630" s="5" t="str">
        <x:v>not_run</x:v>
      </x:c>
    </x:row>
    <x:row r="631" ht="25.5" customHeight="1">
      <x:c r="A631" s="5" t="str">
        <x:v>CU-0033-BUY</x:v>
      </x:c>
      <x:c r="B631" s="5" t="str">
        <x:v>CU-0033</x:v>
      </x:c>
      <x:c r="C631" s="5" t="str">
        <x:v>Нижегородский учебный центр «Энергетик»</x:v>
      </x:c>
      <x:c r="D631" s="5" t="str">
        <x:v>RU</x:v>
      </x:c>
      <x:c r="E631" s="5" t="str">
        <x:v>Закупки и отбор</x:v>
      </x:c>
      <x:c r="F631" s="5" t="str">
        <x:v>"Россети" (обучение OR тренинг OR семинар) (закупки OR "запрос предложений" OR поставщик)</x:v>
      </x:c>
      <x:c r="G631" s="5" t="str">
        <x:v>Найти конкретную карточку и приложения; запрос не доказывает спрос.</x:v>
      </x:c>
      <x:c r="H631" s="5" t="str">
        <x:v>not_run</x:v>
      </x:c>
    </x:row>
    <x:row r="632" ht="25.5" customHeight="1">
      <x:c r="A632" s="5" t="str">
        <x:v>CU-0033-EXPERT</x:v>
      </x:c>
      <x:c r="B632" s="5" t="str">
        <x:v>CU-0033</x:v>
      </x:c>
      <x:c r="C632" s="5" t="str">
        <x:v>Нижегородский учебный центр «Энергетик»</x:v>
      </x:c>
      <x:c r="D632" s="5" t="str">
        <x:v>RU</x:v>
      </x:c>
      <x:c r="E632" s="5" t="str">
        <x:v>Эксперты и партнеры</x:v>
      </x:c>
      <x:c r="F632" s="5" t="str">
        <x:v>"Россети" (преподаватель OR эксперт OR провайдер OR партнерство)</x:v>
      </x:c>
      <x:c r="G632" s="5" t="str">
        <x:v>Уточнить кто платит и какой вход для внешнего исполнителя.</x:v>
      </x:c>
      <x:c r="H632" s="5" t="str">
        <x:v>not_run</x:v>
      </x:c>
    </x:row>
    <x:row r="633" ht="25.5" customHeight="1">
      <x:c r="A633" s="5" t="str">
        <x:v>CU-0033-SIGNAL</x:v>
      </x:c>
      <x:c r="B633" s="5" t="str">
        <x:v>CU-0033</x:v>
      </x:c>
      <x:c r="C633" s="5" t="str">
        <x:v>Нижегородский учебный центр «Энергетик»</x:v>
      </x:c>
      <x:c r="D633" s="5" t="str">
        <x:v>RU</x:v>
      </x:c>
      <x:c r="E633" s="5" t="str">
        <x:v>Новые программы</x:v>
      </x:c>
      <x:c r="F633" s="5" t="str">
        <x:v>"Россети" ("кадровый резерв" OR "электронный курс" OR "развитие руководителей")</x:v>
      </x:c>
      <x:c r="G633" s="5" t="str">
        <x:v>Ранний сигнал и предметный пробел; не подтвержденный заказ.</x:v>
      </x:c>
      <x:c r="H633" s="5" t="str">
        <x:v>not_run</x:v>
      </x:c>
    </x:row>
    <x:row r="634" ht="25.5" customHeight="1">
      <x:c r="A634" s="5" t="str">
        <x:v>CU-0034-DISCOVER</x:v>
      </x:c>
      <x:c r="B634" s="5" t="str">
        <x:v>CU-0034</x:v>
      </x:c>
      <x:c r="C634" s="5" t="str">
        <x:v>Учебный центр «Россети Урал»</x:v>
      </x:c>
      <x:c r="D634" s="5" t="str">
        <x:v>RU</x:v>
      </x:c>
      <x:c r="E634" s="5" t="str">
        <x:v>Новые каналы</x:v>
      </x:c>
      <x:c r="F634" s="5" t="str">
        <x:v>"Россети" (университет OR академия OR "учебный центр" OR обучение)</x:v>
      </x:c>
      <x:c r="G634" s="5" t="str">
        <x:v>Имена, подразделения и дополнительные официальные адреса.</x:v>
      </x:c>
      <x:c r="H634" s="5" t="str">
        <x:v>not_run</x:v>
      </x:c>
    </x:row>
    <x:row r="635" ht="25.5" customHeight="1">
      <x:c r="A635" s="5" t="str">
        <x:v>CU-0034-BUY</x:v>
      </x:c>
      <x:c r="B635" s="5" t="str">
        <x:v>CU-0034</x:v>
      </x:c>
      <x:c r="C635" s="5" t="str">
        <x:v>Учебный центр «Россети Урал»</x:v>
      </x:c>
      <x:c r="D635" s="5" t="str">
        <x:v>RU</x:v>
      </x:c>
      <x:c r="E635" s="5" t="str">
        <x:v>Закупки и отбор</x:v>
      </x:c>
      <x:c r="F635" s="5" t="str">
        <x:v>"Россети" (обучение OR тренинг OR семинар) (закупки OR "запрос предложений" OR поставщик)</x:v>
      </x:c>
      <x:c r="G635" s="5" t="str">
        <x:v>Найти конкретную карточку и приложения; запрос не доказывает спрос.</x:v>
      </x:c>
      <x:c r="H635" s="5" t="str">
        <x:v>not_run</x:v>
      </x:c>
    </x:row>
    <x:row r="636" ht="25.5" customHeight="1">
      <x:c r="A636" s="5" t="str">
        <x:v>CU-0034-EXPERT</x:v>
      </x:c>
      <x:c r="B636" s="5" t="str">
        <x:v>CU-0034</x:v>
      </x:c>
      <x:c r="C636" s="5" t="str">
        <x:v>Учебный центр «Россети Урал»</x:v>
      </x:c>
      <x:c r="D636" s="5" t="str">
        <x:v>RU</x:v>
      </x:c>
      <x:c r="E636" s="5" t="str">
        <x:v>Эксперты и партнеры</x:v>
      </x:c>
      <x:c r="F636" s="5" t="str">
        <x:v>"Россети" (преподаватель OR эксперт OR провайдер OR партнерство)</x:v>
      </x:c>
      <x:c r="G636" s="5" t="str">
        <x:v>Уточнить кто платит и какой вход для внешнего исполнителя.</x:v>
      </x:c>
      <x:c r="H636" s="5" t="str">
        <x:v>not_run</x:v>
      </x:c>
    </x:row>
    <x:row r="637" ht="25.5" customHeight="1">
      <x:c r="A637" s="5" t="str">
        <x:v>CU-0034-SIGNAL</x:v>
      </x:c>
      <x:c r="B637" s="5" t="str">
        <x:v>CU-0034</x:v>
      </x:c>
      <x:c r="C637" s="5" t="str">
        <x:v>Учебный центр «Россети Урал»</x:v>
      </x:c>
      <x:c r="D637" s="5" t="str">
        <x:v>RU</x:v>
      </x:c>
      <x:c r="E637" s="5" t="str">
        <x:v>Новые программы</x:v>
      </x:c>
      <x:c r="F637" s="5" t="str">
        <x:v>"Россети" ("кадровый резерв" OR "электронный курс" OR "развитие руководителей")</x:v>
      </x:c>
      <x:c r="G637" s="5" t="str">
        <x:v>Ранний сигнал и предметный пробел; не подтвержденный заказ.</x:v>
      </x:c>
      <x:c r="H637" s="5" t="str">
        <x:v>not_run</x:v>
      </x:c>
    </x:row>
    <x:row r="638" ht="25.5" customHeight="1">
      <x:c r="A638" s="5" t="str">
        <x:v>CU-0036-DISCOVER</x:v>
      </x:c>
      <x:c r="B638" s="5" t="str">
        <x:v>CU-0036</x:v>
      </x:c>
      <x:c r="C638" s="5" t="str">
        <x:v>Учебный комплекс «Россети Ленэнерго»</x:v>
      </x:c>
      <x:c r="D638" s="5" t="str">
        <x:v>RU</x:v>
      </x:c>
      <x:c r="E638" s="5" t="str">
        <x:v>Новые каналы</x:v>
      </x:c>
      <x:c r="F638" s="5" t="str">
        <x:v>"Россети" (университет OR академия OR "учебный центр" OR обучение)</x:v>
      </x:c>
      <x:c r="G638" s="5" t="str">
        <x:v>Имена, подразделения и дополнительные официальные адреса.</x:v>
      </x:c>
      <x:c r="H638" s="5" t="str">
        <x:v>not_run</x:v>
      </x:c>
    </x:row>
    <x:row r="639" ht="25.5" customHeight="1">
      <x:c r="A639" s="5" t="str">
        <x:v>CU-0036-BUY</x:v>
      </x:c>
      <x:c r="B639" s="5" t="str">
        <x:v>CU-0036</x:v>
      </x:c>
      <x:c r="C639" s="5" t="str">
        <x:v>Учебный комплекс «Россети Ленэнерго»</x:v>
      </x:c>
      <x:c r="D639" s="5" t="str">
        <x:v>RU</x:v>
      </x:c>
      <x:c r="E639" s="5" t="str">
        <x:v>Закупки и отбор</x:v>
      </x:c>
      <x:c r="F639" s="5" t="str">
        <x:v>"Россети" (обучение OR тренинг OR семинар) (закупки OR "запрос предложений" OR поставщик)</x:v>
      </x:c>
      <x:c r="G639" s="5" t="str">
        <x:v>Найти конкретную карточку и приложения; запрос не доказывает спрос.</x:v>
      </x:c>
      <x:c r="H639" s="5" t="str">
        <x:v>not_run</x:v>
      </x:c>
    </x:row>
    <x:row r="640" ht="25.5" customHeight="1">
      <x:c r="A640" s="5" t="str">
        <x:v>CU-0036-EXPERT</x:v>
      </x:c>
      <x:c r="B640" s="5" t="str">
        <x:v>CU-0036</x:v>
      </x:c>
      <x:c r="C640" s="5" t="str">
        <x:v>Учебный комплекс «Россети Ленэнерго»</x:v>
      </x:c>
      <x:c r="D640" s="5" t="str">
        <x:v>RU</x:v>
      </x:c>
      <x:c r="E640" s="5" t="str">
        <x:v>Эксперты и партнеры</x:v>
      </x:c>
      <x:c r="F640" s="5" t="str">
        <x:v>"Россети" (преподаватель OR эксперт OR провайдер OR партнерство)</x:v>
      </x:c>
      <x:c r="G640" s="5" t="str">
        <x:v>Уточнить кто платит и какой вход для внешнего исполнителя.</x:v>
      </x:c>
      <x:c r="H640" s="5" t="str">
        <x:v>not_run</x:v>
      </x:c>
    </x:row>
    <x:row r="641" ht="25.5" customHeight="1">
      <x:c r="A641" s="5" t="str">
        <x:v>CU-0036-SIGNAL</x:v>
      </x:c>
      <x:c r="B641" s="5" t="str">
        <x:v>CU-0036</x:v>
      </x:c>
      <x:c r="C641" s="5" t="str">
        <x:v>Учебный комплекс «Россети Ленэнерго»</x:v>
      </x:c>
      <x:c r="D641" s="5" t="str">
        <x:v>RU</x:v>
      </x:c>
      <x:c r="E641" s="5" t="str">
        <x:v>Новые программы</x:v>
      </x:c>
      <x:c r="F641" s="5" t="str">
        <x:v>"Россети" ("кадровый резерв" OR "электронный курс" OR "развитие руководителей")</x:v>
      </x:c>
      <x:c r="G641" s="5" t="str">
        <x:v>Ранний сигнал и предметный пробел; не подтвержденный заказ.</x:v>
      </x:c>
      <x:c r="H641" s="5" t="str">
        <x:v>not_run</x:v>
      </x:c>
    </x:row>
    <x:row r="642" ht="25.5" customHeight="1">
      <x:c r="A642" s="5" t="str">
        <x:v>CU-0037-DISCOVER</x:v>
      </x:c>
      <x:c r="B642" s="5" t="str">
        <x:v>CU-0037</x:v>
      </x:c>
      <x:c r="C642" s="5" t="str">
        <x:v>Новокуйбышевский учебный центр</x:v>
      </x:c>
      <x:c r="D642" s="5" t="str">
        <x:v>RU</x:v>
      </x:c>
      <x:c r="E642" s="5" t="str">
        <x:v>Новые каналы</x:v>
      </x:c>
      <x:c r="F642" s="5" t="str">
        <x:v>"Транснефть" (университет OR академия OR "учебный центр" OR обучение)</x:v>
      </x:c>
      <x:c r="G642" s="5" t="str">
        <x:v>Имена, подразделения и дополнительные официальные адреса.</x:v>
      </x:c>
      <x:c r="H642" s="5" t="str">
        <x:v>not_run</x:v>
      </x:c>
    </x:row>
    <x:row r="643" ht="25.5" customHeight="1">
      <x:c r="A643" s="5" t="str">
        <x:v>CU-0037-BUY</x:v>
      </x:c>
      <x:c r="B643" s="5" t="str">
        <x:v>CU-0037</x:v>
      </x:c>
      <x:c r="C643" s="5" t="str">
        <x:v>Новокуйбышевский учебный центр</x:v>
      </x:c>
      <x:c r="D643" s="5" t="str">
        <x:v>RU</x:v>
      </x:c>
      <x:c r="E643" s="5" t="str">
        <x:v>Закупки и отбор</x:v>
      </x:c>
      <x:c r="F643" s="5" t="str">
        <x:v>"Транснефть" (обучение OR тренинг OR семинар) (закупки OR "запрос предложений" OR поставщик)</x:v>
      </x:c>
      <x:c r="G643" s="5" t="str">
        <x:v>Найти конкретную карточку и приложения; запрос не доказывает спрос.</x:v>
      </x:c>
      <x:c r="H643" s="5" t="str">
        <x:v>not_run</x:v>
      </x:c>
    </x:row>
    <x:row r="644" ht="25.5" customHeight="1">
      <x:c r="A644" s="5" t="str">
        <x:v>CU-0037-EXPERT</x:v>
      </x:c>
      <x:c r="B644" s="5" t="str">
        <x:v>CU-0037</x:v>
      </x:c>
      <x:c r="C644" s="5" t="str">
        <x:v>Новокуйбышевский учебный центр</x:v>
      </x:c>
      <x:c r="D644" s="5" t="str">
        <x:v>RU</x:v>
      </x:c>
      <x:c r="E644" s="5" t="str">
        <x:v>Эксперты и партнеры</x:v>
      </x:c>
      <x:c r="F644" s="5" t="str">
        <x:v>"Транснефть" (преподаватель OR эксперт OR провайдер OR партнерство)</x:v>
      </x:c>
      <x:c r="G644" s="5" t="str">
        <x:v>Уточнить кто платит и какой вход для внешнего исполнителя.</x:v>
      </x:c>
      <x:c r="H644" s="5" t="str">
        <x:v>not_run</x:v>
      </x:c>
    </x:row>
    <x:row r="645" ht="25.5" customHeight="1">
      <x:c r="A645" s="5" t="str">
        <x:v>CU-0037-SIGNAL</x:v>
      </x:c>
      <x:c r="B645" s="5" t="str">
        <x:v>CU-0037</x:v>
      </x:c>
      <x:c r="C645" s="5" t="str">
        <x:v>Новокуйбышевский учебный центр</x:v>
      </x:c>
      <x:c r="D645" s="5" t="str">
        <x:v>RU</x:v>
      </x:c>
      <x:c r="E645" s="5" t="str">
        <x:v>Новые программы</x:v>
      </x:c>
      <x:c r="F645" s="5" t="str">
        <x:v>"Транснефть" ("кадровый резерв" OR "электронный курс" OR "развитие руководителей")</x:v>
      </x:c>
      <x:c r="G645" s="5" t="str">
        <x:v>Ранний сигнал и предметный пробел; не подтвержденный заказ.</x:v>
      </x:c>
      <x:c r="H645" s="5" t="str">
        <x:v>not_run</x:v>
      </x:c>
    </x:row>
    <x:row r="646" ht="25.5" customHeight="1">
      <x:c r="A646" s="5" t="str">
        <x:v>CU-0038-DISCOVER</x:v>
      </x:c>
      <x:c r="B646" s="5" t="str">
        <x:v>CU-0038</x:v>
      </x:c>
      <x:c r="C646" s="5" t="str">
        <x:v>Региональный учебный центр АО «Транснефть — Север»</x:v>
      </x:c>
      <x:c r="D646" s="5" t="str">
        <x:v>RU</x:v>
      </x:c>
      <x:c r="E646" s="5" t="str">
        <x:v>Новые каналы</x:v>
      </x:c>
      <x:c r="F646" s="5" t="str">
        <x:v>"Транснефть" (университет OR академия OR "учебный центр" OR обучение)</x:v>
      </x:c>
      <x:c r="G646" s="5" t="str">
        <x:v>Имена, подразделения и дополнительные официальные адреса.</x:v>
      </x:c>
      <x:c r="H646" s="5" t="str">
        <x:v>not_run</x:v>
      </x:c>
    </x:row>
    <x:row r="647" ht="25.5" customHeight="1">
      <x:c r="A647" s="5" t="str">
        <x:v>CU-0038-BUY</x:v>
      </x:c>
      <x:c r="B647" s="5" t="str">
        <x:v>CU-0038</x:v>
      </x:c>
      <x:c r="C647" s="5" t="str">
        <x:v>Региональный учебный центр АО «Транснефть — Север»</x:v>
      </x:c>
      <x:c r="D647" s="5" t="str">
        <x:v>RU</x:v>
      </x:c>
      <x:c r="E647" s="5" t="str">
        <x:v>Закупки и отбор</x:v>
      </x:c>
      <x:c r="F647" s="5" t="str">
        <x:v>"Транснефть" (обучение OR тренинг OR семинар) (закупки OR "запрос предложений" OR поставщик)</x:v>
      </x:c>
      <x:c r="G647" s="5" t="str">
        <x:v>Найти конкретную карточку и приложения; запрос не доказывает спрос.</x:v>
      </x:c>
      <x:c r="H647" s="5" t="str">
        <x:v>not_run</x:v>
      </x:c>
    </x:row>
    <x:row r="648" ht="25.5" customHeight="1">
      <x:c r="A648" s="5" t="str">
        <x:v>CU-0038-EXPERT</x:v>
      </x:c>
      <x:c r="B648" s="5" t="str">
        <x:v>CU-0038</x:v>
      </x:c>
      <x:c r="C648" s="5" t="str">
        <x:v>Региональный учебный центр АО «Транснефть — Север»</x:v>
      </x:c>
      <x:c r="D648" s="5" t="str">
        <x:v>RU</x:v>
      </x:c>
      <x:c r="E648" s="5" t="str">
        <x:v>Эксперты и партнеры</x:v>
      </x:c>
      <x:c r="F648" s="5" t="str">
        <x:v>"Транснефть" (преподаватель OR эксперт OR провайдер OR партнерство)</x:v>
      </x:c>
      <x:c r="G648" s="5" t="str">
        <x:v>Уточнить кто платит и какой вход для внешнего исполнителя.</x:v>
      </x:c>
      <x:c r="H648" s="5" t="str">
        <x:v>not_run</x:v>
      </x:c>
    </x:row>
    <x:row r="649" ht="25.5" customHeight="1">
      <x:c r="A649" s="5" t="str">
        <x:v>CU-0038-SIGNAL</x:v>
      </x:c>
      <x:c r="B649" s="5" t="str">
        <x:v>CU-0038</x:v>
      </x:c>
      <x:c r="C649" s="5" t="str">
        <x:v>Региональный учебный центр АО «Транснефть — Север»</x:v>
      </x:c>
      <x:c r="D649" s="5" t="str">
        <x:v>RU</x:v>
      </x:c>
      <x:c r="E649" s="5" t="str">
        <x:v>Новые программы</x:v>
      </x:c>
      <x:c r="F649" s="5" t="str">
        <x:v>"Транснефть" ("кадровый резерв" OR "электронный курс" OR "развитие руководителей")</x:v>
      </x:c>
      <x:c r="G649" s="5" t="str">
        <x:v>Ранний сигнал и предметный пробел; не подтвержденный заказ.</x:v>
      </x:c>
      <x:c r="H649" s="5" t="str">
        <x:v>not_run</x:v>
      </x:c>
    </x:row>
    <x:row r="650" ht="25.5" customHeight="1">
      <x:c r="A650" s="5" t="str">
        <x:v>CU-0040-DISCOVER</x:v>
      </x:c>
      <x:c r="B650" s="5" t="str">
        <x:v>CU-0040</x:v>
      </x:c>
      <x:c r="C650" s="5" t="str">
        <x:v>Учебный центр ПАО «Мосэнерго»</x:v>
      </x:c>
      <x:c r="D650" s="5" t="str">
        <x:v>RU</x:v>
      </x:c>
      <x:c r="E650" s="5" t="str">
        <x:v>Новые каналы</x:v>
      </x:c>
      <x:c r="F650" s="5" t="str">
        <x:v>"Газпром" (университет OR академия OR "учебный центр" OR обучение)</x:v>
      </x:c>
      <x:c r="G650" s="5" t="str">
        <x:v>Имена, подразделения и дополнительные официальные адреса.</x:v>
      </x:c>
      <x:c r="H650" s="5" t="str">
        <x:v>not_run</x:v>
      </x:c>
    </x:row>
    <x:row r="651" ht="25.5" customHeight="1">
      <x:c r="A651" s="5" t="str">
        <x:v>CU-0040-BUY</x:v>
      </x:c>
      <x:c r="B651" s="5" t="str">
        <x:v>CU-0040</x:v>
      </x:c>
      <x:c r="C651" s="5" t="str">
        <x:v>Учебный центр ПАО «Мосэнерго»</x:v>
      </x:c>
      <x:c r="D651" s="5" t="str">
        <x:v>RU</x:v>
      </x:c>
      <x:c r="E651" s="5" t="str">
        <x:v>Закупки и отбор</x:v>
      </x:c>
      <x:c r="F651" s="5" t="str">
        <x:v>"Газпром" (обучение OR тренинг OR семинар) (закупки OR "запрос предложений" OR поставщик)</x:v>
      </x:c>
      <x:c r="G651" s="5" t="str">
        <x:v>Найти конкретную карточку и приложения; запрос не доказывает спрос.</x:v>
      </x:c>
      <x:c r="H651" s="5" t="str">
        <x:v>not_run</x:v>
      </x:c>
    </x:row>
    <x:row r="652" ht="25.5" customHeight="1">
      <x:c r="A652" s="5" t="str">
        <x:v>CU-0040-EXPERT</x:v>
      </x:c>
      <x:c r="B652" s="5" t="str">
        <x:v>CU-0040</x:v>
      </x:c>
      <x:c r="C652" s="5" t="str">
        <x:v>Учебный центр ПАО «Мосэнерго»</x:v>
      </x:c>
      <x:c r="D652" s="5" t="str">
        <x:v>RU</x:v>
      </x:c>
      <x:c r="E652" s="5" t="str">
        <x:v>Эксперты и партнеры</x:v>
      </x:c>
      <x:c r="F652" s="5" t="str">
        <x:v>"Газпром" (преподаватель OR эксперт OR провайдер OR партнерство)</x:v>
      </x:c>
      <x:c r="G652" s="5" t="str">
        <x:v>Уточнить кто платит и какой вход для внешнего исполнителя.</x:v>
      </x:c>
      <x:c r="H652" s="5" t="str">
        <x:v>not_run</x:v>
      </x:c>
    </x:row>
    <x:row r="653" ht="25.5" customHeight="1">
      <x:c r="A653" s="5" t="str">
        <x:v>CU-0040-SIGNAL</x:v>
      </x:c>
      <x:c r="B653" s="5" t="str">
        <x:v>CU-0040</x:v>
      </x:c>
      <x:c r="C653" s="5" t="str">
        <x:v>Учебный центр ПАО «Мосэнерго»</x:v>
      </x:c>
      <x:c r="D653" s="5" t="str">
        <x:v>RU</x:v>
      </x:c>
      <x:c r="E653" s="5" t="str">
        <x:v>Новые программы</x:v>
      </x:c>
      <x:c r="F653" s="5" t="str">
        <x:v>"Газпром" ("кадровый резерв" OR "электронный курс" OR "развитие руководителей")</x:v>
      </x:c>
      <x:c r="G653" s="5" t="str">
        <x:v>Ранний сигнал и предметный пробел; не подтвержденный заказ.</x:v>
      </x:c>
      <x:c r="H653" s="5" t="str">
        <x:v>not_run</x:v>
      </x:c>
    </x:row>
    <x:row r="654" ht="25.5" customHeight="1">
      <x:c r="A654" s="5" t="str">
        <x:v>CU-0053-DISCOVER</x:v>
      </x:c>
      <x:c r="B654" s="5" t="str">
        <x:v>CU-0053</x:v>
      </x:c>
      <x:c r="C654" s="5" t="str">
        <x:v>Учебный центр Корпорации ВСМПО-АВИСМА</x:v>
      </x:c>
      <x:c r="D654" s="5" t="str">
        <x:v>RU</x:v>
      </x:c>
      <x:c r="E654" s="5" t="str">
        <x:v>Новые каналы</x:v>
      </x:c>
      <x:c r="F654" s="5" t="str">
        <x:v>"ВСМПО-АВИСМА" (университет OR академия OR "учебный центр" OR обучение)</x:v>
      </x:c>
      <x:c r="G654" s="5" t="str">
        <x:v>Имена, подразделения и дополнительные официальные адреса.</x:v>
      </x:c>
      <x:c r="H654" s="5" t="str">
        <x:v>not_run</x:v>
      </x:c>
    </x:row>
    <x:row r="655" ht="25.5" customHeight="1">
      <x:c r="A655" s="5" t="str">
        <x:v>CU-0053-BUY</x:v>
      </x:c>
      <x:c r="B655" s="5" t="str">
        <x:v>CU-0053</x:v>
      </x:c>
      <x:c r="C655" s="5" t="str">
        <x:v>Учебный центр Корпорации ВСМПО-АВИСМА</x:v>
      </x:c>
      <x:c r="D655" s="5" t="str">
        <x:v>RU</x:v>
      </x:c>
      <x:c r="E655" s="5" t="str">
        <x:v>Закупки и отбор</x:v>
      </x:c>
      <x:c r="F655" s="5" t="str">
        <x:v>"ВСМПО-АВИСМА" (обучение OR тренинг OR семинар) (закупки OR "запрос предложений" OR поставщик)</x:v>
      </x:c>
      <x:c r="G655" s="5" t="str">
        <x:v>Найти конкретную карточку и приложения; запрос не доказывает спрос.</x:v>
      </x:c>
      <x:c r="H655" s="5" t="str">
        <x:v>not_run</x:v>
      </x:c>
    </x:row>
    <x:row r="656" ht="25.5" customHeight="1">
      <x:c r="A656" s="5" t="str">
        <x:v>CU-0053-EXPERT</x:v>
      </x:c>
      <x:c r="B656" s="5" t="str">
        <x:v>CU-0053</x:v>
      </x:c>
      <x:c r="C656" s="5" t="str">
        <x:v>Учебный центр Корпорации ВСМПО-АВИСМА</x:v>
      </x:c>
      <x:c r="D656" s="5" t="str">
        <x:v>RU</x:v>
      </x:c>
      <x:c r="E656" s="5" t="str">
        <x:v>Эксперты и партнеры</x:v>
      </x:c>
      <x:c r="F656" s="5" t="str">
        <x:v>"ВСМПО-АВИСМА" (преподаватель OR эксперт OR провайдер OR партнерство)</x:v>
      </x:c>
      <x:c r="G656" s="5" t="str">
        <x:v>Уточнить кто платит и какой вход для внешнего исполнителя.</x:v>
      </x:c>
      <x:c r="H656" s="5" t="str">
        <x:v>not_run</x:v>
      </x:c>
    </x:row>
    <x:row r="657" ht="25.5" customHeight="1">
      <x:c r="A657" s="5" t="str">
        <x:v>CU-0053-SIGNAL</x:v>
      </x:c>
      <x:c r="B657" s="5" t="str">
        <x:v>CU-0053</x:v>
      </x:c>
      <x:c r="C657" s="5" t="str">
        <x:v>Учебный центр Корпорации ВСМПО-АВИСМА</x:v>
      </x:c>
      <x:c r="D657" s="5" t="str">
        <x:v>RU</x:v>
      </x:c>
      <x:c r="E657" s="5" t="str">
        <x:v>Новые программы</x:v>
      </x:c>
      <x:c r="F657" s="5" t="str">
        <x:v>"ВСМПО-АВИСМА" ("кадровый резерв" OR "электронный курс" OR "развитие руководителей")</x:v>
      </x:c>
      <x:c r="G657" s="5" t="str">
        <x:v>Ранний сигнал и предметный пробел; не подтвержденный заказ.</x:v>
      </x:c>
      <x:c r="H657" s="5" t="str">
        <x:v>not_run</x:v>
      </x:c>
    </x:row>
    <x:row r="658" ht="25.5" customHeight="1">
      <x:c r="A658" s="5" t="str">
        <x:v>CU-0057-DISCOVER</x:v>
      </x:c>
      <x:c r="B658" s="5" t="str">
        <x:v>CU-0057</x:v>
      </x:c>
      <x:c r="C658" s="5" t="str">
        <x:v>Учебный центр ФосАгро</x:v>
      </x:c>
      <x:c r="D658" s="5" t="str">
        <x:v>RU</x:v>
      </x:c>
      <x:c r="E658" s="5" t="str">
        <x:v>Новые каналы</x:v>
      </x:c>
      <x:c r="F658" s="5" t="str">
        <x:v>"ФосАгро" (университет OR академия OR "учебный центр" OR обучение)</x:v>
      </x:c>
      <x:c r="G658" s="5" t="str">
        <x:v>Имена, подразделения и дополнительные официальные адреса.</x:v>
      </x:c>
      <x:c r="H658" s="5" t="str">
        <x:v>not_run</x:v>
      </x:c>
    </x:row>
    <x:row r="659" ht="25.5" customHeight="1">
      <x:c r="A659" s="5" t="str">
        <x:v>CU-0057-BUY</x:v>
      </x:c>
      <x:c r="B659" s="5" t="str">
        <x:v>CU-0057</x:v>
      </x:c>
      <x:c r="C659" s="5" t="str">
        <x:v>Учебный центр ФосАгро</x:v>
      </x:c>
      <x:c r="D659" s="5" t="str">
        <x:v>RU</x:v>
      </x:c>
      <x:c r="E659" s="5" t="str">
        <x:v>Закупки и отбор</x:v>
      </x:c>
      <x:c r="F659" s="5" t="str">
        <x:v>"ФосАгро" (обучение OR тренинг OR семинар) (закупки OR "запрос предложений" OR поставщик)</x:v>
      </x:c>
      <x:c r="G659" s="5" t="str">
        <x:v>Найти конкретную карточку и приложения; запрос не доказывает спрос.</x:v>
      </x:c>
      <x:c r="H659" s="5" t="str">
        <x:v>not_run</x:v>
      </x:c>
    </x:row>
    <x:row r="660" ht="25.5" customHeight="1">
      <x:c r="A660" s="5" t="str">
        <x:v>CU-0057-EXPERT</x:v>
      </x:c>
      <x:c r="B660" s="5" t="str">
        <x:v>CU-0057</x:v>
      </x:c>
      <x:c r="C660" s="5" t="str">
        <x:v>Учебный центр ФосАгро</x:v>
      </x:c>
      <x:c r="D660" s="5" t="str">
        <x:v>RU</x:v>
      </x:c>
      <x:c r="E660" s="5" t="str">
        <x:v>Эксперты и партнеры</x:v>
      </x:c>
      <x:c r="F660" s="5" t="str">
        <x:v>"ФосАгро" (преподаватель OR эксперт OR провайдер OR партнерство)</x:v>
      </x:c>
      <x:c r="G660" s="5" t="str">
        <x:v>Уточнить кто платит и какой вход для внешнего исполнителя.</x:v>
      </x:c>
      <x:c r="H660" s="5" t="str">
        <x:v>not_run</x:v>
      </x:c>
    </x:row>
    <x:row r="661" ht="25.5" customHeight="1">
      <x:c r="A661" s="5" t="str">
        <x:v>CU-0057-SIGNAL</x:v>
      </x:c>
      <x:c r="B661" s="5" t="str">
        <x:v>CU-0057</x:v>
      </x:c>
      <x:c r="C661" s="5" t="str">
        <x:v>Учебный центр ФосАгро</x:v>
      </x:c>
      <x:c r="D661" s="5" t="str">
        <x:v>RU</x:v>
      </x:c>
      <x:c r="E661" s="5" t="str">
        <x:v>Новые программы</x:v>
      </x:c>
      <x:c r="F661" s="5" t="str">
        <x:v>"ФосАгро" ("кадровый резерв" OR "электронный курс" OR "развитие руководителей")</x:v>
      </x:c>
      <x:c r="G661" s="5" t="str">
        <x:v>Ранний сигнал и предметный пробел; не подтвержденный заказ.</x:v>
      </x:c>
      <x:c r="H661" s="5" t="str">
        <x:v>not_run</x:v>
      </x:c>
    </x:row>
    <x:row r="662" ht="25.5" customHeight="1">
      <x:c r="A662" s="5" t="str">
        <x:v>CU-0058-DISCOVER</x:v>
      </x:c>
      <x:c r="B662" s="5" t="str">
        <x:v>CU-0058</x:v>
      </x:c>
      <x:c r="C662" s="5" t="str">
        <x:v>Учебный центр ПАО «Акрон»</x:v>
      </x:c>
      <x:c r="D662" s="5" t="str">
        <x:v>RU</x:v>
      </x:c>
      <x:c r="E662" s="5" t="str">
        <x:v>Новые каналы</x:v>
      </x:c>
      <x:c r="F662" s="5" t="str">
        <x:v>"Группа Акрон" (университет OR академия OR "учебный центр" OR обучение)</x:v>
      </x:c>
      <x:c r="G662" s="5" t="str">
        <x:v>Имена, подразделения и дополнительные официальные адреса.</x:v>
      </x:c>
      <x:c r="H662" s="5" t="str">
        <x:v>not_run</x:v>
      </x:c>
    </x:row>
    <x:row r="663" ht="25.5" customHeight="1">
      <x:c r="A663" s="5" t="str">
        <x:v>CU-0058-BUY</x:v>
      </x:c>
      <x:c r="B663" s="5" t="str">
        <x:v>CU-0058</x:v>
      </x:c>
      <x:c r="C663" s="5" t="str">
        <x:v>Учебный центр ПАО «Акрон»</x:v>
      </x:c>
      <x:c r="D663" s="5" t="str">
        <x:v>RU</x:v>
      </x:c>
      <x:c r="E663" s="5" t="str">
        <x:v>Закупки и отбор</x:v>
      </x:c>
      <x:c r="F663" s="5" t="str">
        <x:v>"Группа Акрон" (обучение OR тренинг OR семинар) (закупки OR "запрос предложений" OR поставщик)</x:v>
      </x:c>
      <x:c r="G663" s="5" t="str">
        <x:v>Найти конкретную карточку и приложения; запрос не доказывает спрос.</x:v>
      </x:c>
      <x:c r="H663" s="5" t="str">
        <x:v>not_run</x:v>
      </x:c>
    </x:row>
    <x:row r="664" ht="25.5" customHeight="1">
      <x:c r="A664" s="5" t="str">
        <x:v>CU-0058-EXPERT</x:v>
      </x:c>
      <x:c r="B664" s="5" t="str">
        <x:v>CU-0058</x:v>
      </x:c>
      <x:c r="C664" s="5" t="str">
        <x:v>Учебный центр ПАО «Акрон»</x:v>
      </x:c>
      <x:c r="D664" s="5" t="str">
        <x:v>RU</x:v>
      </x:c>
      <x:c r="E664" s="5" t="str">
        <x:v>Эксперты и партнеры</x:v>
      </x:c>
      <x:c r="F664" s="5" t="str">
        <x:v>"Группа Акрон" (преподаватель OR эксперт OR провайдер OR партнерство)</x:v>
      </x:c>
      <x:c r="G664" s="5" t="str">
        <x:v>Уточнить кто платит и какой вход для внешнего исполнителя.</x:v>
      </x:c>
      <x:c r="H664" s="5" t="str">
        <x:v>not_run</x:v>
      </x:c>
    </x:row>
    <x:row r="665" ht="25.5" customHeight="1">
      <x:c r="A665" s="5" t="str">
        <x:v>CU-0058-SIGNAL</x:v>
      </x:c>
      <x:c r="B665" s="5" t="str">
        <x:v>CU-0058</x:v>
      </x:c>
      <x:c r="C665" s="5" t="str">
        <x:v>Учебный центр ПАО «Акрон»</x:v>
      </x:c>
      <x:c r="D665" s="5" t="str">
        <x:v>RU</x:v>
      </x:c>
      <x:c r="E665" s="5" t="str">
        <x:v>Новые программы</x:v>
      </x:c>
      <x:c r="F665" s="5" t="str">
        <x:v>"Группа Акрон" ("кадровый резерв" OR "электронный курс" OR "развитие руководителей")</x:v>
      </x:c>
      <x:c r="G665" s="5" t="str">
        <x:v>Ранний сигнал и предметный пробел; не подтвержденный заказ.</x:v>
      </x:c>
      <x:c r="H665" s="5" t="str">
        <x:v>not_run</x:v>
      </x:c>
    </x:row>
    <x:row r="666" ht="25.5" customHeight="1">
      <x:c r="A666" s="5" t="str">
        <x:v>CU-0069-DISCOVER</x:v>
      </x:c>
      <x:c r="B666" s="5" t="str">
        <x:v>CU-0069</x:v>
      </x:c>
      <x:c r="C666" s="5" t="str">
        <x:v>Учебный центр «Силовых машин»</x:v>
      </x:c>
      <x:c r="D666" s="5" t="str">
        <x:v>RU</x:v>
      </x:c>
      <x:c r="E666" s="5" t="str">
        <x:v>Новые каналы</x:v>
      </x:c>
      <x:c r="F666" s="5" t="str">
        <x:v>"Силовые машины" (университет OR академия OR "учебный центр" OR обучение)</x:v>
      </x:c>
      <x:c r="G666" s="5" t="str">
        <x:v>Имена, подразделения и дополнительные официальные адреса.</x:v>
      </x:c>
      <x:c r="H666" s="5" t="str">
        <x:v>not_run</x:v>
      </x:c>
    </x:row>
    <x:row r="667" ht="25.5" customHeight="1">
      <x:c r="A667" s="5" t="str">
        <x:v>CU-0069-BUY</x:v>
      </x:c>
      <x:c r="B667" s="5" t="str">
        <x:v>CU-0069</x:v>
      </x:c>
      <x:c r="C667" s="5" t="str">
        <x:v>Учебный центр «Силовых машин»</x:v>
      </x:c>
      <x:c r="D667" s="5" t="str">
        <x:v>RU</x:v>
      </x:c>
      <x:c r="E667" s="5" t="str">
        <x:v>Закупки и отбор</x:v>
      </x:c>
      <x:c r="F667" s="5" t="str">
        <x:v>"Силовые машины" (обучение OR тренинг OR семинар) (закупки OR "запрос предложений" OR поставщик)</x:v>
      </x:c>
      <x:c r="G667" s="5" t="str">
        <x:v>Найти конкретную карточку и приложения; запрос не доказывает спрос.</x:v>
      </x:c>
      <x:c r="H667" s="5" t="str">
        <x:v>not_run</x:v>
      </x:c>
    </x:row>
    <x:row r="668" ht="25.5" customHeight="1">
      <x:c r="A668" s="5" t="str">
        <x:v>CU-0069-EXPERT</x:v>
      </x:c>
      <x:c r="B668" s="5" t="str">
        <x:v>CU-0069</x:v>
      </x:c>
      <x:c r="C668" s="5" t="str">
        <x:v>Учебный центр «Силовых машин»</x:v>
      </x:c>
      <x:c r="D668" s="5" t="str">
        <x:v>RU</x:v>
      </x:c>
      <x:c r="E668" s="5" t="str">
        <x:v>Эксперты и партнеры</x:v>
      </x:c>
      <x:c r="F668" s="5" t="str">
        <x:v>"Силовые машины" (преподаватель OR эксперт OR провайдер OR партнерство)</x:v>
      </x:c>
      <x:c r="G668" s="5" t="str">
        <x:v>Уточнить кто платит и какой вход для внешнего исполнителя.</x:v>
      </x:c>
      <x:c r="H668" s="5" t="str">
        <x:v>not_run</x:v>
      </x:c>
    </x:row>
    <x:row r="669" ht="25.5" customHeight="1">
      <x:c r="A669" s="5" t="str">
        <x:v>CU-0069-SIGNAL</x:v>
      </x:c>
      <x:c r="B669" s="5" t="str">
        <x:v>CU-0069</x:v>
      </x:c>
      <x:c r="C669" s="5" t="str">
        <x:v>Учебный центр «Силовых машин»</x:v>
      </x:c>
      <x:c r="D669" s="5" t="str">
        <x:v>RU</x:v>
      </x:c>
      <x:c r="E669" s="5" t="str">
        <x:v>Новые программы</x:v>
      </x:c>
      <x:c r="F669" s="5" t="str">
        <x:v>"Силовые машины" ("кадровый резерв" OR "электронный курс" OR "развитие руководителей")</x:v>
      </x:c>
      <x:c r="G669" s="5" t="str">
        <x:v>Ранний сигнал и предметный пробел; не подтвержденный заказ.</x:v>
      </x:c>
      <x:c r="H669" s="5" t="str">
        <x:v>not_run</x:v>
      </x:c>
    </x:row>
    <x:row r="670" ht="25.5" customHeight="1">
      <x:c r="A670" s="5" t="str">
        <x:v>CU-0073-DISCOVER</x:v>
      </x:c>
      <x:c r="B670" s="5" t="str">
        <x:v>CU-0073</x:v>
      </x:c>
      <x:c r="C670" s="5" t="str">
        <x:v>Технологический университет ЕвроХима</x:v>
      </x:c>
      <x:c r="D670" s="5" t="str">
        <x:v>RU</x:v>
      </x:c>
      <x:c r="E670" s="5" t="str">
        <x:v>Новые каналы</x:v>
      </x:c>
      <x:c r="F670" s="5" t="str">
        <x:v>"ЕвроХим" (университет OR академия OR "учебный центр" OR обучение)</x:v>
      </x:c>
      <x:c r="G670" s="5" t="str">
        <x:v>Имена, подразделения и дополнительные официальные адреса.</x:v>
      </x:c>
      <x:c r="H670" s="5" t="str">
        <x:v>not_run</x:v>
      </x:c>
    </x:row>
    <x:row r="671" ht="25.5" customHeight="1">
      <x:c r="A671" s="5" t="str">
        <x:v>CU-0073-BUY</x:v>
      </x:c>
      <x:c r="B671" s="5" t="str">
        <x:v>CU-0073</x:v>
      </x:c>
      <x:c r="C671" s="5" t="str">
        <x:v>Технологический университет ЕвроХима</x:v>
      </x:c>
      <x:c r="D671" s="5" t="str">
        <x:v>RU</x:v>
      </x:c>
      <x:c r="E671" s="5" t="str">
        <x:v>Закупки и отбор</x:v>
      </x:c>
      <x:c r="F671" s="5" t="str">
        <x:v>"ЕвроХим" (обучение OR тренинг OR семинар) (закупки OR "запрос предложений" OR поставщик)</x:v>
      </x:c>
      <x:c r="G671" s="5" t="str">
        <x:v>Найти конкретную карточку и приложения; запрос не доказывает спрос.</x:v>
      </x:c>
      <x:c r="H671" s="5" t="str">
        <x:v>not_run</x:v>
      </x:c>
    </x:row>
    <x:row r="672" ht="25.5" customHeight="1">
      <x:c r="A672" s="5" t="str">
        <x:v>CU-0073-EXPERT</x:v>
      </x:c>
      <x:c r="B672" s="5" t="str">
        <x:v>CU-0073</x:v>
      </x:c>
      <x:c r="C672" s="5" t="str">
        <x:v>Технологический университет ЕвроХима</x:v>
      </x:c>
      <x:c r="D672" s="5" t="str">
        <x:v>RU</x:v>
      </x:c>
      <x:c r="E672" s="5" t="str">
        <x:v>Эксперты и партнеры</x:v>
      </x:c>
      <x:c r="F672" s="5" t="str">
        <x:v>"ЕвроХим" (преподаватель OR эксперт OR провайдер OR партнерство)</x:v>
      </x:c>
      <x:c r="G672" s="5" t="str">
        <x:v>Уточнить кто платит и какой вход для внешнего исполнителя.</x:v>
      </x:c>
      <x:c r="H672" s="5" t="str">
        <x:v>not_run</x:v>
      </x:c>
    </x:row>
    <x:row r="673" ht="25.5" customHeight="1">
      <x:c r="A673" s="5" t="str">
        <x:v>CU-0073-SIGNAL</x:v>
      </x:c>
      <x:c r="B673" s="5" t="str">
        <x:v>CU-0073</x:v>
      </x:c>
      <x:c r="C673" s="5" t="str">
        <x:v>Технологический университет ЕвроХима</x:v>
      </x:c>
      <x:c r="D673" s="5" t="str">
        <x:v>RU</x:v>
      </x:c>
      <x:c r="E673" s="5" t="str">
        <x:v>Новые программы</x:v>
      </x:c>
      <x:c r="F673" s="5" t="str">
        <x:v>"ЕвроХим" ("кадровый резерв" OR "электронный курс" OR "развитие руководителей")</x:v>
      </x:c>
      <x:c r="G673" s="5" t="str">
        <x:v>Ранний сигнал и предметный пробел; не подтвержденный заказ.</x:v>
      </x:c>
      <x:c r="H673" s="5" t="str">
        <x:v>not_run</x:v>
      </x:c>
    </x:row>
    <x:row r="674" ht="25.5" customHeight="1">
      <x:c r="A674" s="5" t="str">
        <x:v>CU-0076-DISCOVER</x:v>
      </x:c>
      <x:c r="B674" s="5" t="str">
        <x:v>CU-0076</x:v>
      </x:c>
      <x:c r="C674" s="5" t="str">
        <x:v>Научно-образовательный центр Обуховского завода</x:v>
      </x:c>
      <x:c r="D674" s="5" t="str">
        <x:v>RU</x:v>
      </x:c>
      <x:c r="E674" s="5" t="str">
        <x:v>Новые каналы</x:v>
      </x:c>
      <x:c r="F674" s="5" t="str">
        <x:v>"Алмаз-Антей" (университет OR академия OR "учебный центр" OR обучение)</x:v>
      </x:c>
      <x:c r="G674" s="5" t="str">
        <x:v>Имена, подразделения и дополнительные официальные адреса.</x:v>
      </x:c>
      <x:c r="H674" s="5" t="str">
        <x:v>not_run</x:v>
      </x:c>
    </x:row>
    <x:row r="675" ht="25.5" customHeight="1">
      <x:c r="A675" s="5" t="str">
        <x:v>CU-0076-BUY</x:v>
      </x:c>
      <x:c r="B675" s="5" t="str">
        <x:v>CU-0076</x:v>
      </x:c>
      <x:c r="C675" s="5" t="str">
        <x:v>Научно-образовательный центр Обуховского завода</x:v>
      </x:c>
      <x:c r="D675" s="5" t="str">
        <x:v>RU</x:v>
      </x:c>
      <x:c r="E675" s="5" t="str">
        <x:v>Закупки и отбор</x:v>
      </x:c>
      <x:c r="F675" s="5" t="str">
        <x:v>"Алмаз-Антей" (обучение OR тренинг OR семинар) (закупки OR "запрос предложений" OR поставщик)</x:v>
      </x:c>
      <x:c r="G675" s="5" t="str">
        <x:v>Найти конкретную карточку и приложения; запрос не доказывает спрос.</x:v>
      </x:c>
      <x:c r="H675" s="5" t="str">
        <x:v>not_run</x:v>
      </x:c>
    </x:row>
    <x:row r="676" ht="25.5" customHeight="1">
      <x:c r="A676" s="5" t="str">
        <x:v>CU-0076-EXPERT</x:v>
      </x:c>
      <x:c r="B676" s="5" t="str">
        <x:v>CU-0076</x:v>
      </x:c>
      <x:c r="C676" s="5" t="str">
        <x:v>Научно-образовательный центр Обуховского завода</x:v>
      </x:c>
      <x:c r="D676" s="5" t="str">
        <x:v>RU</x:v>
      </x:c>
      <x:c r="E676" s="5" t="str">
        <x:v>Эксперты и партнеры</x:v>
      </x:c>
      <x:c r="F676" s="5" t="str">
        <x:v>"Алмаз-Антей" (преподаватель OR эксперт OR провайдер OR партнерство)</x:v>
      </x:c>
      <x:c r="G676" s="5" t="str">
        <x:v>Уточнить кто платит и какой вход для внешнего исполнителя.</x:v>
      </x:c>
      <x:c r="H676" s="5" t="str">
        <x:v>not_run</x:v>
      </x:c>
    </x:row>
    <x:row r="677" ht="25.5" customHeight="1">
      <x:c r="A677" s="5" t="str">
        <x:v>CU-0076-SIGNAL</x:v>
      </x:c>
      <x:c r="B677" s="5" t="str">
        <x:v>CU-0076</x:v>
      </x:c>
      <x:c r="C677" s="5" t="str">
        <x:v>Научно-образовательный центр Обуховского завода</x:v>
      </x:c>
      <x:c r="D677" s="5" t="str">
        <x:v>RU</x:v>
      </x:c>
      <x:c r="E677" s="5" t="str">
        <x:v>Новые программы</x:v>
      </x:c>
      <x:c r="F677" s="5" t="str">
        <x:v>"Алмаз-Антей" ("кадровый резерв" OR "электронный курс" OR "развитие руководителей")</x:v>
      </x:c>
      <x:c r="G677" s="5" t="str">
        <x:v>Ранний сигнал и предметный пробел; не подтвержденный заказ.</x:v>
      </x:c>
      <x:c r="H677" s="5" t="str">
        <x:v>not_run</x:v>
      </x:c>
    </x:row>
    <x:row r="678" ht="31.5" customHeight="1">
      <x:c r="A678" s="5" t="str">
        <x:v>CU-0077-DISCOVER</x:v>
      </x:c>
      <x:c r="B678" s="5" t="str">
        <x:v>CU-0077</x:v>
      </x:c>
      <x:c r="C678" s="5" t="str">
        <x:v>Региональный центр подготовки персонала «Евраз-Сибирь»</x:v>
      </x:c>
      <x:c r="D678" s="5" t="str">
        <x:v>RU</x:v>
      </x:c>
      <x:c r="E678" s="5" t="str">
        <x:v>Новые каналы</x:v>
      </x:c>
      <x:c r="F678" s="5" t="str">
        <x:v>"ЕВРАЗ" (университет OR академия OR "учебный центр" OR обучение)</x:v>
      </x:c>
      <x:c r="G678" s="5" t="str">
        <x:v>Имена, подразделения и дополнительные официальные адреса.</x:v>
      </x:c>
      <x:c r="H678" s="5" t="str">
        <x:v>not_run</x:v>
      </x:c>
    </x:row>
    <x:row r="679" ht="31.5" customHeight="1">
      <x:c r="A679" s="5" t="str">
        <x:v>CU-0077-BUY</x:v>
      </x:c>
      <x:c r="B679" s="5" t="str">
        <x:v>CU-0077</x:v>
      </x:c>
      <x:c r="C679" s="5" t="str">
        <x:v>Региональный центр подготовки персонала «Евраз-Сибирь»</x:v>
      </x:c>
      <x:c r="D679" s="5" t="str">
        <x:v>RU</x:v>
      </x:c>
      <x:c r="E679" s="5" t="str">
        <x:v>Закупки и отбор</x:v>
      </x:c>
      <x:c r="F679" s="5" t="str">
        <x:v>"ЕВРАЗ" (обучение OR тренинг OR семинар) (закупки OR "запрос предложений" OR поставщик)</x:v>
      </x:c>
      <x:c r="G679" s="5" t="str">
        <x:v>Найти конкретную карточку и приложения; запрос не доказывает спрос.</x:v>
      </x:c>
      <x:c r="H679" s="5" t="str">
        <x:v>not_run</x:v>
      </x:c>
    </x:row>
    <x:row r="680" ht="31.5" customHeight="1">
      <x:c r="A680" s="5" t="str">
        <x:v>CU-0077-EXPERT</x:v>
      </x:c>
      <x:c r="B680" s="5" t="str">
        <x:v>CU-0077</x:v>
      </x:c>
      <x:c r="C680" s="5" t="str">
        <x:v>Региональный центр подготовки персонала «Евраз-Сибирь»</x:v>
      </x:c>
      <x:c r="D680" s="5" t="str">
        <x:v>RU</x:v>
      </x:c>
      <x:c r="E680" s="5" t="str">
        <x:v>Эксперты и партнеры</x:v>
      </x:c>
      <x:c r="F680" s="5" t="str">
        <x:v>"ЕВРАЗ" (преподаватель OR эксперт OR провайдер OR партнерство)</x:v>
      </x:c>
      <x:c r="G680" s="5" t="str">
        <x:v>Уточнить кто платит и какой вход для внешнего исполнителя.</x:v>
      </x:c>
      <x:c r="H680" s="5" t="str">
        <x:v>not_run</x:v>
      </x:c>
    </x:row>
    <x:row r="681" ht="31.5" customHeight="1">
      <x:c r="A681" s="5" t="str">
        <x:v>CU-0077-SIGNAL</x:v>
      </x:c>
      <x:c r="B681" s="5" t="str">
        <x:v>CU-0077</x:v>
      </x:c>
      <x:c r="C681" s="5" t="str">
        <x:v>Региональный центр подготовки персонала «Евраз-Сибирь»</x:v>
      </x:c>
      <x:c r="D681" s="5" t="str">
        <x:v>RU</x:v>
      </x:c>
      <x:c r="E681" s="5" t="str">
        <x:v>Новые программы</x:v>
      </x:c>
      <x:c r="F681" s="5" t="str">
        <x:v>"ЕВРАЗ" ("кадровый резерв" OR "электронный курс" OR "развитие руководителей")</x:v>
      </x:c>
      <x:c r="G681" s="5" t="str">
        <x:v>Ранний сигнал и предметный пробел; не подтвержденный заказ.</x:v>
      </x:c>
      <x:c r="H681" s="5" t="str">
        <x:v>not_run</x:v>
      </x:c>
    </x:row>
    <x:row r="682" ht="25.5" customHeight="1">
      <x:c r="A682" s="5" t="str">
        <x:v>CU-0078-DISCOVER</x:v>
      </x:c>
      <x:c r="B682" s="5" t="str">
        <x:v>CU-0078</x:v>
      </x:c>
      <x:c r="C682" s="5" t="str">
        <x:v>Центр подготовки персонала «Евраз-Урал»</x:v>
      </x:c>
      <x:c r="D682" s="5" t="str">
        <x:v>RU</x:v>
      </x:c>
      <x:c r="E682" s="5" t="str">
        <x:v>Новые каналы</x:v>
      </x:c>
      <x:c r="F682" s="5" t="str">
        <x:v>"ЕВРАЗ" (университет OR академия OR "учебный центр" OR обучение)</x:v>
      </x:c>
      <x:c r="G682" s="5" t="str">
        <x:v>Имена, подразделения и дополнительные официальные адреса.</x:v>
      </x:c>
      <x:c r="H682" s="5" t="str">
        <x:v>not_run</x:v>
      </x:c>
    </x:row>
    <x:row r="683" ht="25.5" customHeight="1">
      <x:c r="A683" s="5" t="str">
        <x:v>CU-0078-BUY</x:v>
      </x:c>
      <x:c r="B683" s="5" t="str">
        <x:v>CU-0078</x:v>
      </x:c>
      <x:c r="C683" s="5" t="str">
        <x:v>Центр подготовки персонала «Евраз-Урал»</x:v>
      </x:c>
      <x:c r="D683" s="5" t="str">
        <x:v>RU</x:v>
      </x:c>
      <x:c r="E683" s="5" t="str">
        <x:v>Закупки и отбор</x:v>
      </x:c>
      <x:c r="F683" s="5" t="str">
        <x:v>"ЕВРАЗ" (обучение OR тренинг OR семинар) (закупки OR "запрос предложений" OR поставщик)</x:v>
      </x:c>
      <x:c r="G683" s="5" t="str">
        <x:v>Найти конкретную карточку и приложения; запрос не доказывает спрос.</x:v>
      </x:c>
      <x:c r="H683" s="5" t="str">
        <x:v>not_run</x:v>
      </x:c>
    </x:row>
    <x:row r="684" ht="25.5" customHeight="1">
      <x:c r="A684" s="5" t="str">
        <x:v>CU-0078-EXPERT</x:v>
      </x:c>
      <x:c r="B684" s="5" t="str">
        <x:v>CU-0078</x:v>
      </x:c>
      <x:c r="C684" s="5" t="str">
        <x:v>Центр подготовки персонала «Евраз-Урал»</x:v>
      </x:c>
      <x:c r="D684" s="5" t="str">
        <x:v>RU</x:v>
      </x:c>
      <x:c r="E684" s="5" t="str">
        <x:v>Эксперты и партнеры</x:v>
      </x:c>
      <x:c r="F684" s="5" t="str">
        <x:v>"ЕВРАЗ" (преподаватель OR эксперт OR провайдер OR партнерство)</x:v>
      </x:c>
      <x:c r="G684" s="5" t="str">
        <x:v>Уточнить кто платит и какой вход для внешнего исполнителя.</x:v>
      </x:c>
      <x:c r="H684" s="5" t="str">
        <x:v>not_run</x:v>
      </x:c>
    </x:row>
    <x:row r="685" ht="25.5" customHeight="1">
      <x:c r="A685" s="5" t="str">
        <x:v>CU-0078-SIGNAL</x:v>
      </x:c>
      <x:c r="B685" s="5" t="str">
        <x:v>CU-0078</x:v>
      </x:c>
      <x:c r="C685" s="5" t="str">
        <x:v>Центр подготовки персонала «Евраз-Урал»</x:v>
      </x:c>
      <x:c r="D685" s="5" t="str">
        <x:v>RU</x:v>
      </x:c>
      <x:c r="E685" s="5" t="str">
        <x:v>Новые программы</x:v>
      </x:c>
      <x:c r="F685" s="5" t="str">
        <x:v>"ЕВРАЗ" ("кадровый резерв" OR "электронный курс" OR "развитие руководителей")</x:v>
      </x:c>
      <x:c r="G685" s="5" t="str">
        <x:v>Ранний сигнал и предметный пробел; не подтвержденный заказ.</x:v>
      </x:c>
      <x:c r="H685" s="5" t="str">
        <x:v>not_run</x:v>
      </x:c>
    </x:row>
    <x:row r="686" ht="31.5" customHeight="1">
      <x:c r="A686" s="5" t="str">
        <x:v>CU-0079-DISCOVER</x:v>
      </x:c>
      <x:c r="B686" s="5" t="str">
        <x:v>CU-0079</x:v>
      </x:c>
      <x:c r="C686" s="5" t="str">
        <x:v>Учебный центр ЧерМК / отдел по обучению и развитию Северстали</x:v>
      </x:c>
      <x:c r="D686" s="5" t="str">
        <x:v>RU</x:v>
      </x:c>
      <x:c r="E686" s="5" t="str">
        <x:v>Новые каналы</x:v>
      </x:c>
      <x:c r="F686" s="5" t="str">
        <x:v>"Северсталь" (университет OR академия OR "учебный центр" OR обучение)</x:v>
      </x:c>
      <x:c r="G686" s="5" t="str">
        <x:v>Имена, подразделения и дополнительные официальные адреса.</x:v>
      </x:c>
      <x:c r="H686" s="5" t="str">
        <x:v>not_run</x:v>
      </x:c>
    </x:row>
    <x:row r="687" ht="31.5" customHeight="1">
      <x:c r="A687" s="5" t="str">
        <x:v>CU-0079-BUY</x:v>
      </x:c>
      <x:c r="B687" s="5" t="str">
        <x:v>CU-0079</x:v>
      </x:c>
      <x:c r="C687" s="5" t="str">
        <x:v>Учебный центр ЧерМК / отдел по обучению и развитию Северстали</x:v>
      </x:c>
      <x:c r="D687" s="5" t="str">
        <x:v>RU</x:v>
      </x:c>
      <x:c r="E687" s="5" t="str">
        <x:v>Закупки и отбор</x:v>
      </x:c>
      <x:c r="F687" s="5" t="str">
        <x:v>"Северсталь" (обучение OR тренинг OR семинар) (закупки OR "запрос предложений" OR поставщик)</x:v>
      </x:c>
      <x:c r="G687" s="5" t="str">
        <x:v>Найти конкретную карточку и приложения; запрос не доказывает спрос.</x:v>
      </x:c>
      <x:c r="H687" s="5" t="str">
        <x:v>not_run</x:v>
      </x:c>
    </x:row>
    <x:row r="688" ht="31.5" customHeight="1">
      <x:c r="A688" s="5" t="str">
        <x:v>CU-0079-EXPERT</x:v>
      </x:c>
      <x:c r="B688" s="5" t="str">
        <x:v>CU-0079</x:v>
      </x:c>
      <x:c r="C688" s="5" t="str">
        <x:v>Учебный центр ЧерМК / отдел по обучению и развитию Северстали</x:v>
      </x:c>
      <x:c r="D688" s="5" t="str">
        <x:v>RU</x:v>
      </x:c>
      <x:c r="E688" s="5" t="str">
        <x:v>Эксперты и партнеры</x:v>
      </x:c>
      <x:c r="F688" s="5" t="str">
        <x:v>"Северсталь" (преподаватель OR эксперт OR провайдер OR партнерство)</x:v>
      </x:c>
      <x:c r="G688" s="5" t="str">
        <x:v>Уточнить кто платит и какой вход для внешнего исполнителя.</x:v>
      </x:c>
      <x:c r="H688" s="5" t="str">
        <x:v>not_run</x:v>
      </x:c>
    </x:row>
    <x:row r="689" ht="31.5" customHeight="1">
      <x:c r="A689" s="5" t="str">
        <x:v>CU-0079-SIGNAL</x:v>
      </x:c>
      <x:c r="B689" s="5" t="str">
        <x:v>CU-0079</x:v>
      </x:c>
      <x:c r="C689" s="5" t="str">
        <x:v>Учебный центр ЧерМК / отдел по обучению и развитию Северстали</x:v>
      </x:c>
      <x:c r="D689" s="5" t="str">
        <x:v>RU</x:v>
      </x:c>
      <x:c r="E689" s="5" t="str">
        <x:v>Новые программы</x:v>
      </x:c>
      <x:c r="F689" s="5" t="str">
        <x:v>"Северсталь" ("кадровый резерв" OR "электронный курс" OR "развитие руководителей")</x:v>
      </x:c>
      <x:c r="G689" s="5" t="str">
        <x:v>Ранний сигнал и предметный пробел; не подтвержденный заказ.</x:v>
      </x:c>
      <x:c r="H689" s="5" t="str">
        <x:v>not_run</x:v>
      </x:c>
    </x:row>
    <x:row r="690" ht="25.5" customHeight="1">
      <x:c r="A690" s="5" t="str">
        <x:v>CU-0085-DISCOVER</x:v>
      </x:c>
      <x:c r="B690" s="5" t="str">
        <x:v>CU-0085</x:v>
      </x:c>
      <x:c r="C690" s="5" t="str">
        <x:v>Академия ПСБ</x:v>
      </x:c>
      <x:c r="D690" s="5" t="str">
        <x:v>RU</x:v>
      </x:c>
      <x:c r="E690" s="5" t="str">
        <x:v>Новые каналы</x:v>
      </x:c>
      <x:c r="F690" s="5" t="str">
        <x:v>"ПСБ" (университет OR академия OR "учебный центр" OR обучение)</x:v>
      </x:c>
      <x:c r="G690" s="5" t="str">
        <x:v>Имена, подразделения и дополнительные официальные адреса.</x:v>
      </x:c>
      <x:c r="H690" s="5" t="str">
        <x:v>not_run</x:v>
      </x:c>
    </x:row>
    <x:row r="691" ht="25.5" customHeight="1">
      <x:c r="A691" s="5" t="str">
        <x:v>CU-0085-BUY</x:v>
      </x:c>
      <x:c r="B691" s="5" t="str">
        <x:v>CU-0085</x:v>
      </x:c>
      <x:c r="C691" s="5" t="str">
        <x:v>Академия ПСБ</x:v>
      </x:c>
      <x:c r="D691" s="5" t="str">
        <x:v>RU</x:v>
      </x:c>
      <x:c r="E691" s="5" t="str">
        <x:v>Закупки и отбор</x:v>
      </x:c>
      <x:c r="F691" s="5" t="str">
        <x:v>"ПСБ" (обучение OR тренинг OR семинар) (закупки OR "запрос предложений" OR поставщик)</x:v>
      </x:c>
      <x:c r="G691" s="5" t="str">
        <x:v>Найти конкретную карточку и приложения; запрос не доказывает спрос.</x:v>
      </x:c>
      <x:c r="H691" s="5" t="str">
        <x:v>not_run</x:v>
      </x:c>
    </x:row>
    <x:row r="692" ht="25.5" customHeight="1">
      <x:c r="A692" s="5" t="str">
        <x:v>CU-0085-EXPERT</x:v>
      </x:c>
      <x:c r="B692" s="5" t="str">
        <x:v>CU-0085</x:v>
      </x:c>
      <x:c r="C692" s="5" t="str">
        <x:v>Академия ПСБ</x:v>
      </x:c>
      <x:c r="D692" s="5" t="str">
        <x:v>RU</x:v>
      </x:c>
      <x:c r="E692" s="5" t="str">
        <x:v>Эксперты и партнеры</x:v>
      </x:c>
      <x:c r="F692" s="5" t="str">
        <x:v>"ПСБ" (преподаватель OR эксперт OR провайдер OR партнерство)</x:v>
      </x:c>
      <x:c r="G692" s="5" t="str">
        <x:v>Уточнить кто платит и какой вход для внешнего исполнителя.</x:v>
      </x:c>
      <x:c r="H692" s="5" t="str">
        <x:v>not_run</x:v>
      </x:c>
    </x:row>
    <x:row r="693" ht="25.5" customHeight="1">
      <x:c r="A693" s="5" t="str">
        <x:v>CU-0085-SIGNAL</x:v>
      </x:c>
      <x:c r="B693" s="5" t="str">
        <x:v>CU-0085</x:v>
      </x:c>
      <x:c r="C693" s="5" t="str">
        <x:v>Академия ПСБ</x:v>
      </x:c>
      <x:c r="D693" s="5" t="str">
        <x:v>RU</x:v>
      </x:c>
      <x:c r="E693" s="5" t="str">
        <x:v>Новые программы</x:v>
      </x:c>
      <x:c r="F693" s="5" t="str">
        <x:v>"ПСБ" ("кадровый резерв" OR "электронный курс" OR "развитие руководителей")</x:v>
      </x:c>
      <x:c r="G693" s="5" t="str">
        <x:v>Ранний сигнал и предметный пробел; не подтвержденный заказ.</x:v>
      </x:c>
      <x:c r="H693" s="5" t="str">
        <x:v>not_run</x:v>
      </x:c>
    </x:row>
    <x:row r="694" ht="25.5" customHeight="1">
      <x:c r="A694" s="5" t="str">
        <x:v>CU-0091-DISCOVER</x:v>
      </x:c>
      <x:c r="B694" s="5" t="str">
        <x:v>CU-0091</x:v>
      </x:c>
      <x:c r="C694" s="5" t="str">
        <x:v>Школа страхования РЕСО</x:v>
      </x:c>
      <x:c r="D694" s="5" t="str">
        <x:v>RU</x:v>
      </x:c>
      <x:c r="E694" s="5" t="str">
        <x:v>Новые каналы</x:v>
      </x:c>
      <x:c r="F694" s="5" t="str">
        <x:v>"РЕСО-Гарантия" (университет OR академия OR "учебный центр" OR обучение)</x:v>
      </x:c>
      <x:c r="G694" s="5" t="str">
        <x:v>Имена, подразделения и дополнительные официальные адреса.</x:v>
      </x:c>
      <x:c r="H694" s="5" t="str">
        <x:v>not_run</x:v>
      </x:c>
    </x:row>
    <x:row r="695" ht="25.5" customHeight="1">
      <x:c r="A695" s="5" t="str">
        <x:v>CU-0091-BUY</x:v>
      </x:c>
      <x:c r="B695" s="5" t="str">
        <x:v>CU-0091</x:v>
      </x:c>
      <x:c r="C695" s="5" t="str">
        <x:v>Школа страхования РЕСО</x:v>
      </x:c>
      <x:c r="D695" s="5" t="str">
        <x:v>RU</x:v>
      </x:c>
      <x:c r="E695" s="5" t="str">
        <x:v>Закупки и отбор</x:v>
      </x:c>
      <x:c r="F695" s="5" t="str">
        <x:v>"РЕСО-Гарантия" (обучение OR тренинг OR семинар) (закупки OR "запрос предложений" OR поставщик)</x:v>
      </x:c>
      <x:c r="G695" s="5" t="str">
        <x:v>Найти конкретную карточку и приложения; запрос не доказывает спрос.</x:v>
      </x:c>
      <x:c r="H695" s="5" t="str">
        <x:v>not_run</x:v>
      </x:c>
    </x:row>
    <x:row r="696" ht="25.5" customHeight="1">
      <x:c r="A696" s="5" t="str">
        <x:v>CU-0091-EXPERT</x:v>
      </x:c>
      <x:c r="B696" s="5" t="str">
        <x:v>CU-0091</x:v>
      </x:c>
      <x:c r="C696" s="5" t="str">
        <x:v>Школа страхования РЕСО</x:v>
      </x:c>
      <x:c r="D696" s="5" t="str">
        <x:v>RU</x:v>
      </x:c>
      <x:c r="E696" s="5" t="str">
        <x:v>Эксперты и партнеры</x:v>
      </x:c>
      <x:c r="F696" s="5" t="str">
        <x:v>"РЕСО-Гарантия" (преподаватель OR эксперт OR провайдер OR партнерство)</x:v>
      </x:c>
      <x:c r="G696" s="5" t="str">
        <x:v>Уточнить кто платит и какой вход для внешнего исполнителя.</x:v>
      </x:c>
      <x:c r="H696" s="5" t="str">
        <x:v>not_run</x:v>
      </x:c>
    </x:row>
    <x:row r="697" ht="25.5" customHeight="1">
      <x:c r="A697" s="5" t="str">
        <x:v>CU-0091-SIGNAL</x:v>
      </x:c>
      <x:c r="B697" s="5" t="str">
        <x:v>CU-0091</x:v>
      </x:c>
      <x:c r="C697" s="5" t="str">
        <x:v>Школа страхования РЕСО</x:v>
      </x:c>
      <x:c r="D697" s="5" t="str">
        <x:v>RU</x:v>
      </x:c>
      <x:c r="E697" s="5" t="str">
        <x:v>Новые программы</x:v>
      </x:c>
      <x:c r="F697" s="5" t="str">
        <x:v>"РЕСО-Гарантия" ("кадровый резерв" OR "электронный курс" OR "развитие руководителей")</x:v>
      </x:c>
      <x:c r="G697" s="5" t="str">
        <x:v>Ранний сигнал и предметный пробел; не подтвержденный заказ.</x:v>
      </x:c>
      <x:c r="H697" s="5" t="str">
        <x:v>not_run</x:v>
      </x:c>
    </x:row>
    <x:row r="698" ht="25.5" customHeight="1">
      <x:c r="A698" s="5" t="str">
        <x:v>CU-0096-DISCOVER</x:v>
      </x:c>
      <x:c r="B698" s="5" t="str">
        <x:v>CU-0096</x:v>
      </x:c>
      <x:c r="C698" s="5" t="str">
        <x:v>МегаАкадемия</x:v>
      </x:c>
      <x:c r="D698" s="5" t="str">
        <x:v>RU</x:v>
      </x:c>
      <x:c r="E698" s="5" t="str">
        <x:v>Новые каналы</x:v>
      </x:c>
      <x:c r="F698" s="5" t="str">
        <x:v>"МегаФон" (университет OR академия OR "учебный центр" OR обучение)</x:v>
      </x:c>
      <x:c r="G698" s="5" t="str">
        <x:v>Имена, подразделения и дополнительные официальные адреса.</x:v>
      </x:c>
      <x:c r="H698" s="5" t="str">
        <x:v>not_run</x:v>
      </x:c>
    </x:row>
    <x:row r="699" ht="25.5" customHeight="1">
      <x:c r="A699" s="5" t="str">
        <x:v>CU-0096-BUY</x:v>
      </x:c>
      <x:c r="B699" s="5" t="str">
        <x:v>CU-0096</x:v>
      </x:c>
      <x:c r="C699" s="5" t="str">
        <x:v>МегаАкадемия</x:v>
      </x:c>
      <x:c r="D699" s="5" t="str">
        <x:v>RU</x:v>
      </x:c>
      <x:c r="E699" s="5" t="str">
        <x:v>Закупки и отбор</x:v>
      </x:c>
      <x:c r="F699" s="5" t="str">
        <x:v>"МегаФон" (обучение OR тренинг OR семинар) (закупки OR "запрос предложений" OR поставщик)</x:v>
      </x:c>
      <x:c r="G699" s="5" t="str">
        <x:v>Найти конкретную карточку и приложения; запрос не доказывает спрос.</x:v>
      </x:c>
      <x:c r="H699" s="5" t="str">
        <x:v>not_run</x:v>
      </x:c>
    </x:row>
    <x:row r="700" ht="25.5" customHeight="1">
      <x:c r="A700" s="5" t="str">
        <x:v>CU-0096-EXPERT</x:v>
      </x:c>
      <x:c r="B700" s="5" t="str">
        <x:v>CU-0096</x:v>
      </x:c>
      <x:c r="C700" s="5" t="str">
        <x:v>МегаАкадемия</x:v>
      </x:c>
      <x:c r="D700" s="5" t="str">
        <x:v>RU</x:v>
      </x:c>
      <x:c r="E700" s="5" t="str">
        <x:v>Эксперты и партнеры</x:v>
      </x:c>
      <x:c r="F700" s="5" t="str">
        <x:v>"МегаФон" (преподаватель OR эксперт OR провайдер OR партнерство)</x:v>
      </x:c>
      <x:c r="G700" s="5" t="str">
        <x:v>Уточнить кто платит и какой вход для внешнего исполнителя.</x:v>
      </x:c>
      <x:c r="H700" s="5" t="str">
        <x:v>not_run</x:v>
      </x:c>
    </x:row>
    <x:row r="701" ht="25.5" customHeight="1">
      <x:c r="A701" s="5" t="str">
        <x:v>CU-0096-SIGNAL</x:v>
      </x:c>
      <x:c r="B701" s="5" t="str">
        <x:v>CU-0096</x:v>
      </x:c>
      <x:c r="C701" s="5" t="str">
        <x:v>МегаАкадемия</x:v>
      </x:c>
      <x:c r="D701" s="5" t="str">
        <x:v>RU</x:v>
      </x:c>
      <x:c r="E701" s="5" t="str">
        <x:v>Новые программы</x:v>
      </x:c>
      <x:c r="F701" s="5" t="str">
        <x:v>"МегаФон" ("кадровый резерв" OR "электронный курс" OR "развитие руководителей")</x:v>
      </x:c>
      <x:c r="G701" s="5" t="str">
        <x:v>Ранний сигнал и предметный пробел; не подтвержденный заказ.</x:v>
      </x:c>
      <x:c r="H701" s="5" t="str">
        <x:v>not_run</x:v>
      </x:c>
    </x:row>
    <x:row r="702" ht="25.5" customHeight="1">
      <x:c r="A702" s="5" t="str">
        <x:v>CU-0098-DISCOVER</x:v>
      </x:c>
      <x:c r="B702" s="5" t="str">
        <x:v>CU-0098</x:v>
      </x:c>
      <x:c r="C702" s="5" t="str">
        <x:v>Корпоративная академия Магнита</x:v>
      </x:c>
      <x:c r="D702" s="5" t="str">
        <x:v>RU</x:v>
      </x:c>
      <x:c r="E702" s="5" t="str">
        <x:v>Новые каналы</x:v>
      </x:c>
      <x:c r="F702" s="5" t="str">
        <x:v>"Магнит / АО Тандер" (университет OR академия OR "учебный центр" OR обучение)</x:v>
      </x:c>
      <x:c r="G702" s="5" t="str">
        <x:v>Имена, подразделения и дополнительные официальные адреса.</x:v>
      </x:c>
      <x:c r="H702" s="5" t="str">
        <x:v>not_run</x:v>
      </x:c>
    </x:row>
    <x:row r="703" ht="25.5" customHeight="1">
      <x:c r="A703" s="5" t="str">
        <x:v>CU-0098-BUY</x:v>
      </x:c>
      <x:c r="B703" s="5" t="str">
        <x:v>CU-0098</x:v>
      </x:c>
      <x:c r="C703" s="5" t="str">
        <x:v>Корпоративная академия Магнита</x:v>
      </x:c>
      <x:c r="D703" s="5" t="str">
        <x:v>RU</x:v>
      </x:c>
      <x:c r="E703" s="5" t="str">
        <x:v>Закупки и отбор</x:v>
      </x:c>
      <x:c r="F703" s="5" t="str">
        <x:v>"Магнит / АО Тандер" (обучение OR тренинг OR семинар) (закупки OR "запрос предложений" OR поставщик)</x:v>
      </x:c>
      <x:c r="G703" s="5" t="str">
        <x:v>Найти конкретную карточку и приложения; запрос не доказывает спрос.</x:v>
      </x:c>
      <x:c r="H703" s="5" t="str">
        <x:v>not_run</x:v>
      </x:c>
    </x:row>
    <x:row r="704" ht="25.5" customHeight="1">
      <x:c r="A704" s="5" t="str">
        <x:v>CU-0098-EXPERT</x:v>
      </x:c>
      <x:c r="B704" s="5" t="str">
        <x:v>CU-0098</x:v>
      </x:c>
      <x:c r="C704" s="5" t="str">
        <x:v>Корпоративная академия Магнита</x:v>
      </x:c>
      <x:c r="D704" s="5" t="str">
        <x:v>RU</x:v>
      </x:c>
      <x:c r="E704" s="5" t="str">
        <x:v>Эксперты и партнеры</x:v>
      </x:c>
      <x:c r="F704" s="5" t="str">
        <x:v>"Магнит / АО Тандер" (преподаватель OR эксперт OR провайдер OR партнерство)</x:v>
      </x:c>
      <x:c r="G704" s="5" t="str">
        <x:v>Уточнить кто платит и какой вход для внешнего исполнителя.</x:v>
      </x:c>
      <x:c r="H704" s="5" t="str">
        <x:v>not_run</x:v>
      </x:c>
    </x:row>
    <x:row r="705" ht="25.5" customHeight="1">
      <x:c r="A705" s="5" t="str">
        <x:v>CU-0098-SIGNAL</x:v>
      </x:c>
      <x:c r="B705" s="5" t="str">
        <x:v>CU-0098</x:v>
      </x:c>
      <x:c r="C705" s="5" t="str">
        <x:v>Корпоративная академия Магнита</x:v>
      </x:c>
      <x:c r="D705" s="5" t="str">
        <x:v>RU</x:v>
      </x:c>
      <x:c r="E705" s="5" t="str">
        <x:v>Новые программы</x:v>
      </x:c>
      <x:c r="F705" s="5" t="str">
        <x:v>"Магнит / АО Тандер" ("кадровый резерв" OR "электронный курс" OR "развитие руководителей")</x:v>
      </x:c>
      <x:c r="G705" s="5" t="str">
        <x:v>Ранний сигнал и предметный пробел; не подтвержденный заказ.</x:v>
      </x:c>
      <x:c r="H705" s="5" t="str">
        <x:v>not_run</x:v>
      </x:c>
    </x:row>
    <x:row r="706" ht="31.5" customHeight="1">
      <x:c r="A706" s="5" t="str">
        <x:v>CU-0100-DISCOVER</x:v>
      </x:c>
      <x:c r="B706" s="5" t="str">
        <x:v>CU-0100</x:v>
      </x:c>
      <x:c r="C706" s="5" t="str">
        <x:v>Цифровая академия / Академия ритейла М.Видео-Эльдорадо</x:v>
      </x:c>
      <x:c r="D706" s="5" t="str">
        <x:v>RU</x:v>
      </x:c>
      <x:c r="E706" s="5" t="str">
        <x:v>Новые каналы</x:v>
      </x:c>
      <x:c r="F706" s="5" t="str">
        <x:v>"М.Видео-Эльдорадо" (университет OR академия OR "учебный центр" OR обучение)</x:v>
      </x:c>
      <x:c r="G706" s="5" t="str">
        <x:v>Имена, подразделения и дополнительные официальные адреса.</x:v>
      </x:c>
      <x:c r="H706" s="5" t="str">
        <x:v>not_run</x:v>
      </x:c>
    </x:row>
    <x:row r="707" ht="31.5" customHeight="1">
      <x:c r="A707" s="5" t="str">
        <x:v>CU-0100-BUY</x:v>
      </x:c>
      <x:c r="B707" s="5" t="str">
        <x:v>CU-0100</x:v>
      </x:c>
      <x:c r="C707" s="5" t="str">
        <x:v>Цифровая академия / Академия ритейла М.Видео-Эльдорадо</x:v>
      </x:c>
      <x:c r="D707" s="5" t="str">
        <x:v>RU</x:v>
      </x:c>
      <x:c r="E707" s="5" t="str">
        <x:v>Закупки и отбор</x:v>
      </x:c>
      <x:c r="F707" s="5" t="str">
        <x:v>"М.Видео-Эльдорадо" (обучение OR тренинг OR семинар) (закупки OR "запрос предложений" OR поставщик)</x:v>
      </x:c>
      <x:c r="G707" s="5" t="str">
        <x:v>Найти конкретную карточку и приложения; запрос не доказывает спрос.</x:v>
      </x:c>
      <x:c r="H707" s="5" t="str">
        <x:v>not_run</x:v>
      </x:c>
    </x:row>
    <x:row r="708" ht="31.5" customHeight="1">
      <x:c r="A708" s="5" t="str">
        <x:v>CU-0100-EXPERT</x:v>
      </x:c>
      <x:c r="B708" s="5" t="str">
        <x:v>CU-0100</x:v>
      </x:c>
      <x:c r="C708" s="5" t="str">
        <x:v>Цифровая академия / Академия ритейла М.Видео-Эльдорадо</x:v>
      </x:c>
      <x:c r="D708" s="5" t="str">
        <x:v>RU</x:v>
      </x:c>
      <x:c r="E708" s="5" t="str">
        <x:v>Эксперты и партнеры</x:v>
      </x:c>
      <x:c r="F708" s="5" t="str">
        <x:v>"М.Видео-Эльдорадо" (преподаватель OR эксперт OR провайдер OR партнерство)</x:v>
      </x:c>
      <x:c r="G708" s="5" t="str">
        <x:v>Уточнить кто платит и какой вход для внешнего исполнителя.</x:v>
      </x:c>
      <x:c r="H708" s="5" t="str">
        <x:v>not_run</x:v>
      </x:c>
    </x:row>
    <x:row r="709" ht="31.5" customHeight="1">
      <x:c r="A709" s="5" t="str">
        <x:v>CU-0100-SIGNAL</x:v>
      </x:c>
      <x:c r="B709" s="5" t="str">
        <x:v>CU-0100</x:v>
      </x:c>
      <x:c r="C709" s="5" t="str">
        <x:v>Цифровая академия / Академия ритейла М.Видео-Эльдорадо</x:v>
      </x:c>
      <x:c r="D709" s="5" t="str">
        <x:v>RU</x:v>
      </x:c>
      <x:c r="E709" s="5" t="str">
        <x:v>Новые программы</x:v>
      </x:c>
      <x:c r="F709" s="5" t="str">
        <x:v>"М.Видео-Эльдорадо" ("кадровый резерв" OR "электронный курс" OR "развитие руководителей")</x:v>
      </x:c>
      <x:c r="G709" s="5" t="str">
        <x:v>Ранний сигнал и предметный пробел; не подтвержденный заказ.</x:v>
      </x:c>
      <x:c r="H709" s="5" t="str">
        <x:v>not_run</x:v>
      </x:c>
    </x:row>
    <x:row r="710" ht="25.5" customHeight="1">
      <x:c r="A710" s="5" t="str">
        <x:v>CU-0104-DISCOVER</x:v>
      </x:c>
      <x:c r="B710" s="5" t="str">
        <x:v>CU-0104</x:v>
      </x:c>
      <x:c r="C710" s="5" t="str">
        <x:v>Сетевая Академия ЛАНИТ</x:v>
      </x:c>
      <x:c r="D710" s="5" t="str">
        <x:v>RU</x:v>
      </x:c>
      <x:c r="E710" s="5" t="str">
        <x:v>Новые каналы</x:v>
      </x:c>
      <x:c r="F710" s="5" t="str">
        <x:v>"ЛАНИТ" (университет OR академия OR "учебный центр" OR обучение)</x:v>
      </x:c>
      <x:c r="G710" s="5" t="str">
        <x:v>Имена, подразделения и дополнительные официальные адреса.</x:v>
      </x:c>
      <x:c r="H710" s="5" t="str">
        <x:v>not_run</x:v>
      </x:c>
    </x:row>
    <x:row r="711" ht="25.5" customHeight="1">
      <x:c r="A711" s="5" t="str">
        <x:v>CU-0104-BUY</x:v>
      </x:c>
      <x:c r="B711" s="5" t="str">
        <x:v>CU-0104</x:v>
      </x:c>
      <x:c r="C711" s="5" t="str">
        <x:v>Сетевая Академия ЛАНИТ</x:v>
      </x:c>
      <x:c r="D711" s="5" t="str">
        <x:v>RU</x:v>
      </x:c>
      <x:c r="E711" s="5" t="str">
        <x:v>Закупки и отбор</x:v>
      </x:c>
      <x:c r="F711" s="5" t="str">
        <x:v>"ЛАНИТ" (обучение OR тренинг OR семинар) (закупки OR "запрос предложений" OR поставщик)</x:v>
      </x:c>
      <x:c r="G711" s="5" t="str">
        <x:v>Найти конкретную карточку и приложения; запрос не доказывает спрос.</x:v>
      </x:c>
      <x:c r="H711" s="5" t="str">
        <x:v>not_run</x:v>
      </x:c>
    </x:row>
    <x:row r="712" ht="25.5" customHeight="1">
      <x:c r="A712" s="5" t="str">
        <x:v>CU-0104-EXPERT</x:v>
      </x:c>
      <x:c r="B712" s="5" t="str">
        <x:v>CU-0104</x:v>
      </x:c>
      <x:c r="C712" s="5" t="str">
        <x:v>Сетевая Академия ЛАНИТ</x:v>
      </x:c>
      <x:c r="D712" s="5" t="str">
        <x:v>RU</x:v>
      </x:c>
      <x:c r="E712" s="5" t="str">
        <x:v>Эксперты и партнеры</x:v>
      </x:c>
      <x:c r="F712" s="5" t="str">
        <x:v>"ЛАНИТ" (преподаватель OR эксперт OR провайдер OR партнерство)</x:v>
      </x:c>
      <x:c r="G712" s="5" t="str">
        <x:v>Уточнить кто платит и какой вход для внешнего исполнителя.</x:v>
      </x:c>
      <x:c r="H712" s="5" t="str">
        <x:v>not_run</x:v>
      </x:c>
    </x:row>
    <x:row r="713" ht="25.5" customHeight="1">
      <x:c r="A713" s="5" t="str">
        <x:v>CU-0104-SIGNAL</x:v>
      </x:c>
      <x:c r="B713" s="5" t="str">
        <x:v>CU-0104</x:v>
      </x:c>
      <x:c r="C713" s="5" t="str">
        <x:v>Сетевая Академия ЛАНИТ</x:v>
      </x:c>
      <x:c r="D713" s="5" t="str">
        <x:v>RU</x:v>
      </x:c>
      <x:c r="E713" s="5" t="str">
        <x:v>Новые программы</x:v>
      </x:c>
      <x:c r="F713" s="5" t="str">
        <x:v>"ЛАНИТ" ("кадровый резерв" OR "электронный курс" OR "развитие руководителей")</x:v>
      </x:c>
      <x:c r="G713" s="5" t="str">
        <x:v>Ранний сигнал и предметный пробел; не подтвержденный заказ.</x:v>
      </x:c>
      <x:c r="H713" s="5" t="str">
        <x:v>not_run</x:v>
      </x:c>
    </x:row>
    <x:row r="714" ht="25.5" customHeight="1">
      <x:c r="A714" s="5" t="str">
        <x:v>CU-0108-DISCOVER</x:v>
      </x:c>
      <x:c r="B714" s="5" t="str">
        <x:v>CU-0108</x:v>
      </x:c>
      <x:c r="C714" s="5" t="str">
        <x:v>Академия бизнеса Б1</x:v>
      </x:c>
      <x:c r="D714" s="5" t="str">
        <x:v>RU</x:v>
      </x:c>
      <x:c r="E714" s="5" t="str">
        <x:v>Новые каналы</x:v>
      </x:c>
      <x:c r="F714" s="5" t="str">
        <x:v>"Б1" (университет OR академия OR "учебный центр" OR обучение)</x:v>
      </x:c>
      <x:c r="G714" s="5" t="str">
        <x:v>Имена, подразделения и дополнительные официальные адреса.</x:v>
      </x:c>
      <x:c r="H714" s="5" t="str">
        <x:v>not_run</x:v>
      </x:c>
    </x:row>
    <x:row r="715" ht="25.5" customHeight="1">
      <x:c r="A715" s="5" t="str">
        <x:v>CU-0108-BUY</x:v>
      </x:c>
      <x:c r="B715" s="5" t="str">
        <x:v>CU-0108</x:v>
      </x:c>
      <x:c r="C715" s="5" t="str">
        <x:v>Академия бизнеса Б1</x:v>
      </x:c>
      <x:c r="D715" s="5" t="str">
        <x:v>RU</x:v>
      </x:c>
      <x:c r="E715" s="5" t="str">
        <x:v>Закупки и отбор</x:v>
      </x:c>
      <x:c r="F715" s="5" t="str">
        <x:v>"Б1" (обучение OR тренинг OR семинар) (закупки OR "запрос предложений" OR поставщик)</x:v>
      </x:c>
      <x:c r="G715" s="5" t="str">
        <x:v>Найти конкретную карточку и приложения; запрос не доказывает спрос.</x:v>
      </x:c>
      <x:c r="H715" s="5" t="str">
        <x:v>not_run</x:v>
      </x:c>
    </x:row>
    <x:row r="716" ht="25.5" customHeight="1">
      <x:c r="A716" s="5" t="str">
        <x:v>CU-0108-EXPERT</x:v>
      </x:c>
      <x:c r="B716" s="5" t="str">
        <x:v>CU-0108</x:v>
      </x:c>
      <x:c r="C716" s="5" t="str">
        <x:v>Академия бизнеса Б1</x:v>
      </x:c>
      <x:c r="D716" s="5" t="str">
        <x:v>RU</x:v>
      </x:c>
      <x:c r="E716" s="5" t="str">
        <x:v>Эксперты и партнеры</x:v>
      </x:c>
      <x:c r="F716" s="5" t="str">
        <x:v>"Б1" (преподаватель OR эксперт OR провайдер OR партнерство)</x:v>
      </x:c>
      <x:c r="G716" s="5" t="str">
        <x:v>Уточнить кто платит и какой вход для внешнего исполнителя.</x:v>
      </x:c>
      <x:c r="H716" s="5" t="str">
        <x:v>not_run</x:v>
      </x:c>
    </x:row>
    <x:row r="717" ht="25.5" customHeight="1">
      <x:c r="A717" s="5" t="str">
        <x:v>CU-0108-SIGNAL</x:v>
      </x:c>
      <x:c r="B717" s="5" t="str">
        <x:v>CU-0108</x:v>
      </x:c>
      <x:c r="C717" s="5" t="str">
        <x:v>Академия бизнеса Б1</x:v>
      </x:c>
      <x:c r="D717" s="5" t="str">
        <x:v>RU</x:v>
      </x:c>
      <x:c r="E717" s="5" t="str">
        <x:v>Новые программы</x:v>
      </x:c>
      <x:c r="F717" s="5" t="str">
        <x:v>"Б1" ("кадровый резерв" OR "электронный курс" OR "развитие руководителей")</x:v>
      </x:c>
      <x:c r="G717" s="5" t="str">
        <x:v>Ранний сигнал и предметный пробел; не подтвержденный заказ.</x:v>
      </x:c>
      <x:c r="H717" s="5" t="str">
        <x:v>not_run</x:v>
      </x:c>
    </x:row>
    <x:row r="718" ht="25.5" customHeight="1">
      <x:c r="A718" s="5" t="str">
        <x:v>CU-0109-DISCOVER</x:v>
      </x:c>
      <x:c r="B718" s="5" t="str">
        <x:v>CU-0109</x:v>
      </x:c>
      <x:c r="C718" s="5" t="str">
        <x:v>Академия Kept</x:v>
      </x:c>
      <x:c r="D718" s="5" t="str">
        <x:v>RU</x:v>
      </x:c>
      <x:c r="E718" s="5" t="str">
        <x:v>Новые каналы</x:v>
      </x:c>
      <x:c r="F718" s="5" t="str">
        <x:v>"Kept" (университет OR академия OR "учебный центр" OR обучение)</x:v>
      </x:c>
      <x:c r="G718" s="5" t="str">
        <x:v>Имена, подразделения и дополнительные официальные адреса.</x:v>
      </x:c>
      <x:c r="H718" s="5" t="str">
        <x:v>not_run</x:v>
      </x:c>
    </x:row>
    <x:row r="719" ht="25.5" customHeight="1">
      <x:c r="A719" s="5" t="str">
        <x:v>CU-0109-BUY</x:v>
      </x:c>
      <x:c r="B719" s="5" t="str">
        <x:v>CU-0109</x:v>
      </x:c>
      <x:c r="C719" s="5" t="str">
        <x:v>Академия Kept</x:v>
      </x:c>
      <x:c r="D719" s="5" t="str">
        <x:v>RU</x:v>
      </x:c>
      <x:c r="E719" s="5" t="str">
        <x:v>Закупки и отбор</x:v>
      </x:c>
      <x:c r="F719" s="5" t="str">
        <x:v>"Kept" (обучение OR тренинг OR семинар) (закупки OR "запрос предложений" OR поставщик)</x:v>
      </x:c>
      <x:c r="G719" s="5" t="str">
        <x:v>Найти конкретную карточку и приложения; запрос не доказывает спрос.</x:v>
      </x:c>
      <x:c r="H719" s="5" t="str">
        <x:v>not_run</x:v>
      </x:c>
    </x:row>
    <x:row r="720" ht="25.5" customHeight="1">
      <x:c r="A720" s="5" t="str">
        <x:v>CU-0109-EXPERT</x:v>
      </x:c>
      <x:c r="B720" s="5" t="str">
        <x:v>CU-0109</x:v>
      </x:c>
      <x:c r="C720" s="5" t="str">
        <x:v>Академия Kept</x:v>
      </x:c>
      <x:c r="D720" s="5" t="str">
        <x:v>RU</x:v>
      </x:c>
      <x:c r="E720" s="5" t="str">
        <x:v>Эксперты и партнеры</x:v>
      </x:c>
      <x:c r="F720" s="5" t="str">
        <x:v>"Kept" (преподаватель OR эксперт OR провайдер OR партнерство)</x:v>
      </x:c>
      <x:c r="G720" s="5" t="str">
        <x:v>Уточнить кто платит и какой вход для внешнего исполнителя.</x:v>
      </x:c>
      <x:c r="H720" s="5" t="str">
        <x:v>not_run</x:v>
      </x:c>
    </x:row>
    <x:row r="721" ht="25.5" customHeight="1">
      <x:c r="A721" s="5" t="str">
        <x:v>CU-0109-SIGNAL</x:v>
      </x:c>
      <x:c r="B721" s="5" t="str">
        <x:v>CU-0109</x:v>
      </x:c>
      <x:c r="C721" s="5" t="str">
        <x:v>Академия Kept</x:v>
      </x:c>
      <x:c r="D721" s="5" t="str">
        <x:v>RU</x:v>
      </x:c>
      <x:c r="E721" s="5" t="str">
        <x:v>Новые программы</x:v>
      </x:c>
      <x:c r="F721" s="5" t="str">
        <x:v>"Kept" ("кадровый резерв" OR "электронный курс" OR "развитие руководителей")</x:v>
      </x:c>
      <x:c r="G721" s="5" t="str">
        <x:v>Ранний сигнал и предметный пробел; не подтвержденный заказ.</x:v>
      </x:c>
      <x:c r="H721" s="5" t="str">
        <x:v>not_run</x:v>
      </x:c>
    </x:row>
    <x:row r="722" ht="25.5" customHeight="1">
      <x:c r="A722" s="5" t="str">
        <x:v>CU-0110-DISCOVER</x:v>
      </x:c>
      <x:c r="B722" s="5" t="str">
        <x:v>CU-0110</x:v>
      </x:c>
      <x:c r="C722" s="5" t="str">
        <x:v>Академия Технологий Доверия</x:v>
      </x:c>
      <x:c r="D722" s="5" t="str">
        <x:v>RU</x:v>
      </x:c>
      <x:c r="E722" s="5" t="str">
        <x:v>Новые каналы</x:v>
      </x:c>
      <x:c r="F722" s="5" t="str">
        <x:v>"Технологии Доверия" (университет OR академия OR "учебный центр" OR обучение)</x:v>
      </x:c>
      <x:c r="G722" s="5" t="str">
        <x:v>Имена, подразделения и дополнительные официальные адреса.</x:v>
      </x:c>
      <x:c r="H722" s="5" t="str">
        <x:v>not_run</x:v>
      </x:c>
    </x:row>
    <x:row r="723" ht="25.5" customHeight="1">
      <x:c r="A723" s="5" t="str">
        <x:v>CU-0110-BUY</x:v>
      </x:c>
      <x:c r="B723" s="5" t="str">
        <x:v>CU-0110</x:v>
      </x:c>
      <x:c r="C723" s="5" t="str">
        <x:v>Академия Технологий Доверия</x:v>
      </x:c>
      <x:c r="D723" s="5" t="str">
        <x:v>RU</x:v>
      </x:c>
      <x:c r="E723" s="5" t="str">
        <x:v>Закупки и отбор</x:v>
      </x:c>
      <x:c r="F723" s="5" t="str">
        <x:v>"Технологии Доверия" (обучение OR тренинг OR семинар) (закупки OR "запрос предложений" OR поставщик)</x:v>
      </x:c>
      <x:c r="G723" s="5" t="str">
        <x:v>Найти конкретную карточку и приложения; запрос не доказывает спрос.</x:v>
      </x:c>
      <x:c r="H723" s="5" t="str">
        <x:v>not_run</x:v>
      </x:c>
    </x:row>
    <x:row r="724" ht="25.5" customHeight="1">
      <x:c r="A724" s="5" t="str">
        <x:v>CU-0110-EXPERT</x:v>
      </x:c>
      <x:c r="B724" s="5" t="str">
        <x:v>CU-0110</x:v>
      </x:c>
      <x:c r="C724" s="5" t="str">
        <x:v>Академия Технологий Доверия</x:v>
      </x:c>
      <x:c r="D724" s="5" t="str">
        <x:v>RU</x:v>
      </x:c>
      <x:c r="E724" s="5" t="str">
        <x:v>Эксперты и партнеры</x:v>
      </x:c>
      <x:c r="F724" s="5" t="str">
        <x:v>"Технологии Доверия" (преподаватель OR эксперт OR провайдер OR партнерство)</x:v>
      </x:c>
      <x:c r="G724" s="5" t="str">
        <x:v>Уточнить кто платит и какой вход для внешнего исполнителя.</x:v>
      </x:c>
      <x:c r="H724" s="5" t="str">
        <x:v>not_run</x:v>
      </x:c>
    </x:row>
    <x:row r="725" ht="25.5" customHeight="1">
      <x:c r="A725" s="5" t="str">
        <x:v>CU-0110-SIGNAL</x:v>
      </x:c>
      <x:c r="B725" s="5" t="str">
        <x:v>CU-0110</x:v>
      </x:c>
      <x:c r="C725" s="5" t="str">
        <x:v>Академия Технологий Доверия</x:v>
      </x:c>
      <x:c r="D725" s="5" t="str">
        <x:v>RU</x:v>
      </x:c>
      <x:c r="E725" s="5" t="str">
        <x:v>Новые программы</x:v>
      </x:c>
      <x:c r="F725" s="5" t="str">
        <x:v>"Технологии Доверия" ("кадровый резерв" OR "электронный курс" OR "развитие руководителей")</x:v>
      </x:c>
      <x:c r="G725" s="5" t="str">
        <x:v>Ранний сигнал и предметный пробел; не подтвержденный заказ.</x:v>
      </x:c>
      <x:c r="H725" s="5" t="str">
        <x:v>not_run</x:v>
      </x:c>
    </x:row>
    <x:row r="726" ht="25.5" customHeight="1">
      <x:c r="A726" s="5" t="str">
        <x:v>CU-0111-DISCOVER</x:v>
      </x:c>
      <x:c r="B726" s="5" t="str">
        <x:v>CU-0111</x:v>
      </x:c>
      <x:c r="C726" s="5" t="str">
        <x:v>Экономико-правовая школа ФБК</x:v>
      </x:c>
      <x:c r="D726" s="5" t="str">
        <x:v>RU</x:v>
      </x:c>
      <x:c r="E726" s="5" t="str">
        <x:v>Новые каналы</x:v>
      </x:c>
      <x:c r="F726" s="5" t="str">
        <x:v>"ФБК" (университет OR академия OR "учебный центр" OR обучение)</x:v>
      </x:c>
      <x:c r="G726" s="5" t="str">
        <x:v>Имена, подразделения и дополнительные официальные адреса.</x:v>
      </x:c>
      <x:c r="H726" s="5" t="str">
        <x:v>not_run</x:v>
      </x:c>
    </x:row>
    <x:row r="727" ht="25.5" customHeight="1">
      <x:c r="A727" s="5" t="str">
        <x:v>CU-0111-BUY</x:v>
      </x:c>
      <x:c r="B727" s="5" t="str">
        <x:v>CU-0111</x:v>
      </x:c>
      <x:c r="C727" s="5" t="str">
        <x:v>Экономико-правовая школа ФБК</x:v>
      </x:c>
      <x:c r="D727" s="5" t="str">
        <x:v>RU</x:v>
      </x:c>
      <x:c r="E727" s="5" t="str">
        <x:v>Закупки и отбор</x:v>
      </x:c>
      <x:c r="F727" s="5" t="str">
        <x:v>"ФБК" (обучение OR тренинг OR семинар) (закупки OR "запрос предложений" OR поставщик)</x:v>
      </x:c>
      <x:c r="G727" s="5" t="str">
        <x:v>Найти конкретную карточку и приложения; запрос не доказывает спрос.</x:v>
      </x:c>
      <x:c r="H727" s="5" t="str">
        <x:v>not_run</x:v>
      </x:c>
    </x:row>
    <x:row r="728" ht="25.5" customHeight="1">
      <x:c r="A728" s="5" t="str">
        <x:v>CU-0111-EXPERT</x:v>
      </x:c>
      <x:c r="B728" s="5" t="str">
        <x:v>CU-0111</x:v>
      </x:c>
      <x:c r="C728" s="5" t="str">
        <x:v>Экономико-правовая школа ФБК</x:v>
      </x:c>
      <x:c r="D728" s="5" t="str">
        <x:v>RU</x:v>
      </x:c>
      <x:c r="E728" s="5" t="str">
        <x:v>Эксперты и партнеры</x:v>
      </x:c>
      <x:c r="F728" s="5" t="str">
        <x:v>"ФБК" (преподаватель OR эксперт OR провайдер OR партнерство)</x:v>
      </x:c>
      <x:c r="G728" s="5" t="str">
        <x:v>Уточнить кто платит и какой вход для внешнего исполнителя.</x:v>
      </x:c>
      <x:c r="H728" s="5" t="str">
        <x:v>not_run</x:v>
      </x:c>
    </x:row>
    <x:row r="729" ht="25.5" customHeight="1">
      <x:c r="A729" s="5" t="str">
        <x:v>CU-0111-SIGNAL</x:v>
      </x:c>
      <x:c r="B729" s="5" t="str">
        <x:v>CU-0111</x:v>
      </x:c>
      <x:c r="C729" s="5" t="str">
        <x:v>Экономико-правовая школа ФБК</x:v>
      </x:c>
      <x:c r="D729" s="5" t="str">
        <x:v>RU</x:v>
      </x:c>
      <x:c r="E729" s="5" t="str">
        <x:v>Новые программы</x:v>
      </x:c>
      <x:c r="F729" s="5" t="str">
        <x:v>"ФБК" ("кадровый резерв" OR "электронный курс" OR "развитие руководителей")</x:v>
      </x:c>
      <x:c r="G729" s="5" t="str">
        <x:v>Ранний сигнал и предметный пробел; не подтвержденный заказ.</x:v>
      </x:c>
      <x:c r="H729" s="5" t="str">
        <x:v>not_run</x:v>
      </x:c>
    </x:row>
    <x:row r="730" ht="25.5" customHeight="1">
      <x:c r="A730" s="5" t="str">
        <x:v>CU-0118-DISCOVER</x:v>
      </x:c>
      <x:c r="B730" s="5" t="str">
        <x:v>CU-0118</x:v>
      </x:c>
      <x:c r="C730" s="5" t="str">
        <x:v>Академия лидерства T2Way</x:v>
      </x:c>
      <x:c r="D730" s="5" t="str">
        <x:v>RU</x:v>
      </x:c>
      <x:c r="E730" s="5" t="str">
        <x:v>Новые каналы</x:v>
      </x:c>
      <x:c r="F730" s="5" t="str">
        <x:v>"t2" (университет OR академия OR "учебный центр" OR обучение)</x:v>
      </x:c>
      <x:c r="G730" s="5" t="str">
        <x:v>Имена, подразделения и дополнительные официальные адреса.</x:v>
      </x:c>
      <x:c r="H730" s="5" t="str">
        <x:v>not_run</x:v>
      </x:c>
    </x:row>
    <x:row r="731" ht="25.5" customHeight="1">
      <x:c r="A731" s="5" t="str">
        <x:v>CU-0118-BUY</x:v>
      </x:c>
      <x:c r="B731" s="5" t="str">
        <x:v>CU-0118</x:v>
      </x:c>
      <x:c r="C731" s="5" t="str">
        <x:v>Академия лидерства T2Way</x:v>
      </x:c>
      <x:c r="D731" s="5" t="str">
        <x:v>RU</x:v>
      </x:c>
      <x:c r="E731" s="5" t="str">
        <x:v>Закупки и отбор</x:v>
      </x:c>
      <x:c r="F731" s="5" t="str">
        <x:v>"t2" (обучение OR тренинг OR семинар) (закупки OR "запрос предложений" OR поставщик)</x:v>
      </x:c>
      <x:c r="G731" s="5" t="str">
        <x:v>Найти конкретную карточку и приложения; запрос не доказывает спрос.</x:v>
      </x:c>
      <x:c r="H731" s="5" t="str">
        <x:v>not_run</x:v>
      </x:c>
    </x:row>
    <x:row r="732" ht="25.5" customHeight="1">
      <x:c r="A732" s="5" t="str">
        <x:v>CU-0118-EXPERT</x:v>
      </x:c>
      <x:c r="B732" s="5" t="str">
        <x:v>CU-0118</x:v>
      </x:c>
      <x:c r="C732" s="5" t="str">
        <x:v>Академия лидерства T2Way</x:v>
      </x:c>
      <x:c r="D732" s="5" t="str">
        <x:v>RU</x:v>
      </x:c>
      <x:c r="E732" s="5" t="str">
        <x:v>Эксперты и партнеры</x:v>
      </x:c>
      <x:c r="F732" s="5" t="str">
        <x:v>"t2" (преподаватель OR эксперт OR провайдер OR партнерство)</x:v>
      </x:c>
      <x:c r="G732" s="5" t="str">
        <x:v>Уточнить кто платит и какой вход для внешнего исполнителя.</x:v>
      </x:c>
      <x:c r="H732" s="5" t="str">
        <x:v>not_run</x:v>
      </x:c>
    </x:row>
    <x:row r="733" ht="25.5" customHeight="1">
      <x:c r="A733" s="5" t="str">
        <x:v>CU-0118-SIGNAL</x:v>
      </x:c>
      <x:c r="B733" s="5" t="str">
        <x:v>CU-0118</x:v>
      </x:c>
      <x:c r="C733" s="5" t="str">
        <x:v>Академия лидерства T2Way</x:v>
      </x:c>
      <x:c r="D733" s="5" t="str">
        <x:v>RU</x:v>
      </x:c>
      <x:c r="E733" s="5" t="str">
        <x:v>Новые программы</x:v>
      </x:c>
      <x:c r="F733" s="5" t="str">
        <x:v>"t2" ("кадровый резерв" OR "электронный курс" OR "развитие руководителей")</x:v>
      </x:c>
      <x:c r="G733" s="5" t="str">
        <x:v>Ранний сигнал и предметный пробел; не подтвержденный заказ.</x:v>
      </x:c>
      <x:c r="H733" s="5" t="str">
        <x:v>not_run</x:v>
      </x:c>
    </x:row>
    <x:row r="734" ht="25.5" customHeight="1">
      <x:c r="A734" s="5" t="str">
        <x:v>CU-0119-DISCOVER</x:v>
      </x:c>
      <x:c r="B734" s="5" t="str">
        <x:v>CU-0119</x:v>
      </x:c>
      <x:c r="C734" s="5" t="str">
        <x:v>Т1 Цифровая академия</x:v>
      </x:c>
      <x:c r="D734" s="5" t="str">
        <x:v>RU</x:v>
      </x:c>
      <x:c r="E734" s="5" t="str">
        <x:v>Новые каналы</x:v>
      </x:c>
      <x:c r="F734" s="5" t="str">
        <x:v>"Т1" (университет OR академия OR "учебный центр" OR обучение)</x:v>
      </x:c>
      <x:c r="G734" s="5" t="str">
        <x:v>Имена, подразделения и дополнительные официальные адреса.</x:v>
      </x:c>
      <x:c r="H734" s="5" t="str">
        <x:v>not_run</x:v>
      </x:c>
    </x:row>
    <x:row r="735" ht="25.5" customHeight="1">
      <x:c r="A735" s="5" t="str">
        <x:v>CU-0119-BUY</x:v>
      </x:c>
      <x:c r="B735" s="5" t="str">
        <x:v>CU-0119</x:v>
      </x:c>
      <x:c r="C735" s="5" t="str">
        <x:v>Т1 Цифровая академия</x:v>
      </x:c>
      <x:c r="D735" s="5" t="str">
        <x:v>RU</x:v>
      </x:c>
      <x:c r="E735" s="5" t="str">
        <x:v>Закупки и отбор</x:v>
      </x:c>
      <x:c r="F735" s="5" t="str">
        <x:v>"Т1" (обучение OR тренинг OR семинар) (закупки OR "запрос предложений" OR поставщик)</x:v>
      </x:c>
      <x:c r="G735" s="5" t="str">
        <x:v>Найти конкретную карточку и приложения; запрос не доказывает спрос.</x:v>
      </x:c>
      <x:c r="H735" s="5" t="str">
        <x:v>not_run</x:v>
      </x:c>
    </x:row>
    <x:row r="736" ht="25.5" customHeight="1">
      <x:c r="A736" s="5" t="str">
        <x:v>CU-0119-EXPERT</x:v>
      </x:c>
      <x:c r="B736" s="5" t="str">
        <x:v>CU-0119</x:v>
      </x:c>
      <x:c r="C736" s="5" t="str">
        <x:v>Т1 Цифровая академия</x:v>
      </x:c>
      <x:c r="D736" s="5" t="str">
        <x:v>RU</x:v>
      </x:c>
      <x:c r="E736" s="5" t="str">
        <x:v>Эксперты и партнеры</x:v>
      </x:c>
      <x:c r="F736" s="5" t="str">
        <x:v>"Т1" (преподаватель OR эксперт OR провайдер OR партнерство)</x:v>
      </x:c>
      <x:c r="G736" s="5" t="str">
        <x:v>Уточнить кто платит и какой вход для внешнего исполнителя.</x:v>
      </x:c>
      <x:c r="H736" s="5" t="str">
        <x:v>not_run</x:v>
      </x:c>
    </x:row>
    <x:row r="737" ht="25.5" customHeight="1">
      <x:c r="A737" s="5" t="str">
        <x:v>CU-0119-SIGNAL</x:v>
      </x:c>
      <x:c r="B737" s="5" t="str">
        <x:v>CU-0119</x:v>
      </x:c>
      <x:c r="C737" s="5" t="str">
        <x:v>Т1 Цифровая академия</x:v>
      </x:c>
      <x:c r="D737" s="5" t="str">
        <x:v>RU</x:v>
      </x:c>
      <x:c r="E737" s="5" t="str">
        <x:v>Новые программы</x:v>
      </x:c>
      <x:c r="F737" s="5" t="str">
        <x:v>"Т1" ("кадровый резерв" OR "электронный курс" OR "развитие руководителей")</x:v>
      </x:c>
      <x:c r="G737" s="5" t="str">
        <x:v>Ранний сигнал и предметный пробел; не подтвержденный заказ.</x:v>
      </x:c>
      <x:c r="H737" s="5" t="str">
        <x:v>not_run</x:v>
      </x:c>
    </x:row>
    <x:row r="738" ht="25.5" customHeight="1">
      <x:c r="A738" s="5" t="str">
        <x:v>CU-0120-DISCOVER</x:v>
      </x:c>
      <x:c r="B738" s="5" t="str">
        <x:v>CU-0120</x:v>
      </x:c>
      <x:c r="C738" s="5" t="str">
        <x:v>1С:Учебный центр №1</x:v>
      </x:c>
      <x:c r="D738" s="5" t="str">
        <x:v>RU</x:v>
      </x:c>
      <x:c r="E738" s="5" t="str">
        <x:v>Новые каналы</x:v>
      </x:c>
      <x:c r="F738" s="5" t="str">
        <x:v>"1С" (университет OR академия OR "учебный центр" OR обучение)</x:v>
      </x:c>
      <x:c r="G738" s="5" t="str">
        <x:v>Имена, подразделения и дополнительные официальные адреса.</x:v>
      </x:c>
      <x:c r="H738" s="5" t="str">
        <x:v>not_run</x:v>
      </x:c>
    </x:row>
    <x:row r="739" ht="25.5" customHeight="1">
      <x:c r="A739" s="5" t="str">
        <x:v>CU-0120-BUY</x:v>
      </x:c>
      <x:c r="B739" s="5" t="str">
        <x:v>CU-0120</x:v>
      </x:c>
      <x:c r="C739" s="5" t="str">
        <x:v>1С:Учебный центр №1</x:v>
      </x:c>
      <x:c r="D739" s="5" t="str">
        <x:v>RU</x:v>
      </x:c>
      <x:c r="E739" s="5" t="str">
        <x:v>Закупки и отбор</x:v>
      </x:c>
      <x:c r="F739" s="5" t="str">
        <x:v>"1С" (обучение OR тренинг OR семинар) (закупки OR "запрос предложений" OR поставщик)</x:v>
      </x:c>
      <x:c r="G739" s="5" t="str">
        <x:v>Найти конкретную карточку и приложения; запрос не доказывает спрос.</x:v>
      </x:c>
      <x:c r="H739" s="5" t="str">
        <x:v>not_run</x:v>
      </x:c>
    </x:row>
    <x:row r="740" ht="25.5" customHeight="1">
      <x:c r="A740" s="5" t="str">
        <x:v>CU-0120-EXPERT</x:v>
      </x:c>
      <x:c r="B740" s="5" t="str">
        <x:v>CU-0120</x:v>
      </x:c>
      <x:c r="C740" s="5" t="str">
        <x:v>1С:Учебный центр №1</x:v>
      </x:c>
      <x:c r="D740" s="5" t="str">
        <x:v>RU</x:v>
      </x:c>
      <x:c r="E740" s="5" t="str">
        <x:v>Эксперты и партнеры</x:v>
      </x:c>
      <x:c r="F740" s="5" t="str">
        <x:v>"1С" (преподаватель OR эксперт OR провайдер OR партнерство)</x:v>
      </x:c>
      <x:c r="G740" s="5" t="str">
        <x:v>Уточнить кто платит и какой вход для внешнего исполнителя.</x:v>
      </x:c>
      <x:c r="H740" s="5" t="str">
        <x:v>not_run</x:v>
      </x:c>
    </x:row>
    <x:row r="741" ht="25.5" customHeight="1">
      <x:c r="A741" s="5" t="str">
        <x:v>CU-0120-SIGNAL</x:v>
      </x:c>
      <x:c r="B741" s="5" t="str">
        <x:v>CU-0120</x:v>
      </x:c>
      <x:c r="C741" s="5" t="str">
        <x:v>1С:Учебный центр №1</x:v>
      </x:c>
      <x:c r="D741" s="5" t="str">
        <x:v>RU</x:v>
      </x:c>
      <x:c r="E741" s="5" t="str">
        <x:v>Новые программы</x:v>
      </x:c>
      <x:c r="F741" s="5" t="str">
        <x:v>"1С" ("кадровый резерв" OR "электронный курс" OR "развитие руководителей")</x:v>
      </x:c>
      <x:c r="G741" s="5" t="str">
        <x:v>Ранний сигнал и предметный пробел; не подтвержденный заказ.</x:v>
      </x:c>
      <x:c r="H741" s="5" t="str">
        <x:v>not_run</x:v>
      </x:c>
    </x:row>
    <x:row r="742" ht="25.5" customHeight="1">
      <x:c r="A742" s="5" t="str">
        <x:v>CU-0124-DISCOVER</x:v>
      </x:c>
      <x:c r="B742" s="5" t="str">
        <x:v>CU-0124</x:v>
      </x:c>
      <x:c r="C742" s="5" t="str">
        <x:v>АР-Университет</x:v>
      </x:c>
      <x:c r="D742" s="5" t="str">
        <x:v>RU</x:v>
      </x:c>
      <x:c r="E742" s="5" t="str">
        <x:v>Новые каналы</x:v>
      </x:c>
      <x:c r="F742" s="5" t="str">
        <x:v>"Холдинг Аэропорты Регионов" (университет OR академия OR "учебный центр" OR обучение)</x:v>
      </x:c>
      <x:c r="G742" s="5" t="str">
        <x:v>Имена, подразделения и дополнительные официальные адреса.</x:v>
      </x:c>
      <x:c r="H742" s="5" t="str">
        <x:v>not_run</x:v>
      </x:c>
    </x:row>
    <x:row r="743" ht="25.5" customHeight="1">
      <x:c r="A743" s="5" t="str">
        <x:v>CU-0124-BUY</x:v>
      </x:c>
      <x:c r="B743" s="5" t="str">
        <x:v>CU-0124</x:v>
      </x:c>
      <x:c r="C743" s="5" t="str">
        <x:v>АР-Университет</x:v>
      </x:c>
      <x:c r="D743" s="5" t="str">
        <x:v>RU</x:v>
      </x:c>
      <x:c r="E743" s="5" t="str">
        <x:v>Закупки и отбор</x:v>
      </x:c>
      <x:c r="F743" s="5" t="str">
        <x:v>"Холдинг Аэропорты Регионов" (обучение OR тренинг OR семинар) (закупки OR "запрос предложений" OR поставщик)</x:v>
      </x:c>
      <x:c r="G743" s="5" t="str">
        <x:v>Найти конкретную карточку и приложения; запрос не доказывает спрос.</x:v>
      </x:c>
      <x:c r="H743" s="5" t="str">
        <x:v>not_run</x:v>
      </x:c>
    </x:row>
    <x:row r="744" ht="25.5" customHeight="1">
      <x:c r="A744" s="5" t="str">
        <x:v>CU-0124-EXPERT</x:v>
      </x:c>
      <x:c r="B744" s="5" t="str">
        <x:v>CU-0124</x:v>
      </x:c>
      <x:c r="C744" s="5" t="str">
        <x:v>АР-Университет</x:v>
      </x:c>
      <x:c r="D744" s="5" t="str">
        <x:v>RU</x:v>
      </x:c>
      <x:c r="E744" s="5" t="str">
        <x:v>Эксперты и партнеры</x:v>
      </x:c>
      <x:c r="F744" s="5" t="str">
        <x:v>"Холдинг Аэропорты Регионов" (преподаватель OR эксперт OR провайдер OR партнерство)</x:v>
      </x:c>
      <x:c r="G744" s="5" t="str">
        <x:v>Уточнить кто платит и какой вход для внешнего исполнителя.</x:v>
      </x:c>
      <x:c r="H744" s="5" t="str">
        <x:v>not_run</x:v>
      </x:c>
    </x:row>
    <x:row r="745" ht="25.5" customHeight="1">
      <x:c r="A745" s="5" t="str">
        <x:v>CU-0124-SIGNAL</x:v>
      </x:c>
      <x:c r="B745" s="5" t="str">
        <x:v>CU-0124</x:v>
      </x:c>
      <x:c r="C745" s="5" t="str">
        <x:v>АР-Университет</x:v>
      </x:c>
      <x:c r="D745" s="5" t="str">
        <x:v>RU</x:v>
      </x:c>
      <x:c r="E745" s="5" t="str">
        <x:v>Новые программы</x:v>
      </x:c>
      <x:c r="F745" s="5" t="str">
        <x:v>"Холдинг Аэропорты Регионов" ("кадровый резерв" OR "электронный курс" OR "развитие руководителей")</x:v>
      </x:c>
      <x:c r="G745" s="5" t="str">
        <x:v>Ранний сигнал и предметный пробел; не подтвержденный заказ.</x:v>
      </x:c>
      <x:c r="H745" s="5" t="str">
        <x:v>not_run</x:v>
      </x:c>
    </x:row>
    <x:row r="746" ht="31.5" customHeight="1">
      <x:c r="A746" s="5" t="str">
        <x:v>CU-0125-DISCOVER</x:v>
      </x:c>
      <x:c r="B746" s="5" t="str">
        <x:v>CU-0125</x:v>
      </x:c>
      <x:c r="C746" s="5" t="str">
        <x:v>Корпоративный университет — авиационный учебный центр Пулково</x:v>
      </x:c>
      <x:c r="D746" s="5" t="str">
        <x:v>RU</x:v>
      </x:c>
      <x:c r="E746" s="5" t="str">
        <x:v>Новые каналы</x:v>
      </x:c>
      <x:c r="F746" s="5" t="str">
        <x:v>"Воздушные Ворота Северной Столицы" (университет OR академия OR "учебный центр" OR обучение)</x:v>
      </x:c>
      <x:c r="G746" s="5" t="str">
        <x:v>Имена, подразделения и дополнительные официальные адреса.</x:v>
      </x:c>
      <x:c r="H746" s="5" t="str">
        <x:v>not_run</x:v>
      </x:c>
    </x:row>
    <x:row r="747" ht="31.5" customHeight="1">
      <x:c r="A747" s="5" t="str">
        <x:v>CU-0125-BUY</x:v>
      </x:c>
      <x:c r="B747" s="5" t="str">
        <x:v>CU-0125</x:v>
      </x:c>
      <x:c r="C747" s="5" t="str">
        <x:v>Корпоративный университет — авиационный учебный центр Пулково</x:v>
      </x:c>
      <x:c r="D747" s="5" t="str">
        <x:v>RU</x:v>
      </x:c>
      <x:c r="E747" s="5" t="str">
        <x:v>Закупки и отбор</x:v>
      </x:c>
      <x:c r="F747" s="5" t="str">
        <x:v>"Воздушные Ворота Северной Столицы" (обучение OR тренинг OR семинар) (закупки OR "запрос предложений" OR поставщик)</x:v>
      </x:c>
      <x:c r="G747" s="5" t="str">
        <x:v>Найти конкретную карточку и приложения; запрос не доказывает спрос.</x:v>
      </x:c>
      <x:c r="H747" s="5" t="str">
        <x:v>not_run</x:v>
      </x:c>
    </x:row>
    <x:row r="748" ht="31.5" customHeight="1">
      <x:c r="A748" s="5" t="str">
        <x:v>CU-0125-EXPERT</x:v>
      </x:c>
      <x:c r="B748" s="5" t="str">
        <x:v>CU-0125</x:v>
      </x:c>
      <x:c r="C748" s="5" t="str">
        <x:v>Корпоративный университет — авиационный учебный центр Пулково</x:v>
      </x:c>
      <x:c r="D748" s="5" t="str">
        <x:v>RU</x:v>
      </x:c>
      <x:c r="E748" s="5" t="str">
        <x:v>Эксперты и партнеры</x:v>
      </x:c>
      <x:c r="F748" s="5" t="str">
        <x:v>"Воздушные Ворота Северной Столицы" (преподаватель OR эксперт OR провайдер OR партнерство)</x:v>
      </x:c>
      <x:c r="G748" s="5" t="str">
        <x:v>Уточнить кто платит и какой вход для внешнего исполнителя.</x:v>
      </x:c>
      <x:c r="H748" s="5" t="str">
        <x:v>not_run</x:v>
      </x:c>
    </x:row>
    <x:row r="749" ht="31.5" customHeight="1">
      <x:c r="A749" s="5" t="str">
        <x:v>CU-0125-SIGNAL</x:v>
      </x:c>
      <x:c r="B749" s="5" t="str">
        <x:v>CU-0125</x:v>
      </x:c>
      <x:c r="C749" s="5" t="str">
        <x:v>Корпоративный университет — авиационный учебный центр Пулково</x:v>
      </x:c>
      <x:c r="D749" s="5" t="str">
        <x:v>RU</x:v>
      </x:c>
      <x:c r="E749" s="5" t="str">
        <x:v>Новые программы</x:v>
      </x:c>
      <x:c r="F749" s="5" t="str">
        <x:v>"Воздушные Ворота Северной Столицы" ("кадровый резерв" OR "электронный курс" OR "развитие руководителей")</x:v>
      </x:c>
      <x:c r="G749" s="5" t="str">
        <x:v>Ранний сигнал и предметный пробел; не подтвержденный заказ.</x:v>
      </x:c>
      <x:c r="H749" s="5" t="str">
        <x:v>not_run</x:v>
      </x:c>
    </x:row>
    <x:row r="750" ht="25.5" customHeight="1">
      <x:c r="A750" s="5" t="str">
        <x:v>CU-0127-DISCOVER</x:v>
      </x:c>
      <x:c r="B750" s="5" t="str">
        <x:v>CU-0127</x:v>
      </x:c>
      <x:c r="C750" s="5" t="str">
        <x:v>Авиашкола Аэрофлота (Академия Аэрофлота)</x:v>
      </x:c>
      <x:c r="D750" s="5" t="str">
        <x:v>RU</x:v>
      </x:c>
      <x:c r="E750" s="5" t="str">
        <x:v>Новые каналы</x:v>
      </x:c>
      <x:c r="F750" s="5" t="str">
        <x:v>"Группа Аэрофлот" (университет OR академия OR "учебный центр" OR обучение)</x:v>
      </x:c>
      <x:c r="G750" s="5" t="str">
        <x:v>Имена, подразделения и дополнительные официальные адреса.</x:v>
      </x:c>
      <x:c r="H750" s="5" t="str">
        <x:v>not_run</x:v>
      </x:c>
    </x:row>
    <x:row r="751" ht="25.5" customHeight="1">
      <x:c r="A751" s="5" t="str">
        <x:v>CU-0127-BUY</x:v>
      </x:c>
      <x:c r="B751" s="5" t="str">
        <x:v>CU-0127</x:v>
      </x:c>
      <x:c r="C751" s="5" t="str">
        <x:v>Авиашкола Аэрофлота (Академия Аэрофлота)</x:v>
      </x:c>
      <x:c r="D751" s="5" t="str">
        <x:v>RU</x:v>
      </x:c>
      <x:c r="E751" s="5" t="str">
        <x:v>Закупки и отбор</x:v>
      </x:c>
      <x:c r="F751" s="5" t="str">
        <x:v>"Группа Аэрофлот" (обучение OR тренинг OR семинар) (закупки OR "запрос предложений" OR поставщик)</x:v>
      </x:c>
      <x:c r="G751" s="5" t="str">
        <x:v>Найти конкретную карточку и приложения; запрос не доказывает спрос.</x:v>
      </x:c>
      <x:c r="H751" s="5" t="str">
        <x:v>not_run</x:v>
      </x:c>
    </x:row>
    <x:row r="752" ht="25.5" customHeight="1">
      <x:c r="A752" s="5" t="str">
        <x:v>CU-0127-EXPERT</x:v>
      </x:c>
      <x:c r="B752" s="5" t="str">
        <x:v>CU-0127</x:v>
      </x:c>
      <x:c r="C752" s="5" t="str">
        <x:v>Авиашкола Аэрофлота (Академия Аэрофлота)</x:v>
      </x:c>
      <x:c r="D752" s="5" t="str">
        <x:v>RU</x:v>
      </x:c>
      <x:c r="E752" s="5" t="str">
        <x:v>Эксперты и партнеры</x:v>
      </x:c>
      <x:c r="F752" s="5" t="str">
        <x:v>"Группа Аэрофлот" (преподаватель OR эксперт OR провайдер OR партнерство)</x:v>
      </x:c>
      <x:c r="G752" s="5" t="str">
        <x:v>Уточнить кто платит и какой вход для внешнего исполнителя.</x:v>
      </x:c>
      <x:c r="H752" s="5" t="str">
        <x:v>not_run</x:v>
      </x:c>
    </x:row>
    <x:row r="753" ht="25.5" customHeight="1">
      <x:c r="A753" s="5" t="str">
        <x:v>CU-0127-SIGNAL</x:v>
      </x:c>
      <x:c r="B753" s="5" t="str">
        <x:v>CU-0127</x:v>
      </x:c>
      <x:c r="C753" s="5" t="str">
        <x:v>Авиашкола Аэрофлота (Академия Аэрофлота)</x:v>
      </x:c>
      <x:c r="D753" s="5" t="str">
        <x:v>RU</x:v>
      </x:c>
      <x:c r="E753" s="5" t="str">
        <x:v>Новые программы</x:v>
      </x:c>
      <x:c r="F753" s="5" t="str">
        <x:v>"Группа Аэрофлот" ("кадровый резерв" OR "электронный курс" OR "развитие руководителей")</x:v>
      </x:c>
      <x:c r="G753" s="5" t="str">
        <x:v>Ранний сигнал и предметный пробел; не подтвержденный заказ.</x:v>
      </x:c>
      <x:c r="H753" s="5" t="str">
        <x:v>not_run</x:v>
      </x:c>
    </x:row>
    <x:row r="754" ht="25.5" customHeight="1">
      <x:c r="A754" s="5" t="str">
        <x:v>CU-0131-DISCOVER</x:v>
      </x:c>
      <x:c r="B754" s="5" t="str">
        <x:v>CU-0131</x:v>
      </x:c>
      <x:c r="C754" s="5" t="str">
        <x:v>DOMODEDOVO TRAINING</x:v>
      </x:c>
      <x:c r="D754" s="5" t="str">
        <x:v>RU</x:v>
      </x:c>
      <x:c r="E754" s="5" t="str">
        <x:v>Новые каналы</x:v>
      </x:c>
      <x:c r="F754" s="5" t="str">
        <x:v>"Группа DME / ООО ДОМОДЕДОВО ТРЕЙНИНГ" (университет OR академия OR "учебный центр" OR обучение)</x:v>
      </x:c>
      <x:c r="G754" s="5" t="str">
        <x:v>Имена, подразделения и дополнительные официальные адреса.</x:v>
      </x:c>
      <x:c r="H754" s="5" t="str">
        <x:v>not_run</x:v>
      </x:c>
    </x:row>
    <x:row r="755" ht="31.5" customHeight="1">
      <x:c r="A755" s="5" t="str">
        <x:v>CU-0131-BUY</x:v>
      </x:c>
      <x:c r="B755" s="5" t="str">
        <x:v>CU-0131</x:v>
      </x:c>
      <x:c r="C755" s="5" t="str">
        <x:v>DOMODEDOVO TRAINING</x:v>
      </x:c>
      <x:c r="D755" s="5" t="str">
        <x:v>RU</x:v>
      </x:c>
      <x:c r="E755" s="5" t="str">
        <x:v>Закупки и отбор</x:v>
      </x:c>
      <x:c r="F755" s="5" t="str">
        <x:v>"Группа DME / ООО ДОМОДЕДОВО ТРЕЙНИНГ" (обучение OR тренинг OR семинар) (закупки OR "запрос предложений" OR поставщик)</x:v>
      </x:c>
      <x:c r="G755" s="5" t="str">
        <x:v>Найти конкретную карточку и приложения; запрос не доказывает спрос.</x:v>
      </x:c>
      <x:c r="H755" s="5" t="str">
        <x:v>not_run</x:v>
      </x:c>
    </x:row>
    <x:row r="756" ht="25.5" customHeight="1">
      <x:c r="A756" s="5" t="str">
        <x:v>CU-0131-EXPERT</x:v>
      </x:c>
      <x:c r="B756" s="5" t="str">
        <x:v>CU-0131</x:v>
      </x:c>
      <x:c r="C756" s="5" t="str">
        <x:v>DOMODEDOVO TRAINING</x:v>
      </x:c>
      <x:c r="D756" s="5" t="str">
        <x:v>RU</x:v>
      </x:c>
      <x:c r="E756" s="5" t="str">
        <x:v>Эксперты и партнеры</x:v>
      </x:c>
      <x:c r="F756" s="5" t="str">
        <x:v>"Группа DME / ООО ДОМОДЕДОВО ТРЕЙНИНГ" (преподаватель OR эксперт OR провайдер OR партнерство)</x:v>
      </x:c>
      <x:c r="G756" s="5" t="str">
        <x:v>Уточнить кто платит и какой вход для внешнего исполнителя.</x:v>
      </x:c>
      <x:c r="H756" s="5" t="str">
        <x:v>not_run</x:v>
      </x:c>
    </x:row>
    <x:row r="757" ht="25.5" customHeight="1">
      <x:c r="A757" s="5" t="str">
        <x:v>CU-0131-SIGNAL</x:v>
      </x:c>
      <x:c r="B757" s="5" t="str">
        <x:v>CU-0131</x:v>
      </x:c>
      <x:c r="C757" s="5" t="str">
        <x:v>DOMODEDOVO TRAINING</x:v>
      </x:c>
      <x:c r="D757" s="5" t="str">
        <x:v>RU</x:v>
      </x:c>
      <x:c r="E757" s="5" t="str">
        <x:v>Новые программы</x:v>
      </x:c>
      <x:c r="F757" s="5" t="str">
        <x:v>"Группа DME / ООО ДОМОДЕДОВО ТРЕЙНИНГ" ("кадровый резерв" OR "электронный курс" OR "развитие руководителей")</x:v>
      </x:c>
      <x:c r="G757" s="5" t="str">
        <x:v>Ранний сигнал и предметный пробел; не подтвержденный заказ.</x:v>
      </x:c>
      <x:c r="H757" s="5" t="str">
        <x:v>not_run</x:v>
      </x:c>
    </x:row>
    <x:row r="758" ht="25.5" customHeight="1">
      <x:c r="A758" s="5" t="str">
        <x:v>CU-0134-DISCOVER</x:v>
      </x:c>
      <x:c r="B758" s="5" t="str">
        <x:v>CU-0134</x:v>
      </x:c>
      <x:c r="C758" s="5" t="str">
        <x:v>Академия FESCO</x:v>
      </x:c>
      <x:c r="D758" s="5" t="str">
        <x:v>RU</x:v>
      </x:c>
      <x:c r="E758" s="5" t="str">
        <x:v>Новые каналы</x:v>
      </x:c>
      <x:c r="F758" s="5" t="str">
        <x:v>"Транспортная группа FESCO" (университет OR академия OR "учебный центр" OR обучение)</x:v>
      </x:c>
      <x:c r="G758" s="5" t="str">
        <x:v>Имена, подразделения и дополнительные официальные адреса.</x:v>
      </x:c>
      <x:c r="H758" s="5" t="str">
        <x:v>not_run</x:v>
      </x:c>
    </x:row>
    <x:row r="759" ht="25.5" customHeight="1">
      <x:c r="A759" s="5" t="str">
        <x:v>CU-0134-BUY</x:v>
      </x:c>
      <x:c r="B759" s="5" t="str">
        <x:v>CU-0134</x:v>
      </x:c>
      <x:c r="C759" s="5" t="str">
        <x:v>Академия FESCO</x:v>
      </x:c>
      <x:c r="D759" s="5" t="str">
        <x:v>RU</x:v>
      </x:c>
      <x:c r="E759" s="5" t="str">
        <x:v>Закупки и отбор</x:v>
      </x:c>
      <x:c r="F759" s="5" t="str">
        <x:v>"Транспортная группа FESCO" (обучение OR тренинг OR семинар) (закупки OR "запрос предложений" OR поставщик)</x:v>
      </x:c>
      <x:c r="G759" s="5" t="str">
        <x:v>Найти конкретную карточку и приложения; запрос не доказывает спрос.</x:v>
      </x:c>
      <x:c r="H759" s="5" t="str">
        <x:v>not_run</x:v>
      </x:c>
    </x:row>
    <x:row r="760" ht="25.5" customHeight="1">
      <x:c r="A760" s="5" t="str">
        <x:v>CU-0134-EXPERT</x:v>
      </x:c>
      <x:c r="B760" s="5" t="str">
        <x:v>CU-0134</x:v>
      </x:c>
      <x:c r="C760" s="5" t="str">
        <x:v>Академия FESCO</x:v>
      </x:c>
      <x:c r="D760" s="5" t="str">
        <x:v>RU</x:v>
      </x:c>
      <x:c r="E760" s="5" t="str">
        <x:v>Эксперты и партнеры</x:v>
      </x:c>
      <x:c r="F760" s="5" t="str">
        <x:v>"Транспортная группа FESCO" (преподаватель OR эксперт OR провайдер OR партнерство)</x:v>
      </x:c>
      <x:c r="G760" s="5" t="str">
        <x:v>Уточнить кто платит и какой вход для внешнего исполнителя.</x:v>
      </x:c>
      <x:c r="H760" s="5" t="str">
        <x:v>not_run</x:v>
      </x:c>
    </x:row>
    <x:row r="761" ht="25.5" customHeight="1">
      <x:c r="A761" s="5" t="str">
        <x:v>CU-0134-SIGNAL</x:v>
      </x:c>
      <x:c r="B761" s="5" t="str">
        <x:v>CU-0134</x:v>
      </x:c>
      <x:c r="C761" s="5" t="str">
        <x:v>Академия FESCO</x:v>
      </x:c>
      <x:c r="D761" s="5" t="str">
        <x:v>RU</x:v>
      </x:c>
      <x:c r="E761" s="5" t="str">
        <x:v>Новые программы</x:v>
      </x:c>
      <x:c r="F761" s="5" t="str">
        <x:v>"Транспортная группа FESCO" ("кадровый резерв" OR "электронный курс" OR "развитие руководителей")</x:v>
      </x:c>
      <x:c r="G761" s="5" t="str">
        <x:v>Ранний сигнал и предметный пробел; не подтвержденный заказ.</x:v>
      </x:c>
      <x:c r="H761" s="5" t="str">
        <x:v>not_run</x:v>
      </x:c>
    </x:row>
    <x:row r="762" ht="25.5" customHeight="1">
      <x:c r="A762" s="5" t="str">
        <x:v>CU-0141-DISCOVER</x:v>
      </x:c>
      <x:c r="B762" s="5" t="str">
        <x:v>CU-0141</x:v>
      </x:c>
      <x:c r="C762" s="5" t="str">
        <x:v>Академия «ЭкоНива» / корпоративный университет</x:v>
      </x:c>
      <x:c r="D762" s="5" t="str">
        <x:v>RU</x:v>
      </x:c>
      <x:c r="E762" s="5" t="str">
        <x:v>Новые каналы</x:v>
      </x:c>
      <x:c r="F762" s="5" t="str">
        <x:v>"ЭкоНива" (университет OR академия OR "учебный центр" OR обучение)</x:v>
      </x:c>
      <x:c r="G762" s="5" t="str">
        <x:v>Имена, подразделения и дополнительные официальные адреса.</x:v>
      </x:c>
      <x:c r="H762" s="5" t="str">
        <x:v>not_run</x:v>
      </x:c>
    </x:row>
    <x:row r="763" ht="25.5" customHeight="1">
      <x:c r="A763" s="5" t="str">
        <x:v>CU-0141-BUY</x:v>
      </x:c>
      <x:c r="B763" s="5" t="str">
        <x:v>CU-0141</x:v>
      </x:c>
      <x:c r="C763" s="5" t="str">
        <x:v>Академия «ЭкоНива» / корпоративный университет</x:v>
      </x:c>
      <x:c r="D763" s="5" t="str">
        <x:v>RU</x:v>
      </x:c>
      <x:c r="E763" s="5" t="str">
        <x:v>Закупки и отбор</x:v>
      </x:c>
      <x:c r="F763" s="5" t="str">
        <x:v>"ЭкоНива" (обучение OR тренинг OR семинар) (закупки OR "запрос предложений" OR поставщик)</x:v>
      </x:c>
      <x:c r="G763" s="5" t="str">
        <x:v>Найти конкретную карточку и приложения; запрос не доказывает спрос.</x:v>
      </x:c>
      <x:c r="H763" s="5" t="str">
        <x:v>not_run</x:v>
      </x:c>
    </x:row>
    <x:row r="764" ht="25.5" customHeight="1">
      <x:c r="A764" s="5" t="str">
        <x:v>CU-0141-EXPERT</x:v>
      </x:c>
      <x:c r="B764" s="5" t="str">
        <x:v>CU-0141</x:v>
      </x:c>
      <x:c r="C764" s="5" t="str">
        <x:v>Академия «ЭкоНива» / корпоративный университет</x:v>
      </x:c>
      <x:c r="D764" s="5" t="str">
        <x:v>RU</x:v>
      </x:c>
      <x:c r="E764" s="5" t="str">
        <x:v>Эксперты и партнеры</x:v>
      </x:c>
      <x:c r="F764" s="5" t="str">
        <x:v>"ЭкоНива" (преподаватель OR эксперт OR провайдер OR партнерство)</x:v>
      </x:c>
      <x:c r="G764" s="5" t="str">
        <x:v>Уточнить кто платит и какой вход для внешнего исполнителя.</x:v>
      </x:c>
      <x:c r="H764" s="5" t="str">
        <x:v>not_run</x:v>
      </x:c>
    </x:row>
    <x:row r="765" ht="25.5" customHeight="1">
      <x:c r="A765" s="5" t="str">
        <x:v>CU-0141-SIGNAL</x:v>
      </x:c>
      <x:c r="B765" s="5" t="str">
        <x:v>CU-0141</x:v>
      </x:c>
      <x:c r="C765" s="5" t="str">
        <x:v>Академия «ЭкоНива» / корпоративный университет</x:v>
      </x:c>
      <x:c r="D765" s="5" t="str">
        <x:v>RU</x:v>
      </x:c>
      <x:c r="E765" s="5" t="str">
        <x:v>Новые программы</x:v>
      </x:c>
      <x:c r="F765" s="5" t="str">
        <x:v>"ЭкоНива" ("кадровый резерв" OR "электронный курс" OR "развитие руководителей")</x:v>
      </x:c>
      <x:c r="G765" s="5" t="str">
        <x:v>Ранний сигнал и предметный пробел; не подтвержденный заказ.</x:v>
      </x:c>
      <x:c r="H765" s="5" t="str">
        <x:v>not_run</x:v>
      </x:c>
    </x:row>
    <x:row r="766" ht="25.5" customHeight="1">
      <x:c r="A766" s="5" t="str">
        <x:v>CU-0144-DISCOVER</x:v>
      </x:c>
      <x:c r="B766" s="5" t="str">
        <x:v>CU-0144</x:v>
      </x:c>
      <x:c r="C766" s="5" t="str">
        <x:v>Медицинская академия МЕДСИ</x:v>
      </x:c>
      <x:c r="D766" s="5" t="str">
        <x:v>RU</x:v>
      </x:c>
      <x:c r="E766" s="5" t="str">
        <x:v>Новые каналы</x:v>
      </x:c>
      <x:c r="F766" s="5" t="str">
        <x:v>"Группа компаний Медси" (университет OR академия OR "учебный центр" OR обучение)</x:v>
      </x:c>
      <x:c r="G766" s="5" t="str">
        <x:v>Имена, подразделения и дополнительные официальные адреса.</x:v>
      </x:c>
      <x:c r="H766" s="5" t="str">
        <x:v>not_run</x:v>
      </x:c>
    </x:row>
    <x:row r="767" ht="25.5" customHeight="1">
      <x:c r="A767" s="5" t="str">
        <x:v>CU-0144-BUY</x:v>
      </x:c>
      <x:c r="B767" s="5" t="str">
        <x:v>CU-0144</x:v>
      </x:c>
      <x:c r="C767" s="5" t="str">
        <x:v>Медицинская академия МЕДСИ</x:v>
      </x:c>
      <x:c r="D767" s="5" t="str">
        <x:v>RU</x:v>
      </x:c>
      <x:c r="E767" s="5" t="str">
        <x:v>Закупки и отбор</x:v>
      </x:c>
      <x:c r="F767" s="5" t="str">
        <x:v>"Группа компаний Медси" (обучение OR тренинг OR семинар) (закупки OR "запрос предложений" OR поставщик)</x:v>
      </x:c>
      <x:c r="G767" s="5" t="str">
        <x:v>Найти конкретную карточку и приложения; запрос не доказывает спрос.</x:v>
      </x:c>
      <x:c r="H767" s="5" t="str">
        <x:v>not_run</x:v>
      </x:c>
    </x:row>
    <x:row r="768" ht="25.5" customHeight="1">
      <x:c r="A768" s="5" t="str">
        <x:v>CU-0144-EXPERT</x:v>
      </x:c>
      <x:c r="B768" s="5" t="str">
        <x:v>CU-0144</x:v>
      </x:c>
      <x:c r="C768" s="5" t="str">
        <x:v>Медицинская академия МЕДСИ</x:v>
      </x:c>
      <x:c r="D768" s="5" t="str">
        <x:v>RU</x:v>
      </x:c>
      <x:c r="E768" s="5" t="str">
        <x:v>Эксперты и партнеры</x:v>
      </x:c>
      <x:c r="F768" s="5" t="str">
        <x:v>"Группа компаний Медси" (преподаватель OR эксперт OR провайдер OR партнерство)</x:v>
      </x:c>
      <x:c r="G768" s="5" t="str">
        <x:v>Уточнить кто платит и какой вход для внешнего исполнителя.</x:v>
      </x:c>
      <x:c r="H768" s="5" t="str">
        <x:v>not_run</x:v>
      </x:c>
    </x:row>
    <x:row r="769" ht="25.5" customHeight="1">
      <x:c r="A769" s="5" t="str">
        <x:v>CU-0144-SIGNAL</x:v>
      </x:c>
      <x:c r="B769" s="5" t="str">
        <x:v>CU-0144</x:v>
      </x:c>
      <x:c r="C769" s="5" t="str">
        <x:v>Медицинская академия МЕДСИ</x:v>
      </x:c>
      <x:c r="D769" s="5" t="str">
        <x:v>RU</x:v>
      </x:c>
      <x:c r="E769" s="5" t="str">
        <x:v>Новые программы</x:v>
      </x:c>
      <x:c r="F769" s="5" t="str">
        <x:v>"Группа компаний Медси" ("кадровый резерв" OR "электронный курс" OR "развитие руководителей")</x:v>
      </x:c>
      <x:c r="G769" s="5" t="str">
        <x:v>Ранний сигнал и предметный пробел; не подтвержденный заказ.</x:v>
      </x:c>
      <x:c r="H769" s="5" t="str">
        <x:v>not_run</x:v>
      </x:c>
    </x:row>
    <x:row r="770" ht="25.5" customHeight="1">
      <x:c r="A770" s="5" t="str">
        <x:v>CU-0145-DISCOVER</x:v>
      </x:c>
      <x:c r="B770" s="5" t="str">
        <x:v>CU-0145</x:v>
      </x:c>
      <x:c r="C770" s="5" t="str">
        <x:v>Высшая медицинская школа — учебный центр ИНВИТРО</x:v>
      </x:c>
      <x:c r="D770" s="5" t="str">
        <x:v>RU</x:v>
      </x:c>
      <x:c r="E770" s="5" t="str">
        <x:v>Новые каналы</x:v>
      </x:c>
      <x:c r="F770" s="5" t="str">
        <x:v>"ИНВИТРО (исторически подтверждённая связь)" (университет OR академия OR "учебный центр" OR обучение)</x:v>
      </x:c>
      <x:c r="G770" s="5" t="str">
        <x:v>Имена, подразделения и дополнительные официальные адреса.</x:v>
      </x:c>
      <x:c r="H770" s="5" t="str">
        <x:v>not_run</x:v>
      </x:c>
    </x:row>
    <x:row r="771" ht="31.5" customHeight="1">
      <x:c r="A771" s="5" t="str">
        <x:v>CU-0145-BUY</x:v>
      </x:c>
      <x:c r="B771" s="5" t="str">
        <x:v>CU-0145</x:v>
      </x:c>
      <x:c r="C771" s="5" t="str">
        <x:v>Высшая медицинская школа — учебный центр ИНВИТРО</x:v>
      </x:c>
      <x:c r="D771" s="5" t="str">
        <x:v>RU</x:v>
      </x:c>
      <x:c r="E771" s="5" t="str">
        <x:v>Закупки и отбор</x:v>
      </x:c>
      <x:c r="F771" s="5" t="str">
        <x:v>"ИНВИТРО (исторически подтверждённая связь)" (обучение OR тренинг OR семинар) (закупки OR "запрос предложений" OR поставщик)</x:v>
      </x:c>
      <x:c r="G771" s="5" t="str">
        <x:v>Найти конкретную карточку и приложения; запрос не доказывает спрос.</x:v>
      </x:c>
      <x:c r="H771" s="5" t="str">
        <x:v>not_run</x:v>
      </x:c>
    </x:row>
    <x:row r="772" ht="25.5" customHeight="1">
      <x:c r="A772" s="5" t="str">
        <x:v>CU-0145-EXPERT</x:v>
      </x:c>
      <x:c r="B772" s="5" t="str">
        <x:v>CU-0145</x:v>
      </x:c>
      <x:c r="C772" s="5" t="str">
        <x:v>Высшая медицинская школа — учебный центр ИНВИТРО</x:v>
      </x:c>
      <x:c r="D772" s="5" t="str">
        <x:v>RU</x:v>
      </x:c>
      <x:c r="E772" s="5" t="str">
        <x:v>Эксперты и партнеры</x:v>
      </x:c>
      <x:c r="F772" s="5" t="str">
        <x:v>"ИНВИТРО (исторически подтверждённая связь)" (преподаватель OR эксперт OR провайдер OR партнерство)</x:v>
      </x:c>
      <x:c r="G772" s="5" t="str">
        <x:v>Уточнить кто платит и какой вход для внешнего исполнителя.</x:v>
      </x:c>
      <x:c r="H772" s="5" t="str">
        <x:v>not_run</x:v>
      </x:c>
    </x:row>
    <x:row r="773" ht="25.5" customHeight="1">
      <x:c r="A773" s="5" t="str">
        <x:v>CU-0145-SIGNAL</x:v>
      </x:c>
      <x:c r="B773" s="5" t="str">
        <x:v>CU-0145</x:v>
      </x:c>
      <x:c r="C773" s="5" t="str">
        <x:v>Высшая медицинская школа — учебный центр ИНВИТРО</x:v>
      </x:c>
      <x:c r="D773" s="5" t="str">
        <x:v>RU</x:v>
      </x:c>
      <x:c r="E773" s="5" t="str">
        <x:v>Новые программы</x:v>
      </x:c>
      <x:c r="F773" s="5" t="str">
        <x:v>"ИНВИТРО (исторически подтверждённая связь)" ("кадровый резерв" OR "электронный курс" OR "развитие руководителей")</x:v>
      </x:c>
      <x:c r="G773" s="5" t="str">
        <x:v>Ранний сигнал и предметный пробел; не подтвержденный заказ.</x:v>
      </x:c>
      <x:c r="H773" s="5" t="str">
        <x:v>not_run</x:v>
      </x:c>
    </x:row>
    <x:row r="774" ht="25.5" customHeight="1">
      <x:c r="A774" s="5" t="str">
        <x:v>CU-0150-DISCOVER</x:v>
      </x:c>
      <x:c r="B774" s="5" t="str">
        <x:v>CU-0150</x:v>
      </x:c>
      <x:c r="C774" s="5" t="str">
        <x:v>Учебный центр Главгосэкспертизы России</x:v>
      </x:c>
      <x:c r="D774" s="5" t="str">
        <x:v>RU</x:v>
      </x:c>
      <x:c r="E774" s="5" t="str">
        <x:v>Новые каналы</x:v>
      </x:c>
      <x:c r="F774" s="5" t="str">
        <x:v>"ФАУ Главгосэкспертиза России" (университет OR академия OR "учебный центр" OR обучение)</x:v>
      </x:c>
      <x:c r="G774" s="5" t="str">
        <x:v>Имена, подразделения и дополнительные официальные адреса.</x:v>
      </x:c>
      <x:c r="H774" s="5" t="str">
        <x:v>not_run</x:v>
      </x:c>
    </x:row>
    <x:row r="775" ht="25.5" customHeight="1">
      <x:c r="A775" s="5" t="str">
        <x:v>CU-0150-BUY</x:v>
      </x:c>
      <x:c r="B775" s="5" t="str">
        <x:v>CU-0150</x:v>
      </x:c>
      <x:c r="C775" s="5" t="str">
        <x:v>Учебный центр Главгосэкспертизы России</x:v>
      </x:c>
      <x:c r="D775" s="5" t="str">
        <x:v>RU</x:v>
      </x:c>
      <x:c r="E775" s="5" t="str">
        <x:v>Закупки и отбор</x:v>
      </x:c>
      <x:c r="F775" s="5" t="str">
        <x:v>"ФАУ Главгосэкспертиза России" (обучение OR тренинг OR семинар) (закупки OR "запрос предложений" OR поставщик)</x:v>
      </x:c>
      <x:c r="G775" s="5" t="str">
        <x:v>Найти конкретную карточку и приложения; запрос не доказывает спрос.</x:v>
      </x:c>
      <x:c r="H775" s="5" t="str">
        <x:v>not_run</x:v>
      </x:c>
    </x:row>
    <x:row r="776" ht="25.5" customHeight="1">
      <x:c r="A776" s="5" t="str">
        <x:v>CU-0150-EXPERT</x:v>
      </x:c>
      <x:c r="B776" s="5" t="str">
        <x:v>CU-0150</x:v>
      </x:c>
      <x:c r="C776" s="5" t="str">
        <x:v>Учебный центр Главгосэкспертизы России</x:v>
      </x:c>
      <x:c r="D776" s="5" t="str">
        <x:v>RU</x:v>
      </x:c>
      <x:c r="E776" s="5" t="str">
        <x:v>Эксперты и партнеры</x:v>
      </x:c>
      <x:c r="F776" s="5" t="str">
        <x:v>"ФАУ Главгосэкспертиза России" (преподаватель OR эксперт OR провайдер OR партнерство)</x:v>
      </x:c>
      <x:c r="G776" s="5" t="str">
        <x:v>Уточнить кто платит и какой вход для внешнего исполнителя.</x:v>
      </x:c>
      <x:c r="H776" s="5" t="str">
        <x:v>not_run</x:v>
      </x:c>
    </x:row>
    <x:row r="777" ht="25.5" customHeight="1">
      <x:c r="A777" s="5" t="str">
        <x:v>CU-0150-SIGNAL</x:v>
      </x:c>
      <x:c r="B777" s="5" t="str">
        <x:v>CU-0150</x:v>
      </x:c>
      <x:c r="C777" s="5" t="str">
        <x:v>Учебный центр Главгосэкспертизы России</x:v>
      </x:c>
      <x:c r="D777" s="5" t="str">
        <x:v>RU</x:v>
      </x:c>
      <x:c r="E777" s="5" t="str">
        <x:v>Новые программы</x:v>
      </x:c>
      <x:c r="F777" s="5" t="str">
        <x:v>"ФАУ Главгосэкспертиза России" ("кадровый резерв" OR "электронный курс" OR "развитие руководителей")</x:v>
      </x:c>
      <x:c r="G777" s="5" t="str">
        <x:v>Ранний сигнал и предметный пробел; не подтвержденный заказ.</x:v>
      </x:c>
      <x:c r="H777" s="5" t="str">
        <x:v>not_run</x:v>
      </x:c>
    </x:row>
    <x:row r="778" ht="31.5" customHeight="1">
      <x:c r="A778" s="5" t="str">
        <x:v>CU-0154-DISCOVER</x:v>
      </x:c>
      <x:c r="B778" s="5" t="str">
        <x:v>CU-0154</x:v>
      </x:c>
      <x:c r="C778" s="5" t="str">
        <x:v>Корпоративный университет локомотивных технологий («ЛокоТех»)</x:v>
      </x:c>
      <x:c r="D778" s="5" t="str">
        <x:v>RU</x:v>
      </x:c>
      <x:c r="E778" s="5" t="str">
        <x:v>Новые каналы</x:v>
      </x:c>
      <x:c r="F778" s="5" t="str">
        <x:v>"Группа ЛокоТех" (университет OR академия OR "учебный центр" OR обучение)</x:v>
      </x:c>
      <x:c r="G778" s="5" t="str">
        <x:v>Имена, подразделения и дополнительные официальные адреса.</x:v>
      </x:c>
      <x:c r="H778" s="5" t="str">
        <x:v>not_run</x:v>
      </x:c>
    </x:row>
    <x:row r="779" ht="31.5" customHeight="1">
      <x:c r="A779" s="5" t="str">
        <x:v>CU-0154-BUY</x:v>
      </x:c>
      <x:c r="B779" s="5" t="str">
        <x:v>CU-0154</x:v>
      </x:c>
      <x:c r="C779" s="5" t="str">
        <x:v>Корпоративный университет локомотивных технологий («ЛокоТех»)</x:v>
      </x:c>
      <x:c r="D779" s="5" t="str">
        <x:v>RU</x:v>
      </x:c>
      <x:c r="E779" s="5" t="str">
        <x:v>Закупки и отбор</x:v>
      </x:c>
      <x:c r="F779" s="5" t="str">
        <x:v>"Группа ЛокоТех" (обучение OR тренинг OR семинар) (закупки OR "запрос предложений" OR поставщик)</x:v>
      </x:c>
      <x:c r="G779" s="5" t="str">
        <x:v>Найти конкретную карточку и приложения; запрос не доказывает спрос.</x:v>
      </x:c>
      <x:c r="H779" s="5" t="str">
        <x:v>not_run</x:v>
      </x:c>
    </x:row>
    <x:row r="780" ht="31.5" customHeight="1">
      <x:c r="A780" s="5" t="str">
        <x:v>CU-0154-EXPERT</x:v>
      </x:c>
      <x:c r="B780" s="5" t="str">
        <x:v>CU-0154</x:v>
      </x:c>
      <x:c r="C780" s="5" t="str">
        <x:v>Корпоративный университет локомотивных технологий («ЛокоТех»)</x:v>
      </x:c>
      <x:c r="D780" s="5" t="str">
        <x:v>RU</x:v>
      </x:c>
      <x:c r="E780" s="5" t="str">
        <x:v>Эксперты и партнеры</x:v>
      </x:c>
      <x:c r="F780" s="5" t="str">
        <x:v>"Группа ЛокоТех" (преподаватель OR эксперт OR провайдер OR партнерство)</x:v>
      </x:c>
      <x:c r="G780" s="5" t="str">
        <x:v>Уточнить кто платит и какой вход для внешнего исполнителя.</x:v>
      </x:c>
      <x:c r="H780" s="5" t="str">
        <x:v>not_run</x:v>
      </x:c>
    </x:row>
    <x:row r="781" ht="31.5" customHeight="1">
      <x:c r="A781" s="5" t="str">
        <x:v>CU-0154-SIGNAL</x:v>
      </x:c>
      <x:c r="B781" s="5" t="str">
        <x:v>CU-0154</x:v>
      </x:c>
      <x:c r="C781" s="5" t="str">
        <x:v>Корпоративный университет локомотивных технологий («ЛокоТех»)</x:v>
      </x:c>
      <x:c r="D781" s="5" t="str">
        <x:v>RU</x:v>
      </x:c>
      <x:c r="E781" s="5" t="str">
        <x:v>Новые программы</x:v>
      </x:c>
      <x:c r="F781" s="5" t="str">
        <x:v>"Группа ЛокоТех" ("кадровый резерв" OR "электронный курс" OR "развитие руководителей")</x:v>
      </x:c>
      <x:c r="G781" s="5" t="str">
        <x:v>Ранний сигнал и предметный пробел; не подтвержденный заказ.</x:v>
      </x:c>
      <x:c r="H781" s="5" t="str">
        <x:v>not_run</x:v>
      </x:c>
    </x:row>
    <x:row r="782" ht="25.5" customHeight="1">
      <x:c r="A782" s="5" t="str">
        <x:v>CU-0156-DISCOVER</x:v>
      </x:c>
      <x:c r="B782" s="5" t="str">
        <x:v>CU-0156</x:v>
      </x:c>
      <x:c r="C782" s="5" t="str">
        <x:v>Медицинская школа ЕМС — EMC Medical School</x:v>
      </x:c>
      <x:c r="D782" s="5" t="str">
        <x:v>RU</x:v>
      </x:c>
      <x:c r="E782" s="5" t="str">
        <x:v>Новые каналы</x:v>
      </x:c>
      <x:c r="F782" s="5" t="str">
        <x:v>"Европейский медицинский центр (ЕМС)" (университет OR академия OR "учебный центр" OR обучение)</x:v>
      </x:c>
      <x:c r="G782" s="5" t="str">
        <x:v>Имена, подразделения и дополнительные официальные адреса.</x:v>
      </x:c>
      <x:c r="H782" s="5" t="str">
        <x:v>not_run</x:v>
      </x:c>
    </x:row>
    <x:row r="783" ht="25.5" customHeight="1">
      <x:c r="A783" s="5" t="str">
        <x:v>CU-0156-BUY</x:v>
      </x:c>
      <x:c r="B783" s="5" t="str">
        <x:v>CU-0156</x:v>
      </x:c>
      <x:c r="C783" s="5" t="str">
        <x:v>Медицинская школа ЕМС — EMC Medical School</x:v>
      </x:c>
      <x:c r="D783" s="5" t="str">
        <x:v>RU</x:v>
      </x:c>
      <x:c r="E783" s="5" t="str">
        <x:v>Закупки и отбор</x:v>
      </x:c>
      <x:c r="F783" s="5" t="str">
        <x:v>"Европейский медицинский центр (ЕМС)" (обучение OR тренинг OR семинар) (закупки OR "запрос предложений" OR поставщик)</x:v>
      </x:c>
      <x:c r="G783" s="5" t="str">
        <x:v>Найти конкретную карточку и приложения; запрос не доказывает спрос.</x:v>
      </x:c>
      <x:c r="H783" s="5" t="str">
        <x:v>not_run</x:v>
      </x:c>
    </x:row>
    <x:row r="784" ht="25.5" customHeight="1">
      <x:c r="A784" s="5" t="str">
        <x:v>CU-0156-EXPERT</x:v>
      </x:c>
      <x:c r="B784" s="5" t="str">
        <x:v>CU-0156</x:v>
      </x:c>
      <x:c r="C784" s="5" t="str">
        <x:v>Медицинская школа ЕМС — EMC Medical School</x:v>
      </x:c>
      <x:c r="D784" s="5" t="str">
        <x:v>RU</x:v>
      </x:c>
      <x:c r="E784" s="5" t="str">
        <x:v>Эксперты и партнеры</x:v>
      </x:c>
      <x:c r="F784" s="5" t="str">
        <x:v>"Европейский медицинский центр (ЕМС)" (преподаватель OR эксперт OR провайдер OR партнерство)</x:v>
      </x:c>
      <x:c r="G784" s="5" t="str">
        <x:v>Уточнить кто платит и какой вход для внешнего исполнителя.</x:v>
      </x:c>
      <x:c r="H784" s="5" t="str">
        <x:v>not_run</x:v>
      </x:c>
    </x:row>
    <x:row r="785" ht="25.5" customHeight="1">
      <x:c r="A785" s="5" t="str">
        <x:v>CU-0156-SIGNAL</x:v>
      </x:c>
      <x:c r="B785" s="5" t="str">
        <x:v>CU-0156</x:v>
      </x:c>
      <x:c r="C785" s="5" t="str">
        <x:v>Медицинская школа ЕМС — EMC Medical School</x:v>
      </x:c>
      <x:c r="D785" s="5" t="str">
        <x:v>RU</x:v>
      </x:c>
      <x:c r="E785" s="5" t="str">
        <x:v>Новые программы</x:v>
      </x:c>
      <x:c r="F785" s="5" t="str">
        <x:v>"Европейский медицинский центр (ЕМС)" ("кадровый резерв" OR "электронный курс" OR "развитие руководителей")</x:v>
      </x:c>
      <x:c r="G785" s="5" t="str">
        <x:v>Ранний сигнал и предметный пробел; не подтвержденный заказ.</x:v>
      </x:c>
      <x:c r="H785" s="5" t="str">
        <x:v>not_run</x:v>
      </x:c>
    </x:row>
    <x:row r="786" ht="25.5" customHeight="1">
      <x:c r="A786" s="5" t="str">
        <x:v>CU-0233-DISCOVER</x:v>
      </x:c>
      <x:c r="B786" s="5" t="str">
        <x:v>CU-0233</x:v>
      </x:c>
      <x:c r="C786" s="5" t="str">
        <x:v>Учебный центр АО «Мосводоканал»</x:v>
      </x:c>
      <x:c r="D786" s="5" t="str">
        <x:v>RU</x:v>
      </x:c>
      <x:c r="E786" s="5" t="str">
        <x:v>Новые каналы</x:v>
      </x:c>
      <x:c r="F786" s="5" t="str">
        <x:v>"Мосводоканал" (университет OR академия OR "учебный центр" OR обучение)</x:v>
      </x:c>
      <x:c r="G786" s="5" t="str">
        <x:v>Имена, подразделения и дополнительные официальные адреса.</x:v>
      </x:c>
      <x:c r="H786" s="5" t="str">
        <x:v>not_run</x:v>
      </x:c>
    </x:row>
    <x:row r="787" ht="25.5" customHeight="1">
      <x:c r="A787" s="5" t="str">
        <x:v>CU-0233-BUY</x:v>
      </x:c>
      <x:c r="B787" s="5" t="str">
        <x:v>CU-0233</x:v>
      </x:c>
      <x:c r="C787" s="5" t="str">
        <x:v>Учебный центр АО «Мосводоканал»</x:v>
      </x:c>
      <x:c r="D787" s="5" t="str">
        <x:v>RU</x:v>
      </x:c>
      <x:c r="E787" s="5" t="str">
        <x:v>Закупки и отбор</x:v>
      </x:c>
      <x:c r="F787" s="5" t="str">
        <x:v>"Мосводоканал" (обучение OR тренинг OR семинар) (закупки OR "запрос предложений" OR поставщик)</x:v>
      </x:c>
      <x:c r="G787" s="5" t="str">
        <x:v>Найти конкретную карточку и приложения; запрос не доказывает спрос.</x:v>
      </x:c>
      <x:c r="H787" s="5" t="str">
        <x:v>not_run</x:v>
      </x:c>
    </x:row>
    <x:row r="788" ht="25.5" customHeight="1">
      <x:c r="A788" s="5" t="str">
        <x:v>CU-0233-EXPERT</x:v>
      </x:c>
      <x:c r="B788" s="5" t="str">
        <x:v>CU-0233</x:v>
      </x:c>
      <x:c r="C788" s="5" t="str">
        <x:v>Учебный центр АО «Мосводоканал»</x:v>
      </x:c>
      <x:c r="D788" s="5" t="str">
        <x:v>RU</x:v>
      </x:c>
      <x:c r="E788" s="5" t="str">
        <x:v>Эксперты и партнеры</x:v>
      </x:c>
      <x:c r="F788" s="5" t="str">
        <x:v>"Мосводоканал" (преподаватель OR эксперт OR провайдер OR партнерство)</x:v>
      </x:c>
      <x:c r="G788" s="5" t="str">
        <x:v>Уточнить кто платит и какой вход для внешнего исполнителя.</x:v>
      </x:c>
      <x:c r="H788" s="5" t="str">
        <x:v>not_run</x:v>
      </x:c>
    </x:row>
    <x:row r="789" ht="25.5" customHeight="1">
      <x:c r="A789" s="5" t="str">
        <x:v>CU-0233-SIGNAL</x:v>
      </x:c>
      <x:c r="B789" s="5" t="str">
        <x:v>CU-0233</x:v>
      </x:c>
      <x:c r="C789" s="5" t="str">
        <x:v>Учебный центр АО «Мосводоканал»</x:v>
      </x:c>
      <x:c r="D789" s="5" t="str">
        <x:v>RU</x:v>
      </x:c>
      <x:c r="E789" s="5" t="str">
        <x:v>Новые программы</x:v>
      </x:c>
      <x:c r="F789" s="5" t="str">
        <x:v>"Мосводоканал" ("кадровый резерв" OR "электронный курс" OR "развитие руководителей")</x:v>
      </x:c>
      <x:c r="G789" s="5" t="str">
        <x:v>Ранний сигнал и предметный пробел; не подтвержденный заказ.</x:v>
      </x:c>
      <x:c r="H789" s="5" t="str">
        <x:v>not_run</x:v>
      </x:c>
    </x:row>
    <x:row r="790" ht="25.5" customHeight="1">
      <x:c r="A790" s="5" t="str">
        <x:v>CU-0235-DISCOVER</x:v>
      </x:c>
      <x:c r="B790" s="5" t="str">
        <x:v>CU-0235</x:v>
      </x:c>
      <x:c r="C790" s="5" t="str">
        <x:v>Корпоративный учебный центр «СМ-Клиника»</x:v>
      </x:c>
      <x:c r="D790" s="5" t="str">
        <x:v>RU</x:v>
      </x:c>
      <x:c r="E790" s="5" t="str">
        <x:v>Новые каналы</x:v>
      </x:c>
      <x:c r="F790" s="5" t="str">
        <x:v>"СМ-Клиника" (университет OR академия OR "учебный центр" OR обучение)</x:v>
      </x:c>
      <x:c r="G790" s="5" t="str">
        <x:v>Имена, подразделения и дополнительные официальные адреса.</x:v>
      </x:c>
      <x:c r="H790" s="5" t="str">
        <x:v>not_run</x:v>
      </x:c>
    </x:row>
    <x:row r="791" ht="25.5" customHeight="1">
      <x:c r="A791" s="5" t="str">
        <x:v>CU-0235-BUY</x:v>
      </x:c>
      <x:c r="B791" s="5" t="str">
        <x:v>CU-0235</x:v>
      </x:c>
      <x:c r="C791" s="5" t="str">
        <x:v>Корпоративный учебный центр «СМ-Клиника»</x:v>
      </x:c>
      <x:c r="D791" s="5" t="str">
        <x:v>RU</x:v>
      </x:c>
      <x:c r="E791" s="5" t="str">
        <x:v>Закупки и отбор</x:v>
      </x:c>
      <x:c r="F791" s="5" t="str">
        <x:v>"СМ-Клиника" (обучение OR тренинг OR семинар) (закупки OR "запрос предложений" OR поставщик)</x:v>
      </x:c>
      <x:c r="G791" s="5" t="str">
        <x:v>Найти конкретную карточку и приложения; запрос не доказывает спрос.</x:v>
      </x:c>
      <x:c r="H791" s="5" t="str">
        <x:v>not_run</x:v>
      </x:c>
    </x:row>
    <x:row r="792" ht="25.5" customHeight="1">
      <x:c r="A792" s="5" t="str">
        <x:v>CU-0235-EXPERT</x:v>
      </x:c>
      <x:c r="B792" s="5" t="str">
        <x:v>CU-0235</x:v>
      </x:c>
      <x:c r="C792" s="5" t="str">
        <x:v>Корпоративный учебный центр «СМ-Клиника»</x:v>
      </x:c>
      <x:c r="D792" s="5" t="str">
        <x:v>RU</x:v>
      </x:c>
      <x:c r="E792" s="5" t="str">
        <x:v>Эксперты и партнеры</x:v>
      </x:c>
      <x:c r="F792" s="5" t="str">
        <x:v>"СМ-Клиника" (преподаватель OR эксперт OR провайдер OR партнерство)</x:v>
      </x:c>
      <x:c r="G792" s="5" t="str">
        <x:v>Уточнить кто платит и какой вход для внешнего исполнителя.</x:v>
      </x:c>
      <x:c r="H792" s="5" t="str">
        <x:v>not_run</x:v>
      </x:c>
    </x:row>
    <x:row r="793" ht="25.5" customHeight="1">
      <x:c r="A793" s="5" t="str">
        <x:v>CU-0235-SIGNAL</x:v>
      </x:c>
      <x:c r="B793" s="5" t="str">
        <x:v>CU-0235</x:v>
      </x:c>
      <x:c r="C793" s="5" t="str">
        <x:v>Корпоративный учебный центр «СМ-Клиника»</x:v>
      </x:c>
      <x:c r="D793" s="5" t="str">
        <x:v>RU</x:v>
      </x:c>
      <x:c r="E793" s="5" t="str">
        <x:v>Новые программы</x:v>
      </x:c>
      <x:c r="F793" s="5" t="str">
        <x:v>"СМ-Клиника" ("кадровый резерв" OR "электронный курс" OR "развитие руководителей")</x:v>
      </x:c>
      <x:c r="G793" s="5" t="str">
        <x:v>Ранний сигнал и предметный пробел; не подтвержденный заказ.</x:v>
      </x:c>
      <x:c r="H793" s="5" t="str">
        <x:v>not_run</x:v>
      </x:c>
    </x:row>
    <x:row r="794" ht="25.5" customHeight="1">
      <x:c r="A794" s="5" t="str">
        <x:v>CU-0240-DISCOVER</x:v>
      </x:c>
      <x:c r="B794" s="5" t="str">
        <x:v>CU-0240</x:v>
      </x:c>
      <x:c r="C794" s="5" t="str">
        <x:v>Учебный центр МОСГАЗ</x:v>
      </x:c>
      <x:c r="D794" s="5" t="str">
        <x:v>RU</x:v>
      </x:c>
      <x:c r="E794" s="5" t="str">
        <x:v>Новые каналы</x:v>
      </x:c>
      <x:c r="F794" s="5" t="str">
        <x:v>"МОСГАЗ" (университет OR академия OR "учебный центр" OR обучение)</x:v>
      </x:c>
      <x:c r="G794" s="5" t="str">
        <x:v>Имена, подразделения и дополнительные официальные адреса.</x:v>
      </x:c>
      <x:c r="H794" s="5" t="str">
        <x:v>not_run</x:v>
      </x:c>
    </x:row>
    <x:row r="795" ht="25.5" customHeight="1">
      <x:c r="A795" s="5" t="str">
        <x:v>CU-0240-BUY</x:v>
      </x:c>
      <x:c r="B795" s="5" t="str">
        <x:v>CU-0240</x:v>
      </x:c>
      <x:c r="C795" s="5" t="str">
        <x:v>Учебный центр МОСГАЗ</x:v>
      </x:c>
      <x:c r="D795" s="5" t="str">
        <x:v>RU</x:v>
      </x:c>
      <x:c r="E795" s="5" t="str">
        <x:v>Закупки и отбор</x:v>
      </x:c>
      <x:c r="F795" s="5" t="str">
        <x:v>"МОСГАЗ" (обучение OR тренинг OR семинар) (закупки OR "запрос предложений" OR поставщик)</x:v>
      </x:c>
      <x:c r="G795" s="5" t="str">
        <x:v>Найти конкретную карточку и приложения; запрос не доказывает спрос.</x:v>
      </x:c>
      <x:c r="H795" s="5" t="str">
        <x:v>not_run</x:v>
      </x:c>
    </x:row>
    <x:row r="796" ht="25.5" customHeight="1">
      <x:c r="A796" s="5" t="str">
        <x:v>CU-0240-EXPERT</x:v>
      </x:c>
      <x:c r="B796" s="5" t="str">
        <x:v>CU-0240</x:v>
      </x:c>
      <x:c r="C796" s="5" t="str">
        <x:v>Учебный центр МОСГАЗ</x:v>
      </x:c>
      <x:c r="D796" s="5" t="str">
        <x:v>RU</x:v>
      </x:c>
      <x:c r="E796" s="5" t="str">
        <x:v>Эксперты и партнеры</x:v>
      </x:c>
      <x:c r="F796" s="5" t="str">
        <x:v>"МОСГАЗ" (преподаватель OR эксперт OR провайдер OR партнерство)</x:v>
      </x:c>
      <x:c r="G796" s="5" t="str">
        <x:v>Уточнить кто платит и какой вход для внешнего исполнителя.</x:v>
      </x:c>
      <x:c r="H796" s="5" t="str">
        <x:v>not_run</x:v>
      </x:c>
    </x:row>
    <x:row r="797" ht="25.5" customHeight="1">
      <x:c r="A797" s="5" t="str">
        <x:v>CU-0240-SIGNAL</x:v>
      </x:c>
      <x:c r="B797" s="5" t="str">
        <x:v>CU-0240</x:v>
      </x:c>
      <x:c r="C797" s="5" t="str">
        <x:v>Учебный центр МОСГАЗ</x:v>
      </x:c>
      <x:c r="D797" s="5" t="str">
        <x:v>RU</x:v>
      </x:c>
      <x:c r="E797" s="5" t="str">
        <x:v>Новые программы</x:v>
      </x:c>
      <x:c r="F797" s="5" t="str">
        <x:v>"МОСГАЗ" ("кадровый резерв" OR "электронный курс" OR "развитие руководителей")</x:v>
      </x:c>
      <x:c r="G797" s="5" t="str">
        <x:v>Ранний сигнал и предметный пробел; не подтвержденный заказ.</x:v>
      </x:c>
      <x:c r="H797" s="5" t="str">
        <x:v>not_run</x:v>
      </x:c>
    </x:row>
    <x:row r="798" ht="25.5" customHeight="1">
      <x:c r="A798" s="5" t="str">
        <x:v>CU-0242-DISCOVER</x:v>
      </x:c>
      <x:c r="B798" s="5" t="str">
        <x:v>CU-0242</x:v>
      </x:c>
      <x:c r="C798" s="5" t="str">
        <x:v>Учебный центр лабораторной службы «Хеликс»</x:v>
      </x:c>
      <x:c r="D798" s="5" t="str">
        <x:v>RU</x:v>
      </x:c>
      <x:c r="E798" s="5" t="str">
        <x:v>Новые каналы</x:v>
      </x:c>
      <x:c r="F798" s="5" t="str">
        <x:v>"Хеликс" (университет OR академия OR "учебный центр" OR обучение)</x:v>
      </x:c>
      <x:c r="G798" s="5" t="str">
        <x:v>Имена, подразделения и дополнительные официальные адреса.</x:v>
      </x:c>
      <x:c r="H798" s="5" t="str">
        <x:v>not_run</x:v>
      </x:c>
    </x:row>
    <x:row r="799" ht="25.5" customHeight="1">
      <x:c r="A799" s="5" t="str">
        <x:v>CU-0242-BUY</x:v>
      </x:c>
      <x:c r="B799" s="5" t="str">
        <x:v>CU-0242</x:v>
      </x:c>
      <x:c r="C799" s="5" t="str">
        <x:v>Учебный центр лабораторной службы «Хеликс»</x:v>
      </x:c>
      <x:c r="D799" s="5" t="str">
        <x:v>RU</x:v>
      </x:c>
      <x:c r="E799" s="5" t="str">
        <x:v>Закупки и отбор</x:v>
      </x:c>
      <x:c r="F799" s="5" t="str">
        <x:v>"Хеликс" (обучение OR тренинг OR семинар) (закупки OR "запрос предложений" OR поставщик)</x:v>
      </x:c>
      <x:c r="G799" s="5" t="str">
        <x:v>Найти конкретную карточку и приложения; запрос не доказывает спрос.</x:v>
      </x:c>
      <x:c r="H799" s="5" t="str">
        <x:v>not_run</x:v>
      </x:c>
    </x:row>
    <x:row r="800" ht="25.5" customHeight="1">
      <x:c r="A800" s="5" t="str">
        <x:v>CU-0242-EXPERT</x:v>
      </x:c>
      <x:c r="B800" s="5" t="str">
        <x:v>CU-0242</x:v>
      </x:c>
      <x:c r="C800" s="5" t="str">
        <x:v>Учебный центр лабораторной службы «Хеликс»</x:v>
      </x:c>
      <x:c r="D800" s="5" t="str">
        <x:v>RU</x:v>
      </x:c>
      <x:c r="E800" s="5" t="str">
        <x:v>Эксперты и партнеры</x:v>
      </x:c>
      <x:c r="F800" s="5" t="str">
        <x:v>"Хеликс" (преподаватель OR эксперт OR провайдер OR партнерство)</x:v>
      </x:c>
      <x:c r="G800" s="5" t="str">
        <x:v>Уточнить кто платит и какой вход для внешнего исполнителя.</x:v>
      </x:c>
      <x:c r="H800" s="5" t="str">
        <x:v>not_run</x:v>
      </x:c>
    </x:row>
    <x:row r="801" ht="25.5" customHeight="1">
      <x:c r="A801" s="5" t="str">
        <x:v>CU-0242-SIGNAL</x:v>
      </x:c>
      <x:c r="B801" s="5" t="str">
        <x:v>CU-0242</x:v>
      </x:c>
      <x:c r="C801" s="5" t="str">
        <x:v>Учебный центр лабораторной службы «Хеликс»</x:v>
      </x:c>
      <x:c r="D801" s="5" t="str">
        <x:v>RU</x:v>
      </x:c>
      <x:c r="E801" s="5" t="str">
        <x:v>Новые программы</x:v>
      </x:c>
      <x:c r="F801" s="5" t="str">
        <x:v>"Хеликс" ("кадровый резерв" OR "электронный курс" OR "развитие руководителей")</x:v>
      </x:c>
      <x:c r="G801" s="5" t="str">
        <x:v>Ранний сигнал и предметный пробел; не подтвержденный заказ.</x:v>
      </x:c>
      <x:c r="H801" s="5" t="str">
        <x:v>not_run</x:v>
      </x:c>
    </x:row>
    <x:row r="802" ht="25.5" customHeight="1">
      <x:c r="A802" s="5" t="str">
        <x:v>CU-0086-DISCOVER</x:v>
      </x:c>
      <x:c r="B802" s="5" t="str">
        <x:v>CU-0086</x:v>
      </x:c>
      <x:c r="C802" s="5" t="str">
        <x:v>Корпоративный университет УРАЛСИБ</x:v>
      </x:c>
      <x:c r="D802" s="5" t="str">
        <x:v>RU</x:v>
      </x:c>
      <x:c r="E802" s="5" t="str">
        <x:v>Новые каналы</x:v>
      </x:c>
      <x:c r="F802" s="5" t="str">
        <x:v>"Банк УРАЛСИБ" (университет OR академия OR "учебный центр" OR обучение)</x:v>
      </x:c>
      <x:c r="G802" s="5" t="str">
        <x:v>Имена, подразделения и дополнительные официальные адреса.</x:v>
      </x:c>
      <x:c r="H802" s="5" t="str">
        <x:v>not_run</x:v>
      </x:c>
    </x:row>
    <x:row r="803" ht="25.5" customHeight="1">
      <x:c r="A803" s="5" t="str">
        <x:v>CU-0086-BUY</x:v>
      </x:c>
      <x:c r="B803" s="5" t="str">
        <x:v>CU-0086</x:v>
      </x:c>
      <x:c r="C803" s="5" t="str">
        <x:v>Корпоративный университет УРАЛСИБ</x:v>
      </x:c>
      <x:c r="D803" s="5" t="str">
        <x:v>RU</x:v>
      </x:c>
      <x:c r="E803" s="5" t="str">
        <x:v>Закупки и отбор</x:v>
      </x:c>
      <x:c r="F803" s="5" t="str">
        <x:v>"Банк УРАЛСИБ" (обучение OR тренинг OR семинар) (закупки OR "запрос предложений" OR поставщик)</x:v>
      </x:c>
      <x:c r="G803" s="5" t="str">
        <x:v>Найти конкретную карточку и приложения; запрос не доказывает спрос.</x:v>
      </x:c>
      <x:c r="H803" s="5" t="str">
        <x:v>not_run</x:v>
      </x:c>
    </x:row>
    <x:row r="804" ht="25.5" customHeight="1">
      <x:c r="A804" s="5" t="str">
        <x:v>CU-0086-EXPERT</x:v>
      </x:c>
      <x:c r="B804" s="5" t="str">
        <x:v>CU-0086</x:v>
      </x:c>
      <x:c r="C804" s="5" t="str">
        <x:v>Корпоративный университет УРАЛСИБ</x:v>
      </x:c>
      <x:c r="D804" s="5" t="str">
        <x:v>RU</x:v>
      </x:c>
      <x:c r="E804" s="5" t="str">
        <x:v>Эксперты и партнеры</x:v>
      </x:c>
      <x:c r="F804" s="5" t="str">
        <x:v>"Банк УРАЛСИБ" (преподаватель OR эксперт OR провайдер OR партнерство)</x:v>
      </x:c>
      <x:c r="G804" s="5" t="str">
        <x:v>Уточнить кто платит и какой вход для внешнего исполнителя.</x:v>
      </x:c>
      <x:c r="H804" s="5" t="str">
        <x:v>not_run</x:v>
      </x:c>
    </x:row>
    <x:row r="805" ht="25.5" customHeight="1">
      <x:c r="A805" s="5" t="str">
        <x:v>CU-0086-SIGNAL</x:v>
      </x:c>
      <x:c r="B805" s="5" t="str">
        <x:v>CU-0086</x:v>
      </x:c>
      <x:c r="C805" s="5" t="str">
        <x:v>Корпоративный университет УРАЛСИБ</x:v>
      </x:c>
      <x:c r="D805" s="5" t="str">
        <x:v>RU</x:v>
      </x:c>
      <x:c r="E805" s="5" t="str">
        <x:v>Новые программы</x:v>
      </x:c>
      <x:c r="F805" s="5" t="str">
        <x:v>"Банк УРАЛСИБ" ("кадровый резерв" OR "электронный курс" OR "развитие руководителей")</x:v>
      </x:c>
      <x:c r="G805" s="5" t="str">
        <x:v>Ранний сигнал и предметный пробел; не подтвержденный заказ.</x:v>
      </x:c>
      <x:c r="H805" s="5" t="str">
        <x:v>not_run</x:v>
      </x:c>
    </x:row>
  </x:sheetData>
  <x:pageMargins left="0.7" right="0.7" top="0.75" bottom="0.75" header="0.3" footer="0.3"/>
  <x:tableParts count="1">
    <x:tablePart xmlns:r="http://schemas.openxmlformats.org/officeDocument/2006/relationships" r:id="R74c64cf5a607460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7.780000686645508" hidden="0" customWidth="1"/>
    <x:col min="3" max="3" width="33.33000183105469" hidden="0" customWidth="1"/>
    <x:col min="4" max="4" width="73.33000183105469" hidden="0" customWidth="1"/>
    <x:col min="5" max="5" width="47.779998779296875" hidden="0" customWidth="1"/>
    <x:col min="6" max="6" width="53.33000183105469" hidden="0" customWidth="1"/>
  </x:cols>
  <x:sheetData>
    <x:row r="1">
      <x:c r="A1" s="2"/>
      <x:c r="B1" s="2"/>
      <x:c r="C1" s="2"/>
      <x:c r="D1" s="2"/>
      <x:c r="E1" s="2"/>
      <x:c r="F1" s="2"/>
    </x:row>
    <x:row r="2" ht="21" customHeight="1">
      <x:c r="A2" s="3" t="str">
        <x:v>28 маршрутов расширения реестра</x:v>
      </x:c>
      <x:c r="B2" s="2"/>
      <x:c r="C2" s="2"/>
      <x:c r="D2" s="2"/>
      <x:c r="E2" s="2"/>
      <x:c r="F2" s="2"/>
    </x:row>
    <x:row r="3" ht="19.5" customHeight="1">
      <x:c r="A3" s="4" t="str">
        <x:v>Подставить company, institution, domain, group, country или missing_channel. Все найденные адреса сохранять, включая кандидатов.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1.5" customHeight="1">
      <x:c r="A5" s="9" t="str">
        <x:v>ID</x:v>
      </x:c>
      <x:c r="B5" s="9" t="str">
        <x:v>Маршрут</x:v>
      </x:c>
      <x:c r="C5" s="9" t="str">
        <x:v>Начальная точка</x:v>
      </x:c>
      <x:c r="D5" s="9" t="str">
        <x:v>Шаблон</x:v>
      </x:c>
      <x:c r="E5" s="9" t="str">
        <x:v>Что добавить</x:v>
      </x:c>
      <x:c r="F5" s="9" t="str">
        <x:v>Ограничение</x:v>
      </x:c>
    </x:row>
    <x:row r="6" ht="25.5" customHeight="1">
      <x:c r="A6" s="5" t="str">
        <x:v>CU-X01</x:v>
      </x:c>
      <x:c r="B6" s="5" t="str">
        <x:v>Имена и ребрендинг</x:v>
      </x:c>
      <x:c r="C6" s="5" t="str">
        <x:v>Сайт КУ, история компании</x:v>
      </x:c>
      <x:c r="D6" s="5" t="str">
        <x:v>"{company}" ("корпоративный университет" OR академия OR "учебный центр")</x:v>
      </x:c>
      <x:c r="E6" s="5" t="str">
        <x:v>Все имена, старый и новый домен</x:v>
      </x:c>
      <x:c r="F6" s="5" t="str">
        <x:v>Ребрендинг не создает второй КУ</x:v>
      </x:c>
    </x:row>
    <x:row r="7" ht="25.5" customHeight="1">
      <x:c r="A7" s="5" t="str">
        <x:v>CU-X02</x:v>
      </x:c>
      <x:c r="B7" s="5" t="str">
        <x:v>Дочерние учебные структуры</x:v>
      </x:c>
      <x:c r="C7" s="5" t="str">
        <x:v>Список компаний группы</x:v>
      </x:c>
      <x:c r="D7" s="5" t="str">
        <x:v>"{group}" "учебный центр"</x:v>
      </x:c>
      <x:c r="E7" s="5" t="str">
        <x:v>Дочерние компании и самостоятельные учебные единицы</x:v>
      </x:c>
      <x:c r="F7" s="5" t="str">
        <x:v>Кампус и отделение одного КУ — канал, не новая организация</x:v>
      </x:c>
    </x:row>
    <x:row r="8" ht="25.5" customHeight="1">
      <x:c r="A8" s="5" t="str">
        <x:v>CU-X03</x:v>
      </x:c>
      <x:c r="B8" s="5" t="str">
        <x:v>Образовательные сведения</x:v>
      </x:c>
      <x:c r="C8" s="5" t="str">
        <x:v>Раздел об организации</x:v>
      </x:c>
      <x:c r="D8" s="5" t="str">
        <x:v>site:{domain} ("сведения об образовательной" OR лицензия)</x:v>
      </x:c>
      <x:c r="E8" s="5" t="str">
        <x:v>Юрлицо, документы, филиалы, учебные планы</x:v>
      </x:c>
      <x:c r="F8" s="5" t="str">
        <x:v>Лицензия подтверждает статус в своем контексте, не спрос</x:v>
      </x:c>
    </x:row>
    <x:row r="9" ht="25.5" customHeight="1">
      <x:c r="A9" s="5" t="str">
        <x:v>CU-X04</x:v>
      </x:c>
      <x:c r="B9" s="5" t="str">
        <x:v>Годовые отчеты</x:v>
      </x:c>
      <x:c r="C9" s="5" t="str">
        <x:v>Отчетность компании</x:v>
      </x:c>
      <x:c r="D9" s="5" t="str">
        <x:v>"{company}" "обучение персонала" "отчет"</x:v>
      </x:c>
      <x:c r="E9" s="5" t="str">
        <x:v>Раздел развития персонала, поставщики, масштаб</x:v>
      </x:c>
      <x:c r="F9" s="5" t="str">
        <x:v>Старый отчет не доказывает текущий статус</x:v>
      </x:c>
    </x:row>
    <x:row r="10" ht="25.5" customHeight="1">
      <x:c r="A10" s="5" t="str">
        <x:v>CU-X05</x:v>
      </x:c>
      <x:c r="B10" s="5" t="str">
        <x:v>Программы и календарь</x:v>
      </x:c>
      <x:c r="C10" s="5" t="str">
        <x:v>Каталог программ</x:v>
      </x:c>
      <x:c r="D10" s="5" t="str">
        <x:v>site:{domain} (программа OR календарь OR семинар)</x:v>
      </x:c>
      <x:c r="E10" s="5" t="str">
        <x:v>Отдельные темы, новые потоки, учебные планы</x:v>
      </x:c>
      <x:c r="F10" s="5" t="str">
        <x:v>Продажа курса не означает закупку услуг</x:v>
      </x:c>
    </x:row>
    <x:row r="11" ht="25.5" customHeight="1">
      <x:c r="A11" s="5" t="str">
        <x:v>CU-X06</x:v>
      </x:c>
      <x:c r="B11" s="5" t="str">
        <x:v>Приглашения экспертам</x:v>
      </x:c>
      <x:c r="C11" s="5" t="str">
        <x:v>Раздел сотрудничества</x:v>
      </x:c>
      <x:c r="D11" s="5" t="str">
        <x:v>site:{domain} (преподавателям OR экспертам OR провайдерам)</x:v>
      </x:c>
      <x:c r="E11" s="5" t="str">
        <x:v>Анкеты, правила отбора, формы интереса</x:v>
      </x:c>
      <x:c r="F11" s="5" t="str">
        <x:v>Проверить условия оплаты и действительность формы</x:v>
      </x:c>
    </x:row>
    <x:row r="12" ht="25.5" customHeight="1">
      <x:c r="A12" s="5" t="str">
        <x:v>CU-X07</x:v>
      </x:c>
      <x:c r="B12" s="5" t="str">
        <x:v>Закупки юрлица</x:v>
      </x:c>
      <x:c r="C12" s="5" t="str">
        <x:v>Официальный сайт группы</x:v>
      </x:c>
      <x:c r="D12" s="5" t="str">
        <x:v>"{company}" (закупки OR поставщикам)</x:v>
      </x:c>
      <x:c r="E12" s="5" t="str">
        <x:v>Официальный раздел и ссылки на ЭТП</x:v>
      </x:c>
      <x:c r="F12" s="5" t="str">
        <x:v>Не изобретать адрес страницы / API</x:v>
      </x:c>
    </x:row>
    <x:row r="13" ht="25.5" customHeight="1">
      <x:c r="A13" s="5" t="str">
        <x:v>CU-X08</x:v>
      </x:c>
      <x:c r="B13" s="5" t="str">
        <x:v>Закупочные приложения</x:v>
      </x:c>
      <x:c r="C13" s="5" t="str">
        <x:v>Карточка найденного лота</x:v>
      </x:c>
      <x:c r="D13" s="5" t="str">
        <x:v>"{company}" ("обучение персонала" OR "образовательные услуги")</x:v>
      </x:c>
      <x:c r="E13" s="5" t="str">
        <x:v>ТЗ, спецификации, протоколы, контакты</x:v>
      </x:c>
      <x:c r="F13" s="5" t="str">
        <x:v>Ключевая тема может быть только в приложении</x:v>
      </x:c>
    </x:row>
    <x:row r="14" ht="25.5" customHeight="1">
      <x:c r="A14" s="5" t="str">
        <x:v>CU-X09</x:v>
      </x:c>
      <x:c r="B14" s="5" t="str">
        <x:v>Исторические поставщики</x:v>
      </x:c>
      <x:c r="C14" s="5" t="str">
        <x:v>Завершенные закупки</x:v>
      </x:c>
      <x:c r="D14" s="5" t="str">
        <x:v>"{company}" "обучение" "договор"</x:v>
      </x:c>
      <x:c r="E14" s="5" t="str">
        <x:v>КУ, подрядчики и повторяемость программ</x:v>
      </x:c>
      <x:c r="F14" s="5" t="str">
        <x:v>Состоявшийся контракт — история, не новый заказ</x:v>
      </x:c>
    </x:row>
    <x:row r="15" ht="25.5" customHeight="1">
      <x:c r="A15" s="5" t="str">
        <x:v>CU-X10</x:v>
      </x:c>
      <x:c r="B15" s="5" t="str">
        <x:v>Партнерские кейсы</x:v>
      </x:c>
      <x:c r="C15" s="5" t="str">
        <x:v>Сайт учебного подрядчика</x:v>
      </x:c>
      <x:c r="D15" s="5" t="str">
        <x:v>"{company}" ("провели обучение" OR "разработали курс")</x:v>
      </x:c>
      <x:c r="E15" s="5" t="str">
        <x:v>Новые партнеры и владельцы программ</x:v>
      </x:c>
      <x:c r="F15" s="5" t="str">
        <x:v>Слова поставщика подтверждать у компании, если возможно</x:v>
      </x:c>
    </x:row>
    <x:row r="16" ht="25.5" customHeight="1">
      <x:c r="A16" s="5" t="str">
        <x:v>CU-X11</x:v>
      </x:c>
      <x:c r="B16" s="5" t="str">
        <x:v>Публичные контакты</x:v>
      </x:c>
      <x:c r="C16" s="5" t="str">
        <x:v>Контакты КУ</x:v>
      </x:c>
      <x:c r="D16" s="5" t="str">
        <x:v>site:{domain} (контакты OR сотрудничество)</x:v>
      </x:c>
      <x:c r="E16" s="5" t="str">
        <x:v>Рабочие роли и опубликованные деловые контакты</x:v>
      </x:c>
      <x:c r="F16" s="5" t="str">
        <x:v>Не угадывать email по шаблону; не отправлять автоматически</x:v>
      </x:c>
    </x:row>
    <x:row r="17" ht="25.5" customHeight="1">
      <x:c r="A17" s="5" t="str">
        <x:v>CU-X12</x:v>
      </x:c>
      <x:c r="B17" s="5" t="str">
        <x:v>Официальные соцсети</x:v>
      </x:c>
      <x:c r="C17" s="5" t="str">
        <x:v>Ссылки с официального сайта</x:v>
      </x:c>
      <x:c r="D17" s="5" t="str">
        <x:v>"{institution}" (Telegram OR ВКонтакте)</x:v>
      </x:c>
      <x:c r="E17" s="5" t="str">
        <x:v>Официальные профили, каналы, связанные чаты</x:v>
      </x:c>
      <x:c r="F17" s="5" t="str">
        <x:v>Имя в профиле недостаточно для подтверждения принадлежности</x:v>
      </x:c>
    </x:row>
    <x:row r="18" ht="25.5" customHeight="1">
      <x:c r="A18" s="5" t="str">
        <x:v>CU-X13</x:v>
      </x:c>
      <x:c r="B18" s="5" t="str">
        <x:v>Конференции L&amp;D</x:v>
      </x:c>
      <x:c r="C18" s="5" t="str">
        <x:v>Программа мероприятия</x:v>
      </x:c>
      <x:c r="D18" s="5" t="str">
        <x:v>"{company}" ("директор университета" OR "руководитель обучения")</x:v>
      </x:c>
      <x:c r="E18" s="5" t="str">
        <x:v>Роли, доклады, примеры проектов</x:v>
      </x:c>
      <x:c r="F18" s="5" t="str">
        <x:v>Докладчик мог сменить работу; проверять дату</x:v>
      </x:c>
    </x:row>
    <x:row r="19" ht="25.5" customHeight="1">
      <x:c r="A19" s="5" t="str">
        <x:v>CU-X14</x:v>
      </x:c>
      <x:c r="B19" s="5" t="str">
        <x:v>Премии и рейтинги КУ</x:v>
      </x:c>
      <x:c r="C19" s="5" t="str">
        <x:v>Организатор профильной премии</x:v>
      </x:c>
      <x:c r="D19" s="5" t="str">
        <x:v>"{country}" "корпоративные университеты" премия</x:v>
      </x:c>
      <x:c r="E19" s="5" t="str">
        <x:v>Новые структуры, проекты и партнеры</x:v>
      </x:c>
      <x:c r="F19" s="5" t="str">
        <x:v>Каталог — источник расширения, не доказательство всех записей</x:v>
      </x:c>
    </x:row>
    <x:row r="20" ht="25.5" customHeight="1">
      <x:c r="A20" s="5" t="str">
        <x:v>CU-X15</x:v>
      </x:c>
      <x:c r="B20" s="5" t="str">
        <x:v>Вакансии</x:v>
      </x:c>
      <x:c r="C20" s="5" t="str">
        <x:v>Официальный карьерный сайт</x:v>
      </x:c>
      <x:c r="D20" s="5" t="str">
        <x:v>"{company}" (методист OR "продюсер обучения")</x:v>
      </x:c>
      <x:c r="E20" s="5" t="str">
        <x:v>Новые проекты, технологии, подразделения</x:v>
      </x:c>
      <x:c r="F20" s="5" t="str">
        <x:v>Не превращать вакансию в заявку на подряд</x:v>
      </x:c>
    </x:row>
    <x:row r="21" ht="25.5" customHeight="1">
      <x:c r="A21" s="5" t="str">
        <x:v>CU-X16</x:v>
      </x:c>
      <x:c r="B21" s="5" t="str">
        <x:v>LMS и электронное обучение</x:v>
      </x:c>
      <x:c r="C21" s="5" t="str">
        <x:v>Публичная страница входа</x:v>
      </x:c>
      <x:c r="D21" s="5" t="str">
        <x:v>"{company}" (LMS OR СДО OR "дистанционное обучение")</x:v>
      </x:c>
      <x:c r="E21" s="5" t="str">
        <x:v>Публичные анонсы, методические сведения, ответственные</x:v>
      </x:c>
      <x:c r="F21" s="5" t="str">
        <x:v>Не обходить авторизацию; закрытую систему сохранить как маршрут</x:v>
      </x:c>
    </x:row>
    <x:row r="22" ht="25.5" customHeight="1">
      <x:c r="A22" s="5" t="str">
        <x:v>CU-X17</x:v>
      </x:c>
      <x:c r="B22" s="5" t="str">
        <x:v>Учебные PDF и архивы</x:v>
      </x:c>
      <x:c r="C22" s="5" t="str">
        <x:v>Официальные документы</x:v>
      </x:c>
      <x:c r="D22" s="5" t="str">
        <x:v>site:{domain} filetype:pdf обучение</x:v>
      </x:c>
      <x:c r="E22" s="5" t="str">
        <x:v>Планы, объявления, приложения и вложенные ссылки</x:v>
      </x:c>
      <x:c r="F22" s="5" t="str">
        <x:v>Сохранять дату документа отдельно от даты обнаружения</x:v>
      </x:c>
    </x:row>
    <x:row r="23" ht="25.5" customHeight="1">
      <x:c r="A23" s="5" t="str">
        <x:v>CU-X18</x:v>
      </x:c>
      <x:c r="B23" s="5" t="str">
        <x:v>Новые филиалы и производства</x:v>
      </x:c>
      <x:c r="C23" s="5" t="str">
        <x:v>Новости группы</x:v>
      </x:c>
      <x:c r="D23" s="5" t="str">
        <x:v>"{company}" ("новый завод" OR "открытие филиала")</x:v>
      </x:c>
      <x:c r="E23" s="5" t="str">
        <x:v>Местные HR и учебные подразделения</x:v>
      </x:c>
      <x:c r="F23" s="5" t="str">
        <x:v>Расширение производства — лишь ранний сигнал</x:v>
      </x:c>
    </x:row>
    <x:row r="24" ht="25.5" customHeight="1">
      <x:c r="A24" s="5" t="str">
        <x:v>CU-X19</x:v>
      </x:c>
      <x:c r="B24" s="5" t="str">
        <x:v>Банковские учебные сети</x:v>
      </x:c>
      <x:c r="C24" s="5" t="str">
        <x:v>Отчеты банков и регуляторов</x:v>
      </x:c>
      <x:c r="D24" s="5" t="str">
        <x:v>"{country}" банк (академия OR университет OR "учебный центр")</x:v>
      </x:c>
      <x:c r="E24" s="5" t="str">
        <x:v>КУ банков, страховщиков и регуляторов</x:v>
      </x:c>
      <x:c r="F24" s="5" t="str">
        <x:v>Обычный курс финансовой грамотности не отдельный КУ</x:v>
      </x:c>
    </x:row>
    <x:row r="25" ht="25.5" customHeight="1">
      <x:c r="A25" s="5" t="str">
        <x:v>CU-X20</x:v>
      </x:c>
      <x:c r="B25" s="5" t="str">
        <x:v>Индустриальные центры</x:v>
      </x:c>
      <x:c r="C25" s="5" t="str">
        <x:v>Отраслевые ассоциации</x:v>
      </x:c>
      <x:c r="D25" s="5" t="str">
        <x:v>"{country}" (металлургия OR энергетика) "учебный центр"</x:v>
      </x:c>
      <x:c r="E25" s="5" t="str">
        <x:v>Именованные структуры компаний</x:v>
      </x:c>
      <x:c r="F25" s="5" t="str">
        <x:v>Техническая направленность понижает приоритет, не удаляет источник</x:v>
      </x:c>
    </x:row>
    <x:row r="26" ht="25.5" customHeight="1">
      <x:c r="A26" s="5" t="str">
        <x:v>CU-X21</x:v>
      </x:c>
      <x:c r="B26" s="5" t="str">
        <x:v>Белорусские названия</x:v>
      </x:c>
      <x:c r="C26" s="5" t="str">
        <x:v>Белорусские сайты</x:v>
      </x:c>
      <x:c r="D26" s="5" t="str">
        <x:v>"{company}" ("навучальны цэнтр" OR "падрыхтоўка кадраў")</x:v>
      </x:c>
      <x:c r="E26" s="5" t="str">
        <x:v>Белорусскоязычные версии и местные названия</x:v>
      </x:c>
      <x:c r="F26" s="5" t="str">
        <x:v>Языковой вариант одного источника связывать</x:v>
      </x:c>
    </x:row>
    <x:row r="27" ht="25.5" customHeight="1">
      <x:c r="A27" s="5" t="str">
        <x:v>CU-X22</x:v>
      </x:c>
      <x:c r="B27" s="5" t="str">
        <x:v>Казахские названия</x:v>
      </x:c>
      <x:c r="C27" s="5" t="str">
        <x:v>Казахстанские сайты</x:v>
      </x:c>
      <x:c r="D27" s="5" t="str">
        <x:v>"{company}" ("оқу орталығы" OR "корпоративтік университет")</x:v>
      </x:c>
      <x:c r="E27" s="5" t="str">
        <x:v>Казахскоязычные разделы и документы</x:v>
      </x:c>
      <x:c r="F27" s="5" t="str">
        <x:v>Сохранять оригинальное имя и русский вариант</x:v>
      </x:c>
    </x:row>
    <x:row r="28" ht="25.5" customHeight="1">
      <x:c r="A28" s="5" t="str">
        <x:v>CU-X23</x:v>
      </x:c>
      <x:c r="B28" s="5" t="str">
        <x:v>Английские имена</x:v>
      </x:c>
      <x:c r="C28" s="5" t="str">
        <x:v>Международный раздел компании</x:v>
      </x:c>
      <x:c r="D28" s="5" t="str">
        <x:v>"{company}" ("corporate university" OR "training center" OR academy)</x:v>
      </x:c>
      <x:c r="E28" s="5" t="str">
        <x:v>Английские версии и внешние партнеры</x:v>
      </x:c>
      <x:c r="F28" s="5" t="str">
        <x:v>Совпадение бренда не доказывает одну юрисдикцию</x:v>
      </x:c>
    </x:row>
    <x:row r="29" ht="25.5" customHeight="1">
      <x:c r="A29" s="5" t="str">
        <x:v>CU-X24</x:v>
      </x:c>
      <x:c r="B29" s="5" t="str">
        <x:v>Учебные центры поставщиков</x:v>
      </x:c>
      <x:c r="C29" s="5" t="str">
        <x:v>Партнерские сети производителей</x:v>
      </x:c>
      <x:c r="D29" s="5" t="str">
        <x:v>"{company}" ("training partners" OR "учебный центр")</x:v>
      </x:c>
      <x:c r="E29" s="5" t="str">
        <x:v>Отраслевые центры и дистрибьюторы</x:v>
      </x:c>
      <x:c r="F29" s="5" t="str">
        <x:v>Разделять продавца обучения и потенциального покупателя</x:v>
      </x:c>
    </x:row>
    <x:row r="30" ht="25.5" customHeight="1">
      <x:c r="A30" s="5" t="str">
        <x:v>CU-X25</x:v>
      </x:c>
      <x:c r="B30" s="5" t="str">
        <x:v>Архив переезда</x:v>
      </x:c>
      <x:c r="C30" s="5" t="str">
        <x:v>Старый адрес / сообщение о закрытии</x:v>
      </x:c>
      <x:c r="D30" s="5" t="str">
        <x:v>"{institution}" (переименован OR реорганизация OR "новый сайт")</x:v>
      </x:c>
      <x:c r="E30" s="5" t="str">
        <x:v>Действующий преемник, доказательство связи</x:v>
      </x:c>
      <x:c r="F30" s="5" t="str">
        <x:v>Недоступный домен не удалять и не считать рабочим</x:v>
      </x:c>
    </x:row>
    <x:row r="31" ht="25.5" customHeight="1">
      <x:c r="A31" s="5" t="str">
        <x:v>CU-X26</x:v>
      </x:c>
      <x:c r="B31" s="5" t="str">
        <x:v>Обратный поиск цитируемых структур</x:v>
      </x:c>
      <x:c r="C31" s="5" t="str">
        <x:v>Партнерский отчет или интервью</x:v>
      </x:c>
      <x:c r="D31" s="5" t="str">
        <x:v>"{institution}" "{company}"</x:v>
      </x:c>
      <x:c r="E31" s="5" t="str">
        <x:v>Первичный сайт и независимое подтверждение</x:v>
      </x:c>
      <x:c r="F31" s="5" t="str">
        <x:v>Вторичное упоминание остается с маркировкой</x:v>
      </x:c>
    </x:row>
    <x:row r="32" ht="25.5" customHeight="1">
      <x:c r="A32" s="5" t="str">
        <x:v>CU-X27</x:v>
      </x:c>
      <x:c r="B32" s="5" t="str">
        <x:v>Глубокие страницы</x:v>
      </x:c>
      <x:c r="C32" s="5" t="str">
        <x:v>Карта сайта и найденные ссылки</x:v>
      </x:c>
      <x:c r="D32" s="5" t="str">
        <x:v>site:{domain} ("обучение руководителей" OR "кадровый резерв")</x:v>
      </x:c>
      <x:c r="E32" s="5" t="str">
        <x:v>Узкие рубрики, не видимые с главной</x:v>
      </x:c>
      <x:c r="F32" s="5" t="str">
        <x:v>Наличие robots/sitemap/API устанавливается отдельно</x:v>
      </x:c>
    </x:row>
    <x:row r="33" ht="25.5" customHeight="1">
      <x:c r="A33" s="5" t="str">
        <x:v>CU-X28</x:v>
      </x:c>
      <x:c r="B33" s="5" t="str">
        <x:v>Устранение пробела канала</x:v>
      </x:c>
      <x:c r="C33" s="5" t="str">
        <x:v>Лист пробелов</x:v>
      </x:c>
      <x:c r="D33" s="5" t="str">
        <x:v>"{institution}" "{missing_channel}"</x:v>
      </x:c>
      <x:c r="E33" s="5" t="str">
        <x:v>Недостающий канал для уже известной организации</x:v>
      </x:c>
      <x:c r="F33" s="5" t="str">
        <x:v>Ноль означает не найдено в реестре, а не отсутствие в мире</x:v>
      </x:c>
    </x:row>
  </x:sheetData>
  <x:pageMargins left="0.7" right="0.7" top="0.75" bottom="0.75" header="0.3" footer="0.3"/>
  <x:tableParts count="1">
    <x:tablePart xmlns:r="http://schemas.openxmlformats.org/officeDocument/2006/relationships" r:id="Rfe5d774b67cf4f4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.5600004196167" hidden="0" customWidth="1"/>
    <x:col min="2" max="2" width="13.329999923706055" hidden="0" customWidth="1"/>
    <x:col min="3" max="3" width="38.88999938964844" hidden="0" customWidth="1"/>
    <x:col min="4" max="4" width="11.109999656677246" hidden="0" customWidth="1"/>
    <x:col min="5" max="5" width="22.219999313354492" hidden="0" customWidth="1"/>
    <x:col min="6" max="6" width="30" hidden="0" customWidth="1"/>
    <x:col min="7" max="7" width="23.329999923706055" hidden="0" customWidth="1"/>
    <x:col min="8" max="8" width="17.780000686645508" hidden="0" customWidth="1"/>
    <x:col min="9" max="9" width="23.329999923706055" hidden="0" customWidth="1"/>
    <x:col min="10" max="10" width="51.11000061035156" hidden="0" customWidth="1"/>
    <x:col min="11" max="11" width="51.11000061035156" hidden="0" customWidth="1"/>
    <x:col min="12" max="12" width="55.560001373291016" hidden="0" customWidth="1"/>
    <x:col min="13" max="13" width="53.33000183105469" hidden="0" customWidth="1"/>
    <x:col min="14" max="14" width="44.439998626708984" hidden="0" customWidth="1"/>
    <x:col min="15" max="15" width="43.33000183105469" hidden="0" customWidth="1"/>
    <x:col min="16" max="16" width="43.33000183105469" hidden="0" customWidth="1"/>
    <x:col min="17" max="17" width="64.44000244140625" hidden="0" customWidth="1"/>
    <x:col min="18" max="18" width="15" hidden="0" customWidth="1"/>
    <x:col min="19" max="19" width="13.329999923706055" hidden="0" customWidth="1"/>
    <x:col min="20" max="20" width="61.11000061035156" hidden="0" customWidth="1"/>
    <x:col min="21" max="21" width="60" hidden="0" customWidth="1"/>
    <x:col min="22" max="22" width="50" hidden="0" customWidth="1"/>
    <x:col min="23" max="23" width="55.560001373291016" hidden="0" customWidth="1"/>
    <x:col min="24" max="24" width="28.8899993896484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1" customHeight="1">
      <x:c r="A2" s="3" t="str">
        <x:v>Все исследованные структуры — полные основания и коммерческие гипотезы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19.5" customHeight="1">
      <x:c r="A3" s="4" t="str">
        <x:v>Основная выборка и резерв имеют общий формат. Дата проверки не заменяет дату события; активность по старым документам требует уточнения.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31.5" customHeight="1">
      <x:c r="A5" s="9" t="str">
        <x:v>КУ ID</x:v>
      </x:c>
      <x:c r="B5" s="9" t="str">
        <x:v>Выборка</x:v>
      </x:c>
      <x:c r="C5" s="9" t="str">
        <x:v>Название</x:v>
      </x:c>
      <x:c r="D5" s="9" t="str">
        <x:v>Страна — код</x:v>
      </x:c>
      <x:c r="E5" s="9" t="str">
        <x:v>Тип — код</x:v>
      </x:c>
      <x:c r="F5" s="9" t="str">
        <x:v>Компания</x:v>
      </x:c>
      <x:c r="G5" s="9" t="str">
        <x:v>Группа</x:v>
      </x:c>
      <x:c r="H5" s="9" t="str">
        <x:v>Город</x:v>
      </x:c>
      <x:c r="I5" s="9" t="str">
        <x:v>Отрасль</x:v>
      </x:c>
      <x:c r="J5" s="9" t="str">
        <x:v>Аудитория</x:v>
      </x:c>
      <x:c r="K5" s="9" t="str">
        <x:v>Пригодность МИСБ — гипотеза</x:v>
      </x:c>
      <x:c r="L5" s="9" t="str">
        <x:v>Искомые сигналы</x:v>
      </x:c>
      <x:c r="M5" s="9" t="str">
        <x:v>Коммерческий путь — гипотеза</x:v>
      </x:c>
      <x:c r="N5" s="9" t="str">
        <x:v>Роль покупателя</x:v>
      </x:c>
      <x:c r="O5" s="9" t="str">
        <x:v>Основной URL</x:v>
      </x:c>
      <x:c r="P5" s="9" t="str">
        <x:v>URL доказательства</x:v>
      </x:c>
      <x:c r="Q5" s="9" t="str">
        <x:v>Что подтверждено</x:v>
      </x:c>
      <x:c r="R5" s="9" t="str">
        <x:v>Проверка</x:v>
      </x:c>
      <x:c r="S5" s="9" t="str">
        <x:v>Исследовано</x:v>
      </x:c>
      <x:c r="T5" s="9" t="str">
        <x:v>Риски</x:v>
      </x:c>
      <x:c r="U5" s="9" t="str">
        <x:v>Следующий шаг</x:v>
      </x:c>
      <x:c r="V5" s="9" t="str">
        <x:v>Поисковые маркеры</x:v>
      </x:c>
      <x:c r="W5" s="9" t="str">
        <x:v>Основание выборки</x:v>
      </x:c>
      <x:c r="X5" s="9" t="str">
        <x:v>Происхождение</x:v>
      </x:c>
    </x:row>
    <x:row r="6" ht="54" customHeight="1">
      <x:c r="A6" s="5" t="str">
        <x:v>CU-0001</x:v>
      </x:c>
      <x:c r="B6" s="5" t="str">
        <x:v>main_200</x:v>
      </x:c>
      <x:c r="C6" s="5" t="str">
        <x:v>Газпром университет (бывший Газпром корпоративный институт)</x:v>
      </x:c>
      <x:c r="D6" s="5" t="str">
        <x:v>RU</x:v>
      </x:c>
      <x:c r="E6" s="5" t="str">
        <x:v>corporate_university</x:v>
      </x:c>
      <x:c r="F6" s="5" t="str">
        <x:v>ПАО «Газпром»</x:v>
      </x:c>
      <x:c r="G6" s="5" t="str">
        <x:v>Газпром</x:v>
      </x:c>
      <x:c r="H6" s="5" t="str">
        <x:v>Санкт-Петербург</x:v>
      </x:c>
      <x:c r="I6" s="5" t="str">
        <x:v>Нефтегаз</x:v>
      </x:c>
      <x:c r="J6" s="5" t="str">
        <x:v>Руководители, специалисты, кадровый резерв и внутренние преподаватели.</x:v>
      </x:c>
      <x:c r="K6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L6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6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6" s="5" t="str">
        <x:v>Директор КУ/УЦ, руководитель обучения и развития, методический отдел, HR, закупки услуг.</x:v>
      </x:c>
      <x:c r="O6" s="5" t="str">
        <x:v>https://institute.gazprom.ru/</x:v>
      </x:c>
      <x:c r="P6" s="5" t="str">
        <x:v>https://institute.gazprom.ru/</x:v>
      </x:c>
      <x:c r="Q6" s="5" t="str">
        <x:v>Официальный сайт сообщает о переименовании в Газпром университет; каталог содержит управленческие, кадровые, финансовые, правовые и закупочные направления.</x:v>
      </x:c>
      <x:c r="R6" s="5" t="str">
        <x:v>search_index</x:v>
      </x:c>
      <x:c r="S6" s="12" t="n">
        <x:v>46296</x:v>
      </x:c>
      <x:c r="T6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6" s="5" t="str">
        <x:v>"ПАО «Газпром»"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6" s="5" t="str">
        <x:v>Именованная структура с подтверждением; отбор по стране, очереди и типу. Это не оценка вероятности заказа.</x:v>
      </x:c>
      <x:c r="X6" s="5" t="str">
        <x:v>cu_ru_energy.json:1</x:v>
      </x:c>
    </x:row>
    <x:row r="7" ht="54" customHeight="1">
      <x:c r="A7" s="5" t="str">
        <x:v>CU-0002</x:v>
      </x:c>
      <x:c r="B7" s="5" t="str">
        <x:v>main_200</x:v>
      </x:c>
      <x:c r="C7" s="5" t="str">
        <x:v>Учебный центр ПАО «Газпром»</x:v>
      </x:c>
      <x:c r="D7" s="5" t="str">
        <x:v>RU</x:v>
      </x:c>
      <x:c r="E7" s="5" t="str">
        <x:v>company_training_center</x:v>
      </x:c>
      <x:c r="F7" s="5" t="str">
        <x:v>ПАО «Газпром»</x:v>
      </x:c>
      <x:c r="G7" s="5" t="str">
        <x:v>Газпром</x:v>
      </x:c>
      <x:c r="H7" s="5" t="str">
        <x:v>Не установлено</x:v>
      </x:c>
      <x:c r="I7" s="5" t="str">
        <x:v>Нефтегаз</x:v>
      </x:c>
      <x:c r="J7" s="5" t="str">
        <x:v>Руководители, специалисты и производственный персонал; долю управленческих программ уточнить.</x:v>
      </x:c>
      <x:c r="K7" s="5" t="str">
        <x:v>Среднее: воинский учёт, гражданская защита, методика обучения и цифровые курсы для специалистов; прикладную подготовку спасателей не смешивать с профилем МИСБ.</x:v>
      </x:c>
      <x:c r="L7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7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7" s="5" t="str">
        <x:v>Директор КУ/УЦ, руководитель обучения и развития, методический отдел, HR, закупки услуг.</x:v>
      </x:c>
      <x:c r="O7" s="5" t="str">
        <x:v>https://tc.gazprom.ru/about/</x:v>
      </x:c>
      <x:c r="P7" s="5" t="str">
        <x:v>https://tc.gazprom.ru/about/</x:v>
      </x:c>
      <x:c r="Q7" s="5" t="str">
        <x:v>Официальная страница подтверждает самостоятельное образовательное учреждение Газпрома и направления ДПО.</x:v>
      </x:c>
      <x:c r="R7" s="5" t="str">
        <x:v>search_index</x:v>
      </x:c>
      <x:c r="S7" s="12" t="n">
        <x:v>46296</x:v>
      </x:c>
      <x:c r="T7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7" s="5" t="str">
        <x:v>"ПАО «Газпром»"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7" s="5" t="str">
        <x:v>Именованная структура с подтверждением; отбор по стране, очереди и типу. Это не оценка вероятности заказа.</x:v>
      </x:c>
      <x:c r="X7" s="5" t="str">
        <x:v>cu_ru_energy.json:2</x:v>
      </x:c>
    </x:row>
    <x:row r="8" ht="54" customHeight="1">
      <x:c r="A8" s="5" t="str">
        <x:v>CU-0003</x:v>
      </x:c>
      <x:c r="B8" s="5" t="str">
        <x:v>main_200</x:v>
      </x:c>
      <x:c r="C8" s="5" t="str">
        <x:v>Газпром ОНУТЦ — Отраслевой научно-исследовательский учебно-тренажёрный центр</x:v>
      </x:c>
      <x:c r="D8" s="5" t="str">
        <x:v>RU</x:v>
      </x:c>
      <x:c r="E8" s="5" t="str">
        <x:v>industry_training_center</x:v>
      </x:c>
      <x:c r="F8" s="5" t="str">
        <x:v>ПАО «Газпром»</x:v>
      </x:c>
      <x:c r="G8" s="5" t="str">
        <x:v>Газпром</x:v>
      </x:c>
      <x:c r="H8" s="5" t="str">
        <x:v>Калининград</x:v>
      </x:c>
      <x:c r="I8" s="5" t="str">
        <x:v>Нефтегаз</x:v>
      </x:c>
      <x:c r="J8" s="5" t="str">
        <x:v>Руководители, специалисты, кадровый резерв и внутренние преподаватели.</x:v>
      </x:c>
      <x:c r="K8" s="5" t="str">
        <x:v>Высокое для электронного контента и методического субподряда; технические тренажёры требуют отдельной компетенции.</x:v>
      </x:c>
      <x:c r="L8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8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8" s="5" t="str">
        <x:v>Директор КУ/УЦ, руководитель обучения и развития, методический отдел, HR, закупки услуг.</x:v>
      </x:c>
      <x:c r="O8" s="5" t="str">
        <x:v>https://onutc.gazprom.ru/development/</x:v>
      </x:c>
      <x:c r="P8" s="5" t="str">
        <x:v>https://onutc.gazprom.ru/development/</x:v>
      </x:c>
      <x:c r="Q8" s="5" t="str">
        <x:v>Официальный домен описывает создание учебно-методических материалов и автоматизированных обучающих систем; образовательная лицензия отражена в карточке СНФПО.</x:v>
      </x:c>
      <x:c r="R8" s="5" t="str">
        <x:v>search_index</x:v>
      </x:c>
      <x:c r="S8" s="12" t="n">
        <x:v>46296</x:v>
      </x:c>
      <x:c r="T8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8" s="5" t="str">
        <x:v>"ПАО «Газпром»"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8" s="5" t="str">
        <x:v>Именованная структура с подтверждением; отбор по стране, очереди и типу. Это не оценка вероятности заказа.</x:v>
      </x:c>
      <x:c r="X8" s="5" t="str">
        <x:v>cu_ru_energy.json:3</x:v>
      </x:c>
    </x:row>
    <x:row r="9" ht="54" customHeight="1">
      <x:c r="A9" s="5" t="str">
        <x:v>CU-0004</x:v>
      </x:c>
      <x:c r="B9" s="5" t="str">
        <x:v>main_200</x:v>
      </x:c>
      <x:c r="C9" s="5" t="str">
        <x:v>Корпоративный институт ООО «Газпром трансгаз Томск»</x:v>
      </x:c>
      <x:c r="D9" s="5" t="str">
        <x:v>RU</x:v>
      </x:c>
      <x:c r="E9" s="5" t="str">
        <x:v>company_training_center</x:v>
      </x:c>
      <x:c r="F9" s="5" t="str">
        <x:v>ООО «Газпром трансгаз Томск»</x:v>
      </x:c>
      <x:c r="G9" s="5" t="str">
        <x:v>Газпром</x:v>
      </x:c>
      <x:c r="H9" s="5" t="str">
        <x:v>Томск</x:v>
      </x:c>
      <x:c r="I9" s="5" t="str">
        <x:v>Нефтегаз</x:v>
      </x:c>
      <x:c r="J9" s="5" t="str">
        <x:v>Руководители, специалисты и производственный персонал; долю управленческих программ уточнить.</x:v>
      </x:c>
      <x:c r="K9" s="5" t="str">
        <x:v>Высокое для руководителей, специалистов, развития резерва и дистанционных программ; институт не является обычным вузом.</x:v>
      </x:c>
      <x:c r="L9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9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9" s="5" t="str">
        <x:v>Директор КУ/УЦ, руководитель обучения и развития, методический отдел, HR, закупки услуг.</x:v>
      </x:c>
      <x:c r="O9" s="5" t="str">
        <x:v>https://tomsk-tr.gazprom.ru/career/policy/</x:v>
      </x:c>
      <x:c r="P9" s="5" t="str">
        <x:v>https://tomsk-tr.gazprom.ru/career/policy/</x:v>
      </x:c>
      <x:c r="Q9" s="5" t="str">
        <x:v>Официальная страница: учебный центр с 2013 года имеет статус Корпоративного института; повышение квалификации специалистов.</x:v>
      </x:c>
      <x:c r="R9" s="5" t="str">
        <x:v>search_index</x:v>
      </x:c>
      <x:c r="S9" s="12" t="n">
        <x:v>46296</x:v>
      </x:c>
      <x:c r="T9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9" s="5" t="str">
        <x:v>"ООО «Газпром трансгаз Томск»"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9" s="5" t="str">
        <x:v>Именованная структура с подтверждением; отбор по стране, очереди и типу. Это не оценка вероятности заказа.</x:v>
      </x:c>
      <x:c r="X9" s="5" t="str">
        <x:v>cu_ru_energy.json:4</x:v>
      </x:c>
    </x:row>
    <x:row r="10" ht="54" customHeight="1">
      <x:c r="A10" s="5" t="str">
        <x:v>CU-0005</x:v>
      </x:c>
      <x:c r="B10" s="5" t="str">
        <x:v>main_200</x:v>
      </x:c>
      <x:c r="C10" s="5" t="str">
        <x:v>Учебно-производственный центр ООО «Газпром трансгаз Екатеринбург»</x:v>
      </x:c>
      <x:c r="D10" s="5" t="str">
        <x:v>RU</x:v>
      </x:c>
      <x:c r="E10" s="5" t="str">
        <x:v>company_training_center</x:v>
      </x:c>
      <x:c r="F10" s="5" t="str">
        <x:v>ООО «Газпром трансгаз Екатеринбург»</x:v>
      </x:c>
      <x:c r="G10" s="5" t="str">
        <x:v>Газпром</x:v>
      </x:c>
      <x:c r="H10" s="5" t="str">
        <x:v>Екатеринбург</x:v>
      </x:c>
      <x:c r="I10" s="5" t="str">
        <x:v>Нефтегаз</x:v>
      </x:c>
      <x:c r="J10" s="5" t="str">
        <x:v>Руководители, специалисты и производственный персонал; долю управленческих программ уточнить.</x:v>
      </x:c>
      <x:c r="K10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10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10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10" s="5" t="str">
        <x:v>Директор КУ/УЦ, руководитель обучения и развития, методический отдел, HR, закупки услуг.</x:v>
      </x:c>
      <x:c r="O10" s="5" t="str">
        <x:v>https://ekaterinburg-tr.gazprom.ru/about/organization/upts/</x:v>
      </x:c>
      <x:c r="P10" s="5" t="str">
        <x:v>https://ekaterinburg-tr.gazprom.ru/about/organization/upts/</x:v>
      </x:c>
      <x:c r="Q10" s="5" t="str">
        <x:v>Официальная страница называет центр филиалом и отдельно подтверждает ДПО руководителей и специалистов.</x:v>
      </x:c>
      <x:c r="R10" s="5" t="str">
        <x:v>search_index</x:v>
      </x:c>
      <x:c r="S10" s="12" t="n">
        <x:v>46296</x:v>
      </x:c>
      <x:c r="T10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1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10" s="5" t="str">
        <x:v>"ООО «Газпром трансгаз Екатеринбург»"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10" s="5" t="str">
        <x:v>Именованная структура с подтверждением; отбор по стране, очереди и типу. Это не оценка вероятности заказа.</x:v>
      </x:c>
      <x:c r="X10" s="5" t="str">
        <x:v>cu_ru_energy.json:5</x:v>
      </x:c>
    </x:row>
    <x:row r="11" ht="54" customHeight="1">
      <x:c r="A11" s="5" t="str">
        <x:v>CU-0006</x:v>
      </x:c>
      <x:c r="B11" s="5" t="str">
        <x:v>main_200</x:v>
      </x:c>
      <x:c r="C11" s="5" t="str">
        <x:v>Учебно-производственный центр ООО «Газпром трансгаз Ухта»</x:v>
      </x:c>
      <x:c r="D11" s="5" t="str">
        <x:v>RU</x:v>
      </x:c>
      <x:c r="E11" s="5" t="str">
        <x:v>company_training_center</x:v>
      </x:c>
      <x:c r="F11" s="5" t="str">
        <x:v>ООО «Газпром трансгаз Ухта»</x:v>
      </x:c>
      <x:c r="G11" s="5" t="str">
        <x:v>Газпром</x:v>
      </x:c>
      <x:c r="H11" s="5" t="str">
        <x:v>Ухта</x:v>
      </x:c>
      <x:c r="I11" s="5" t="str">
        <x:v>Нефтегаз</x:v>
      </x:c>
      <x:c r="J11" s="5" t="str">
        <x:v>Руководители, специалисты и производственный персонал; долю управленческих программ уточнить.</x:v>
      </x:c>
      <x:c r="K11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11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11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11" s="5" t="str">
        <x:v>Директор КУ/УЦ, руководитель обучения и развития, методический отдел, HR, закупки услуг.</x:v>
      </x:c>
      <x:c r="O11" s="5" t="str">
        <x:v>https://ukhta-tr.gazprom.ru/sveden/document/</x:v>
      </x:c>
      <x:c r="P11" s="5" t="str">
        <x:v>https://ukhta-tr.gazprom.ru/sveden/document/</x:v>
      </x:c>
      <x:c r="Q11" s="5" t="str">
        <x:v>Официальные документы подтверждают образовательное подразделение и его положение.</x:v>
      </x:c>
      <x:c r="R11" s="5" t="str">
        <x:v>search_index</x:v>
      </x:c>
      <x:c r="S11" s="12" t="n">
        <x:v>46296</x:v>
      </x:c>
      <x:c r="T11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1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11" s="5" t="str">
        <x:v>"ООО «Газпром трансгаз Ухта»"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11" s="5" t="str">
        <x:v>Именованная структура с подтверждением; отбор по стране, очереди и типу. Это не оценка вероятности заказа.</x:v>
      </x:c>
      <x:c r="X11" s="5" t="str">
        <x:v>cu_ru_energy.json:6</x:v>
      </x:c>
    </x:row>
    <x:row r="12" ht="54" customHeight="1">
      <x:c r="A12" s="5" t="str">
        <x:v>CU-0007</x:v>
      </x:c>
      <x:c r="B12" s="5" t="str">
        <x:v>main_200</x:v>
      </x:c>
      <x:c r="C12" s="5" t="str">
        <x:v>Учебно-производственный центр ООО «Газпром трансгаз Москва»</x:v>
      </x:c>
      <x:c r="D12" s="5" t="str">
        <x:v>RU</x:v>
      </x:c>
      <x:c r="E12" s="5" t="str">
        <x:v>company_training_center</x:v>
      </x:c>
      <x:c r="F12" s="5" t="str">
        <x:v>ООО «Газпром трансгаз Москва»</x:v>
      </x:c>
      <x:c r="G12" s="5" t="str">
        <x:v>Газпром</x:v>
      </x:c>
      <x:c r="H12" s="5" t="str">
        <x:v>Москва</x:v>
      </x:c>
      <x:c r="I12" s="5" t="str">
        <x:v>Нефтегаз</x:v>
      </x:c>
      <x:c r="J12" s="5" t="str">
        <x:v>Руководители, специалисты и производственный персонал; долю управленческих программ уточнить.</x:v>
      </x:c>
      <x:c r="K12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12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12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12" s="5" t="str">
        <x:v>Директор КУ/УЦ, руководитель обучения и развития, методический отдел, HR, закупки услуг.</x:v>
      </x:c>
      <x:c r="O12" s="5" t="str">
        <x:v>https://moskva-tr.gazprom.ru/career/</x:v>
      </x:c>
      <x:c r="P12" s="5" t="str">
        <x:v>https://moskva-tr.gazprom.ru/career/</x:v>
      </x:c>
      <x:c r="Q12" s="5" t="str">
        <x:v>Официальная кадровая страница подтверждает УПЦ, модульное и дистанционное обучение, деловые игры.</x:v>
      </x:c>
      <x:c r="R12" s="5" t="str">
        <x:v>search_index</x:v>
      </x:c>
      <x:c r="S12" s="12" t="n">
        <x:v>46296</x:v>
      </x:c>
      <x:c r="T12" s="5" t="str">
        <x:v>УПЦ и площадки «Зименки»/строящийся полигон не считать отдельными КУ без доказательства организационной самостоятельности. Не удалять при низком приоритете, дублях или ошибке доступа.</x:v>
      </x:c>
      <x:c r="U1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12" s="5" t="str">
        <x:v>"ООО «Газпром трансгаз Москва»"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12" s="5" t="str">
        <x:v>Именованная структура с подтверждением; отбор по стране, очереди и типу. Это не оценка вероятности заказа.</x:v>
      </x:c>
      <x:c r="X12" s="5" t="str">
        <x:v>cu_ru_energy.json:7</x:v>
      </x:c>
    </x:row>
    <x:row r="13" ht="54" customHeight="1">
      <x:c r="A13" s="5" t="str">
        <x:v>CU-0008</x:v>
      </x:c>
      <x:c r="B13" s="5" t="str">
        <x:v>main_200</x:v>
      </x:c>
      <x:c r="C13" s="5" t="str">
        <x:v>Учебно-производственный центр ООО «Газпром трансгаз Югорск»</x:v>
      </x:c>
      <x:c r="D13" s="5" t="str">
        <x:v>RU</x:v>
      </x:c>
      <x:c r="E13" s="5" t="str">
        <x:v>company_training_center</x:v>
      </x:c>
      <x:c r="F13" s="5" t="str">
        <x:v>ООО «Газпром трансгаз Югорск»</x:v>
      </x:c>
      <x:c r="G13" s="5" t="str">
        <x:v>Газпром</x:v>
      </x:c>
      <x:c r="H13" s="5" t="str">
        <x:v>Югорск</x:v>
      </x:c>
      <x:c r="I13" s="5" t="str">
        <x:v>Нефтегаз</x:v>
      </x:c>
      <x:c r="J13" s="5" t="str">
        <x:v>Руководители, специалисты и производственный персонал; долю управленческих программ уточнить.</x:v>
      </x:c>
      <x:c r="K13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13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13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13" s="5" t="str">
        <x:v>Директор КУ/УЦ, руководитель обучения и развития, методический отдел, HR, закупки услуг.</x:v>
      </x:c>
      <x:c r="O13" s="5" t="str">
        <x:v>https://yugorsk-tr.gazprom.ru/career/uchebno-proizvodstvennyj-tsentr/obrazovanie/</x:v>
      </x:c>
      <x:c r="P13" s="5" t="str">
        <x:v>https://yugorsk-tr.gazprom.ru/career/uchebno-proizvodstvennyj-tsentr/obrazovanie/</x:v>
      </x:c>
      <x:c r="Q13" s="5" t="str">
        <x:v>Официальная страница содержит учебные планы и графики ДПО УПЦ.</x:v>
      </x:c>
      <x:c r="R13" s="5" t="str">
        <x:v>search_index</x:v>
      </x:c>
      <x:c r="S13" s="12" t="n">
        <x:v>46296</x:v>
      </x:c>
      <x:c r="T13" s="5" t="str">
        <x:v>Часть опубликованных планов относится к 2024 году; актуальность графиков нужно проверить, старые страницы сохранять как след. Не удалять при низком приоритете, дублях или ошибке доступа.</x:v>
      </x:c>
      <x:c r="U1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13" s="5" t="str">
        <x:v>"ООО «Газпром трансгаз Югорск»"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13" s="5" t="str">
        <x:v>Именованная структура с подтверждением; отбор по стране, очереди и типу. Это не оценка вероятности заказа.</x:v>
      </x:c>
      <x:c r="X13" s="5" t="str">
        <x:v>cu_ru_energy.json:8</x:v>
      </x:c>
    </x:row>
    <x:row r="14" ht="54" customHeight="1">
      <x:c r="A14" s="5" t="str">
        <x:v>CU-0009</x:v>
      </x:c>
      <x:c r="B14" s="5" t="str">
        <x:v>main_200</x:v>
      </x:c>
      <x:c r="C14" s="5" t="str">
        <x:v>Учебно-производственный центр ООО «Газпром трансгаз Сургут»</x:v>
      </x:c>
      <x:c r="D14" s="5" t="str">
        <x:v>RU</x:v>
      </x:c>
      <x:c r="E14" s="5" t="str">
        <x:v>company_training_center</x:v>
      </x:c>
      <x:c r="F14" s="5" t="str">
        <x:v>ООО «Газпром трансгаз Сургут»</x:v>
      </x:c>
      <x:c r="G14" s="5" t="str">
        <x:v>Газпром</x:v>
      </x:c>
      <x:c r="H14" s="5" t="str">
        <x:v>Сургут</x:v>
      </x:c>
      <x:c r="I14" s="5" t="str">
        <x:v>Нефтегаз</x:v>
      </x:c>
      <x:c r="J14" s="5" t="str">
        <x:v>Руководители, специалисты и производственный персонал; долю управленческих программ уточнить.</x:v>
      </x:c>
      <x:c r="K14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14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14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14" s="5" t="str">
        <x:v>Директор КУ/УЦ, руководитель обучения и развития, методический отдел, HR, закупки услуг.</x:v>
      </x:c>
      <x:c r="O14" s="5" t="str">
        <x:v>https://surgut-tr.gazprom.ru/sveden/common</x:v>
      </x:c>
      <x:c r="P14" s="5" t="str">
        <x:v>https://surgut-tr.gazprom.ru/sveden/common</x:v>
      </x:c>
      <x:c r="Q14" s="5" t="str">
        <x:v>Официальные основные сведения: УПЦ — филиал общества; приведена лицензия и дата создания.</x:v>
      </x:c>
      <x:c r="R14" s="5" t="str">
        <x:v>search_index</x:v>
      </x:c>
      <x:c r="S14" s="12" t="n">
        <x:v>46296</x:v>
      </x:c>
      <x:c r="T14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1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14" s="5" t="str">
        <x:v>"ООО «Газпром трансгаз Сургут»"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14" s="5" t="str">
        <x:v>Именованная структура с подтверждением; отбор по стране, очереди и типу. Это не оценка вероятности заказа.</x:v>
      </x:c>
      <x:c r="X14" s="5" t="str">
        <x:v>cu_ru_energy.json:9</x:v>
      </x:c>
    </x:row>
    <x:row r="15" ht="54" customHeight="1">
      <x:c r="A15" s="5" t="str">
        <x:v>CU-0010</x:v>
      </x:c>
      <x:c r="B15" s="5" t="str">
        <x:v>main_200</x:v>
      </x:c>
      <x:c r="C15" s="5" t="str">
        <x:v>Учебно-производственный центр ООО «Газпром трансгаз Ставрополь»</x:v>
      </x:c>
      <x:c r="D15" s="5" t="str">
        <x:v>RU</x:v>
      </x:c>
      <x:c r="E15" s="5" t="str">
        <x:v>company_training_center</x:v>
      </x:c>
      <x:c r="F15" s="5" t="str">
        <x:v>ООО «Газпром трансгаз Ставрополь»</x:v>
      </x:c>
      <x:c r="G15" s="5" t="str">
        <x:v>Газпром</x:v>
      </x:c>
      <x:c r="H15" s="5" t="str">
        <x:v>Невинномысск</x:v>
      </x:c>
      <x:c r="I15" s="5" t="str">
        <x:v>Нефтегаз</x:v>
      </x:c>
      <x:c r="J15" s="5" t="str">
        <x:v>Руководители, специалисты и производственный персонал; долю управленческих программ уточнить.</x:v>
      </x:c>
      <x:c r="K15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15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15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15" s="5" t="str">
        <x:v>Директор КУ/УЦ, руководитель обучения и развития, методический отдел, HR, закупки услуг.</x:v>
      </x:c>
      <x:c r="O15" s="5" t="str">
        <x:v>https://stavropol-tr.gazprom.ru/career/uchebno-proizvodstvennyj-tsentr/struktura-i-organy-upravleniya/</x:v>
      </x:c>
      <x:c r="P15" s="5" t="str">
        <x:v>https://stavropol-tr.gazprom.ru/career/uchebno-proizvodstvennyj-tsentr/struktura-i-organy-upravleniya/</x:v>
      </x:c>
      <x:c r="Q15" s="5" t="str">
        <x:v>Официальная структура центра содержит руководство, контакты и положение об УПЦ.</x:v>
      </x:c>
      <x:c r="R15" s="5" t="str">
        <x:v>search_index</x:v>
      </x:c>
      <x:c r="S15" s="12" t="n">
        <x:v>46296</x:v>
      </x:c>
      <x:c r="T15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1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15" s="5" t="str">
        <x:v>"ООО «Газпром трансгаз Ставрополь»"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15" s="5" t="str">
        <x:v>Именованная структура с подтверждением; отбор по стране, очереди и типу. Это не оценка вероятности заказа.</x:v>
      </x:c>
      <x:c r="X15" s="5" t="str">
        <x:v>cu_ru_energy.json:10</x:v>
      </x:c>
    </x:row>
    <x:row r="16" ht="54" customHeight="1">
      <x:c r="A16" s="5" t="str">
        <x:v>CU-0011</x:v>
      </x:c>
      <x:c r="B16" s="5" t="str">
        <x:v>main_200</x:v>
      </x:c>
      <x:c r="C16" s="5" t="str">
        <x:v>Учебно-производственный центр ООО «Газпром трансгаз Саратов»</x:v>
      </x:c>
      <x:c r="D16" s="5" t="str">
        <x:v>RU</x:v>
      </x:c>
      <x:c r="E16" s="5" t="str">
        <x:v>company_training_center</x:v>
      </x:c>
      <x:c r="F16" s="5" t="str">
        <x:v>ООО «Газпром трансгаз Саратов»</x:v>
      </x:c>
      <x:c r="G16" s="5" t="str">
        <x:v>Газпром</x:v>
      </x:c>
      <x:c r="H16" s="5" t="str">
        <x:v>Саратов</x:v>
      </x:c>
      <x:c r="I16" s="5" t="str">
        <x:v>Нефтегаз</x:v>
      </x:c>
      <x:c r="J16" s="5" t="str">
        <x:v>Руководители, специалисты и производственный персонал; долю управленческих программ уточнить.</x:v>
      </x:c>
      <x:c r="K16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16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16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16" s="5" t="str">
        <x:v>Директор КУ/УЦ, руководитель обучения и развития, методический отдел, HR, закупки услуг.</x:v>
      </x:c>
      <x:c r="O16" s="5" t="str">
        <x:v>https://saratov-tr.gazprom.ru/career/uchebnyj-tsentr/osnovnyj-svedeniya/</x:v>
      </x:c>
      <x:c r="P16" s="5" t="str">
        <x:v>https://saratov-tr.gazprom.ru/career/uchebnyj-tsentr/osnovnyj-svedeniya/</x:v>
      </x:c>
      <x:c r="Q16" s="5" t="str">
        <x:v>Официальная страница указывает полное наименование УПЦ, адрес и образовательную лицензию.</x:v>
      </x:c>
      <x:c r="R16" s="5" t="str">
        <x:v>search_index</x:v>
      </x:c>
      <x:c r="S16" s="12" t="n">
        <x:v>46296</x:v>
      </x:c>
      <x:c r="T16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1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16" s="5" t="str">
        <x:v>"ООО «Газпром трансгаз Саратов»"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16" s="5" t="str">
        <x:v>Именованная структура с подтверждением; отбор по стране, очереди и типу. Это не оценка вероятности заказа.</x:v>
      </x:c>
      <x:c r="X16" s="5" t="str">
        <x:v>cu_ru_energy.json:11</x:v>
      </x:c>
    </x:row>
    <x:row r="17" ht="54" customHeight="1">
      <x:c r="A17" s="5" t="str">
        <x:v>CU-0012</x:v>
      </x:c>
      <x:c r="B17" s="5" t="str">
        <x:v>main_200</x:v>
      </x:c>
      <x:c r="C17" s="5" t="str">
        <x:v>Учебно-производственный центр ООО «Газпром трансгаз Санкт-Петербург»</x:v>
      </x:c>
      <x:c r="D17" s="5" t="str">
        <x:v>RU</x:v>
      </x:c>
      <x:c r="E17" s="5" t="str">
        <x:v>company_training_center</x:v>
      </x:c>
      <x:c r="F17" s="5" t="str">
        <x:v>ООО «Газпром трансгаз Санкт-Петербург»</x:v>
      </x:c>
      <x:c r="G17" s="5" t="str">
        <x:v>Газпром</x:v>
      </x:c>
      <x:c r="H17" s="5" t="str">
        <x:v>Санкт-Петербург</x:v>
      </x:c>
      <x:c r="I17" s="5" t="str">
        <x:v>Нефтегаз</x:v>
      </x:c>
      <x:c r="J17" s="5" t="str">
        <x:v>Руководители, специалисты и производственный персонал; долю управленческих программ уточнить.</x:v>
      </x:c>
      <x:c r="K17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17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17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17" s="5" t="str">
        <x:v>Директор КУ/УЦ, руководитель обучения и развития, методический отдел, HR, закупки услуг.</x:v>
      </x:c>
      <x:c r="O17" s="5" t="str">
        <x:v>https://spb-tr.gazprom.ru/career/upc/</x:v>
      </x:c>
      <x:c r="P17" s="5" t="str">
        <x:v>https://spb-tr.gazprom.ru/career/upc/</x:v>
      </x:c>
      <x:c r="Q17" s="5" t="str">
        <x:v>Официальная страница подтверждает образовательную структуру, руководство и контакты.</x:v>
      </x:c>
      <x:c r="R17" s="5" t="str">
        <x:v>search_index</x:v>
      </x:c>
      <x:c r="S17" s="12" t="n">
        <x:v>46296</x:v>
      </x:c>
      <x:c r="T17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1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17" s="5" t="str">
        <x:v>"ООО «Газпром трансгаз Санкт-Петербург»"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17" s="5" t="str">
        <x:v>Именованная структура с подтверждением; отбор по стране, очереди и типу. Это не оценка вероятности заказа.</x:v>
      </x:c>
      <x:c r="X17" s="5" t="str">
        <x:v>cu_ru_energy.json:12</x:v>
      </x:c>
    </x:row>
    <x:row r="18" ht="54" customHeight="1">
      <x:c r="A18" s="5" t="str">
        <x:v>CU-0013</x:v>
      </x:c>
      <x:c r="B18" s="5" t="str">
        <x:v>main_200</x:v>
      </x:c>
      <x:c r="C18" s="5" t="str">
        <x:v>Корпоративный университет ПАО «Татнефть»</x:v>
      </x:c>
      <x:c r="D18" s="5" t="str">
        <x:v>RU</x:v>
      </x:c>
      <x:c r="E18" s="5" t="str">
        <x:v>corporate_university</x:v>
      </x:c>
      <x:c r="F18" s="5" t="str">
        <x:v>ПАО «Татнефть»</x:v>
      </x:c>
      <x:c r="G18" s="5" t="str">
        <x:v>Татнефть</x:v>
      </x:c>
      <x:c r="H18" s="5" t="str">
        <x:v>Альметьевск</x:v>
      </x:c>
      <x:c r="I18" s="5" t="str">
        <x:v>Нефтегаз</x:v>
      </x:c>
      <x:c r="J18" s="5" t="str">
        <x:v>Руководители, специалисты, кадровый резерв и внутренние преподаватели.</x:v>
      </x:c>
      <x:c r="K18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L18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18" s="5" t="str">
        <x:v>Контакты Корпоративного университета → курсы, организуемые КУ → уточнение владельца внешнего обучения и закупочного юрлица Татнефти.</x:v>
      </x:c>
      <x:c r="N18" s="5" t="str">
        <x:v>Директор КУ/УЦ, руководитель обучения и развития, методический отдел, HR, закупки услуг.</x:v>
      </x:c>
      <x:c r="O18" s="5" t="str">
        <x:v>https://cu.tatneft.ru/ob-universitete/obshchaya-informatsiya?lang=ru</x:v>
      </x:c>
      <x:c r="P18" s="5" t="str">
        <x:v>https://cu.tatneft.ru/ob-universitete/obshchaya-informatsiya?lang=ru</x:v>
      </x:c>
      <x:c r="Q18" s="5" t="str">
        <x:v>Прочитана официальная страница: КУ является подразделением Татнефти, создан в 2016 году.</x:v>
      </x:c>
      <x:c r="R18" s="5" t="str">
        <x:v>content_read</x:v>
      </x:c>
      <x:c r="S18" s="12" t="n">
        <x:v>46296</x:v>
      </x:c>
      <x:c r="T18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1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18" s="5" t="str">
        <x:v>"ПАО «Татнефть»"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18" s="5" t="str">
        <x:v>Именованная структура с подтверждением; отбор по стране, очереди и типу. Это не оценка вероятности заказа.</x:v>
      </x:c>
      <x:c r="X18" s="5" t="str">
        <x:v>cu_ru_energy.json:13</x:v>
      </x:c>
    </x:row>
    <x:row r="19" ht="54" customHeight="1">
      <x:c r="A19" s="5" t="str">
        <x:v>CU-0014</x:v>
      </x:c>
      <x:c r="B19" s="5" t="str">
        <x:v>main_200</x:v>
      </x:c>
      <x:c r="C19" s="5" t="str">
        <x:v>Корпоративный учебный центр ЛУКОЙЛ</x:v>
      </x:c>
      <x:c r="D19" s="5" t="str">
        <x:v>RU</x:v>
      </x:c>
      <x:c r="E19" s="5" t="str">
        <x:v>company_training_center</x:v>
      </x:c>
      <x:c r="F19" s="5" t="str">
        <x:v>ООО «ЛУКОЙЛ-Нижневолжскнефть»</x:v>
      </x:c>
      <x:c r="G19" s="5" t="str">
        <x:v>ЛУКОЙЛ</x:v>
      </x:c>
      <x:c r="H19" s="5" t="str">
        <x:v>Ильинка, Астраханская область</x:v>
      </x:c>
      <x:c r="I19" s="5" t="str">
        <x:v>Нефтегаз</x:v>
      </x:c>
      <x:c r="J19" s="5" t="str">
        <x:v>Руководители, специалисты и производственный персонал; долю управленческих программ уточнить.</x:v>
      </x:c>
      <x:c r="K19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19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19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19" s="5" t="str">
        <x:v>Директор КУ/УЦ, руководитель обучения и развития, методический отдел, HR, закупки услуг.</x:v>
      </x:c>
      <x:c r="O19" s="5" t="str">
        <x:v>https://ctc.lukoil.ru/ru/About/GeneralInformation?wid=widpxFOse5-vkj2WOeBjmHY9Q</x:v>
      </x:c>
      <x:c r="P19" s="5" t="str">
        <x:v>https://ctc.lukoil.ru/ru/About/GeneralInformation?wid=widpxFOse5-vkj2WOeBjmHY9Q</x:v>
      </x:c>
      <x:c r="Q19" s="5" t="str">
        <x:v>Официальная страница подтверждает создание корпоративного УЦ и учредителя; подготовка нефтегазовых специалистов, включая внешних слушателей.</x:v>
      </x:c>
      <x:c r="R19" s="5" t="str">
        <x:v>search_index</x:v>
      </x:c>
      <x:c r="S19" s="12" t="n">
        <x:v>46296</x:v>
      </x:c>
      <x:c r="T19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1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19" s="5" t="str">
        <x:v>"ООО «ЛУКОЙЛ-Нижневолжскнефть»"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19" s="5" t="str">
        <x:v>Именованная структура с подтверждением; отбор по стране, очереди и типу. Это не оценка вероятности заказа.</x:v>
      </x:c>
      <x:c r="X19" s="5" t="str">
        <x:v>cu_ru_energy.json:14</x:v>
      </x:c>
    </x:row>
    <x:row r="20" ht="54" customHeight="1">
      <x:c r="A20" s="5" t="str">
        <x:v>CU-0015</x:v>
      </x:c>
      <x:c r="B20" s="5" t="str">
        <x:v>main_200</x:v>
      </x:c>
      <x:c r="C20" s="5" t="str">
        <x:v>Корпоративный университет «Газпром нефти»</x:v>
      </x:c>
      <x:c r="D20" s="5" t="str">
        <x:v>RU</x:v>
      </x:c>
      <x:c r="E20" s="5" t="str">
        <x:v>corporate_university</x:v>
      </x:c>
      <x:c r="F20" s="5" t="str">
        <x:v>ПАО «Газпром нефть»</x:v>
      </x:c>
      <x:c r="G20" s="5" t="str">
        <x:v>Газпром нефть</x:v>
      </x:c>
      <x:c r="H20" s="5" t="str">
        <x:v>Не установлено</x:v>
      </x:c>
      <x:c r="I20" s="5" t="str">
        <x:v>Нефтегаз</x:v>
      </x:c>
      <x:c r="J20" s="5" t="str">
        <x:v>Руководители, специалисты, кадровый резерв и внутренние преподаватели.</x:v>
      </x:c>
      <x:c r="K20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L20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0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0" s="5" t="str">
        <x:v>Директор КУ/УЦ, руководитель обучения и развития, методический отдел, HR, закупки услуг.</x:v>
      </x:c>
      <x:c r="O20" s="5" t="str">
        <x:v>https://www.sgu.ru/struktura/gazpromneft</x:v>
      </x:c>
      <x:c r="P20" s="5" t="str">
        <x:v>https://www.sgu.ru/struktura/gazpromneft</x:v>
      </x:c>
      <x:c r="Q20" s="5" t="str">
        <x:v>Прочитан официальный сайт СГУ: подтверждено соглашение с Корпоративным университетом ПАО ГПН. Ссылка ведёт к вузу-партнёру, а не на собственный сайт КУ.</x:v>
      </x:c>
      <x:c r="R20" s="5" t="str">
        <x:v>content_read</x:v>
      </x:c>
      <x:c r="S20" s="12" t="n">
        <x:v>46296</x:v>
      </x:c>
      <x:c r="T20" s="5" t="str">
        <x:v>Собственный публичный сайт КУ и его закупочное юрлицо не установлены. Не путать этот КУ с Газпром университетом и центром Газпромнефть-СГУ. Не удалять при низком приоритете, дублях или ошибке доступа.</x:v>
      </x:c>
      <x:c r="U2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0" s="5" t="str">
        <x:v>"ПАО «Газпром нефть»"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0" s="5" t="str">
        <x:v>Именованная структура с подтверждением; отбор по стране, очереди и типу. Это не оценка вероятности заказа.</x:v>
      </x:c>
      <x:c r="X20" s="5" t="str">
        <x:v>cu_ru_energy.json:15</x:v>
      </x:c>
    </x:row>
    <x:row r="21" ht="54" customHeight="1">
      <x:c r="A21" s="5" t="str">
        <x:v>CU-0016</x:v>
      </x:c>
      <x:c r="B21" s="5" t="str">
        <x:v>main_200</x:v>
      </x:c>
      <x:c r="C21" s="5" t="str">
        <x:v>Центр политехнического обучения ПАО «Сургутнефтегаз»</x:v>
      </x:c>
      <x:c r="D21" s="5" t="str">
        <x:v>RU</x:v>
      </x:c>
      <x:c r="E21" s="5" t="str">
        <x:v>company_training_center</x:v>
      </x:c>
      <x:c r="F21" s="5" t="str">
        <x:v>ПАО «Сургутнефтегаз»</x:v>
      </x:c>
      <x:c r="G21" s="5" t="str">
        <x:v>Сургутнефтегаз</x:v>
      </x:c>
      <x:c r="H21" s="5" t="str">
        <x:v>Сургут</x:v>
      </x:c>
      <x:c r="I21" s="5" t="str">
        <x:v>Нефтегаз</x:v>
      </x:c>
      <x:c r="J21" s="5" t="str">
        <x:v>Руководители, специалисты и производственный персонал; долю управленческих программ уточнить.</x:v>
      </x:c>
      <x:c r="K21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21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1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1" s="5" t="str">
        <x:v>Директор КУ/УЦ, руководитель обучения и развития, методический отдел, HR, закупки услуг.</x:v>
      </x:c>
      <x:c r="O21" s="5" t="str">
        <x:v>https://www.surgutneftegas.ru/responsibility/personnel_policy/uchebnaya-baza/</x:v>
      </x:c>
      <x:c r="P21" s="5" t="str">
        <x:v>https://www.surgutneftegas.ru/responsibility/personnel_policy/uchebnaya-baza/</x:v>
      </x:c>
      <x:c r="Q21" s="5" t="str">
        <x:v>Официальная страница подтверждает ЦПТО как структурное подразделение; базовый центр и отделения учитываются одной записью.</x:v>
      </x:c>
      <x:c r="R21" s="5" t="str">
        <x:v>search_index</x:v>
      </x:c>
      <x:c r="S21" s="12" t="n">
        <x:v>46296</x:v>
      </x:c>
      <x:c r="T21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2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1" s="5" t="str">
        <x:v>"ПАО «Сургутнефтегаз»"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1" s="5" t="str">
        <x:v>Именованная структура с подтверждением; отбор по стране, очереди и типу. Это не оценка вероятности заказа.</x:v>
      </x:c>
      <x:c r="X21" s="5" t="str">
        <x:v>cu_ru_energy.json:16</x:v>
      </x:c>
    </x:row>
    <x:row r="22" ht="54" customHeight="1">
      <x:c r="A22" s="5" t="str">
        <x:v>CU-0017</x:v>
      </x:c>
      <x:c r="B22" s="5" t="str">
        <x:v>main_200</x:v>
      </x:c>
      <x:c r="C22" s="5" t="str">
        <x:v>Учебный центр ООО «РН-Юганскнефтегаз»</x:v>
      </x:c>
      <x:c r="D22" s="5" t="str">
        <x:v>RU</x:v>
      </x:c>
      <x:c r="E22" s="5" t="str">
        <x:v>company_training_center</x:v>
      </x:c>
      <x:c r="F22" s="5" t="str">
        <x:v>ООО «РН-Юганскнефтегаз»</x:v>
      </x:c>
      <x:c r="G22" s="5" t="str">
        <x:v>Роснефть</x:v>
      </x:c>
      <x:c r="H22" s="5" t="str">
        <x:v>Нефтеюганск</x:v>
      </x:c>
      <x:c r="I22" s="5" t="str">
        <x:v>Нефтегаз</x:v>
      </x:c>
      <x:c r="J22" s="5" t="str">
        <x:v>Руководители, специалисты и производственный персонал; долю управленческих программ уточнить.</x:v>
      </x:c>
      <x:c r="K22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22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2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2" s="5" t="str">
        <x:v>Директор КУ/УЦ, руководитель обучения и развития, методический отдел, HR, закупки услуг.</x:v>
      </x:c>
      <x:c r="O22" s="5" t="str">
        <x:v>https://rosneft.ru/press/subsidiaries/item/223656/</x:v>
      </x:c>
      <x:c r="P22" s="5" t="str">
        <x:v>https://rosneft.ru/press/subsidiaries/item/223656/</x:v>
      </x:c>
      <x:c r="Q22" s="5" t="str">
        <x:v>Официальная новость о результатах 2025 года подтверждает работающий УЦ и широкий набор учебных модулей.</x:v>
      </x:c>
      <x:c r="R22" s="5" t="str">
        <x:v>search_index</x:v>
      </x:c>
      <x:c r="S22" s="12" t="n">
        <x:v>46296</x:v>
      </x:c>
      <x:c r="T22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2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2" s="5" t="str">
        <x:v>"ООО «РН-Юганскнефтегаз»"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2" s="5" t="str">
        <x:v>Именованная структура с подтверждением; отбор по стране, очереди и типу. Это не оценка вероятности заказа.</x:v>
      </x:c>
      <x:c r="X22" s="5" t="str">
        <x:v>cu_ru_energy.json:17</x:v>
      </x:c>
    </x:row>
    <x:row r="23" ht="54" customHeight="1">
      <x:c r="A23" s="5" t="str">
        <x:v>CU-0018</x:v>
      </x:c>
      <x:c r="B23" s="5" t="str">
        <x:v>reserve</x:v>
      </x:c>
      <x:c r="C23" s="5" t="str">
        <x:v>Учебный центр АО «РН-Няганьнефтегаз»</x:v>
      </x:c>
      <x:c r="D23" s="5" t="str">
        <x:v>RU</x:v>
      </x:c>
      <x:c r="E23" s="5" t="str">
        <x:v>company_training_center</x:v>
      </x:c>
      <x:c r="F23" s="5" t="str">
        <x:v>АО «РН-Няганьнефтегаз»</x:v>
      </x:c>
      <x:c r="G23" s="5" t="str">
        <x:v>Роснефть</x:v>
      </x:c>
      <x:c r="H23" s="5" t="str">
        <x:v>Нягань</x:v>
      </x:c>
      <x:c r="I23" s="5" t="str">
        <x:v>Нефтегаз</x:v>
      </x:c>
      <x:c r="J23" s="5" t="str">
        <x:v>Руководители, специалисты и производственный персонал; долю управленческих программ уточнить.</x:v>
      </x:c>
      <x:c r="K23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23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3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3" s="5" t="str">
        <x:v>Директор КУ/УЦ, руководитель обучения и развития, методический отдел, HR, закупки услуг.</x:v>
      </x:c>
      <x:c r="O23" s="5" t="str">
        <x:v>https://uc-nng.ru/</x:v>
      </x:c>
      <x:c r="P23" s="5" t="str">
        <x:v>https://uc-nng.ru/</x:v>
      </x:c>
      <x:c r="Q23" s="5" t="str">
        <x:v>Официальный сайт центра описывает обучение персонала общества; организационная структура относит УЦ к блоку персонала.</x:v>
      </x:c>
      <x:c r="R23" s="5" t="str">
        <x:v>search_index</x:v>
      </x:c>
      <x:c r="S23" s="12" t="n">
        <x:v>46296</x:v>
      </x:c>
      <x:c r="T23" s="5" t="str">
        <x:v>Значительная часть программ рабочая; для МИСБ интересны методика, развитие преподавателей, управленческие и цифровые компоненты, которые нужно уточнить. Не удалять при низком приоритете, дублях или ошибке доступа.</x:v>
      </x:c>
      <x:c r="U2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3" s="5" t="str">
        <x:v>"АО «РН-Няганьнефтегаз»"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3" s="5" t="str">
        <x:v>Дополнительная подтвержденная структура сверх основной выборки; продолжать мониторинг.</x:v>
      </x:c>
      <x:c r="X23" s="5" t="str">
        <x:v>cu_ru_energy.json:18</x:v>
      </x:c>
    </x:row>
    <x:row r="24" ht="54" customHeight="1">
      <x:c r="A24" s="5" t="str">
        <x:v>CU-0019</x:v>
      </x:c>
      <x:c r="B24" s="5" t="str">
        <x:v>main_200</x:v>
      </x:c>
      <x:c r="C24" s="5" t="str">
        <x:v>Корпоративная Академия Росатома</x:v>
      </x:c>
      <x:c r="D24" s="5" t="str">
        <x:v>RU</x:v>
      </x:c>
      <x:c r="E24" s="5" t="str">
        <x:v>corporate_academy</x:v>
      </x:c>
      <x:c r="F24" s="5" t="str">
        <x:v>ГК «Росатом»</x:v>
      </x:c>
      <x:c r="G24" s="5" t="str">
        <x:v>Росатом</x:v>
      </x:c>
      <x:c r="H24" s="5" t="str">
        <x:v>Москва</x:v>
      </x:c>
      <x:c r="I24" s="5" t="str">
        <x:v>Атомная промышленность</x:v>
      </x:c>
      <x:c r="J24" s="5" t="str">
        <x:v>Руководители, специалисты, кадровый резерв и внутренние преподаватели.</x:v>
      </x:c>
      <x:c r="K24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L24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4" s="5" t="str">
        <x:v>Закупки самой Академии → предметный руководитель программы → участие МИСБ как внешний преподаватель/разработчик программы или контента; самостоятельно проверить условия допуска по конкретной процедуре.</x:v>
      </x:c>
      <x:c r="N24" s="5" t="str">
        <x:v>Директор КУ/УЦ, руководитель обучения и развития, методический отдел, HR, закупки услуг.</x:v>
      </x:c>
      <x:c r="O24" s="5" t="str">
        <x:v>https://rosatom-academy.ru/ob-akademii/</x:v>
      </x:c>
      <x:c r="P24" s="5" t="str">
        <x:v>https://rosatom-academy.ru/ob-akademii/</x:v>
      </x:c>
      <x:c r="Q24" s="5" t="str">
        <x:v>Прочитан официальный сайт Академии: развитие руководителей, корпоративных функций, компетенций и образовательных продуктов.</x:v>
      </x:c>
      <x:c r="R24" s="5" t="str">
        <x:v>content_read</x:v>
      </x:c>
      <x:c r="S24" s="12" t="n">
        <x:v>46296</x:v>
      </x:c>
      <x:c r="T24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2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4" s="5" t="str">
        <x:v>"ГК «Росатом»"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4" s="5" t="str">
        <x:v>Именованная структура с подтверждением; отбор по стране, очереди и типу. Это не оценка вероятности заказа.</x:v>
      </x:c>
      <x:c r="X24" s="5" t="str">
        <x:v>cu_ru_energy.json:19</x:v>
      </x:c>
    </x:row>
    <x:row r="25" ht="54" customHeight="1">
      <x:c r="A25" s="5" t="str">
        <x:v>CU-0020</x:v>
      </x:c>
      <x:c r="B25" s="5" t="str">
        <x:v>main_200</x:v>
      </x:c>
      <x:c r="C25" s="5" t="str">
        <x:v>Техническая академия Росатома</x:v>
      </x:c>
      <x:c r="D25" s="5" t="str">
        <x:v>RU</x:v>
      </x:c>
      <x:c r="E25" s="5" t="str">
        <x:v>corporate_academy</x:v>
      </x:c>
      <x:c r="F25" s="5" t="str">
        <x:v>ГК «Росатом»</x:v>
      </x:c>
      <x:c r="G25" s="5" t="str">
        <x:v>Росатом</x:v>
      </x:c>
      <x:c r="H25" s="5" t="str">
        <x:v>Обнинск</x:v>
      </x:c>
      <x:c r="I25" s="5" t="str">
        <x:v>Атомная промышленность</x:v>
      </x:c>
      <x:c r="J25" s="5" t="str">
        <x:v>Руководители, специалисты, кадровый резерв и внутренние преподаватели.</x:v>
      </x:c>
      <x:c r="K25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L25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5" s="5" t="str">
        <x:v>Закупки самой Академии → предметный руководитель программы → участие МИСБ как внешний преподаватель/разработчик программы или контента; самостоятельно проверить условия допуска по конкретной процедуре.</x:v>
      </x:c>
      <x:c r="N25" s="5" t="str">
        <x:v>Директор КУ/УЦ, руководитель обучения и развития, методический отдел, HR, закупки услуг.</x:v>
      </x:c>
      <x:c r="O25" s="5" t="str">
        <x:v>https://rosatomtech.ru/about-us/</x:v>
      </x:c>
      <x:c r="P25" s="5" t="str">
        <x:v>https://rosatomtech.ru/about-us/</x:v>
      </x:c>
      <x:c r="Q25" s="5" t="str">
        <x:v>Прочитана официальная страница: ДПО руководителей и специалистов; научно-методическая поддержка, семинары и стратегические сессии.</x:v>
      </x:c>
      <x:c r="R25" s="5" t="str">
        <x:v>content_read</x:v>
      </x:c>
      <x:c r="S25" s="12" t="n">
        <x:v>46296</x:v>
      </x:c>
      <x:c r="T25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2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5" s="5" t="str">
        <x:v>"ГК «Росатом»"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5" s="5" t="str">
        <x:v>Именованная структура с подтверждением; отбор по стране, очереди и типу. Это не оценка вероятности заказа.</x:v>
      </x:c>
      <x:c r="X25" s="5" t="str">
        <x:v>cu_ru_energy.json:20</x:v>
      </x:c>
    </x:row>
    <x:row r="26" ht="54" customHeight="1">
      <x:c r="A26" s="5" t="str">
        <x:v>CU-0021</x:v>
      </x:c>
      <x:c r="B26" s="5" t="str">
        <x:v>main_200</x:v>
      </x:c>
      <x:c r="C26" s="5" t="str">
        <x:v>Интер РАО — Корпоративный университет</x:v>
      </x:c>
      <x:c r="D26" s="5" t="str">
        <x:v>RU</x:v>
      </x:c>
      <x:c r="E26" s="5" t="str">
        <x:v>corporate_university</x:v>
      </x:c>
      <x:c r="F26" s="5" t="str">
        <x:v>ПАО «Интер РАО»</x:v>
      </x:c>
      <x:c r="G26" s="5" t="str">
        <x:v>Интер РАО</x:v>
      </x:c>
      <x:c r="H26" s="5" t="str">
        <x:v>Москва</x:v>
      </x:c>
      <x:c r="I26" s="5" t="str">
        <x:v>Электроэнергетика</x:v>
      </x:c>
      <x:c r="J26" s="5" t="str">
        <x:v>Руководители, специалисты, кадровый резерв и внутренние преподаватели.</x:v>
      </x:c>
      <x:c r="K26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L26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6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6" s="5" t="str">
        <x:v>Директор КУ/УЦ, руководитель обучения и развития, методический отдел, HR, закупки услуг.</x:v>
      </x:c>
      <x:c r="O26" s="5" t="str">
        <x:v>https://interrao-university.ru/</x:v>
      </x:c>
      <x:c r="P26" s="5" t="str">
        <x:v>https://interrao-university.ru/</x:v>
      </x:c>
      <x:c r="Q26" s="5" t="str">
        <x:v>Официальный сайт подтверждает КУ группы и цели развития управленческих компетенций и кадрового резерва.</x:v>
      </x:c>
      <x:c r="R26" s="5" t="str">
        <x:v>search_index</x:v>
      </x:c>
      <x:c r="S26" s="12" t="n">
        <x:v>46296</x:v>
      </x:c>
      <x:c r="T26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2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6" s="5" t="str">
        <x:v>"ПАО «Интер РАО»"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6" s="5" t="str">
        <x:v>Именованная структура с подтверждением; отбор по стране, очереди и типу. Это не оценка вероятности заказа.</x:v>
      </x:c>
      <x:c r="X26" s="5" t="str">
        <x:v>cu_ru_energy.json:21</x:v>
      </x:c>
    </x:row>
    <x:row r="27" ht="54" customHeight="1">
      <x:c r="A27" s="5" t="str">
        <x:v>CU-0022</x:v>
      </x:c>
      <x:c r="B27" s="5" t="str">
        <x:v>main_200</x:v>
      </x:c>
      <x:c r="C27" s="5" t="str">
        <x:v>Корпоративный университет гидроэнергетики РусГидро (КорУнГ)</x:v>
      </x:c>
      <x:c r="D27" s="5" t="str">
        <x:v>RU</x:v>
      </x:c>
      <x:c r="E27" s="5" t="str">
        <x:v>corporate_university</x:v>
      </x:c>
      <x:c r="F27" s="5" t="str">
        <x:v>ПАО «РусГидро»</x:v>
      </x:c>
      <x:c r="G27" s="5" t="str">
        <x:v>РусГидро</x:v>
      </x:c>
      <x:c r="H27" s="5" t="str">
        <x:v>Не установлено</x:v>
      </x:c>
      <x:c r="I27" s="5" t="str">
        <x:v>Электроэнергетика</x:v>
      </x:c>
      <x:c r="J27" s="5" t="str">
        <x:v>Руководители, специалисты, кадровый резерв и внутренние преподаватели.</x:v>
      </x:c>
      <x:c r="K27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L27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7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7" s="5" t="str">
        <x:v>Директор КУ/УЦ, руководитель обучения и развития, методический отдел, HR, закупки услуг.</x:v>
      </x:c>
      <x:c r="O27" s="5" t="str">
        <x:v>https://korung.rushydro.ru/</x:v>
      </x:c>
      <x:c r="P27" s="5" t="str">
        <x:v>https://t.me/s/rushydro_official/6778</x:v>
      </x:c>
      <x:c r="Q27" s="5" t="str">
        <x:v>Официальный Telegram-канал РусГидро прямо ссылается на портал КУ korung.rushydro.ru; годовой отчёт 2024 подтверждает КорУнГ как филиал. Прямой разбор портала вернул пустое содержимое.</x:v>
      </x:c>
      <x:c r="R27" s="5" t="str">
        <x:v>content_read</x:v>
      </x:c>
      <x:c r="S27" s="12" t="n">
        <x:v>46296</x:v>
      </x:c>
      <x:c r="T27" s="5" t="str">
        <x:v>Публичный адрес КУ подтверждён официальным каналом, но доступный контент портала не извлечён. Сборщик не проверен. Отчёт — периодический источник, не текущая заявка; не удалять при ошибках/нулевых результатах.</x:v>
      </x:c>
      <x:c r="U2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7" s="5" t="str">
        <x:v>"ПАО «РусГидро»"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7" s="5" t="str">
        <x:v>Именованная структура с подтверждением; отбор по стране, очереди и типу. Это не оценка вероятности заказа.</x:v>
      </x:c>
      <x:c r="X27" s="5" t="str">
        <x:v>cu_ru_energy.json:22</x:v>
      </x:c>
    </x:row>
    <x:row r="28" ht="54" customHeight="1">
      <x:c r="A28" s="5" t="str">
        <x:v>CU-0023</x:v>
      </x:c>
      <x:c r="B28" s="5" t="str">
        <x:v>main_200</x:v>
      </x:c>
      <x:c r="C28" s="5" t="str">
        <x:v>Корпоративный университет Сибирской генерирующей компании</x:v>
      </x:c>
      <x:c r="D28" s="5" t="str">
        <x:v>RU</x:v>
      </x:c>
      <x:c r="E28" s="5" t="str">
        <x:v>corporate_university</x:v>
      </x:c>
      <x:c r="F28" s="5" t="str">
        <x:v>ООО «Сибирская генерирующая компания»</x:v>
      </x:c>
      <x:c r="G28" s="5" t="str">
        <x:v>СГК</x:v>
      </x:c>
      <x:c r="H28" s="5" t="str">
        <x:v>Не установлено</x:v>
      </x:c>
      <x:c r="I28" s="5" t="str">
        <x:v>Электроэнергетика</x:v>
      </x:c>
      <x:c r="J28" s="5" t="str">
        <x:v>Руководители, специалисты, кадровый резерв и внутренние преподаватели.</x:v>
      </x:c>
      <x:c r="K28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L28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8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8" s="5" t="str">
        <x:v>Директор КУ/УЦ, руководитель обучения и развития, методический отдел, HR, закупки услуг.</x:v>
      </x:c>
      <x:c r="O28" s="5" t="str">
        <x:v>https://sibgenco.online/news/element/tekhnicheskie-resheniya-i-kreativnyy-podkhod-v-krasnoyarske-proshel-trening-ot-korporativnogo-univer/</x:v>
      </x:c>
      <x:c r="P28" s="5" t="str">
        <x:v>https://sibgenco.online/news/element/tekhnicheskie-resheniya-i-kreativnyy-podkhod-v-krasnoyarske-proshel-trening-ot-korporativnogo-univer/</x:v>
      </x:c>
      <x:c r="Q28" s="5" t="str">
        <x:v>Корпоративное медиа СГК прямо подтверждает КУ как часть программы развития и управленческие тренинги.</x:v>
      </x:c>
      <x:c r="R28" s="5" t="str">
        <x:v>search_index</x:v>
      </x:c>
      <x:c r="S28" s="12" t="n">
        <x:v>46296</x:v>
      </x:c>
      <x:c r="T28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2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8" s="5" t="str">
        <x:v>"ООО «Сибирская генерирующая компания»"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8" s="5" t="str">
        <x:v>Именованная структура с подтверждением; отбор по стране, очереди и типу. Это не оценка вероятности заказа.</x:v>
      </x:c>
      <x:c r="X28" s="5" t="str">
        <x:v>cu_ru_energy.json:23</x:v>
      </x:c>
    </x:row>
    <x:row r="29" ht="54" customHeight="1">
      <x:c r="A29" s="5" t="str">
        <x:v>CU-0024</x:v>
      </x:c>
      <x:c r="B29" s="5" t="str">
        <x:v>main_200</x:v>
      </x:c>
      <x:c r="C29" s="5" t="str">
        <x:v>Тверской учебно-производственный центр</x:v>
      </x:c>
      <x:c r="D29" s="5" t="str">
        <x:v>RU</x:v>
      </x:c>
      <x:c r="E29" s="5" t="str">
        <x:v>company_training_center</x:v>
      </x:c>
      <x:c r="F29" s="5" t="str">
        <x:v>Россети Центр</x:v>
      </x:c>
      <x:c r="G29" s="5" t="str">
        <x:v>Россети</x:v>
      </x:c>
      <x:c r="H29" s="5" t="str">
        <x:v>Тверь</x:v>
      </x:c>
      <x:c r="I29" s="5" t="str">
        <x:v>Электроэнергетика</x:v>
      </x:c>
      <x:c r="J29" s="5" t="str">
        <x:v>Руководители, специалисты и производственный персонал; долю управленческих программ уточнить.</x:v>
      </x:c>
      <x:c r="K29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29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9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9" s="5" t="str">
        <x:v>Директор КУ/УЦ, руководитель обучения и развития, методический отдел, HR, закупки услуг.</x:v>
      </x:c>
      <x:c r="O29" s="5" t="str">
        <x:v>http://tvupc.ru</x:v>
      </x:c>
      <x:c r="P29" s="5" t="str">
        <x:v>https://www.mrsk-1.ru/about/personnel/youth/uchebnye-tsentry/</x:v>
      </x:c>
      <x:c r="Q29" s="5" t="str">
        <x:v>Самостоятельный учебный центр указан в официальном корпоративном каталоге; ссылка официального каталога установлена, но прямое чтение центра завершилось ошибкой.</x:v>
      </x:c>
      <x:c r="R29" s="5" t="str">
        <x:v>content_read</x:v>
      </x:c>
      <x:c r="S29" s="12" t="n">
        <x:v>46296</x:v>
      </x:c>
      <x:c r="T29" s="5" t="str">
        <x:v>Технический профиль: управленческие и методические заказы проверять отдельно. Доступ к собственному сайту в проверке не получен; сохранять как отдельный канал. Не удалять при низком приоритете, дублях или ошибке доступа.</x:v>
      </x:c>
      <x:c r="U2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9" s="5" t="str">
        <x:v>"Россети Центр"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9" s="5" t="str">
        <x:v>Именованная структура с подтверждением; отбор по стране, очереди и типу. Это не оценка вероятности заказа.</x:v>
      </x:c>
      <x:c r="X29" s="5" t="str">
        <x:v>cu_ru_energy.json:24</x:v>
      </x:c>
    </x:row>
    <x:row r="30" ht="54" customHeight="1">
      <x:c r="A30" s="5" t="str">
        <x:v>CU-0025</x:v>
      </x:c>
      <x:c r="B30" s="5" t="str">
        <x:v>main_200</x:v>
      </x:c>
      <x:c r="C30" s="5" t="str">
        <x:v>Орловский учебный комбинат</x:v>
      </x:c>
      <x:c r="D30" s="5" t="str">
        <x:v>RU</x:v>
      </x:c>
      <x:c r="E30" s="5" t="str">
        <x:v>company_training_center</x:v>
      </x:c>
      <x:c r="F30" s="5" t="str">
        <x:v>Россети Центр</x:v>
      </x:c>
      <x:c r="G30" s="5" t="str">
        <x:v>Россети</x:v>
      </x:c>
      <x:c r="H30" s="5" t="str">
        <x:v>Орёл</x:v>
      </x:c>
      <x:c r="I30" s="5" t="str">
        <x:v>Электроэнергетика</x:v>
      </x:c>
      <x:c r="J30" s="5" t="str">
        <x:v>Руководители, специалисты и производственный персонал; долю управленческих программ уточнить.</x:v>
      </x:c>
      <x:c r="K30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30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30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30" s="5" t="str">
        <x:v>Директор КУ/УЦ, руководитель обучения и развития, методический отдел, HR, закупки услуг.</x:v>
      </x:c>
      <x:c r="O30" s="5" t="str">
        <x:v>https://uk57.ru</x:v>
      </x:c>
      <x:c r="P30" s="5" t="str">
        <x:v>https://uk57.ru</x:v>
      </x:c>
      <x:c r="Q30" s="5" t="str">
        <x:v>Самостоятельный учебный центр указан в официальном корпоративном каталоге; сайт центра прочитан.</x:v>
      </x:c>
      <x:c r="R30" s="5" t="str">
        <x:v>content_read</x:v>
      </x:c>
      <x:c r="S30" s="12" t="n">
        <x:v>46296</x:v>
      </x:c>
      <x:c r="T30" s="5" t="str">
        <x:v>Технический профиль: управленческие и методические заказы проверять отдельно.  Не удалять при низком приоритете, дублях или ошибке доступа.</x:v>
      </x:c>
      <x:c r="U3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30" s="5" t="str">
        <x:v>"Россети Центр"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30" s="5" t="str">
        <x:v>Именованная структура с подтверждением; отбор по стране, очереди и типу. Это не оценка вероятности заказа.</x:v>
      </x:c>
      <x:c r="X30" s="5" t="str">
        <x:v>cu_ru_energy.json:25</x:v>
      </x:c>
    </x:row>
    <x:row r="31" ht="54" customHeight="1">
      <x:c r="A31" s="5" t="str">
        <x:v>CU-0026</x:v>
      </x:c>
      <x:c r="B31" s="5" t="str">
        <x:v>main_200</x:v>
      </x:c>
      <x:c r="C31" s="5" t="str">
        <x:v>Воронежский учебный центр «Энергетик»</x:v>
      </x:c>
      <x:c r="D31" s="5" t="str">
        <x:v>RU</x:v>
      </x:c>
      <x:c r="E31" s="5" t="str">
        <x:v>company_training_center</x:v>
      </x:c>
      <x:c r="F31" s="5" t="str">
        <x:v>Россети Центр</x:v>
      </x:c>
      <x:c r="G31" s="5" t="str">
        <x:v>Россети</x:v>
      </x:c>
      <x:c r="H31" s="5" t="str">
        <x:v>Воронеж</x:v>
      </x:c>
      <x:c r="I31" s="5" t="str">
        <x:v>Электроэнергетика</x:v>
      </x:c>
      <x:c r="J31" s="5" t="str">
        <x:v>Руководители, специалисты и производственный персонал; долю управленческих программ уточнить.</x:v>
      </x:c>
      <x:c r="K31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31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31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31" s="5" t="str">
        <x:v>Директор КУ/УЦ, руководитель обучения и развития, методический отдел, HR, закупки услуг.</x:v>
      </x:c>
      <x:c r="O31" s="5" t="str">
        <x:v>https://vuc-energetik.ru</x:v>
      </x:c>
      <x:c r="P31" s="5" t="str">
        <x:v>https://vuc-energetik.ru</x:v>
      </x:c>
      <x:c r="Q31" s="5" t="str">
        <x:v>Самостоятельный учебный центр указан в официальном корпоративном каталоге; сайт центра прочитан.</x:v>
      </x:c>
      <x:c r="R31" s="5" t="str">
        <x:v>content_read</x:v>
      </x:c>
      <x:c r="S31" s="12" t="n">
        <x:v>46296</x:v>
      </x:c>
      <x:c r="T31" s="5" t="str">
        <x:v>Технический профиль: управленческие и методические заказы проверять отдельно.  Не удалять при низком приоритете, дублях или ошибке доступа.</x:v>
      </x:c>
      <x:c r="U3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31" s="5" t="str">
        <x:v>"Россети Центр"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31" s="5" t="str">
        <x:v>Именованная структура с подтверждением; отбор по стране, очереди и типу. Это не оценка вероятности заказа.</x:v>
      </x:c>
      <x:c r="X31" s="5" t="str">
        <x:v>cu_ru_energy.json:26</x:v>
      </x:c>
    </x:row>
    <x:row r="32" ht="54" customHeight="1">
      <x:c r="A32" s="5" t="str">
        <x:v>CU-0027</x:v>
      </x:c>
      <x:c r="B32" s="5" t="str">
        <x:v>main_200</x:v>
      </x:c>
      <x:c r="C32" s="5" t="str">
        <x:v>Владимирский учебный центр «Энергетик»</x:v>
      </x:c>
      <x:c r="D32" s="5" t="str">
        <x:v>RU</x:v>
      </x:c>
      <x:c r="E32" s="5" t="str">
        <x:v>company_training_center</x:v>
      </x:c>
      <x:c r="F32" s="5" t="str">
        <x:v>Россети Центр и Приволжье</x:v>
      </x:c>
      <x:c r="G32" s="5" t="str">
        <x:v>Россети</x:v>
      </x:c>
      <x:c r="H32" s="5" t="str">
        <x:v>Владимир</x:v>
      </x:c>
      <x:c r="I32" s="5" t="str">
        <x:v>Электроэнергетика</x:v>
      </x:c>
      <x:c r="J32" s="5" t="str">
        <x:v>Руководители, специалисты и производственный персонал; долю управленческих программ уточнить.</x:v>
      </x:c>
      <x:c r="K32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32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32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32" s="5" t="str">
        <x:v>Директор КУ/УЦ, руководитель обучения и развития, методический отдел, HR, закупки услуг.</x:v>
      </x:c>
      <x:c r="O32" s="5" t="str">
        <x:v>http://energetik33.ru</x:v>
      </x:c>
      <x:c r="P32" s="5" t="str">
        <x:v>https://www.mrsk-1.ru/about/personnel/youth/uchebnye-tsentry/</x:v>
      </x:c>
      <x:c r="Q32" s="5" t="str">
        <x:v>Самостоятельный учебный центр указан в официальном корпоративном каталоге; ссылка официального каталога установлена, но прямое чтение центра завершилось ошибкой.</x:v>
      </x:c>
      <x:c r="R32" s="5" t="str">
        <x:v>content_read</x:v>
      </x:c>
      <x:c r="S32" s="12" t="n">
        <x:v>46296</x:v>
      </x:c>
      <x:c r="T32" s="5" t="str">
        <x:v>Технический профиль: управленческие и методические заказы проверять отдельно. Доступ к собственному сайту в проверке не получен; сохранять как отдельный канал. Не удалять при низком приоритете, дублях или ошибке доступа.</x:v>
      </x:c>
      <x:c r="U3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32" s="5" t="str">
        <x:v>"Россети Центр и Приволжье"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32" s="5" t="str">
        <x:v>Именованная структура с подтверждением; отбор по стране, очереди и типу. Это не оценка вероятности заказа.</x:v>
      </x:c>
      <x:c r="X32" s="5" t="str">
        <x:v>cu_ru_energy.json:27</x:v>
      </x:c>
    </x:row>
    <x:row r="33" ht="54" customHeight="1">
      <x:c r="A33" s="5" t="str">
        <x:v>CU-0028</x:v>
      </x:c>
      <x:c r="B33" s="5" t="str">
        <x:v>main_200</x:v>
      </x:c>
      <x:c r="C33" s="5" t="str">
        <x:v>Ивановский учебный центр «Энергетик»</x:v>
      </x:c>
      <x:c r="D33" s="5" t="str">
        <x:v>RU</x:v>
      </x:c>
      <x:c r="E33" s="5" t="str">
        <x:v>company_training_center</x:v>
      </x:c>
      <x:c r="F33" s="5" t="str">
        <x:v>Россети Центр и Приволжье</x:v>
      </x:c>
      <x:c r="G33" s="5" t="str">
        <x:v>Россети</x:v>
      </x:c>
      <x:c r="H33" s="5" t="str">
        <x:v>Иваново</x:v>
      </x:c>
      <x:c r="I33" s="5" t="str">
        <x:v>Электроэнергетика</x:v>
      </x:c>
      <x:c r="J33" s="5" t="str">
        <x:v>Руководители, специалисты и производственный персонал; долю управленческих программ уточнить.</x:v>
      </x:c>
      <x:c r="K33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33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33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33" s="5" t="str">
        <x:v>Директор КУ/УЦ, руководитель обучения и развития, методический отдел, HR, закупки услуг.</x:v>
      </x:c>
      <x:c r="O33" s="5" t="str">
        <x:v>https://ivenergetik37.ru</x:v>
      </x:c>
      <x:c r="P33" s="5" t="str">
        <x:v>https://ivenergetik37.ru</x:v>
      </x:c>
      <x:c r="Q33" s="5" t="str">
        <x:v>Самостоятельный учебный центр указан в официальном корпоративном каталоге; сайт центра прочитан.</x:v>
      </x:c>
      <x:c r="R33" s="5" t="str">
        <x:v>content_read</x:v>
      </x:c>
      <x:c r="S33" s="12" t="n">
        <x:v>46296</x:v>
      </x:c>
      <x:c r="T33" s="5" t="str">
        <x:v>Технический профиль: управленческие и методические заказы проверять отдельно.  Не удалять при низком приоритете, дублях или ошибке доступа.</x:v>
      </x:c>
      <x:c r="U3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33" s="5" t="str">
        <x:v>"Россети Центр и Приволжье"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33" s="5" t="str">
        <x:v>Именованная структура с подтверждением; отбор по стране, очереди и типу. Это не оценка вероятности заказа.</x:v>
      </x:c>
      <x:c r="X33" s="5" t="str">
        <x:v>cu_ru_energy.json:28</x:v>
      </x:c>
    </x:row>
    <x:row r="34" ht="54" customHeight="1">
      <x:c r="A34" s="5" t="str">
        <x:v>CU-0029</x:v>
      </x:c>
      <x:c r="B34" s="5" t="str">
        <x:v>main_200</x:v>
      </x:c>
      <x:c r="C34" s="5" t="str">
        <x:v>Ижевский учебный центр «Энергетик»</x:v>
      </x:c>
      <x:c r="D34" s="5" t="str">
        <x:v>RU</x:v>
      </x:c>
      <x:c r="E34" s="5" t="str">
        <x:v>company_training_center</x:v>
      </x:c>
      <x:c r="F34" s="5" t="str">
        <x:v>Россети Центр и Приволжье</x:v>
      </x:c>
      <x:c r="G34" s="5" t="str">
        <x:v>Россети</x:v>
      </x:c>
      <x:c r="H34" s="5" t="str">
        <x:v>Ижевск</x:v>
      </x:c>
      <x:c r="I34" s="5" t="str">
        <x:v>Электроэнергетика</x:v>
      </x:c>
      <x:c r="J34" s="5" t="str">
        <x:v>Руководители, специалисты и производственный персонал; долю управленческих программ уточнить.</x:v>
      </x:c>
      <x:c r="K34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34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34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34" s="5" t="str">
        <x:v>Директор КУ/УЦ, руководитель обучения и развития, методический отдел, HR, закупки услуг.</x:v>
      </x:c>
      <x:c r="O34" s="5" t="str">
        <x:v>https://www.ukenergetic.ru/</x:v>
      </x:c>
      <x:c r="P34" s="5" t="str">
        <x:v>https://www.ukenergetic.ru/</x:v>
      </x:c>
      <x:c r="Q34" s="5" t="str">
        <x:v>Самостоятельный учебный центр указан в официальном корпоративном каталоге; сайт центра прочитан.</x:v>
      </x:c>
      <x:c r="R34" s="5" t="str">
        <x:v>content_read</x:v>
      </x:c>
      <x:c r="S34" s="12" t="n">
        <x:v>46296</x:v>
      </x:c>
      <x:c r="T34" s="5" t="str">
        <x:v>Технический профиль: управленческие и методические заказы проверять отдельно.  Не удалять при низком приоритете, дублях или ошибке доступа.</x:v>
      </x:c>
      <x:c r="U3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34" s="5" t="str">
        <x:v>"Россети Центр и Приволжье"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34" s="5" t="str">
        <x:v>Именованная структура с подтверждением; отбор по стране, очереди и типу. Это не оценка вероятности заказа.</x:v>
      </x:c>
      <x:c r="X34" s="5" t="str">
        <x:v>cu_ru_energy.json:29</x:v>
      </x:c>
    </x:row>
    <x:row r="35" ht="54" customHeight="1">
      <x:c r="A35" s="5" t="str">
        <x:v>CU-0030</x:v>
      </x:c>
      <x:c r="B35" s="5" t="str">
        <x:v>main_200</x:v>
      </x:c>
      <x:c r="C35" s="5" t="str">
        <x:v>Калужский учебный центр «Энергетик»</x:v>
      </x:c>
      <x:c r="D35" s="5" t="str">
        <x:v>RU</x:v>
      </x:c>
      <x:c r="E35" s="5" t="str">
        <x:v>company_training_center</x:v>
      </x:c>
      <x:c r="F35" s="5" t="str">
        <x:v>Россети Центр и Приволжье</x:v>
      </x:c>
      <x:c r="G35" s="5" t="str">
        <x:v>Россети</x:v>
      </x:c>
      <x:c r="H35" s="5" t="str">
        <x:v>Калуга</x:v>
      </x:c>
      <x:c r="I35" s="5" t="str">
        <x:v>Электроэнергетика</x:v>
      </x:c>
      <x:c r="J35" s="5" t="str">
        <x:v>Руководители, специалисты и производственный персонал; долю управленческих программ уточнить.</x:v>
      </x:c>
      <x:c r="K35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35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35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35" s="5" t="str">
        <x:v>Директор КУ/УЦ, руководитель обучения и развития, методический отдел, HR, закупки услуг.</x:v>
      </x:c>
      <x:c r="O35" s="5" t="str">
        <x:v>https://energetik40.ru</x:v>
      </x:c>
      <x:c r="P35" s="5" t="str">
        <x:v>https://energetik40.ru</x:v>
      </x:c>
      <x:c r="Q35" s="5" t="str">
        <x:v>Самостоятельный учебный центр указан в официальном корпоративном каталоге; сайт центра прочитан.</x:v>
      </x:c>
      <x:c r="R35" s="5" t="str">
        <x:v>content_read</x:v>
      </x:c>
      <x:c r="S35" s="12" t="n">
        <x:v>46296</x:v>
      </x:c>
      <x:c r="T35" s="5" t="str">
        <x:v>Технический профиль: управленческие и методические заказы проверять отдельно.  Не удалять при низком приоритете, дублях или ошибке доступа.</x:v>
      </x:c>
      <x:c r="U3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35" s="5" t="str">
        <x:v>"Россети Центр и Приволжье"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35" s="5" t="str">
        <x:v>Именованная структура с подтверждением; отбор по стране, очереди и типу. Это не оценка вероятности заказа.</x:v>
      </x:c>
      <x:c r="X35" s="5" t="str">
        <x:v>cu_ru_energy.json:30</x:v>
      </x:c>
    </x:row>
    <x:row r="36" ht="54" customHeight="1">
      <x:c r="A36" s="5" t="str">
        <x:v>CU-0031</x:v>
      </x:c>
      <x:c r="B36" s="5" t="str">
        <x:v>main_200</x:v>
      </x:c>
      <x:c r="C36" s="5" t="str">
        <x:v>Кировский учебный центр «Энергетик»</x:v>
      </x:c>
      <x:c r="D36" s="5" t="str">
        <x:v>RU</x:v>
      </x:c>
      <x:c r="E36" s="5" t="str">
        <x:v>company_training_center</x:v>
      </x:c>
      <x:c r="F36" s="5" t="str">
        <x:v>Россети Центр и Приволжье</x:v>
      </x:c>
      <x:c r="G36" s="5" t="str">
        <x:v>Россети</x:v>
      </x:c>
      <x:c r="H36" s="5" t="str">
        <x:v>Киров</x:v>
      </x:c>
      <x:c r="I36" s="5" t="str">
        <x:v>Электроэнергетика</x:v>
      </x:c>
      <x:c r="J36" s="5" t="str">
        <x:v>Руководители, специалисты и производственный персонал; долю управленческих программ уточнить.</x:v>
      </x:c>
      <x:c r="K36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36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36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36" s="5" t="str">
        <x:v>Директор КУ/УЦ, руководитель обучения и развития, методический отдел, HR, закупки услуг.</x:v>
      </x:c>
      <x:c r="O36" s="5" t="str">
        <x:v>http://www.ucenergetik.ru</x:v>
      </x:c>
      <x:c r="P36" s="5" t="str">
        <x:v>https://www.mrsk-1.ru/about/personnel/youth/uchebnye-tsentry/</x:v>
      </x:c>
      <x:c r="Q36" s="5" t="str">
        <x:v>Самостоятельный учебный центр указан в официальном корпоративном каталоге; ссылка официального каталога установлена, но прямое чтение центра завершилось ошибкой.</x:v>
      </x:c>
      <x:c r="R36" s="5" t="str">
        <x:v>content_read</x:v>
      </x:c>
      <x:c r="S36" s="12" t="n">
        <x:v>46296</x:v>
      </x:c>
      <x:c r="T36" s="5" t="str">
        <x:v>Технический профиль: управленческие и методические заказы проверять отдельно. Доступ к собственному сайту в проверке не получен; сохранять как отдельный канал. Не удалять при низком приоритете, дублях или ошибке доступа.</x:v>
      </x:c>
      <x:c r="U3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36" s="5" t="str">
        <x:v>"Россети Центр и Приволжье"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36" s="5" t="str">
        <x:v>Именованная структура с подтверждением; отбор по стране, очереди и типу. Это не оценка вероятности заказа.</x:v>
      </x:c>
      <x:c r="X36" s="5" t="str">
        <x:v>cu_ru_energy.json:31</x:v>
      </x:c>
    </x:row>
    <x:row r="37" ht="54" customHeight="1">
      <x:c r="A37" s="5" t="str">
        <x:v>CU-0032</x:v>
      </x:c>
      <x:c r="B37" s="5" t="str">
        <x:v>main_200</x:v>
      </x:c>
      <x:c r="C37" s="5" t="str">
        <x:v>Тульский учебный центр «Энергетик»</x:v>
      </x:c>
      <x:c r="D37" s="5" t="str">
        <x:v>RU</x:v>
      </x:c>
      <x:c r="E37" s="5" t="str">
        <x:v>company_training_center</x:v>
      </x:c>
      <x:c r="F37" s="5" t="str">
        <x:v>Россети Центр и Приволжье</x:v>
      </x:c>
      <x:c r="G37" s="5" t="str">
        <x:v>Россети</x:v>
      </x:c>
      <x:c r="H37" s="5" t="str">
        <x:v>Тула</x:v>
      </x:c>
      <x:c r="I37" s="5" t="str">
        <x:v>Электроэнергетика</x:v>
      </x:c>
      <x:c r="J37" s="5" t="str">
        <x:v>Руководители, специалисты и производственный персонал; долю управленческих программ уточнить.</x:v>
      </x:c>
      <x:c r="K37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37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37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37" s="5" t="str">
        <x:v>Директор КУ/УЦ, руководитель обучения и развития, методический отдел, HR, закупки услуг.</x:v>
      </x:c>
      <x:c r="O37" s="5" t="str">
        <x:v>http://www.ukktulenergo.ru</x:v>
      </x:c>
      <x:c r="P37" s="5" t="str">
        <x:v>https://www.mrsk-1.ru/about/personnel/youth/uchebnye-tsentry/</x:v>
      </x:c>
      <x:c r="Q37" s="5" t="str">
        <x:v>Самостоятельный учебный центр указан в официальном корпоративном каталоге; ссылка официального каталога установлена, но прямое чтение центра завершилось ошибкой.</x:v>
      </x:c>
      <x:c r="R37" s="5" t="str">
        <x:v>content_read</x:v>
      </x:c>
      <x:c r="S37" s="12" t="n">
        <x:v>46296</x:v>
      </x:c>
      <x:c r="T37" s="5" t="str">
        <x:v>Технический профиль: управленческие и методические заказы проверять отдельно. Доступ к собственному сайту в проверке не получен; сохранять как отдельный канал. Не удалять при низком приоритете, дублях или ошибке доступа.</x:v>
      </x:c>
      <x:c r="U3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37" s="5" t="str">
        <x:v>"Россети Центр и Приволжье"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37" s="5" t="str">
        <x:v>Именованная структура с подтверждением; отбор по стране, очереди и типу. Это не оценка вероятности заказа.</x:v>
      </x:c>
      <x:c r="X37" s="5" t="str">
        <x:v>cu_ru_energy.json:32</x:v>
      </x:c>
    </x:row>
    <x:row r="38" ht="54" customHeight="1">
      <x:c r="A38" s="5" t="str">
        <x:v>CU-0033</x:v>
      </x:c>
      <x:c r="B38" s="5" t="str">
        <x:v>main_200</x:v>
      </x:c>
      <x:c r="C38" s="5" t="str">
        <x:v>Нижегородский учебный центр «Энергетик»</x:v>
      </x:c>
      <x:c r="D38" s="5" t="str">
        <x:v>RU</x:v>
      </x:c>
      <x:c r="E38" s="5" t="str">
        <x:v>company_training_center</x:v>
      </x:c>
      <x:c r="F38" s="5" t="str">
        <x:v>Россети Центр и Приволжье</x:v>
      </x:c>
      <x:c r="G38" s="5" t="str">
        <x:v>Россети</x:v>
      </x:c>
      <x:c r="H38" s="5" t="str">
        <x:v>Нижний Новгород</x:v>
      </x:c>
      <x:c r="I38" s="5" t="str">
        <x:v>Электроэнергетика</x:v>
      </x:c>
      <x:c r="J38" s="5" t="str">
        <x:v>Руководители, специалисты и производственный персонал; долю управленческих программ уточнить.</x:v>
      </x:c>
      <x:c r="K38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38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38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38" s="5" t="str">
        <x:v>Директор КУ/УЦ, руководитель обучения и развития, методический отдел, HR, закупки услуг.</x:v>
      </x:c>
      <x:c r="O38" s="5" t="str">
        <x:v>https://energetik-nn.ru/</x:v>
      </x:c>
      <x:c r="P38" s="5" t="str">
        <x:v>https://energetik-nn.ru/</x:v>
      </x:c>
      <x:c r="Q38" s="5" t="str">
        <x:v>Самостоятельный учебный центр указан в официальном корпоративном каталоге; сайт центра прочитан.</x:v>
      </x:c>
      <x:c r="R38" s="5" t="str">
        <x:v>content_read</x:v>
      </x:c>
      <x:c r="S38" s="12" t="n">
        <x:v>46296</x:v>
      </x:c>
      <x:c r="T38" s="5" t="str">
        <x:v>Технический профиль: управленческие и методические заказы проверять отдельно.  Не удалять при низком приоритете, дублях или ошибке доступа.</x:v>
      </x:c>
      <x:c r="U3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38" s="5" t="str">
        <x:v>"Россети Центр и Приволжье"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38" s="5" t="str">
        <x:v>Именованная структура с подтверждением; отбор по стране, очереди и типу. Это не оценка вероятности заказа.</x:v>
      </x:c>
      <x:c r="X38" s="5" t="str">
        <x:v>cu_ru_energy.json:33</x:v>
      </x:c>
    </x:row>
    <x:row r="39" ht="54" customHeight="1">
      <x:c r="A39" s="5" t="str">
        <x:v>CU-0034</x:v>
      </x:c>
      <x:c r="B39" s="5" t="str">
        <x:v>main_200</x:v>
      </x:c>
      <x:c r="C39" s="5" t="str">
        <x:v>Учебный центр «Россети Урал»</x:v>
      </x:c>
      <x:c r="D39" s="5" t="str">
        <x:v>RU</x:v>
      </x:c>
      <x:c r="E39" s="5" t="str">
        <x:v>company_training_center</x:v>
      </x:c>
      <x:c r="F39" s="5" t="str">
        <x:v>ПАО «Россети Урал»</x:v>
      </x:c>
      <x:c r="G39" s="5" t="str">
        <x:v>Россети</x:v>
      </x:c>
      <x:c r="H39" s="5" t="str">
        <x:v>Екатеринбург</x:v>
      </x:c>
      <x:c r="I39" s="5" t="str">
        <x:v>Электроэнергетика</x:v>
      </x:c>
      <x:c r="J39" s="5" t="str">
        <x:v>Руководители, специалисты и производственный персонал; долю управленческих программ уточнить.</x:v>
      </x:c>
      <x:c r="K39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39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39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39" s="5" t="str">
        <x:v>Директор КУ/УЦ, руководитель обучения и развития, методический отдел, HR, закупки услуг.</x:v>
      </x:c>
      <x:c r="O39" s="5" t="str">
        <x:v>https://uc-rosseti-ural.ru/about/</x:v>
      </x:c>
      <x:c r="P39" s="5" t="str">
        <x:v>https://uc-rosseti-ural.ru/about/</x:v>
      </x:c>
      <x:c r="Q39" s="5" t="str">
        <x:v>Официальный сайт центра подтверждает обучение руководителей, специалистов и работников энергетических предприятий.</x:v>
      </x:c>
      <x:c r="R39" s="5" t="str">
        <x:v>search_index</x:v>
      </x:c>
      <x:c r="S39" s="12" t="n">
        <x:v>46296</x:v>
      </x:c>
      <x:c r="T39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3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39" s="5" t="str">
        <x:v>"ПАО «Россети Урал»"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39" s="5" t="str">
        <x:v>Именованная структура с подтверждением; отбор по стране, очереди и типу. Это не оценка вероятности заказа.</x:v>
      </x:c>
      <x:c r="X39" s="5" t="str">
        <x:v>cu_ru_energy.json:34</x:v>
      </x:c>
    </x:row>
    <x:row r="40" ht="54" customHeight="1">
      <x:c r="A40" s="5" t="str">
        <x:v>CU-0035</x:v>
      </x:c>
      <x:c r="B40" s="5" t="str">
        <x:v>main_200</x:v>
      </x:c>
      <x:c r="C40" s="5" t="str">
        <x:v>Учебный центр ПАО «Россети Московский регион»</x:v>
      </x:c>
      <x:c r="D40" s="5" t="str">
        <x:v>RU</x:v>
      </x:c>
      <x:c r="E40" s="5" t="str">
        <x:v>company_training_center</x:v>
      </x:c>
      <x:c r="F40" s="5" t="str">
        <x:v>ПАО «Россети Московский регион»</x:v>
      </x:c>
      <x:c r="G40" s="5" t="str">
        <x:v>Россети</x:v>
      </x:c>
      <x:c r="H40" s="5" t="str">
        <x:v>Москва</x:v>
      </x:c>
      <x:c r="I40" s="5" t="str">
        <x:v>Электроэнергетика</x:v>
      </x:c>
      <x:c r="J40" s="5" t="str">
        <x:v>Руководители, специалисты и производственный персонал; долю управленческих программ уточнить.</x:v>
      </x:c>
      <x:c r="K40" s="5" t="str">
        <x:v>Высокое: внешнее обучение, управленческие компетенции, развитие персонала, подготовка электронных материалов.</x:v>
      </x:c>
      <x:c r="L40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40" s="5" t="str">
        <x:v>Управление внешнего обучения УЦ → руководитель темы и бюджетодержатель → закупочная процедура общества.</x:v>
      </x:c>
      <x:c r="N40" s="5" t="str">
        <x:v>Директор КУ/УЦ, руководитель обучения и развития, методический отдел, HR, закупки услуг.</x:v>
      </x:c>
      <x:c r="O40" s="5" t="str">
        <x:v>https://rossetimr.ru/client/services/training-center/</x:v>
      </x:c>
      <x:c r="P40" s="5" t="str">
        <x:v>https://rossetimr.ru/client/services/training-center/</x:v>
      </x:c>
      <x:c r="Q40" s="5" t="str">
        <x:v>Официальная страница подтверждает лицензированный УЦ; контакты выделяют управление внешнего обучения.</x:v>
      </x:c>
      <x:c r="R40" s="5" t="str">
        <x:v>search_index</x:v>
      </x:c>
      <x:c r="S40" s="12" t="n">
        <x:v>46296</x:v>
      </x:c>
      <x:c r="T40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4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40" s="5" t="str">
        <x:v>"ПАО «Россети Московский регион»"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40" s="5" t="str">
        <x:v>Именованная структура с подтверждением; отбор по стране, очереди и типу. Это не оценка вероятности заказа.</x:v>
      </x:c>
      <x:c r="X40" s="5" t="str">
        <x:v>cu_ru_energy.json:35</x:v>
      </x:c>
    </x:row>
    <x:row r="41" ht="54" customHeight="1">
      <x:c r="A41" s="5" t="str">
        <x:v>CU-0036</x:v>
      </x:c>
      <x:c r="B41" s="5" t="str">
        <x:v>main_200</x:v>
      </x:c>
      <x:c r="C41" s="5" t="str">
        <x:v>Учебный комплекс «Россети Ленэнерго»</x:v>
      </x:c>
      <x:c r="D41" s="5" t="str">
        <x:v>RU</x:v>
      </x:c>
      <x:c r="E41" s="5" t="str">
        <x:v>company_training_center</x:v>
      </x:c>
      <x:c r="F41" s="5" t="str">
        <x:v>ПАО «Россети Ленэнерго»</x:v>
      </x:c>
      <x:c r="G41" s="5" t="str">
        <x:v>Россети</x:v>
      </x:c>
      <x:c r="H41" s="5" t="str">
        <x:v>Не установлено</x:v>
      </x:c>
      <x:c r="I41" s="5" t="str">
        <x:v>Электроэнергетика</x:v>
      </x:c>
      <x:c r="J41" s="5" t="str">
        <x:v>Руководители, специалисты и производственный персонал; долю управленческих программ уточнить.</x:v>
      </x:c>
      <x:c r="K41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41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41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41" s="5" t="str">
        <x:v>Директор КУ/УЦ, руководитель обучения и развития, методический отдел, HR, закупки услуг.</x:v>
      </x:c>
      <x:c r="O41" s="5" t="str">
        <x:v>https://rosseti-lenenergo.ru/educational/svedenia/mattehpoddrzka/</x:v>
      </x:c>
      <x:c r="P41" s="5" t="str">
        <x:v>https://rosseti-lenenergo.ru/educational/svedenia/mattehpoddrzka/</x:v>
      </x:c>
      <x:c r="Q41" s="5" t="str">
        <x:v>Официальная страница подтверждает Учебный комплекс; новость 2026 года сообщает о проведённом обучении.</x:v>
      </x:c>
      <x:c r="R41" s="5" t="str">
        <x:v>search_index</x:v>
      </x:c>
      <x:c r="S41" s="12" t="n">
        <x:v>46296</x:v>
      </x:c>
      <x:c r="T41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4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41" s="5" t="str">
        <x:v>"ПАО «Россети Ленэнерго»"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41" s="5" t="str">
        <x:v>Именованная структура с подтверждением; отбор по стране, очереди и типу. Это не оценка вероятности заказа.</x:v>
      </x:c>
      <x:c r="X41" s="5" t="str">
        <x:v>cu_ru_energy.json:36</x:v>
      </x:c>
    </x:row>
    <x:row r="42" ht="54" customHeight="1">
      <x:c r="A42" s="5" t="str">
        <x:v>CU-0037</x:v>
      </x:c>
      <x:c r="B42" s="5" t="str">
        <x:v>main_200</x:v>
      </x:c>
      <x:c r="C42" s="5" t="str">
        <x:v>Новокуйбышевский учебный центр</x:v>
      </x:c>
      <x:c r="D42" s="5" t="str">
        <x:v>RU</x:v>
      </x:c>
      <x:c r="E42" s="5" t="str">
        <x:v>company_training_center</x:v>
      </x:c>
      <x:c r="F42" s="5" t="str">
        <x:v>АО «Транснефть — Приволга»</x:v>
      </x:c>
      <x:c r="G42" s="5" t="str">
        <x:v>Транснефть</x:v>
      </x:c>
      <x:c r="H42" s="5" t="str">
        <x:v>Новокуйбышевск</x:v>
      </x:c>
      <x:c r="I42" s="5" t="str">
        <x:v>Трубопроводный транспорт</x:v>
      </x:c>
      <x:c r="J42" s="5" t="str">
        <x:v>Руководители, специалисты и производственный персонал; долю управленческих программ уточнить.</x:v>
      </x:c>
      <x:c r="K42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42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42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42" s="5" t="str">
        <x:v>Директор КУ/УЦ, руководитель обучения и развития, методический отдел, HR, закупки услуг.</x:v>
      </x:c>
      <x:c r="O42" s="5" t="str">
        <x:v>https://chpounuc.ru/</x:v>
      </x:c>
      <x:c r="P42" s="5" t="str">
        <x:v>https://chpounuc.ru/</x:v>
      </x:c>
      <x:c r="Q42" s="5" t="str">
        <x:v>Собственный сайт и официальный каталог системы Транснефти подтверждают отдельный образовательный центр.</x:v>
      </x:c>
      <x:c r="R42" s="5" t="str">
        <x:v>search_index</x:v>
      </x:c>
      <x:c r="S42" s="12" t="n">
        <x:v>46296</x:v>
      </x:c>
      <x:c r="T42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4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42" s="5" t="str">
        <x:v>"АО «Транснефть — Приволга»"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42" s="5" t="str">
        <x:v>Именованная структура с подтверждением; отбор по стране, очереди и типу. Это не оценка вероятности заказа.</x:v>
      </x:c>
      <x:c r="X42" s="5" t="str">
        <x:v>cu_ru_energy.json:37</x:v>
      </x:c>
    </x:row>
    <x:row r="43" ht="54" customHeight="1">
      <x:c r="A43" s="5" t="str">
        <x:v>CU-0038</x:v>
      </x:c>
      <x:c r="B43" s="5" t="str">
        <x:v>main_200</x:v>
      </x:c>
      <x:c r="C43" s="5" t="str">
        <x:v>Региональный учебный центр АО «Транснефть — Север»</x:v>
      </x:c>
      <x:c r="D43" s="5" t="str">
        <x:v>RU</x:v>
      </x:c>
      <x:c r="E43" s="5" t="str">
        <x:v>company_training_center</x:v>
      </x:c>
      <x:c r="F43" s="5" t="str">
        <x:v>АО «Транснефть — Север»</x:v>
      </x:c>
      <x:c r="G43" s="5" t="str">
        <x:v>Транснефть</x:v>
      </x:c>
      <x:c r="H43" s="5" t="str">
        <x:v>Ухта</x:v>
      </x:c>
      <x:c r="I43" s="5" t="str">
        <x:v>Трубопроводный транспорт</x:v>
      </x:c>
      <x:c r="J43" s="5" t="str">
        <x:v>Руководители, специалисты и производственный персонал; долю управленческих программ уточнить.</x:v>
      </x:c>
      <x:c r="K43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43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43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43" s="5" t="str">
        <x:v>Директор КУ/УЦ, руководитель обучения и развития, методический отдел, HR, закупки услуг.</x:v>
      </x:c>
      <x:c r="O43" s="5" t="str">
        <x:v>https://north.transneft.ru/personnel-management/training-system/regionalnyy-uchebnyy-tsentr/</x:v>
      </x:c>
      <x:c r="P43" s="5" t="str">
        <x:v>https://ptport.ru/personnel-management/training-system/corp-educational-organizations/</x:v>
      </x:c>
      <x:c r="Q43" s="5" t="str">
        <x:v>Прочитан официальный каталог Транснефти: отдельный РУЦ в Ухте; целевая страница сообщает об обновлении сайта.</x:v>
      </x:c>
      <x:c r="R43" s="5" t="str">
        <x:v>content_read</x:v>
      </x:c>
      <x:c r="S43" s="12" t="n">
        <x:v>46296</x:v>
      </x:c>
      <x:c r="T43" s="5" t="str">
        <x:v>В ходе чтения целевой сайт показал сообщение об обновлении; доступный контент и действующий URL нужно перепроверить. Не удалять при низком приоритете, дублях или ошибке доступа.</x:v>
      </x:c>
      <x:c r="U4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43" s="5" t="str">
        <x:v>"АО «Транснефть — Север»"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43" s="5" t="str">
        <x:v>Именованная структура с подтверждением; отбор по стране, очереди и типу. Это не оценка вероятности заказа.</x:v>
      </x:c>
      <x:c r="X43" s="5" t="str">
        <x:v>cu_ru_energy.json:38</x:v>
      </x:c>
    </x:row>
    <x:row r="44" ht="54" customHeight="1">
      <x:c r="A44" s="5" t="str">
        <x:v>CU-0039</x:v>
      </x:c>
      <x:c r="B44" s="5" t="str">
        <x:v>reserve</x:v>
      </x:c>
      <x:c r="C44" s="5" t="str">
        <x:v>Учебный центр ЛАРН АО «Транснефть — Подводсервис»</x:v>
      </x:c>
      <x:c r="D44" s="5" t="str">
        <x:v>RU</x:v>
      </x:c>
      <x:c r="E44" s="5" t="str">
        <x:v>company_training_center</x:v>
      </x:c>
      <x:c r="F44" s="5" t="str">
        <x:v>АО «Транснефть — Подводсервис»</x:v>
      </x:c>
      <x:c r="G44" s="5" t="str">
        <x:v>Транснефть</x:v>
      </x:c>
      <x:c r="H44" s="5" t="str">
        <x:v>Нижний Новгород</x:v>
      </x:c>
      <x:c r="I44" s="5" t="str">
        <x:v>Трубопроводный транспорт</x:v>
      </x:c>
      <x:c r="J44" s="5" t="str">
        <x:v>Руководители, специалисты и производственный персонал; долю управленческих программ уточнить.</x:v>
      </x:c>
      <x:c r="K44" s="5" t="str">
        <x:v>Условное: подготовка преподавателей, методическое сопровождение и цифровой контент; подготовка спасателей/ЛАРН не является основным предложением МИСБ.</x:v>
      </x:c>
      <x:c r="L44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44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44" s="5" t="str">
        <x:v>Директор КУ/УЦ, руководитель обучения и развития, методический отдел, HR, закупки услуг.</x:v>
      </x:c>
      <x:c r="O44" s="5" t="str">
        <x:v>https://tps.transneft.ru/customers/center/</x:v>
      </x:c>
      <x:c r="P44" s="5" t="str">
        <x:v>https://ptport.ru/personnel-management/training-system/corp-educational-organizations/</x:v>
      </x:c>
      <x:c r="Q44" s="5" t="str">
        <x:v>Прочитан официальный корпоративный каталог: центр ЛАРН назван отдельной образовательной структурой в Нижнем Новгороде.</x:v>
      </x:c>
      <x:c r="R44" s="5" t="str">
        <x:v>content_read</x:v>
      </x:c>
      <x:c r="S44" s="12" t="n">
        <x:v>46296</x:v>
      </x:c>
      <x:c r="T44" s="5" t="str">
        <x:v>Прямой запрос целевой страницы вернул 502; сохранить официальный адрес и задачу повторной проверки. Не удалять при низком приоритете, дублях или ошибке доступа.</x:v>
      </x:c>
      <x:c r="U4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44" s="5" t="str">
        <x:v>"АО «Транснефть — Подводсервис»"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44" s="5" t="str">
        <x:v>Дополнительная подтвержденная структура сверх основной выборки; продолжать мониторинг.</x:v>
      </x:c>
      <x:c r="X44" s="5" t="str">
        <x:v>cu_ru_energy.json:39</x:v>
      </x:c>
    </x:row>
    <x:row r="45" ht="54" customHeight="1">
      <x:c r="A45" s="5" t="str">
        <x:v>CU-0040</x:v>
      </x:c>
      <x:c r="B45" s="5" t="str">
        <x:v>main_200</x:v>
      </x:c>
      <x:c r="C45" s="5" t="str">
        <x:v>Учебный центр ПАО «Мосэнерго»</x:v>
      </x:c>
      <x:c r="D45" s="5" t="str">
        <x:v>RU</x:v>
      </x:c>
      <x:c r="E45" s="5" t="str">
        <x:v>company_training_center</x:v>
      </x:c>
      <x:c r="F45" s="5" t="str">
        <x:v>ПАО «Мосэнерго»</x:v>
      </x:c>
      <x:c r="G45" s="5" t="str">
        <x:v>Газпром</x:v>
      </x:c>
      <x:c r="H45" s="5" t="str">
        <x:v>Москва</x:v>
      </x:c>
      <x:c r="I45" s="5" t="str">
        <x:v>Электроэнергетика</x:v>
      </x:c>
      <x:c r="J45" s="5" t="str">
        <x:v>Руководители, специалисты и производственный персонал; долю управленческих программ уточнить.</x:v>
      </x:c>
      <x:c r="K45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45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45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45" s="5" t="str">
        <x:v>Директор КУ/УЦ, руководитель обучения и развития, методический отдел, HR, закупки услуг.</x:v>
      </x:c>
      <x:c r="O45" s="5" t="str">
        <x:v>https://www.mosenergo.ru/career/training-center/info/</x:v>
      </x:c>
      <x:c r="P45" s="5" t="str">
        <x:v>https://www.mosenergo.ru/career/training-center/info/</x:v>
      </x:c>
      <x:c r="Q45" s="5" t="str">
        <x:v>Официальные сведения подтверждают собственный УЦ Мосэнерго и роль отраслевого центра Газпром энергохолдинга.</x:v>
      </x:c>
      <x:c r="R45" s="5" t="str">
        <x:v>search_index</x:v>
      </x:c>
      <x:c r="S45" s="12" t="n">
        <x:v>46296</x:v>
      </x:c>
      <x:c r="T45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4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45" s="5" t="str">
        <x:v>"ПАО «Мосэнерго»"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45" s="5" t="str">
        <x:v>Именованная структура с подтверждением; отбор по стране, очереди и типу. Это не оценка вероятности заказа.</x:v>
      </x:c>
      <x:c r="X45" s="5" t="str">
        <x:v>cu_ru_energy.json:40</x:v>
      </x:c>
    </x:row>
    <x:row r="46" ht="54" customHeight="1">
      <x:c r="A46" s="5" t="str">
        <x:v>CU-0041</x:v>
      </x:c>
      <x:c r="B46" s="5" t="str">
        <x:v>main_200</x:v>
      </x:c>
      <x:c r="C46" s="5" t="str">
        <x:v>Корпоративный университет «Норникель»</x:v>
      </x:c>
      <x:c r="D46" s="5" t="str">
        <x:v>RU</x:v>
      </x:c>
      <x:c r="E46" s="5" t="str">
        <x:v>corporate_university</x:v>
      </x:c>
      <x:c r="F46" s="5" t="str">
        <x:v>ПАО «ГМК «Норильский никель»</x:v>
      </x:c>
      <x:c r="G46" s="5" t="str">
        <x:v>Норникель</x:v>
      </x:c>
      <x:c r="H46" s="5" t="str">
        <x:v>Норильск</x:v>
      </x:c>
      <x:c r="I46" s="5" t="str">
        <x:v>Металлургия и добыча</x:v>
      </x:c>
      <x:c r="J46" s="5" t="str">
        <x:v>Руководители, специалисты и сотрудники группы; конкретные аудитории уточнить по программам</x:v>
      </x:c>
      <x:c r="K46" s="5" t="str">
        <x:v>управление; кадровый резерв; HR; наставничество; цифровые навыки; электронные курсы</x:v>
      </x:c>
      <x:c r="L46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46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46" s="5" t="str">
        <x:v>Руководитель КУ/учебного центра; HRD; руководитель обучения и развития; методолог; закупщик образовательных услуг</x:v>
      </x:c>
      <x:c r="O46" s="5" t="str">
        <x:v>https://university.nornik.ru/</x:v>
      </x:c>
      <x:c r="P46" s="5" t="str">
        <x:v>https://university.nornik.ru/</x:v>
      </x:c>
      <x:c r="Q46" s="5" t="str">
        <x:v>В поисковом индексе официального сайта КУ назван звеном непрерывного образования компании.</x:v>
      </x:c>
      <x:c r="R46" s="5" t="str">
        <x:v>search_index</x:v>
      </x:c>
      <x:c r="S46" s="12" t="n">
        <x:v>46296</x:v>
      </x:c>
      <x:c r="T46" s="5" t="str">
        <x:v>Главная страница при открытии дала тайм-аут; это ограничение доступа, а не отсутствие КУ.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46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46" s="5" t="str">
        <x:v>управление; кадровый резерв; HR; наставничество; цифровые навыки; электронные курсы; ПАО «ГМК «Норильский никель»; обучение; запрос предложений; внешний тренер; методолог; электронный курс</x:v>
      </x:c>
      <x:c r="W46" s="5" t="str">
        <x:v>Именованная структура с подтверждением; отбор по стране, очереди и типу. Это не оценка вероятности заказа.</x:v>
      </x:c>
      <x:c r="X46" s="5" t="str">
        <x:v>cu_ru_industry.json:1</x:v>
      </x:c>
    </x:row>
    <x:row r="47" ht="54" customHeight="1">
      <x:c r="A47" s="5" t="str">
        <x:v>CU-0042</x:v>
      </x:c>
      <x:c r="B47" s="5" t="str">
        <x:v>main_200</x:v>
      </x:c>
      <x:c r="C47" s="5" t="str">
        <x:v>Корпоративный университет РУСАЛа</x:v>
      </x:c>
      <x:c r="D47" s="5" t="str">
        <x:v>RU</x:v>
      </x:c>
      <x:c r="E47" s="5" t="str">
        <x:v>corporate_university</x:v>
      </x:c>
      <x:c r="F47" s="5" t="str">
        <x:v>ОК РУСАЛ</x:v>
      </x:c>
      <x:c r="G47" s="5" t="str">
        <x:v>РУСАЛ</x:v>
      </x:c>
      <x:c r="H47" s="5" t="str">
        <x:v>Не установлено</x:v>
      </x:c>
      <x:c r="I47" s="5" t="str">
        <x:v>Алюминиевая промышленность</x:v>
      </x:c>
      <x:c r="J47" s="5" t="str">
        <x:v>Руководители, специалисты и сотрудники группы; конкретные аудитории уточнить по программам</x:v>
      </x:c>
      <x:c r="K47" s="5" t="str">
        <x:v>управленческие навыки; кадровый резерв; наставничество; межфункциональное обучение; цифровой контент</x:v>
      </x:c>
      <x:c r="L47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47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47" s="5" t="str">
        <x:v>Руководитель КУ/учебного центра; HRD; руководитель обучения и развития; методолог; закупщик образовательных услуг</x:v>
      </x:c>
      <x:c r="O47" s="5" t="str">
        <x:v>https://rusal.ru/career/working/</x:v>
      </x:c>
      <x:c r="P47" s="5" t="str">
        <x:v>https://rusal.ru/career/working/</x:v>
      </x:c>
      <x:c r="Q47" s="5" t="str">
        <x:v>Официальная страница описывает КУ и развитие управленческих и квалификационных компетенций сотрудников.</x:v>
      </x:c>
      <x:c r="R47" s="5" t="str">
        <x:v>content_read</x:v>
      </x:c>
      <x:c r="S47" s="12" t="n">
        <x:v>46296</x:v>
      </x:c>
      <x:c r="T47" s="5" t="str">
        <x:v>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47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47" s="5" t="str">
        <x:v>управленческие навыки; кадровый резерв; наставничество; межфункциональное обучение; цифровой контент; ОК РУСАЛ; обучение; запрос предложений; внешний тренер; методолог; электронный курс</x:v>
      </x:c>
      <x:c r="W47" s="5" t="str">
        <x:v>Именованная структура с подтверждением; отбор по стране, очереди и типу. Это не оценка вероятности заказа.</x:v>
      </x:c>
      <x:c r="X47" s="5" t="str">
        <x:v>cu_ru_industry.json:2</x:v>
      </x:c>
    </x:row>
    <x:row r="48" ht="54" customHeight="1">
      <x:c r="A48" s="5" t="str">
        <x:v>CU-0043</x:v>
      </x:c>
      <x:c r="B48" s="5" t="str">
        <x:v>main_200</x:v>
      </x:c>
      <x:c r="C48" s="5" t="str">
        <x:v>Университет НЛМК</x:v>
      </x:c>
      <x:c r="D48" s="5" t="str">
        <x:v>RU</x:v>
      </x:c>
      <x:c r="E48" s="5" t="str">
        <x:v>corporate_university</x:v>
      </x:c>
      <x:c r="F48" s="5" t="str">
        <x:v>ПАО «НЛМК»</x:v>
      </x:c>
      <x:c r="G48" s="5" t="str">
        <x:v>Группа НЛМК</x:v>
      </x:c>
      <x:c r="H48" s="5" t="str">
        <x:v>Липецк</x:v>
      </x:c>
      <x:c r="I48" s="5" t="str">
        <x:v>Металлургия</x:v>
      </x:c>
      <x:c r="J48" s="5" t="str">
        <x:v>Руководители, специалисты и сотрудники группы; конкретные аудитории уточнить по программам</x:v>
      </x:c>
      <x:c r="K48" s="5" t="str">
        <x:v>лидерство; системное мышление; анализ данных; управление изменениями; подготовка внутренних тренеров</x:v>
      </x:c>
      <x:c r="L48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48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48" s="5" t="str">
        <x:v>Руководитель КУ/учебного центра; HRD; руководитель обучения и развития; методолог; закупщик образовательных услуг</x:v>
      </x:c>
      <x:c r="O48" s="5" t="str">
        <x:v>https://university.nlmk.com/university/</x:v>
      </x:c>
      <x:c r="P48" s="5" t="str">
        <x:v>https://university.nlmk.com/university/</x:v>
      </x:c>
      <x:c r="Q48" s="5" t="str">
        <x:v>Официальный сайт подтверждает единую систему управленческого и профессионального обучения группы.</x:v>
      </x:c>
      <x:c r="R48" s="5" t="str">
        <x:v>content_read</x:v>
      </x:c>
      <x:c r="S48" s="12" t="n">
        <x:v>46296</x:v>
      </x:c>
      <x:c r="T48" s="5" t="str">
        <x:v>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4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48" s="5" t="str">
        <x:v>лидерство; системное мышление; анализ данных; управление изменениями; подготовка внутренних тренеров; ПАО «НЛМК»; обучение; запрос предложений; внешний тренер; методолог; электронный курс</x:v>
      </x:c>
      <x:c r="W48" s="5" t="str">
        <x:v>Именованная структура с подтверждением; отбор по стране, очереди и типу. Это не оценка вероятности заказа.</x:v>
      </x:c>
      <x:c r="X48" s="5" t="str">
        <x:v>cu_ru_industry.json:3</x:v>
      </x:c>
    </x:row>
    <x:row r="49" ht="54" customHeight="1">
      <x:c r="A49" s="5" t="str">
        <x:v>CU-0044</x:v>
      </x:c>
      <x:c r="B49" s="5" t="str">
        <x:v>main_200</x:v>
      </x:c>
      <x:c r="C49" s="5" t="str">
        <x:v>Корпоративный университет ОМК</x:v>
      </x:c>
      <x:c r="D49" s="5" t="str">
        <x:v>RU</x:v>
      </x:c>
      <x:c r="E49" s="5" t="str">
        <x:v>corporate_university</x:v>
      </x:c>
      <x:c r="F49" s="5" t="str">
        <x:v>АО «Объединённая металлургическая компания»</x:v>
      </x:c>
      <x:c r="G49" s="5" t="str">
        <x:v>ОМК</x:v>
      </x:c>
      <x:c r="H49" s="5" t="str">
        <x:v>Выкса</x:v>
      </x:c>
      <x:c r="I49" s="5" t="str">
        <x:v>Металлургия</x:v>
      </x:c>
      <x:c r="J49" s="5" t="str">
        <x:v>Руководители, специалисты и сотрудники группы; конкретные аудитории уточнить по программам</x:v>
      </x:c>
      <x:c r="K49" s="5" t="str">
        <x:v>управление; кадровый резерв; корпоративные компетенции; наставничество; электронные курсы</x:v>
      </x:c>
      <x:c r="L49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49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49" s="5" t="str">
        <x:v>Руководитель КУ/учебного центра; HRD; руководитель обучения и развития; методолог; закупщик образовательных услуг</x:v>
      </x:c>
      <x:c r="O49" s="5" t="str">
        <x:v>https://omk.ru/press/news/92090/</x:v>
      </x:c>
      <x:c r="P49" s="5" t="str">
        <x:v>https://omk.ru/press/news/92090/</x:v>
      </x:c>
      <x:c r="Q49" s="5" t="str">
        <x:v>Официальная новость связывает программы развития сотрудников с корпоративным университетом ОМК.</x:v>
      </x:c>
      <x:c r="R49" s="5" t="str">
        <x:v>search_index</x:v>
      </x:c>
      <x:c r="S49" s="12" t="n">
        <x:v>46296</x:v>
      </x:c>
      <x:c r="T49" s="5" t="str">
        <x:v>Открытие страницы в этой проверке завершилось тайм-аутом; подтверждение по официальному поисковому индексу.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4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49" s="5" t="str">
        <x:v>управление; кадровый резерв; корпоративные компетенции; наставничество; электронные курсы; АО «Объединённая металлургическая компания»; обучение; запрос предложений; внешний тренер; методолог; электронный курс</x:v>
      </x:c>
      <x:c r="W49" s="5" t="str">
        <x:v>Именованная структура с подтверждением; отбор по стране, очереди и типу. Это не оценка вероятности заказа.</x:v>
      </x:c>
      <x:c r="X49" s="5" t="str">
        <x:v>cu_ru_industry.json:4</x:v>
      </x:c>
    </x:row>
    <x:row r="50" ht="54" customHeight="1">
      <x:c r="A50" s="5" t="str">
        <x:v>CU-0045</x:v>
      </x:c>
      <x:c r="B50" s="5" t="str">
        <x:v>main_200</x:v>
      </x:c>
      <x:c r="C50" s="5" t="str">
        <x:v>Корпоративный университет Металлоинвеста</x:v>
      </x:c>
      <x:c r="D50" s="5" t="str">
        <x:v>RU</x:v>
      </x:c>
      <x:c r="E50" s="5" t="str">
        <x:v>corporate_university</x:v>
      </x:c>
      <x:c r="F50" s="5" t="str">
        <x:v>ООО УК «Металлоинвест»</x:v>
      </x:c>
      <x:c r="G50" s="5" t="str">
        <x:v>Металлоинвест</x:v>
      </x:c>
      <x:c r="H50" s="5" t="str">
        <x:v>Не установлено</x:v>
      </x:c>
      <x:c r="I50" s="5" t="str">
        <x:v>Металлургия и добыча</x:v>
      </x:c>
      <x:c r="J50" s="5" t="str">
        <x:v>Руководители, специалисты и сотрудники группы; конкретные аудитории уточнить по программам</x:v>
      </x:c>
      <x:c r="K50" s="5" t="str">
        <x:v>управленческие программы; внутренние тренеры; методология; кадровый резерв; коммуникации; электронное обучение</x:v>
      </x:c>
      <x:c r="L50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50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50" s="5" t="str">
        <x:v>Руководитель КУ/учебного центра; HRD; руководитель обучения и развития; методолог; закупщик образовательных услуг</x:v>
      </x:c>
      <x:c r="O50" s="5" t="str">
        <x:v>https://vmeste.metalloinvest.com/novosti/yuliya-mazanova-vystupila-na-ezhegodnoi-konferenfii-foruma-donorov/</x:v>
      </x:c>
      <x:c r="P50" s="5" t="str">
        <x:v>https://vmeste.metalloinvest.com/novosti/yuliya-mazanova-vystupila-na-ezhegodnoi-konferenfii-foruma-donorov/</x:v>
      </x:c>
      <x:c r="Q50" s="5" t="str">
        <x:v>Корпоративный сайт называет КУ в числе программ развития сотрудников; образовательная структура также отражена в отчётности компании.</x:v>
      </x:c>
      <x:c r="R50" s="5" t="str">
        <x:v>search_index</x:v>
      </x:c>
      <x:c r="S50" s="12" t="n">
        <x:v>46296</x:v>
      </x:c>
      <x:c r="T50" s="5" t="str">
        <x:v>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5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50" s="5" t="str">
        <x:v>управленческие программы; внутренние тренеры; методология; кадровый резерв; коммуникации; электронное обучение; ООО УК «Металлоинвест»; обучение; запрос предложений; внешний тренер; методолог; электронный курс</x:v>
      </x:c>
      <x:c r="W50" s="5" t="str">
        <x:v>Именованная структура с подтверждением; отбор по стране, очереди и типу. Это не оценка вероятности заказа.</x:v>
      </x:c>
      <x:c r="X50" s="5" t="str">
        <x:v>cu_ru_industry.json:5</x:v>
      </x:c>
    </x:row>
    <x:row r="51" ht="54" customHeight="1">
      <x:c r="A51" s="5" t="str">
        <x:v>CU-0046</x:v>
      </x:c>
      <x:c r="B51" s="5" t="str">
        <x:v>main_200</x:v>
      </x:c>
      <x:c r="C51" s="5" t="str">
        <x:v>Технический университет УГМК</x:v>
      </x:c>
      <x:c r="D51" s="5" t="str">
        <x:v>RU</x:v>
      </x:c>
      <x:c r="E51" s="5" t="str">
        <x:v>corporate_university</x:v>
      </x:c>
      <x:c r="F51" s="5" t="str">
        <x:v>НЧОУ ВО «ТУ УГМК»</x:v>
      </x:c>
      <x:c r="G51" s="5" t="str">
        <x:v>УГМК</x:v>
      </x:c>
      <x:c r="H51" s="5" t="str">
        <x:v>Верхняя Пышма</x:v>
      </x:c>
      <x:c r="I51" s="5" t="str">
        <x:v>Металлургия и добыча</x:v>
      </x:c>
      <x:c r="J51" s="5" t="str">
        <x:v>Руководители, специалисты и сотрудники группы; конкретные аудитории уточнить по программам</x:v>
      </x:c>
      <x:c r="K51" s="5" t="str">
        <x:v>финансы; HR; бухгалтерский учёт; менеджмент; цифровые навыки; подготовка тренеров</x:v>
      </x:c>
      <x:c r="L51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51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51" s="5" t="str">
        <x:v>Руководитель КУ/учебного центра; HRD; руководитель обучения и развития; методолог; закупщик образовательных услуг</x:v>
      </x:c>
      <x:c r="O51" s="5" t="str">
        <x:v>https://tu-ugmk.com/about/</x:v>
      </x:c>
      <x:c r="P51" s="5" t="str">
        <x:v>https://tu-ugmk.com/about/</x:v>
      </x:c>
      <x:c r="Q51" s="5" t="str">
        <x:v>Собственный сайт описывает корпоративный технический университет, обучение руководителей и инженеров; это не обычный независимый госвуз.</x:v>
      </x:c>
      <x:c r="R51" s="5" t="str">
        <x:v>content_read</x:v>
      </x:c>
      <x:c r="S51" s="12" t="n">
        <x:v>46296</x:v>
      </x:c>
      <x:c r="T51" s="5" t="str">
        <x:v>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5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51" s="5" t="str">
        <x:v>финансы; HR; бухгалтерский учёт; менеджмент; цифровые навыки; подготовка тренеров; НЧОУ ВО «ТУ УГМК»; обучение; запрос предложений; внешний тренер; методолог; электронный курс</x:v>
      </x:c>
      <x:c r="W51" s="5" t="str">
        <x:v>Именованная структура с подтверждением; отбор по стране, очереди и типу. Это не оценка вероятности заказа.</x:v>
      </x:c>
      <x:c r="X51" s="5" t="str">
        <x:v>cu_ru_industry.json:6</x:v>
      </x:c>
    </x:row>
    <x:row r="52" ht="54" customHeight="1">
      <x:c r="A52" s="5" t="str">
        <x:v>CU-0047</x:v>
      </x:c>
      <x:c r="B52" s="5" t="str">
        <x:v>main_200</x:v>
      </x:c>
      <x:c r="C52" s="5" t="str">
        <x:v>Корпоративный университет ТМК2U</x:v>
      </x:c>
      <x:c r="D52" s="5" t="str">
        <x:v>RU</x:v>
      </x:c>
      <x:c r="E52" s="5" t="str">
        <x:v>corporate_university</x:v>
      </x:c>
      <x:c r="F52" s="5" t="str">
        <x:v>ПАО «ТМК»</x:v>
      </x:c>
      <x:c r="G52" s="5" t="str">
        <x:v>ТМК</x:v>
      </x:c>
      <x:c r="H52" s="5" t="str">
        <x:v>Не установлено</x:v>
      </x:c>
      <x:c r="I52" s="5" t="str">
        <x:v>Трубная металлургия</x:v>
      </x:c>
      <x:c r="J52" s="5" t="str">
        <x:v>Руководители, специалисты и сотрудники группы; конкретные аудитории уточнить по программам</x:v>
      </x:c>
      <x:c r="K52" s="5" t="str">
        <x:v>HR; системы оплаты труда; лидерство; кадровый резерв; деловые форумы; внутренние тренеры</x:v>
      </x:c>
      <x:c r="L52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52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52" s="5" t="str">
        <x:v>Руководитель КУ/учебного центра; HRD; руководитель обучения и развития; методолог; закупщик образовательных услуг</x:v>
      </x:c>
      <x:c r="O52" s="5" t="str">
        <x:v>https://tmk2u.com/Event-calendar/</x:v>
      </x:c>
      <x:c r="P52" s="5" t="str">
        <x:v>https://tmk2u.com/Event-calendar/</x:v>
      </x:c>
      <x:c r="Q52" s="5" t="str">
        <x:v>Прочитан календарь деловых мероприятий 2026 года: HR, управление командами и оплата труда.</x:v>
      </x:c>
      <x:c r="R52" s="5" t="str">
        <x:v>content_read</x:v>
      </x:c>
      <x:c r="S52" s="12" t="n">
        <x:v>46296</x:v>
      </x:c>
      <x:c r="T52" s="5" t="str">
        <x:v>Календарь собственных мероприятий показывает тематику и партнерскую возможность, но не заявку на закупку.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5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52" s="5" t="str">
        <x:v>HR; системы оплаты труда; лидерство; кадровый резерв; деловые форумы; внутренние тренеры; ПАО «ТМК»; обучение; запрос предложений; внешний тренер; методолог; электронный курс</x:v>
      </x:c>
      <x:c r="W52" s="5" t="str">
        <x:v>Именованная структура с подтверждением; отбор по стране, очереди и типу. Это не оценка вероятности заказа.</x:v>
      </x:c>
      <x:c r="X52" s="5" t="str">
        <x:v>cu_ru_industry.json:7</x:v>
      </x:c>
    </x:row>
    <x:row r="53" ht="54" customHeight="1">
      <x:c r="A53" s="5" t="str">
        <x:v>CU-0048</x:v>
      </x:c>
      <x:c r="B53" s="5" t="str">
        <x:v>main_200</x:v>
      </x:c>
      <x:c r="C53" s="5" t="str">
        <x:v>Корпоративный центр подготовки кадров «Персонал»</x:v>
      </x:c>
      <x:c r="D53" s="5" t="str">
        <x:v>RU</x:v>
      </x:c>
      <x:c r="E53" s="5" t="str">
        <x:v>company_training_center</x:v>
      </x:c>
      <x:c r="F53" s="5" t="str">
        <x:v>АНО ДПО «КЦПК «Персонал»</x:v>
      </x:c>
      <x:c r="G53" s="5" t="str">
        <x:v>ММК</x:v>
      </x:c>
      <x:c r="H53" s="5" t="str">
        <x:v>Магнитогорск</x:v>
      </x:c>
      <x:c r="I53" s="5" t="str">
        <x:v>Металлургия</x:v>
      </x:c>
      <x:c r="J53" s="5" t="str">
        <x:v>Руководители, специалисты и сотрудники группы; конкретные аудитории уточнить по программам</x:v>
      </x:c>
      <x:c r="K53" s="5" t="str">
        <x:v>менеджмент; HR; наставничество; методология обучения; электронные курсы; развитие руководителей</x:v>
      </x:c>
      <x:c r="L53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53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53" s="5" t="str">
        <x:v>Руководитель КУ/учебного центра; HRD; руководитель обучения и развития; методолог; закупщик образовательных услуг</x:v>
      </x:c>
      <x:c r="O53" s="5" t="str">
        <x:v>https://kcpk.ru/about/</x:v>
      </x:c>
      <x:c r="P53" s="5" t="str">
        <x:v>https://kcpk.ru/about/</x:v>
      </x:c>
      <x:c r="Q53" s="5" t="str">
        <x:v>Сайт подтверждает происхождение центра из системы ММК и обучение от рабочих до топ-менеджеров.</x:v>
      </x:c>
      <x:c r="R53" s="5" t="str">
        <x:v>content_read</x:v>
      </x:c>
      <x:c r="S53" s="12" t="n">
        <x:v>46296</x:v>
      </x:c>
      <x:c r="T53" s="5" t="str">
        <x:v>Смешанный портфель, включая рабочие профессии; их наличие не основание исключать организацию.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5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53" s="5" t="str">
        <x:v>менеджмент; HR; наставничество; методология обучения; электронные курсы; развитие руководителей; АНО ДПО «КЦПК «Персонал»; обучение; запрос предложений; внешний тренер; методолог; электронный курс</x:v>
      </x:c>
      <x:c r="W53" s="5" t="str">
        <x:v>Именованная структура с подтверждением; отбор по стране, очереди и типу. Это не оценка вероятности заказа.</x:v>
      </x:c>
      <x:c r="X53" s="5" t="str">
        <x:v>cu_ru_industry.json:8</x:v>
      </x:c>
    </x:row>
    <x:row r="54" ht="54" customHeight="1">
      <x:c r="A54" s="5" t="str">
        <x:v>CU-0049</x:v>
      </x:c>
      <x:c r="B54" s="5" t="str">
        <x:v>main_200</x:v>
      </x:c>
      <x:c r="C54" s="5" t="str">
        <x:v>Корпоративный университет Полюса</x:v>
      </x:c>
      <x:c r="D54" s="5" t="str">
        <x:v>RU</x:v>
      </x:c>
      <x:c r="E54" s="5" t="str">
        <x:v>corporate_university</x:v>
      </x:c>
      <x:c r="F54" s="5" t="str">
        <x:v>ПАО «Полюс»</x:v>
      </x:c>
      <x:c r="G54" s="5" t="str">
        <x:v>Полюс</x:v>
      </x:c>
      <x:c r="H54" s="5" t="str">
        <x:v>Не установлено</x:v>
      </x:c>
      <x:c r="I54" s="5" t="str">
        <x:v>Золотодобыча</x:v>
      </x:c>
      <x:c r="J54" s="5" t="str">
        <x:v>Руководители, специалисты и сотрудники группы; конкретные аудитории уточнить по программам</x:v>
      </x:c>
      <x:c r="K54" s="5" t="str">
        <x:v>управление; кадровый резерв; индивидуальные программы развития; цифровые навыки; дистанционное обучение</x:v>
      </x:c>
      <x:c r="L54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54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54" s="5" t="str">
        <x:v>Руководитель КУ/учебного центра; HRD; руководитель обучения и развития; методолог; закупщик образовательных услуг</x:v>
      </x:c>
      <x:c r="O54" s="5" t="str">
        <x:v>https://career.polyus.com/about/</x:v>
      </x:c>
      <x:c r="P54" s="5" t="str">
        <x:v>https://career.polyus.com/about/</x:v>
      </x:c>
      <x:c r="Q54" s="5" t="str">
        <x:v>На карьерном портале описаны КУ, групповые и индивидуальные программы, дистанционное обучение.</x:v>
      </x:c>
      <x:c r="R54" s="5" t="str">
        <x:v>content_read</x:v>
      </x:c>
      <x:c r="S54" s="12" t="n">
        <x:v>46296</x:v>
      </x:c>
      <x:c r="T54" s="5" t="str">
        <x:v>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5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54" s="5" t="str">
        <x:v>управление; кадровый резерв; индивидуальные программы развития; цифровые навыки; дистанционное обучение; ПАО «Полюс»; обучение; запрос предложений; внешний тренер; методолог; электронный курс</x:v>
      </x:c>
      <x:c r="W54" s="5" t="str">
        <x:v>Именованная структура с подтверждением; отбор по стране, очереди и типу. Это не оценка вероятности заказа.</x:v>
      </x:c>
      <x:c r="X54" s="5" t="str">
        <x:v>cu_ru_industry.json:9</x:v>
      </x:c>
    </x:row>
    <x:row r="55" ht="54" customHeight="1">
      <x:c r="A55" s="5" t="str">
        <x:v>CU-0050</x:v>
      </x:c>
      <x:c r="B55" s="5" t="str">
        <x:v>main_200</x:v>
      </x:c>
      <x:c r="C55" s="5" t="str">
        <x:v>Корпоративный университет АЛРОСА</x:v>
      </x:c>
      <x:c r="D55" s="5" t="str">
        <x:v>RU</x:v>
      </x:c>
      <x:c r="E55" s="5" t="str">
        <x:v>corporate_university</x:v>
      </x:c>
      <x:c r="F55" s="5" t="str">
        <x:v>АК «АЛРОСА» (ПАО)</x:v>
      </x:c>
      <x:c r="G55" s="5" t="str">
        <x:v>АЛРОСА</x:v>
      </x:c>
      <x:c r="H55" s="5" t="str">
        <x:v>Мирный</x:v>
      </x:c>
      <x:c r="I55" s="5" t="str">
        <x:v>Алмазодобыча</x:v>
      </x:c>
      <x:c r="J55" s="5" t="str">
        <x:v>Руководители, специалисты и сотрудники группы; конкретные аудитории уточнить по программам</x:v>
      </x:c>
      <x:c r="K55" s="5" t="str">
        <x:v>кадровый резерв; лидерство; развитие руководителей; наставничество; дистанционные программы</x:v>
      </x:c>
      <x:c r="L55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55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55" s="5" t="str">
        <x:v>Руководитель КУ/учебного центра; HRD; руководитель обучения и развития; методолог; закупщик образовательных услуг</x:v>
      </x:c>
      <x:c r="O55" s="5" t="str">
        <x:v>https://cpk-alrosa.ru/news?cid=6454ed4068e20b0b4c72ce1f</x:v>
      </x:c>
      <x:c r="P55" s="5" t="str">
        <x:v>https://cpk-alrosa.ru/news?cid=6454ed4068e20b0b4c72ce1f</x:v>
      </x:c>
      <x:c r="Q55" s="5" t="str">
        <x:v>В индексе собственного сайта указан корпоративный университет АЛРОСА и адрес в Мирном; официальный сайт группы также подтверждает КУ.</x:v>
      </x:c>
      <x:c r="R55" s="5" t="str">
        <x:v>search_index</x:v>
      </x:c>
      <x:c r="S55" s="12" t="n">
        <x:v>46296</x:v>
      </x:c>
      <x:c r="T55" s="5" t="str">
        <x:v>Главная страница дала 502; адрес с параметром — исходная точка, при подключении найти весь архив.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55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55" s="5" t="str">
        <x:v>кадровый резерв; лидерство; развитие руководителей; наставничество; дистанционные программы; АК «АЛРОСА» (ПАО); обучение; запрос предложений; внешний тренер; методолог; электронный курс</x:v>
      </x:c>
      <x:c r="W55" s="5" t="str">
        <x:v>Именованная структура с подтверждением; отбор по стране, очереди и типу. Это не оценка вероятности заказа.</x:v>
      </x:c>
      <x:c r="X55" s="5" t="str">
        <x:v>cu_ru_industry.json:10</x:v>
      </x:c>
    </x:row>
    <x:row r="56" ht="54" customHeight="1">
      <x:c r="A56" s="5" t="str">
        <x:v>CU-0051</x:v>
      </x:c>
      <x:c r="B56" s="5" t="str">
        <x:v>reserve</x:v>
      </x:c>
      <x:c r="C56" s="5" t="str">
        <x:v>Учебный центр Челябинского металлургического комбината</x:v>
      </x:c>
      <x:c r="D56" s="5" t="str">
        <x:v>RU</x:v>
      </x:c>
      <x:c r="E56" s="5" t="str">
        <x:v>company_training_center</x:v>
      </x:c>
      <x:c r="F56" s="5" t="str">
        <x:v>ПАО «ЧМК»</x:v>
      </x:c>
      <x:c r="G56" s="5" t="str">
        <x:v>Мечел</x:v>
      </x:c>
      <x:c r="H56" s="5" t="str">
        <x:v>Челябинск</x:v>
      </x:c>
      <x:c r="I56" s="5" t="str">
        <x:v>Металлургия</x:v>
      </x:c>
      <x:c r="J56" s="5" t="str">
        <x:v>Руководители, специалисты и сотрудники группы; конкретные аудитории уточнить по программам</x:v>
      </x:c>
      <x:c r="K56" s="5" t="str">
        <x:v>электронные курсы; подготовка преподавателей; развитие руководителей; экологическая ответственность</x:v>
      </x:c>
      <x:c r="L56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56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56" s="5" t="str">
        <x:v>Руководитель КУ/учебного центра; HRD; руководитель обучения и развития; методолог; закупщик образовательных услуг</x:v>
      </x:c>
      <x:c r="O56" s="5" t="str">
        <x:v>https://mechel.ru/sector/steel/chelyabinskiy-metallurgicheskiy-kombinat/professionalnaya_podgotovka/</x:v>
      </x:c>
      <x:c r="P56" s="5" t="str">
        <x:v>https://mechel.ru/sector/steel/chelyabinskiy-metallurgicheskiy-kombinat/professionalnaya_podgotovka/</x:v>
      </x:c>
      <x:c r="Q56" s="5" t="str">
        <x:v>Официальная страница ЧМК указывает учебный центр, программы и телефон для обращения.</x:v>
      </x:c>
      <x:c r="R56" s="5" t="str">
        <x:v>search_index</x:v>
      </x:c>
      <x:c r="S56" s="12" t="n">
        <x:v>46296</x:v>
      </x:c>
      <x:c r="T56" s="5" t="str">
        <x:v>Преобладают рабочие профессии и обязательное обучение; релевантность МИСБ условна, искать управленческий и методический заказ.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56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56" s="5" t="str">
        <x:v>электронные курсы; подготовка преподавателей; развитие руководителей; экологическая ответственность; ПАО «ЧМК»; обучение; запрос предложений; внешний тренер; методолог; электронный курс</x:v>
      </x:c>
      <x:c r="W56" s="5" t="str">
        <x:v>Дополнительная подтвержденная структура сверх основной выборки; продолжать мониторинг.</x:v>
      </x:c>
      <x:c r="X56" s="5" t="str">
        <x:v>cu_ru_industry.json:11</x:v>
      </x:c>
    </x:row>
    <x:row r="57" ht="54" customHeight="1">
      <x:c r="A57" s="5" t="str">
        <x:v>CU-0052</x:v>
      </x:c>
      <x:c r="B57" s="5" t="str">
        <x:v>reserve</x:v>
      </x:c>
      <x:c r="C57" s="5" t="str">
        <x:v>Учебный центр Ижстали</x:v>
      </x:c>
      <x:c r="D57" s="5" t="str">
        <x:v>RU</x:v>
      </x:c>
      <x:c r="E57" s="5" t="str">
        <x:v>company_training_center</x:v>
      </x:c>
      <x:c r="F57" s="5" t="str">
        <x:v>ПАО «Ижсталь»</x:v>
      </x:c>
      <x:c r="G57" s="5" t="str">
        <x:v>Мечел</x:v>
      </x:c>
      <x:c r="H57" s="5" t="str">
        <x:v>Ижевск</x:v>
      </x:c>
      <x:c r="I57" s="5" t="str">
        <x:v>Металлургия</x:v>
      </x:c>
      <x:c r="J57" s="5" t="str">
        <x:v>Руководители, специалисты и сотрудники группы; конкретные аудитории уточнить по программам</x:v>
      </x:c>
      <x:c r="K57" s="5" t="str">
        <x:v>методология; цифровой учебный контент; наставники; управленческие компетенции</x:v>
      </x:c>
      <x:c r="L57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57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57" s="5" t="str">
        <x:v>Руководитель КУ/учебного центра; HRD; руководитель обучения и развития; методолог; закупщик образовательных услуг</x:v>
      </x:c>
      <x:c r="O57" s="5" t="str">
        <x:v>https://mechel.ru/sector/steel/izhstal/professionalnaya_podgotovka/</x:v>
      </x:c>
      <x:c r="P57" s="5" t="str">
        <x:v>https://mechel.ru/sector/steel/izhstal/professionalnaya_podgotovka/</x:v>
      </x:c>
      <x:c r="Q57" s="5" t="str">
        <x:v>Официальная страница называет учебный центр предприятия и публикует сведения об образовательной деятельности.</x:v>
      </x:c>
      <x:c r="R57" s="5" t="str">
        <x:v>search_index</x:v>
      </x:c>
      <x:c r="S57" s="12" t="n">
        <x:v>46296</x:v>
      </x:c>
      <x:c r="T57" s="5" t="str">
        <x:v>Основное подтвержденное направление — профессиональное обучение; бизнес-обучение требует проверки.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57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57" s="5" t="str">
        <x:v>методология; цифровой учебный контент; наставники; управленческие компетенции; ПАО «Ижсталь»; обучение; запрос предложений; внешний тренер; методолог; электронный курс</x:v>
      </x:c>
      <x:c r="W57" s="5" t="str">
        <x:v>Дополнительная подтвержденная структура сверх основной выборки; продолжать мониторинг.</x:v>
      </x:c>
      <x:c r="X57" s="5" t="str">
        <x:v>cu_ru_industry.json:12</x:v>
      </x:c>
    </x:row>
    <x:row r="58" ht="54" customHeight="1">
      <x:c r="A58" s="5" t="str">
        <x:v>CU-0053</x:v>
      </x:c>
      <x:c r="B58" s="5" t="str">
        <x:v>main_200</x:v>
      </x:c>
      <x:c r="C58" s="5" t="str">
        <x:v>Учебный центр Корпорации ВСМПО-АВИСМА</x:v>
      </x:c>
      <x:c r="D58" s="5" t="str">
        <x:v>RU</x:v>
      </x:c>
      <x:c r="E58" s="5" t="str">
        <x:v>company_training_center</x:v>
      </x:c>
      <x:c r="F58" s="5" t="str">
        <x:v>ПАО «Корпорация ВСМПО-АВИСМА»</x:v>
      </x:c>
      <x:c r="G58" s="5" t="str">
        <x:v>ВСМПО-АВИСМА</x:v>
      </x:c>
      <x:c r="H58" s="5" t="str">
        <x:v>Верхняя Салда</x:v>
      </x:c>
      <x:c r="I58" s="5" t="str">
        <x:v>Титановая промышленность</x:v>
      </x:c>
      <x:c r="J58" s="5" t="str">
        <x:v>Руководители, специалисты и сотрудники группы; конкретные аудитории уточнить по программам</x:v>
      </x:c>
      <x:c r="K58" s="5" t="str">
        <x:v>управление производственными командами; наставничество; электронное обучение; HR; качество</x:v>
      </x:c>
      <x:c r="L58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58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58" s="5" t="str">
        <x:v>Руководитель КУ/учебного центра; HRD; руководитель обучения и развития; методолог; закупщик образовательных услуг</x:v>
      </x:c>
      <x:c r="O58" s="5" t="str">
        <x:v>https://vsmpo.ru/career/professionalnoe-i-karernoe-razvitie/uchebnyy-tsentr/</x:v>
      </x:c>
      <x:c r="P58" s="5" t="str">
        <x:v>https://vsmpo.ru/career/professionalnoe-i-karernoe-razvitie/uchebnyy-tsentr/</x:v>
      </x:c>
      <x:c r="Q58" s="5" t="str">
        <x:v>Официальный раздел компании посвящён учебному центру корпорации.</x:v>
      </x:c>
      <x:c r="R58" s="5" t="str">
        <x:v>search_index</x:v>
      </x:c>
      <x:c r="S58" s="12" t="n">
        <x:v>46296</x:v>
      </x:c>
      <x:c r="T58" s="5" t="str">
        <x:v>Техническую подготовку рабочих отделять при ранжировании лидов, сохраняя весь источник.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5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58" s="5" t="str">
        <x:v>управление производственными командами; наставничество; электронное обучение; HR; качество; ПАО «Корпорация ВСМПО-АВИСМА»; обучение; запрос предложений; внешний тренер; методолог; электронный курс</x:v>
      </x:c>
      <x:c r="W58" s="5" t="str">
        <x:v>Именованная структура с подтверждением; отбор по стране, очереди и типу. Это не оценка вероятности заказа.</x:v>
      </x:c>
      <x:c r="X58" s="5" t="str">
        <x:v>cu_ru_industry.json:13</x:v>
      </x:c>
    </x:row>
    <x:row r="59" ht="54" customHeight="1">
      <x:c r="A59" s="5" t="str">
        <x:v>CU-0054</x:v>
      </x:c>
      <x:c r="B59" s="5" t="str">
        <x:v>main_200</x:v>
      </x:c>
      <x:c r="C59" s="5" t="str">
        <x:v>Корпоративный университет СИБУРа</x:v>
      </x:c>
      <x:c r="D59" s="5" t="str">
        <x:v>RU</x:v>
      </x:c>
      <x:c r="E59" s="5" t="str">
        <x:v>corporate_university</x:v>
      </x:c>
      <x:c r="F59" s="5" t="str">
        <x:v>ПАО «СИБУР Холдинг»</x:v>
      </x:c>
      <x:c r="G59" s="5" t="str">
        <x:v>СИБУР</x:v>
      </x:c>
      <x:c r="H59" s="5" t="str">
        <x:v>Не установлено</x:v>
      </x:c>
      <x:c r="I59" s="5" t="str">
        <x:v>Нефтехимия</x:v>
      </x:c>
      <x:c r="J59" s="5" t="str">
        <x:v>Руководители, специалисты и сотрудники группы; конкретные аудитории уточнить по программам</x:v>
      </x:c>
      <x:c r="K59" s="5" t="str">
        <x:v>управление изменениями; лидерство; развитие специалистов; цифровые навыки; клиентское обучение; электронные курсы</x:v>
      </x:c>
      <x:c r="L59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59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59" s="5" t="str">
        <x:v>Руководитель КУ/учебного центра; HRD; руководитель обучения и развития; методолог; закупщик образовательных услуг</x:v>
      </x:c>
      <x:c r="O59" s="5" t="str">
        <x:v>https://www.sibur.ru/ru/corporate-university/</x:v>
      </x:c>
      <x:c r="P59" s="5" t="str">
        <x:v>https://www.sibur.ru/ru/corporate-university/</x:v>
      </x:c>
      <x:c r="Q59" s="5" t="str">
        <x:v>Прочитана страница КУ: развитие руководителей и специалистов, открытые курсы и программы для клиентов и партнёров.</x:v>
      </x:c>
      <x:c r="R59" s="5" t="str">
        <x:v>content_read</x:v>
      </x:c>
      <x:c r="S59" s="12" t="n">
        <x:v>46296</x:v>
      </x:c>
      <x:c r="T59" s="5" t="str">
        <x:v>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5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59" s="5" t="str">
        <x:v>управление изменениями; лидерство; развитие специалистов; цифровые навыки; клиентское обучение; электронные курсы; ПАО «СИБУР Холдинг»; обучение; запрос предложений; внешний тренер; методолог; электронный курс</x:v>
      </x:c>
      <x:c r="W59" s="5" t="str">
        <x:v>Именованная структура с подтверждением; отбор по стране, очереди и типу. Это не оценка вероятности заказа.</x:v>
      </x:c>
      <x:c r="X59" s="5" t="str">
        <x:v>cu_ru_industry.json:14</x:v>
      </x:c>
    </x:row>
    <x:row r="60" ht="54" customHeight="1">
      <x:c r="A60" s="5" t="str">
        <x:v>CU-0055</x:v>
      </x:c>
      <x:c r="B60" s="5" t="str">
        <x:v>main_200</x:v>
      </x:c>
      <x:c r="C60" s="5" t="str">
        <x:v>Корпоративный университет Уралкалия</x:v>
      </x:c>
      <x:c r="D60" s="5" t="str">
        <x:v>RU</x:v>
      </x:c>
      <x:c r="E60" s="5" t="str">
        <x:v>corporate_university</x:v>
      </x:c>
      <x:c r="F60" s="5" t="str">
        <x:v>ПАО «Уралкалий»</x:v>
      </x:c>
      <x:c r="G60" s="5" t="str">
        <x:v>Группа Уралхим / Уралкалий</x:v>
      </x:c>
      <x:c r="H60" s="5" t="str">
        <x:v>Не установлено</x:v>
      </x:c>
      <x:c r="I60" s="5" t="str">
        <x:v>Минеральные удобрения</x:v>
      </x:c>
      <x:c r="J60" s="5" t="str">
        <x:v>Руководители, специалисты и сотрудники группы; конкретные аудитории уточнить по программам</x:v>
      </x:c>
      <x:c r="K60" s="5" t="str">
        <x:v>управление; кадровый резерв; HR; наставничество; цифровые навыки; дистанционное обучение</x:v>
      </x:c>
      <x:c r="L60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60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60" s="5" t="str">
        <x:v>Руководитель КУ/учебного центра; HRD; руководитель обучения и развития; методолог; закупщик образовательных услуг</x:v>
      </x:c>
      <x:c r="O60" s="5" t="str">
        <x:v>https://www.uralkali.com/ru/career/staff/</x:v>
      </x:c>
      <x:c r="P60" s="5" t="str">
        <x:v>https://www.uralkali.com/ru/career/staff/</x:v>
      </x:c>
      <x:c r="Q60" s="5" t="str">
        <x:v>Официальная карьерная страница в индексе подтверждает развитие собственного КУ и обновление учебных программ.</x:v>
      </x:c>
      <x:c r="R60" s="5" t="str">
        <x:v>search_index</x:v>
      </x:c>
      <x:c r="S60" s="12" t="n">
        <x:v>46296</x:v>
      </x:c>
      <x:c r="T60" s="5" t="str">
        <x:v>При открытии получена CAPTCHA; нужен разрешенный ручной или альтернативный публичный маршрут. Не сливать с КУ Уралхима без проверки.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6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60" s="5" t="str">
        <x:v>управление; кадровый резерв; HR; наставничество; цифровые навыки; дистанционное обучение; ПАО «Уралкалий»; обучение; запрос предложений; внешний тренер; методолог; электронный курс</x:v>
      </x:c>
      <x:c r="W60" s="5" t="str">
        <x:v>Именованная структура с подтверждением; отбор по стране, очереди и типу. Это не оценка вероятности заказа.</x:v>
      </x:c>
      <x:c r="X60" s="5" t="str">
        <x:v>cu_ru_industry.json:15</x:v>
      </x:c>
    </x:row>
    <x:row r="61" ht="54" customHeight="1">
      <x:c r="A61" s="5" t="str">
        <x:v>CU-0056</x:v>
      </x:c>
      <x:c r="B61" s="5" t="str">
        <x:v>main_200</x:v>
      </x:c>
      <x:c r="C61" s="5" t="str">
        <x:v>Корпоративный университет Уралхима</x:v>
      </x:c>
      <x:c r="D61" s="5" t="str">
        <x:v>RU</x:v>
      </x:c>
      <x:c r="E61" s="5" t="str">
        <x:v>corporate_university</x:v>
      </x:c>
      <x:c r="F61" s="5" t="str">
        <x:v>АО «ОХК «Уралхим»</x:v>
      </x:c>
      <x:c r="G61" s="5" t="str">
        <x:v>Группа Уралхим / Уралкалий</x:v>
      </x:c>
      <x:c r="H61" s="5" t="str">
        <x:v>Пермь</x:v>
      </x:c>
      <x:c r="I61" s="5" t="str">
        <x:v>Химическая промышленность</x:v>
      </x:c>
      <x:c r="J61" s="5" t="str">
        <x:v>Руководители, специалисты и сотрудники группы; конкретные аудитории уточнить по программам</x:v>
      </x:c>
      <x:c r="K61" s="5" t="str">
        <x:v>развитие ОЦО; финансы; HR; управленческие навыки; дистанционное обучение; цифровые компетенции</x:v>
      </x:c>
      <x:c r="L61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61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61" s="5" t="str">
        <x:v>Руководитель КУ/учебного центра; HRD; руководитель обучения и развития; методолог; закупщик образовательных услуг</x:v>
      </x:c>
      <x:c r="O61" s="5" t="str">
        <x:v>https://csc.uralchem.ru/</x:v>
      </x:c>
      <x:c r="P61" s="5" t="str">
        <x:v>https://csc.uralchem.ru/</x:v>
      </x:c>
      <x:c r="Q61" s="5" t="str">
        <x:v>На официальном сайте ОЦО указана возможность обучения в корпоративном университете и у внешних провайдеров.</x:v>
      </x:c>
      <x:c r="R61" s="5" t="str">
        <x:v>search_index</x:v>
      </x:c>
      <x:c r="S61" s="12" t="n">
        <x:v>46296</x:v>
      </x:c>
      <x:c r="T61" s="5" t="str">
        <x:v>Источник — кадровая страница ОЦО, а не отдельный сайт КУ; уточнить единицу закупки и связь с обучением всей группы.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6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61" s="5" t="str">
        <x:v>развитие ОЦО; финансы; HR; управленческие навыки; дистанционное обучение; цифровые компетенции; АО «ОХК «Уралхим»; обучение; запрос предложений; внешний тренер; методолог; электронный курс</x:v>
      </x:c>
      <x:c r="W61" s="5" t="str">
        <x:v>Именованная структура с подтверждением; отбор по стране, очереди и типу. Это не оценка вероятности заказа.</x:v>
      </x:c>
      <x:c r="X61" s="5" t="str">
        <x:v>cu_ru_industry.json:16</x:v>
      </x:c>
    </x:row>
    <x:row r="62" ht="54" customHeight="1">
      <x:c r="A62" s="5" t="str">
        <x:v>CU-0057</x:v>
      </x:c>
      <x:c r="B62" s="5" t="str">
        <x:v>main_200</x:v>
      </x:c>
      <x:c r="C62" s="5" t="str">
        <x:v>Учебный центр ФосАгро</x:v>
      </x:c>
      <x:c r="D62" s="5" t="str">
        <x:v>RU</x:v>
      </x:c>
      <x:c r="E62" s="5" t="str">
        <x:v>company_training_center</x:v>
      </x:c>
      <x:c r="F62" s="5" t="str">
        <x:v>ЧОУ ДПО «Учебный центр ФосАгро»</x:v>
      </x:c>
      <x:c r="G62" s="5" t="str">
        <x:v>ФосАгро</x:v>
      </x:c>
      <x:c r="H62" s="5" t="str">
        <x:v>Не установлено</x:v>
      </x:c>
      <x:c r="I62" s="5" t="str">
        <x:v>Минеральные удобрения</x:v>
      </x:c>
      <x:c r="J62" s="5" t="str">
        <x:v>Руководители, специалисты и сотрудники группы; конкретные аудитории уточнить по программам</x:v>
      </x:c>
      <x:c r="K62" s="5" t="str">
        <x:v>электронные курсы; обучение руководителей и специалистов; наставничество; методология; цифровизация</x:v>
      </x:c>
      <x:c r="L62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62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62" s="5" t="str">
        <x:v>Руководитель КУ/учебного центра; HRD; руководитель обучения и развития; методолог; закупщик образовательных услуг</x:v>
      </x:c>
      <x:c r="O62" s="5" t="str">
        <x:v>https://www.phosagro.ru/sustainability/quality-education/</x:v>
      </x:c>
      <x:c r="P62" s="5" t="str">
        <x:v>https://www.phosagro.ru/sustainability/quality-education/</x:v>
      </x:c>
      <x:c r="Q62" s="5" t="str">
        <x:v>Официальная страница подтверждает учреждение собственного учебного центра и подход к управлению обучением.</x:v>
      </x:c>
      <x:c r="R62" s="5" t="str">
        <x:v>search_index</x:v>
      </x:c>
      <x:c r="S62" s="12" t="n">
        <x:v>46296</x:v>
      </x:c>
      <x:c r="T62" s="5" t="str">
        <x:v>Существенная часть портфеля техническая и обязательная; выделять задачи разработки контента и развития специалистов.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6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62" s="5" t="str">
        <x:v>электронные курсы; обучение руководителей и специалистов; наставничество; методология; цифровизация; ЧОУ ДПО «Учебный центр ФосАгро»; обучение; запрос предложений; внешний тренер; методолог; электронный курс</x:v>
      </x:c>
      <x:c r="W62" s="5" t="str">
        <x:v>Именованная структура с подтверждением; отбор по стране, очереди и типу. Это не оценка вероятности заказа.</x:v>
      </x:c>
      <x:c r="X62" s="5" t="str">
        <x:v>cu_ru_industry.json:17</x:v>
      </x:c>
    </x:row>
    <x:row r="63" ht="54" customHeight="1">
      <x:c r="A63" s="5" t="str">
        <x:v>CU-0058</x:v>
      </x:c>
      <x:c r="B63" s="5" t="str">
        <x:v>main_200</x:v>
      </x:c>
      <x:c r="C63" s="5" t="str">
        <x:v>Учебный центр ПАО «Акрон»</x:v>
      </x:c>
      <x:c r="D63" s="5" t="str">
        <x:v>RU</x:v>
      </x:c>
      <x:c r="E63" s="5" t="str">
        <x:v>company_training_center</x:v>
      </x:c>
      <x:c r="F63" s="5" t="str">
        <x:v>ПАО «Акрон»</x:v>
      </x:c>
      <x:c r="G63" s="5" t="str">
        <x:v>Группа «Акрон»</x:v>
      </x:c>
      <x:c r="H63" s="5" t="str">
        <x:v>Великий Новгород</x:v>
      </x:c>
      <x:c r="I63" s="5" t="str">
        <x:v>Минеральные удобрения</x:v>
      </x:c>
      <x:c r="J63" s="5" t="str">
        <x:v>Руководители, специалисты и сотрудники группы; конкретные аудитории уточнить по программам</x:v>
      </x:c>
      <x:c r="K63" s="5" t="str">
        <x:v>обучение специалистов; наставничество; методология; управленческие навыки; электронные курсы</x:v>
      </x:c>
      <x:c r="L63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63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63" s="5" t="str">
        <x:v>Руководитель КУ/учебного центра; HRD; руководитель обучения и развития; методолог; закупщик образовательных услуг</x:v>
      </x:c>
      <x:c r="O63" s="5" t="str">
        <x:v>https://www.acron.ru/sustainability/learning_centers/</x:v>
      </x:c>
      <x:c r="P63" s="5" t="str">
        <x:v>https://www.acron.ru/sustainability/learning_centers/</x:v>
      </x:c>
      <x:c r="Q63" s="5" t="str">
        <x:v>На официальной общей странице отдельно раскрыт Учебный центр ПАО «Акрон».</x:v>
      </x:c>
      <x:c r="R63" s="5" t="str">
        <x:v>content_read</x:v>
      </x:c>
      <x:c r="S63" s="12" t="n">
        <x:v>46296</x:v>
      </x:c>
      <x:c r="T63" s="5" t="str">
        <x:v>Одна страница содержит также другой центр — «Дорогобуж»; привязка должна учитывать название подразделения, не только URL.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6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63" s="5" t="str">
        <x:v>обучение специалистов; наставничество; методология; управленческие навыки; электронные курсы; ПАО «Акрон»; обучение; запрос предложений; внешний тренер; методолог; электронный курс</x:v>
      </x:c>
      <x:c r="W63" s="5" t="str">
        <x:v>Именованная структура с подтверждением; отбор по стране, очереди и типу. Это не оценка вероятности заказа.</x:v>
      </x:c>
      <x:c r="X63" s="5" t="str">
        <x:v>cu_ru_industry.json:18</x:v>
      </x:c>
    </x:row>
    <x:row r="64" ht="54" customHeight="1">
      <x:c r="A64" s="5" t="str">
        <x:v>CU-0059</x:v>
      </x:c>
      <x:c r="B64" s="5" t="str">
        <x:v>reserve</x:v>
      </x:c>
      <x:c r="C64" s="5" t="str">
        <x:v>Учебный центр СЗФК</x:v>
      </x:c>
      <x:c r="D64" s="5" t="str">
        <x:v>RU</x:v>
      </x:c>
      <x:c r="E64" s="5" t="str">
        <x:v>company_training_center</x:v>
      </x:c>
      <x:c r="F64" s="5" t="str">
        <x:v>АО «Северо-Западная Фосфорная Компания»</x:v>
      </x:c>
      <x:c r="G64" s="5" t="str">
        <x:v>Группа «Акрон»</x:v>
      </x:c>
      <x:c r="H64" s="5" t="str">
        <x:v>Коашва</x:v>
      </x:c>
      <x:c r="I64" s="5" t="str">
        <x:v>Добыча сырья для удобрений</x:v>
      </x:c>
      <x:c r="J64" s="5" t="str">
        <x:v>Руководители, специалисты и сотрудники группы; конкретные аудитории уточнить по программам</x:v>
      </x:c>
      <x:c r="K64" s="5" t="str">
        <x:v>цифровой учебный контент; наставники; развитие специалистов; управление проектами</x:v>
      </x:c>
      <x:c r="L64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64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64" s="5" t="str">
        <x:v>Руководитель КУ/учебного центра; HRD; руководитель обучения и развития; методолог; закупщик образовательных услуг</x:v>
      </x:c>
      <x:c r="O64" s="5" t="str">
        <x:v>https://www.szfk.ru/career/learning-centers/</x:v>
      </x:c>
      <x:c r="P64" s="5" t="str">
        <x:v>https://www.szfk.ru/career/learning-centers/</x:v>
      </x:c>
      <x:c r="Q64" s="5" t="str">
        <x:v>На собственном сайте компании есть раздел учебного центра со сведениями об образовании и руководстве.</x:v>
      </x:c>
      <x:c r="R64" s="5" t="str">
        <x:v>search_index</x:v>
      </x:c>
      <x:c r="S64" s="12" t="n">
        <x:v>46296</x:v>
      </x:c>
      <x:c r="T64" s="5" t="str">
        <x:v>Дочерний учебный центр, преимущественно производственный профиль; самостоятельность закупок уточнить.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6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64" s="5" t="str">
        <x:v>цифровой учебный контент; наставники; развитие специалистов; управление проектами; АО «Северо-Западная Фосфорная Компания»; обучение; запрос предложений; внешний тренер; методолог; электронный курс</x:v>
      </x:c>
      <x:c r="W64" s="5" t="str">
        <x:v>Дополнительная подтвержденная структура сверх основной выборки; продолжать мониторинг.</x:v>
      </x:c>
      <x:c r="X64" s="5" t="str">
        <x:v>cu_ru_industry.json:19</x:v>
      </x:c>
    </x:row>
    <x:row r="65" ht="54" customHeight="1">
      <x:c r="A65" s="5" t="str">
        <x:v>CU-0060</x:v>
      </x:c>
      <x:c r="B65" s="5" t="str">
        <x:v>main_200</x:v>
      </x:c>
      <x:c r="C65" s="5" t="str">
        <x:v>Корпоративный университет Акрон Холдинг</x:v>
      </x:c>
      <x:c r="D65" s="5" t="str">
        <x:v>RU</x:v>
      </x:c>
      <x:c r="E65" s="5" t="str">
        <x:v>corporate_university</x:v>
      </x:c>
      <x:c r="F65" s="5" t="str">
        <x:v>ГК «Акрон Холдинг»</x:v>
      </x:c>
      <x:c r="G65" s="5" t="str">
        <x:v>Акрон Холдинг</x:v>
      </x:c>
      <x:c r="H65" s="5" t="str">
        <x:v>Не установлено</x:v>
      </x:c>
      <x:c r="I65" s="5" t="str">
        <x:v>Промышленность и переработка металлов</x:v>
      </x:c>
      <x:c r="J65" s="5" t="str">
        <x:v>Руководители, специалисты и сотрудники группы; конкретные аудитории уточнить по программам</x:v>
      </x:c>
      <x:c r="K65" s="5" t="str">
        <x:v>стратегические сессии; взаимодействие подразделений; менеджмент; обучение специалистов; цифровые курсы</x:v>
      </x:c>
      <x:c r="L65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65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65" s="5" t="str">
        <x:v>Руководитель КУ/учебного центра; HRD; руководитель обучения и развития; методолог; закупщик образовательных услуг</x:v>
      </x:c>
      <x:c r="O65" s="5" t="str">
        <x:v>https://podolskkabel.ru/news/korporativnyy-universitet-provel-v-podolske-strategicheskuyu-sessiyu-po-vzaimode/</x:v>
      </x:c>
      <x:c r="P65" s="5" t="str">
        <x:v>https://podolskkabel.ru/news/korporativnyy-universitet-provel-v-podolske-strategicheskuyu-sessiyu-po-vzaimode/</x:v>
      </x:c>
      <x:c r="Q65" s="5" t="str">
        <x:v>Новость предприятия группы «Подольсккабель» подтверждает стратегическую сессию корпоративного университета.</x:v>
      </x:c>
      <x:c r="R65" s="5" t="str">
        <x:v>search_index</x:v>
      </x:c>
      <x:c r="S65" s="12" t="n">
        <x:v>46296</x:v>
      </x:c>
      <x:c r="T65" s="5" t="str">
        <x:v>Акрон Холдинг и Группа «Акрон» — разные группы; их нельзя автоматически объединять по слову «Акрон». Открытие страницы инструментом не удалось, подтверждение по поисковому индексу.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65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65" s="5" t="str">
        <x:v>стратегические сессии; взаимодействие подразделений; менеджмент; обучение специалистов; цифровые курсы; ГК «Акрон Холдинг»; обучение; запрос предложений; внешний тренер; методолог; электронный курс</x:v>
      </x:c>
      <x:c r="W65" s="5" t="str">
        <x:v>Именованная структура с подтверждением; отбор по стране, очереди и типу. Это не оценка вероятности заказа.</x:v>
      </x:c>
      <x:c r="X65" s="5" t="str">
        <x:v>cu_ru_industry.json:20</x:v>
      </x:c>
    </x:row>
    <x:row r="66" ht="54" customHeight="1">
      <x:c r="A66" s="5" t="str">
        <x:v>CU-0061</x:v>
      </x:c>
      <x:c r="B66" s="5" t="str">
        <x:v>main_200</x:v>
      </x:c>
      <x:c r="C66" s="5" t="str">
        <x:v>Академия Ростеха</x:v>
      </x:c>
      <x:c r="D66" s="5" t="str">
        <x:v>RU</x:v>
      </x:c>
      <x:c r="E66" s="5" t="str">
        <x:v>corporate_academy</x:v>
      </x:c>
      <x:c r="F66" s="5" t="str">
        <x:v>АНО «Корпоративная сетевая академия»</x:v>
      </x:c>
      <x:c r="G66" s="5" t="str">
        <x:v>Ростех</x:v>
      </x:c>
      <x:c r="H66" s="5" t="str">
        <x:v>Москва</x:v>
      </x:c>
      <x:c r="I66" s="5" t="str">
        <x:v>Промышленный холдинг</x:v>
      </x:c>
      <x:c r="J66" s="5" t="str">
        <x:v>Руководители, специалисты и сотрудники группы; конкретные аудитории уточнить по программам</x:v>
      </x:c>
      <x:c r="K66" s="5" t="str">
        <x:v>управление; экономика предприятия; HR; цифровизация; обучение тренеров; закупки; право</x:v>
      </x:c>
      <x:c r="L66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66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66" s="5" t="str">
        <x:v>Руководитель КУ/учебного центра; HRD; руководитель обучения и развития; методолог; закупщик образовательных услуг</x:v>
      </x:c>
      <x:c r="O66" s="5" t="str">
        <x:v>https://rostec.academy/</x:v>
      </x:c>
      <x:c r="P66" s="5" t="str">
        <x:v>https://rostec.academy/</x:v>
      </x:c>
      <x:c r="Q66" s="5" t="str">
        <x:v>Официальный сайт описывает Академию как центр обучения и развития сотрудников организаций корпорации.</x:v>
      </x:c>
      <x:c r="R66" s="5" t="str">
        <x:v>content_read</x:v>
      </x:c>
      <x:c r="S66" s="12" t="n">
        <x:v>46296</x:v>
      </x:c>
      <x:c r="T66" s="5" t="str">
        <x:v>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66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66" s="5" t="str">
        <x:v>управление; экономика предприятия; HR; цифровизация; обучение тренеров; закупки; право; АНО «Корпоративная сетевая академия»; обучение; запрос предложений; внешний тренер; методолог; электронный курс</x:v>
      </x:c>
      <x:c r="W66" s="5" t="str">
        <x:v>Именованная структура с подтверждением; отбор по стране, очереди и типу. Это не оценка вероятности заказа.</x:v>
      </x:c>
      <x:c r="X66" s="5" t="str">
        <x:v>cu_ru_industry.json:21</x:v>
      </x:c>
    </x:row>
    <x:row r="67" ht="54" customHeight="1">
      <x:c r="A67" s="5" t="str">
        <x:v>CU-0062</x:v>
      </x:c>
      <x:c r="B67" s="5" t="str">
        <x:v>main_200</x:v>
      </x:c>
      <x:c r="C67" s="5" t="str">
        <x:v>Корпоративный университет КАМАЗа</x:v>
      </x:c>
      <x:c r="D67" s="5" t="str">
        <x:v>RU</x:v>
      </x:c>
      <x:c r="E67" s="5" t="str">
        <x:v>corporate_university</x:v>
      </x:c>
      <x:c r="F67" s="5" t="str">
        <x:v>ПАО «КАМАЗ»</x:v>
      </x:c>
      <x:c r="G67" s="5" t="str">
        <x:v>КАМАЗ / Ростех</x:v>
      </x:c>
      <x:c r="H67" s="5" t="str">
        <x:v>Набережные Челны</x:v>
      </x:c>
      <x:c r="I67" s="5" t="str">
        <x:v>Автомобилестроение</x:v>
      </x:c>
      <x:c r="J67" s="5" t="str">
        <x:v>Руководители, специалисты и сотрудники группы; конкретные аудитории уточнить по программам</x:v>
      </x:c>
      <x:c r="K67" s="5" t="str">
        <x:v>Excel; цифровые навыки; наставничество; производственный менеджмент; бухгалтерский учёт; налоговое право</x:v>
      </x:c>
      <x:c r="L67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67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67" s="5" t="str">
        <x:v>Руководитель КУ/учебного центра; HRD; руководитель обучения и развития; методолог; закупщик образовательных услуг</x:v>
      </x:c>
      <x:c r="O67" s="5" t="str">
        <x:v>https://vestikamaza.ru/posts/na_kamaze_razrabotan_proekt_dlya_povysheniya_czifrovoj_gramotnosti_sotrudnikov/</x:v>
      </x:c>
      <x:c r="P67" s="5" t="str">
        <x:v>https://vestikamaza.ru/posts/na_kamaze_razrabotan_proekt_dlya_povysheniya_czifrovoj_gramotnosti_sotrudnikov/</x:v>
      </x:c>
      <x:c r="Q67" s="5" t="str">
        <x:v>Корпоративное издание описывает университет как организатора обучения цифровым навыкам и направление сотрудников к внешним учебным партнёрам.</x:v>
      </x:c>
      <x:c r="R67" s="5" t="str">
        <x:v>content_read</x:v>
      </x:c>
      <x:c r="S67" s="12" t="n">
        <x:v>46296</x:v>
      </x:c>
      <x:c r="T67" s="5" t="str">
        <x:v>Материал датирован 2023 годом: установить актуальную функцию и оператора КУ.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67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67" s="5" t="str">
        <x:v>Excel; цифровые навыки; наставничество; производственный менеджмент; бухгалтерский учёт; налоговое право; ПАО «КАМАЗ»; обучение; запрос предложений; внешний тренер; методолог; электронный курс</x:v>
      </x:c>
      <x:c r="W67" s="5" t="str">
        <x:v>Именованная структура с подтверждением; отбор по стране, очереди и типу. Это не оценка вероятности заказа.</x:v>
      </x:c>
      <x:c r="X67" s="5" t="str">
        <x:v>cu_ru_industry.json:22</x:v>
      </x:c>
    </x:row>
    <x:row r="68" ht="54" customHeight="1">
      <x:c r="A68" s="5" t="str">
        <x:v>CU-0063</x:v>
      </x:c>
      <x:c r="B68" s="5" t="str">
        <x:v>main_200</x:v>
      </x:c>
      <x:c r="C68" s="5" t="str">
        <x:v>Корпоративный университет Горьковского автозавода</x:v>
      </x:c>
      <x:c r="D68" s="5" t="str">
        <x:v>RU</x:v>
      </x:c>
      <x:c r="E68" s="5" t="str">
        <x:v>corporate_university</x:v>
      </x:c>
      <x:c r="F68" s="5" t="str">
        <x:v>Горьковский автомобильный завод</x:v>
      </x:c>
      <x:c r="G68" s="5" t="str">
        <x:v>ГАЗ</x:v>
      </x:c>
      <x:c r="H68" s="5" t="str">
        <x:v>Нижний Новгород</x:v>
      </x:c>
      <x:c r="I68" s="5" t="str">
        <x:v>Автомобилестроение</x:v>
      </x:c>
      <x:c r="J68" s="5" t="str">
        <x:v>Руководители, специалисты и сотрудники группы; конкретные аудитории уточнить по программам</x:v>
      </x:c>
      <x:c r="K68" s="5" t="str">
        <x:v>производственный менеджмент; цифровые технологии; внутренние тренеры; наставничество; электронные курсы</x:v>
      </x:c>
      <x:c r="L68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68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68" s="5" t="str">
        <x:v>Руководитель КУ/учебного центра; HRD; руководитель обучения и развития; методолог; закупщик образовательных услуг</x:v>
      </x:c>
      <x:c r="O68" s="5" t="str">
        <x:v>https://autozavod.media/rubrics/news/korporativnyy-universitet-gorkovskogo-avtozavoda-pereosnashchaetsya-v-ramkakh-nsv/</x:v>
      </x:c>
      <x:c r="P68" s="5" t="str">
        <x:v>https://autozavod.media/rubrics/news/korporativnyy-universitet-gorkovskogo-avtozavoda-pereosnashchaetsya-v-ramkakh-nsv/</x:v>
      </x:c>
      <x:c r="Q68" s="5" t="str">
        <x:v>Корпоративное издание подтверждает университет, его реконструкцию и образовательную роль для предприятия.</x:v>
      </x:c>
      <x:c r="R68" s="5" t="str">
        <x:v>search_index</x:v>
      </x:c>
      <x:c r="S68" s="12" t="n">
        <x:v>46296</x:v>
      </x:c>
      <x:c r="T68" s="5" t="str">
        <x:v>Названия «КУ Группы ГАЗ», «КУ Горьковского автозавода» и академия могут относиться к одной структуре; здесь одна запись.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6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68" s="5" t="str">
        <x:v>производственный менеджмент; цифровые технологии; внутренние тренеры; наставничество; электронные курсы; Горьковский автомобильный завод; обучение; запрос предложений; внешний тренер; методолог; электронный курс</x:v>
      </x:c>
      <x:c r="W68" s="5" t="str">
        <x:v>Именованная структура с подтверждением; отбор по стране, очереди и типу. Это не оценка вероятности заказа.</x:v>
      </x:c>
      <x:c r="X68" s="5" t="str">
        <x:v>cu_ru_industry.json:23</x:v>
      </x:c>
    </x:row>
    <x:row r="69" ht="54" customHeight="1">
      <x:c r="A69" s="5" t="str">
        <x:v>CU-0064</x:v>
      </x:c>
      <x:c r="B69" s="5" t="str">
        <x:v>reserve</x:v>
      </x:c>
      <x:c r="C69" s="5" t="str">
        <x:v>LADA Академия</x:v>
      </x:c>
      <x:c r="D69" s="5" t="str">
        <x:v>RU</x:v>
      </x:c>
      <x:c r="E69" s="5" t="str">
        <x:v>corporate_academy</x:v>
      </x:c>
      <x:c r="F69" s="5" t="str">
        <x:v>АО «АВТОВАЗ»</x:v>
      </x:c>
      <x:c r="G69" s="5" t="str">
        <x:v>АВТОВАЗ</x:v>
      </x:c>
      <x:c r="H69" s="5" t="str">
        <x:v>Тольятти / Москва</x:v>
      </x:c>
      <x:c r="I69" s="5" t="str">
        <x:v>Автомобилестроение</x:v>
      </x:c>
      <x:c r="J69" s="5" t="str">
        <x:v>Руководители, специалисты и сотрудники группы; конкретные аудитории уточнить по программам</x:v>
      </x:c>
      <x:c r="K69" s="5" t="str">
        <x:v>обучение дилеров; продажи; клиентский сервис; управление; электронные курсы</x:v>
      </x:c>
      <x:c r="L69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69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69" s="5" t="str">
        <x:v>Руководитель КУ/учебного центра; HRD; руководитель обучения и развития; методолог; закупщик образовательных услуг</x:v>
      </x:c>
      <x:c r="O69" s="5" t="str">
        <x:v>https://www.lada.ru/education/</x:v>
      </x:c>
      <x:c r="P69" s="5" t="str">
        <x:v>https://www.lada.ru/education/</x:v>
      </x:c>
      <x:c r="Q69" s="5" t="str">
        <x:v>Официальный сайт дистанционного обучения содержит название LADA Академия и адреса в Тольятти и Москве.</x:v>
      </x:c>
      <x:c r="R69" s="5" t="str">
        <x:v>search_index</x:v>
      </x:c>
      <x:c r="S69" s="12" t="n">
        <x:v>46296</x:v>
      </x:c>
      <x:c r="T69" s="5" t="str">
        <x:v>При открытии 403; доступ к учебным материалам может требовать авторизации. Московский и тольяттинский адреса не посчитаны отдельными КУ.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6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69" s="5" t="str">
        <x:v>обучение дилеров; продажи; клиентский сервис; управление; электронные курсы; АО «АВТОВАЗ»; обучение; запрос предложений; внешний тренер; методолог; электронный курс</x:v>
      </x:c>
      <x:c r="W69" s="5" t="str">
        <x:v>LADA Академия и КУ Группы АВТОВАЗ требуют проверки организационной границы. До уточнения дополнительную структуру не считать; оба набора каналов сохранить.</x:v>
      </x:c>
      <x:c r="X69" s="5" t="str">
        <x:v>cu_ru_industry.json:24</x:v>
      </x:c>
    </x:row>
    <x:row r="70" ht="54" customHeight="1">
      <x:c r="A70" s="5" t="str">
        <x:v>CU-0065</x:v>
      </x:c>
      <x:c r="B70" s="5" t="str">
        <x:v>main_200</x:v>
      </x:c>
      <x:c r="C70" s="5" t="str">
        <x:v>Корпоративная академия Роскосмоса</x:v>
      </x:c>
      <x:c r="D70" s="5" t="str">
        <x:v>RU</x:v>
      </x:c>
      <x:c r="E70" s="5" t="str">
        <x:v>corporate_academy</x:v>
      </x:c>
      <x:c r="F70" s="5" t="str">
        <x:v>АНО «Корпоративная Академия Роскосмоса»</x:v>
      </x:c>
      <x:c r="G70" s="5" t="str">
        <x:v>Роскосмос</x:v>
      </x:c>
      <x:c r="H70" s="5" t="str">
        <x:v>Москва</x:v>
      </x:c>
      <x:c r="I70" s="5" t="str">
        <x:v>Ракетно-космическая промышленность</x:v>
      </x:c>
      <x:c r="J70" s="5" t="str">
        <x:v>Руководители, специалисты и сотрудники группы; конкретные аудитории уточнить по программам</x:v>
      </x:c>
      <x:c r="K70" s="5" t="str">
        <x:v>анализ данных; Excel; наставничество; логистика; управленческие навыки; электронные курсы</x:v>
      </x:c>
      <x:c r="L70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70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70" s="5" t="str">
        <x:v>Руководитель КУ/учебного центра; HRD; руководитель обучения и развития; методолог; закупщик образовательных услуг</x:v>
      </x:c>
      <x:c r="O70" s="5" t="str">
        <x:v>https://rcacademy.ru/</x:v>
      </x:c>
      <x:c r="P70" s="5" t="str">
        <x:v>https://rcacademy.ru/</x:v>
      </x:c>
      <x:c r="Q70" s="5" t="str">
        <x:v>Прочитан действующий сайт академии: программы, новости и партнёрства; среди тем — Excel и наставничество.</x:v>
      </x:c>
      <x:c r="R70" s="5" t="str">
        <x:v>content_read</x:v>
      </x:c>
      <x:c r="S70" s="12" t="n">
        <x:v>46296</x:v>
      </x:c>
      <x:c r="T70" s="5" t="str">
        <x:v>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7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70" s="5" t="str">
        <x:v>анализ данных; Excel; наставничество; логистика; управленческие навыки; электронные курсы; АНО «Корпоративная Академия Роскосмоса»; обучение; запрос предложений; внешний тренер; методолог; электронный курс</x:v>
      </x:c>
      <x:c r="W70" s="5" t="str">
        <x:v>Именованная структура с подтверждением; отбор по стране, очереди и типу. Это не оценка вероятности заказа.</x:v>
      </x:c>
      <x:c r="X70" s="5" t="str">
        <x:v>cu_ru_industry.json:25</x:v>
      </x:c>
    </x:row>
    <x:row r="71" ht="54" customHeight="1">
      <x:c r="A71" s="5" t="str">
        <x:v>CU-0066</x:v>
      </x:c>
      <x:c r="B71" s="5" t="str">
        <x:v>main_200</x:v>
      </x:c>
      <x:c r="C71" s="5" t="str">
        <x:v>Корпоративный университет ОСК</x:v>
      </x:c>
      <x:c r="D71" s="5" t="str">
        <x:v>RU</x:v>
      </x:c>
      <x:c r="E71" s="5" t="str">
        <x:v>corporate_university</x:v>
      </x:c>
      <x:c r="F71" s="5" t="str">
        <x:v>АО «Объединённая судостроительная корпорация»</x:v>
      </x:c>
      <x:c r="G71" s="5" t="str">
        <x:v>ОСК</x:v>
      </x:c>
      <x:c r="H71" s="5" t="str">
        <x:v>Не установлено</x:v>
      </x:c>
      <x:c r="I71" s="5" t="str">
        <x:v>Судостроение</x:v>
      </x:c>
      <x:c r="J71" s="5" t="str">
        <x:v>Руководители, специалисты и сотрудники группы; конкретные аудитории уточнить по программам</x:v>
      </x:c>
      <x:c r="K71" s="5" t="str">
        <x:v>производственный менеджмент; кадровый резерв; управление проектами; лидерство; электронные курсы</x:v>
      </x:c>
      <x:c r="L71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71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71" s="5" t="str">
        <x:v>Руководитель КУ/учебного центра; HRD; руководитель обучения и развития; методолог; закупщик образовательных услуг</x:v>
      </x:c>
      <x:c r="O71" s="5" t="str">
        <x:v>https://www.aoosk.ru/press-center/exhibition/eksperty-rasskazali-o-proektakh-osk-na-mezhdunarodnom-forume/</x:v>
      </x:c>
      <x:c r="P71" s="5" t="str">
        <x:v>https://www.aoosk.ru/press-center/exhibition/eksperty-rasskazali-o-proektakh-osk-na-mezhdunarodnom-forume/</x:v>
      </x:c>
      <x:c r="Q71" s="5" t="str">
        <x:v>Официальная новость называет КУ элементом системы внутреннего обучения ОСК.</x:v>
      </x:c>
      <x:c r="R71" s="5" t="str">
        <x:v>search_index</x:v>
      </x:c>
      <x:c r="S71" s="12" t="n">
        <x:v>46296</x:v>
      </x:c>
      <x:c r="T71" s="5" t="str">
        <x:v>Модель университета могла меняться; перед предложением установить актуального оператора и руководителя.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7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71" s="5" t="str">
        <x:v>производственный менеджмент; кадровый резерв; управление проектами; лидерство; электронные курсы; АО «Объединённая судостроительная корпорация»; обучение; запрос предложений; внешний тренер; методолог; электронный курс</x:v>
      </x:c>
      <x:c r="W71" s="5" t="str">
        <x:v>Именованная структура с подтверждением; отбор по стране, очереди и типу. Это не оценка вероятности заказа.</x:v>
      </x:c>
      <x:c r="X71" s="5" t="str">
        <x:v>cu_ru_industry.json:26</x:v>
      </x:c>
    </x:row>
    <x:row r="72" ht="54" customHeight="1">
      <x:c r="A72" s="5" t="str">
        <x:v>CU-0067</x:v>
      </x:c>
      <x:c r="B72" s="5" t="str">
        <x:v>main_200</x:v>
      </x:c>
      <x:c r="C72" s="5" t="str">
        <x:v>Университет ТМХ</x:v>
      </x:c>
      <x:c r="D72" s="5" t="str">
        <x:v>RU</x:v>
      </x:c>
      <x:c r="E72" s="5" t="str">
        <x:v>corporate_university</x:v>
      </x:c>
      <x:c r="F72" s="5" t="str">
        <x:v>Трансмашхолдинг</x:v>
      </x:c>
      <x:c r="G72" s="5" t="str">
        <x:v>ТМХ</x:v>
      </x:c>
      <x:c r="H72" s="5" t="str">
        <x:v>Не установлено</x:v>
      </x:c>
      <x:c r="I72" s="5" t="str">
        <x:v>Транспортное машиностроение</x:v>
      </x:c>
      <x:c r="J72" s="5" t="str">
        <x:v>Руководители, специалисты и сотрудники группы; конкретные аудитории уточнить по программам</x:v>
      </x:c>
      <x:c r="K72" s="5" t="str">
        <x:v>менеджмент; управление проектами; наставничество; развитие специалистов; цифровое обучение</x:v>
      </x:c>
      <x:c r="L72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72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72" s="5" t="str">
        <x:v>Руководитель КУ/учебного центра; HRD; руководитель обучения и развития; методолог; закупщик образовательных услуг</x:v>
      </x:c>
      <x:c r="O72" s="5" t="str">
        <x:v>https://tmh-university.ru/</x:v>
      </x:c>
      <x:c r="P72" s="5" t="str">
        <x:v>https://tmh-university.ru/</x:v>
      </x:c>
      <x:c r="Q72" s="5" t="str">
        <x:v>Собственный сайт университета индексируется, в партнёрах указан Трансмашхолдинг и предприятия группы.</x:v>
      </x:c>
      <x:c r="R72" s="5" t="str">
        <x:v>search_index</x:v>
      </x:c>
      <x:c r="S72" s="12" t="n">
        <x:v>46296</x:v>
      </x:c>
      <x:c r="T72" s="5" t="str">
        <x:v>Открытие сайта завершилось тайм-аутом; точные организационные реквизиты и актуальный закупочный маршрут уточнить.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7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72" s="5" t="str">
        <x:v>менеджмент; управление проектами; наставничество; развитие специалистов; цифровое обучение; Трансмашхолдинг; обучение; запрос предложений; внешний тренер; методолог; электронный курс</x:v>
      </x:c>
      <x:c r="W72" s="5" t="str">
        <x:v>Именованная структура с подтверждением; отбор по стране, очереди и типу. Это не оценка вероятности заказа.</x:v>
      </x:c>
      <x:c r="X72" s="5" t="str">
        <x:v>cu_ru_industry.json:27</x:v>
      </x:c>
    </x:row>
    <x:row r="73" ht="54" customHeight="1">
      <x:c r="A73" s="5" t="str">
        <x:v>CU-0068</x:v>
      </x:c>
      <x:c r="B73" s="5" t="str">
        <x:v>main_200</x:v>
      </x:c>
      <x:c r="C73" s="5" t="str">
        <x:v>Корпоративный университет ОАК</x:v>
      </x:c>
      <x:c r="D73" s="5" t="str">
        <x:v>RU</x:v>
      </x:c>
      <x:c r="E73" s="5" t="str">
        <x:v>corporate_university</x:v>
      </x:c>
      <x:c r="F73" s="5" t="str">
        <x:v>ПАО «Объединённая авиастроительная корпорация»</x:v>
      </x:c>
      <x:c r="G73" s="5" t="str">
        <x:v>ОАК / Ростех</x:v>
      </x:c>
      <x:c r="H73" s="5" t="str">
        <x:v>Не установлено</x:v>
      </x:c>
      <x:c r="I73" s="5" t="str">
        <x:v>Авиастроение</x:v>
      </x:c>
      <x:c r="J73" s="5" t="str">
        <x:v>Руководители, специалисты и сотрудники группы; конкретные аудитории уточнить по программам</x:v>
      </x:c>
      <x:c r="K73" s="5" t="str">
        <x:v>менеджмент; управление изменениями; проекты; бережливое производство; цифровые курсы; наставничество</x:v>
      </x:c>
      <x:c r="L73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73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73" s="5" t="str">
        <x:v>Руководитель КУ/учебного центра; HRD; руководитель обучения и развития; методолог; закупщик образовательных услуг</x:v>
      </x:c>
      <x:c r="O73" s="5" t="str">
        <x:v>https://uacrussia.ru/ru/corporation/personnel-policy/sustained-education/</x:v>
      </x:c>
      <x:c r="P73" s="5" t="str">
        <x:v>https://uacrussia.ru/ru/corporation/personnel-policy/sustained-education/</x:v>
      </x:c>
      <x:c r="Q73" s="5" t="str">
        <x:v>Официальная страница системы непрерывного обучения перечисляет принципы корпоративного университета ОАК.</x:v>
      </x:c>
      <x:c r="R73" s="5" t="str">
        <x:v>search_index</x:v>
      </x:c>
      <x:c r="S73" s="12" t="n">
        <x:v>46296</x:v>
      </x:c>
      <x:c r="T73" s="5" t="str">
        <x:v>Страница не извлечена при открытии, подтверждение в поисковом индексе.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7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73" s="5" t="str">
        <x:v>менеджмент; управление изменениями; проекты; бережливое производство; цифровые курсы; наставничество; ПАО «Объединённая авиастроительная корпорация»; обучение; запрос предложений; внешний тренер; методолог; электронный курс</x:v>
      </x:c>
      <x:c r="W73" s="5" t="str">
        <x:v>Именованная структура с подтверждением; отбор по стране, очереди и типу. Это не оценка вероятности заказа.</x:v>
      </x:c>
      <x:c r="X73" s="5" t="str">
        <x:v>cu_ru_industry.json:28</x:v>
      </x:c>
    </x:row>
    <x:row r="74" ht="54" customHeight="1">
      <x:c r="A74" s="5" t="str">
        <x:v>CU-0069</x:v>
      </x:c>
      <x:c r="B74" s="5" t="str">
        <x:v>main_200</x:v>
      </x:c>
      <x:c r="C74" s="5" t="str">
        <x:v>Учебный центр «Силовых машин»</x:v>
      </x:c>
      <x:c r="D74" s="5" t="str">
        <x:v>RU</x:v>
      </x:c>
      <x:c r="E74" s="5" t="str">
        <x:v>company_training_center</x:v>
      </x:c>
      <x:c r="F74" s="5" t="str">
        <x:v>АО «Силовые машины»</x:v>
      </x:c>
      <x:c r="G74" s="5" t="str">
        <x:v>Силовые машины</x:v>
      </x:c>
      <x:c r="H74" s="5" t="str">
        <x:v>Санкт-Петербург</x:v>
      </x:c>
      <x:c r="I74" s="5" t="str">
        <x:v>Энергетическое машиностроение</x:v>
      </x:c>
      <x:c r="J74" s="5" t="str">
        <x:v>Руководители, специалисты и сотрудники группы; конкретные аудитории уточнить по программам</x:v>
      </x:c>
      <x:c r="K74" s="5" t="str">
        <x:v>методология; внутренние преподаватели; цифровые курсы; развитие руководителей и специалистов</x:v>
      </x:c>
      <x:c r="L74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74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74" s="5" t="str">
        <x:v>Руководитель КУ/учебного центра; HRD; руководитель обучения и развития; методолог; закупщик образовательных услуг</x:v>
      </x:c>
      <x:c r="O74" s="5" t="str">
        <x:v>https://power-m.ru/company/training-center/</x:v>
      </x:c>
      <x:c r="P74" s="5" t="str">
        <x:v>https://power-m.ru/company/training-center/</x:v>
      </x:c>
      <x:c r="Q74" s="5" t="str">
        <x:v>Официальный сайт учебного центра раскрывает программы, руководство и образовательную деятельность.</x:v>
      </x:c>
      <x:c r="R74" s="5" t="str">
        <x:v>content_read</x:v>
      </x:c>
      <x:c r="S74" s="12" t="n">
        <x:v>46296</x:v>
      </x:c>
      <x:c r="T74" s="5" t="str">
        <x:v>Основная страница не доказывает самостоятельный бюджет на бизнес-обучение; уточнить роль центра.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7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74" s="5" t="str">
        <x:v>методология; внутренние преподаватели; цифровые курсы; развитие руководителей и специалистов; АО «Силовые машины»; обучение; запрос предложений; внешний тренер; методолог; электронный курс</x:v>
      </x:c>
      <x:c r="W74" s="5" t="str">
        <x:v>Именованная структура с подтверждением; отбор по стране, очереди и типу. Это не оценка вероятности заказа.</x:v>
      </x:c>
      <x:c r="X74" s="5" t="str">
        <x:v>cu_ru_industry.json:29</x:v>
      </x:c>
    </x:row>
    <x:row r="75" ht="54" customHeight="1">
      <x:c r="A75" s="5" t="str">
        <x:v>CU-0070</x:v>
      </x:c>
      <x:c r="B75" s="5" t="str">
        <x:v>reserve</x:v>
      </x:c>
      <x:c r="C75" s="5" t="str">
        <x:v>Учебный центр Ростсельмаш</x:v>
      </x:c>
      <x:c r="D75" s="5" t="str">
        <x:v>RU</x:v>
      </x:c>
      <x:c r="E75" s="5" t="str">
        <x:v>company_training_center</x:v>
      </x:c>
      <x:c r="F75" s="5" t="str">
        <x:v>ООО «Комбайновый завод «Ростсельмаш»</x:v>
      </x:c>
      <x:c r="G75" s="5" t="str">
        <x:v>Ростсельмаш</x:v>
      </x:c>
      <x:c r="H75" s="5" t="str">
        <x:v>Ростов-на-Дону</x:v>
      </x:c>
      <x:c r="I75" s="5" t="str">
        <x:v>Сельхозмашиностроение</x:v>
      </x:c>
      <x:c r="J75" s="5" t="str">
        <x:v>Руководители, специалисты и сотрудники группы; конкретные аудитории уточнить по программам</x:v>
      </x:c>
      <x:c r="K75" s="5" t="str">
        <x:v>обучение дилеров; наставничество; электронные курсы; методология; развитие специалистов</x:v>
      </x:c>
      <x:c r="L75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75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75" s="5" t="str">
        <x:v>Руководитель КУ/учебного центра; HRD; руководитель обучения и развития; методолог; закупщик образовательных услуг</x:v>
      </x:c>
      <x:c r="O75" s="5" t="str">
        <x:v>https://careers.rostselmash.com/programs/</x:v>
      </x:c>
      <x:c r="P75" s="5" t="str">
        <x:v>https://careers.rostselmash.com/programs/</x:v>
      </x:c>
      <x:c r="Q75" s="5" t="str">
        <x:v>Карьерный сайт подтверждает учебный центр компании, работающий на её учебной и материальной базе.</x:v>
      </x:c>
      <x:c r="R75" s="5" t="str">
        <x:v>search_index</x:v>
      </x:c>
      <x:c r="S75" s="12" t="n">
        <x:v>46296</x:v>
      </x:c>
      <x:c r="T75" s="5" t="str">
        <x:v>Основное подтверждённое обучение связано с производственными профессиями; управленческий заказ — гипотеза, не готовый лид.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75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75" s="5" t="str">
        <x:v>обучение дилеров; наставничество; электронные курсы; методология; развитие специалистов; ООО «Комбайновый завод «Ростсельмаш»; обучение; запрос предложений; внешний тренер; методолог; электронный курс</x:v>
      </x:c>
      <x:c r="W75" s="5" t="str">
        <x:v>Дополнительная подтвержденная структура сверх основной выборки; продолжать мониторинг.</x:v>
      </x:c>
      <x:c r="X75" s="5" t="str">
        <x:v>cu_ru_industry.json:30</x:v>
      </x:c>
    </x:row>
    <x:row r="76" ht="54" customHeight="1">
      <x:c r="A76" s="5" t="str">
        <x:v>CU-0071</x:v>
      </x:c>
      <x:c r="B76" s="5" t="str">
        <x:v>main_200</x:v>
      </x:c>
      <x:c r="C76" s="5" t="str">
        <x:v>Корпоративный университет Группы «Илим»</x:v>
      </x:c>
      <x:c r="D76" s="5" t="str">
        <x:v>RU</x:v>
      </x:c>
      <x:c r="E76" s="5" t="str">
        <x:v>corporate_university</x:v>
      </x:c>
      <x:c r="F76" s="5" t="str">
        <x:v>АО «Группа «Илим»</x:v>
      </x:c>
      <x:c r="G76" s="5" t="str">
        <x:v>Илим</x:v>
      </x:c>
      <x:c r="H76" s="5" t="str">
        <x:v>Не установлено</x:v>
      </x:c>
      <x:c r="I76" s="5" t="str">
        <x:v>Целлюлозно-бумажная промышленность</x:v>
      </x:c>
      <x:c r="J76" s="5" t="str">
        <x:v>Руководители, специалисты и сотрудники группы; конкретные аудитории уточнить по программам</x:v>
      </x:c>
      <x:c r="K76" s="5" t="str">
        <x:v>управленческие компетенции; кадровый резерв; цифровые проекты; наставничество; электронные курсы</x:v>
      </x:c>
      <x:c r="L76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76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76" s="5" t="str">
        <x:v>Руководитель КУ/учебного центра; HRD; руководитель обучения и развития; методолог; закупщик образовательных услуг</x:v>
      </x:c>
      <x:c r="O76" s="5" t="str">
        <x:v>https://www.ilimgroup.ru/career/corporate-university/</x:v>
      </x:c>
      <x:c r="P76" s="5" t="str">
        <x:v>https://www.ilimgroup.ru/career/corporate-university/</x:v>
      </x:c>
      <x:c r="Q76" s="5" t="str">
        <x:v>Официальный раздел КУ определяет его как центр развития компетенций и карьерного роста.</x:v>
      </x:c>
      <x:c r="R76" s="5" t="str">
        <x:v>search_index</x:v>
      </x:c>
      <x:c r="S76" s="12" t="n">
        <x:v>46296</x:v>
      </x:c>
      <x:c r="T76" s="5" t="str">
        <x:v>Страница при открытии не дала содержательного текста, подтверждение по официальному поисковому индексу.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76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76" s="5" t="str">
        <x:v>управленческие компетенции; кадровый резерв; цифровые проекты; наставничество; электронные курсы; АО «Группа «Илим»; обучение; запрос предложений; внешний тренер; методолог; электронный курс</x:v>
      </x:c>
      <x:c r="W76" s="5" t="str">
        <x:v>Именованная структура с подтверждением; отбор по стране, очереди и типу. Это не оценка вероятности заказа.</x:v>
      </x:c>
      <x:c r="X76" s="5" t="str">
        <x:v>cu_ru_industry.json:31</x:v>
      </x:c>
    </x:row>
    <x:row r="77" ht="54" customHeight="1">
      <x:c r="A77" s="5" t="str">
        <x:v>CU-0072</x:v>
      </x:c>
      <x:c r="B77" s="5" t="str">
        <x:v>main_200</x:v>
      </x:c>
      <x:c r="C77" s="5" t="str">
        <x:v>Корпоративный университет Асконы</x:v>
      </x:c>
      <x:c r="D77" s="5" t="str">
        <x:v>RU</x:v>
      </x:c>
      <x:c r="E77" s="5" t="str">
        <x:v>corporate_university</x:v>
      </x:c>
      <x:c r="F77" s="5" t="str">
        <x:v>Askona Life Group</x:v>
      </x:c>
      <x:c r="G77" s="5" t="str">
        <x:v>Askona Life Group</x:v>
      </x:c>
      <x:c r="H77" s="5" t="str">
        <x:v>Ковров</x:v>
      </x:c>
      <x:c r="I77" s="5" t="str">
        <x:v>Производство мебели и товаров для сна</x:v>
      </x:c>
      <x:c r="J77" s="5" t="str">
        <x:v>Руководители, специалисты и сотрудники группы; конкретные аудитории уточнить по программам</x:v>
      </x:c>
      <x:c r="K77" s="5" t="str">
        <x:v>ИИ для бизнеса; управление; клиентский сервис; продажи; кадровый резерв; электронные курсы</x:v>
      </x:c>
      <x:c r="L77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77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77" s="5" t="str">
        <x:v>Руководитель КУ/учебного центра; HRD; руководитель обучения и развития; методолог; закупщик образовательных услуг</x:v>
      </x:c>
      <x:c r="O77" s="5" t="str">
        <x:v>https://almetevsk.askona.ru/news/company/askona-predstavila-svoyu-ekspertizu-na-pmef-2026/</x:v>
      </x:c>
      <x:c r="P77" s="5" t="str">
        <x:v>https://almetevsk.askona.ru/news/company/askona-predstavila-svoyu-ekspertizu-na-pmef-2026/</x:v>
      </x:c>
      <x:c r="Q77" s="5" t="str">
        <x:v>Официальная новость Асконы указывает, что обучение работе с нейросетями проходит через корпоративный университет компании.</x:v>
      </x:c>
      <x:c r="R77" s="5" t="str">
        <x:v>search_index</x:v>
      </x:c>
      <x:c r="S77" s="12" t="n">
        <x:v>46296</x:v>
      </x:c>
      <x:c r="T77" s="5" t="str">
        <x:v>Региональный поддомен официального сайта — зеркало общей новости; не считать отдельным университетом.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77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77" s="5" t="str">
        <x:v>ИИ для бизнеса; управление; клиентский сервис; продажи; кадровый резерв; электронные курсы; Askona Life Group; обучение; запрос предложений; внешний тренер; методолог; электронный курс</x:v>
      </x:c>
      <x:c r="W77" s="5" t="str">
        <x:v>Именованная структура с подтверждением; отбор по стране, очереди и типу. Это не оценка вероятности заказа.</x:v>
      </x:c>
      <x:c r="X77" s="5" t="str">
        <x:v>cu_ru_industry.json:32</x:v>
      </x:c>
    </x:row>
    <x:row r="78" ht="65.25" customHeight="1">
      <x:c r="A78" s="5" t="str">
        <x:v>CU-0073</x:v>
      </x:c>
      <x:c r="B78" s="5" t="str">
        <x:v>main_200</x:v>
      </x:c>
      <x:c r="C78" s="5" t="str">
        <x:v>Технологический университет ЕвроХима</x:v>
      </x:c>
      <x:c r="D78" s="5" t="str">
        <x:v>RU</x:v>
      </x:c>
      <x:c r="E78" s="5" t="str">
        <x:v>corporate_university</x:v>
      </x:c>
      <x:c r="F78" s="5" t="str">
        <x:v>АО «МХК «ЕвроХим»</x:v>
      </x:c>
      <x:c r="G78" s="5" t="str">
        <x:v>ЕвроХим</x:v>
      </x:c>
      <x:c r="H78" s="5" t="str">
        <x:v>Не установлено</x:v>
      </x:c>
      <x:c r="I78" s="5" t="str">
        <x:v>Минеральные удобрения</x:v>
      </x:c>
      <x:c r="J78" s="5" t="str">
        <x:v>Руководители, специалисты и сотрудники группы; конкретные аудитории уточнить по программам</x:v>
      </x:c>
      <x:c r="K78" s="5" t="str">
        <x:v>развитие специалистов; управление; непрерывное обучение; электронные курсы; методология</x:v>
      </x:c>
      <x:c r="L78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78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78" s="5" t="str">
        <x:v>Руководитель КУ/учебного центра; HRD; руководитель обучения и развития; методолог; закупщик образовательных услуг</x:v>
      </x:c>
      <x:c r="O78" s="5" t="str">
        <x:v>https://t.me/s/eurochemofficial/1469</x:v>
      </x:c>
      <x:c r="P78" s="5" t="str">
        <x:v>https://t.me/s/eurochemofficial/1469</x:v>
      </x:c>
      <x:c r="Q78" s="5" t="str">
        <x:v>Прочитана публичная лента официального канала: подтверждены Технологический университет, начавшееся обучение и онлайн-модули; точный пост https://t.me/eurochemofficial/1474 .</x:v>
      </x:c>
      <x:c r="R78" s="5" t="str">
        <x:v>content_read</x:v>
      </x:c>
      <x:c r="S78" s="12" t="n">
        <x:v>46296</x:v>
      </x:c>
      <x:c r="T78" s="5" t="str">
        <x:v>Подтверждён преимущественно производственный профиль; развивать маршрут к методологии и цифровому контенту, не приписывать общий бизнес-портфель. Доказательство из корпоративного Telegram; найти текущую страницу оператора и формальный порядок работы с внешними поставщиками.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7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78" s="5" t="str">
        <x:v>развитие специалистов; управление; непрерывное обучение; электронные курсы; методология; АО «МХК «ЕвроХим»; обучение; запрос предложений; внешний тренер; методолог; электронный курс</x:v>
      </x:c>
      <x:c r="W78" s="5" t="str">
        <x:v>Именованная структура с подтверждением; отбор по стране, очереди и типу. Это не оценка вероятности заказа.</x:v>
      </x:c>
      <x:c r="X78" s="5" t="str">
        <x:v>cu_ru_industry.json:33</x:v>
      </x:c>
    </x:row>
    <x:row r="79" ht="54" customHeight="1">
      <x:c r="A79" s="5" t="str">
        <x:v>CU-0074</x:v>
      </x:c>
      <x:c r="B79" s="5" t="str">
        <x:v>reserve</x:v>
      </x:c>
      <x:c r="C79" s="5" t="str">
        <x:v>Образовательный центр Сегежского ЦБК</x:v>
      </x:c>
      <x:c r="D79" s="5" t="str">
        <x:v>RU</x:v>
      </x:c>
      <x:c r="E79" s="5" t="str">
        <x:v>company_training_center</x:v>
      </x:c>
      <x:c r="F79" s="5" t="str">
        <x:v>АО «Сегежский ЦБК»</x:v>
      </x:c>
      <x:c r="G79" s="5" t="str">
        <x:v>Segezha Group</x:v>
      </x:c>
      <x:c r="H79" s="5" t="str">
        <x:v>Сегежа</x:v>
      </x:c>
      <x:c r="I79" s="5" t="str">
        <x:v>Целлюлозно-бумажная промышленность</x:v>
      </x:c>
      <x:c r="J79" s="5" t="str">
        <x:v>Руководители, специалисты и сотрудники группы; конкретные аудитории уточнить по программам</x:v>
      </x:c>
      <x:c r="K79" s="5" t="str">
        <x:v>наставники; методология; электронные учебные материалы; развитие специалистов</x:v>
      </x:c>
      <x:c r="L79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79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79" s="5" t="str">
        <x:v>Руководитель КУ/учебного центра; HRD; руководитель обучения и развития; методолог; закупщик образовательных услуг</x:v>
      </x:c>
      <x:c r="O79" s="5" t="str">
        <x:v>https://segezha-group.com/about/factory/scbk-educational-center/</x:v>
      </x:c>
      <x:c r="P79" s="5" t="str">
        <x:v>https://segezha-group.com/about/factory/scbk-educational-center/</x:v>
      </x:c>
      <x:c r="Q79" s="5" t="str">
        <x:v>Официальная страница центра раскрывает обучение при подразделении подбора и развития персонала комбината.</x:v>
      </x:c>
      <x:c r="R79" s="5" t="str">
        <x:v>search_index</x:v>
      </x:c>
      <x:c r="S79" s="12" t="n">
        <x:v>46296</x:v>
      </x:c>
      <x:c r="T79" s="5" t="str">
        <x:v>Подтвержден преимущественно рабочий профиль. Не выдавать этот центр за корпоративный университет всей Segezha Group.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7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79" s="5" t="str">
        <x:v>наставники; методология; электронные учебные материалы; развитие специалистов; АО «Сегежский ЦБК»; обучение; запрос предложений; внешний тренер; методолог; электронный курс</x:v>
      </x:c>
      <x:c r="W79" s="5" t="str">
        <x:v>Дополнительная подтвержденная структура сверх основной выборки; продолжать мониторинг.</x:v>
      </x:c>
      <x:c r="X79" s="5" t="str">
        <x:v>cu_ru_industry.json:34</x:v>
      </x:c>
    </x:row>
    <x:row r="80" ht="54" customHeight="1">
      <x:c r="A80" s="5" t="str">
        <x:v>CU-0075</x:v>
      </x:c>
      <x:c r="B80" s="5" t="str">
        <x:v>main_200</x:v>
      </x:c>
      <x:c r="C80" s="5" t="str">
        <x:v>НОЦ ВКО «Алмаз-Антей» им. академика В.П. Ефремова</x:v>
      </x:c>
      <x:c r="D80" s="5" t="str">
        <x:v>RU</x:v>
      </x:c>
      <x:c r="E80" s="5" t="str">
        <x:v>industry_training_center</x:v>
      </x:c>
      <x:c r="F80" s="5" t="str">
        <x:v>АНО ДПО «НОЦ ВКО «Алмаз-Антей»</x:v>
      </x:c>
      <x:c r="G80" s="5" t="str">
        <x:v>Алмаз-Антей</x:v>
      </x:c>
      <x:c r="H80" s="5" t="str">
        <x:v>Москва</x:v>
      </x:c>
      <x:c r="I80" s="5" t="str">
        <x:v>Промышленный холдинг</x:v>
      </x:c>
      <x:c r="J80" s="5" t="str">
        <x:v>Руководители, специалисты и сотрудники группы; конкретные аудитории уточнить по программам</x:v>
      </x:c>
      <x:c r="K80" s="5" t="str">
        <x:v>управление проектами; экономика; закупки; качество; цифровые компетенции; электронное обучение</x:v>
      </x:c>
      <x:c r="L80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80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80" s="5" t="str">
        <x:v>Руководитель КУ/учебного центра; HRD; руководитель обучения и развития; методолог; закупщик образовательных услуг</x:v>
      </x:c>
      <x:c r="O80" s="5" t="str">
        <x:v>https://nocvko.ru/</x:v>
      </x:c>
      <x:c r="P80" s="5" t="str">
        <x:v>https://nocvko.ru/</x:v>
      </x:c>
      <x:c r="Q80" s="5" t="str">
        <x:v>Прочитан собственный сайт центра с программами ДПО, графиком обучения, партнёрами и контактами.</x:v>
      </x:c>
      <x:c r="R80" s="5" t="str">
        <x:v>content_read</x:v>
      </x:c>
      <x:c r="S80" s="12" t="n">
        <x:v>46296</x:v>
      </x:c>
      <x:c r="T80" s="5" t="str">
        <x:v>Отраслевой центр, формально не называется корпоративным университетом.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8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80" s="5" t="str">
        <x:v>управление проектами; экономика; закупки; качество; цифровые компетенции; электронное обучение; АНО ДПО «НОЦ ВКО «Алмаз-Антей»; обучение; запрос предложений; внешний тренер; методолог; электронный курс</x:v>
      </x:c>
      <x:c r="W80" s="5" t="str">
        <x:v>Именованная структура с подтверждением; отбор по стране, очереди и типу. Это не оценка вероятности заказа.</x:v>
      </x:c>
      <x:c r="X80" s="5" t="str">
        <x:v>cu_ru_industry.json:35</x:v>
      </x:c>
    </x:row>
    <x:row r="81" ht="54" customHeight="1">
      <x:c r="A81" s="5" t="str">
        <x:v>CU-0076</x:v>
      </x:c>
      <x:c r="B81" s="5" t="str">
        <x:v>main_200</x:v>
      </x:c>
      <x:c r="C81" s="5" t="str">
        <x:v>Научно-образовательный центр Обуховского завода</x:v>
      </x:c>
      <x:c r="D81" s="5" t="str">
        <x:v>RU</x:v>
      </x:c>
      <x:c r="E81" s="5" t="str">
        <x:v>company_training_center</x:v>
      </x:c>
      <x:c r="F81" s="5" t="str">
        <x:v>АО «НПО «Обуховский завод»</x:v>
      </x:c>
      <x:c r="G81" s="5" t="str">
        <x:v>Алмаз-Антей</x:v>
      </x:c>
      <x:c r="H81" s="5" t="str">
        <x:v>Санкт-Петербург</x:v>
      </x:c>
      <x:c r="I81" s="5" t="str">
        <x:v>Промышленное машиностроение</x:v>
      </x:c>
      <x:c r="J81" s="5" t="str">
        <x:v>Руководители, специалисты и сотрудники группы; конкретные аудитории уточнить по программам</x:v>
      </x:c>
      <x:c r="K81" s="5" t="str">
        <x:v>обучение специалистов; управление качеством; наставники; электронный контент; развитие руководителей</x:v>
      </x:c>
      <x:c r="L81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81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81" s="5" t="str">
        <x:v>Руководитель КУ/учебного центра; HRD; руководитель обучения и развития; методолог; закупщик образовательных услуг</x:v>
      </x:c>
      <x:c r="O81" s="5" t="str">
        <x:v>https://noc.goz.ru/</x:v>
      </x:c>
      <x:c r="P81" s="5" t="str">
        <x:v>https://noc.goz.ru/</x:v>
      </x:c>
      <x:c r="Q81" s="5" t="str">
        <x:v>Индекс собственного сайта подтверждает НОЦ АО «НПО «Обуховский завод», отдельного предприятия группы.</x:v>
      </x:c>
      <x:c r="R81" s="5" t="str">
        <x:v>search_index</x:v>
      </x:c>
      <x:c r="S81" s="12" t="n">
        <x:v>46296</x:v>
      </x:c>
      <x:c r="T81" s="5" t="str">
        <x:v>Открытие вернуло 403. Не сливать с московским НОЦ ВКО: это отдельная структура при предприятии, самостоятельность закупок уточнить.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8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81" s="5" t="str">
        <x:v>обучение специалистов; управление качеством; наставники; электронный контент; развитие руководителей; АО «НПО «Обуховский завод»; обучение; запрос предложений; внешний тренер; методолог; электронный курс</x:v>
      </x:c>
      <x:c r="W81" s="5" t="str">
        <x:v>Именованная структура с подтверждением; отбор по стране, очереди и типу. Это не оценка вероятности заказа.</x:v>
      </x:c>
      <x:c r="X81" s="5" t="str">
        <x:v>cu_ru_industry.json:36</x:v>
      </x:c>
    </x:row>
    <x:row r="82" ht="54" customHeight="1">
      <x:c r="A82" s="5" t="str">
        <x:v>CU-0077</x:v>
      </x:c>
      <x:c r="B82" s="5" t="str">
        <x:v>main_200</x:v>
      </x:c>
      <x:c r="C82" s="5" t="str">
        <x:v>Региональный центр подготовки персонала «Евраз-Сибирь»</x:v>
      </x:c>
      <x:c r="D82" s="5" t="str">
        <x:v>RU</x:v>
      </x:c>
      <x:c r="E82" s="5" t="str">
        <x:v>company_training_center</x:v>
      </x:c>
      <x:c r="F82" s="5" t="str">
        <x:v>ЧОУ ДПО «РЦПП «Евраз-Сибирь»</x:v>
      </x:c>
      <x:c r="G82" s="5" t="str">
        <x:v>ЕВРАЗ</x:v>
      </x:c>
      <x:c r="H82" s="5" t="str">
        <x:v>Новокузнецк</x:v>
      </x:c>
      <x:c r="I82" s="5" t="str">
        <x:v>Металлургия</x:v>
      </x:c>
      <x:c r="J82" s="5" t="str">
        <x:v>Руководители, специалисты и сотрудники группы; конкретные аудитории уточнить по программам</x:v>
      </x:c>
      <x:c r="K82" s="5" t="str">
        <x:v>развитие руководителей и специалистов; наставничество; методология взрослых; электронные курсы</x:v>
      </x:c>
      <x:c r="L82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82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82" s="5" t="str">
        <x:v>Руководитель КУ/учебного центра; HRD; руководитель обучения и развития; методолог; закупщик образовательных услуг</x:v>
      </x:c>
      <x:c r="O82" s="5" t="str">
        <x:v>https://www.rcpp.ru/sveden/istoriya-tsentra</x:v>
      </x:c>
      <x:c r="P82" s="5" t="str">
        <x:v>https://www.rcpp.ru/sveden/istoriya-tsentra</x:v>
      </x:c>
      <x:c r="Q82" s="5" t="str">
        <x:v>Официальная история подтверждает создание центра объединением учебных подразделений металлургических предприятий ЕВРАЗа.</x:v>
      </x:c>
      <x:c r="R82" s="5" t="str">
        <x:v>content_read</x:v>
      </x:c>
      <x:c r="S82" s="12" t="n">
        <x:v>46296</x:v>
      </x:c>
      <x:c r="T82" s="5" t="str">
        <x:v>Преобладают производственные темы, но отдельно опубликованы графики для руководителей и специалистов.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8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82" s="5" t="str">
        <x:v>развитие руководителей и специалистов; наставничество; методология взрослых; электронные курсы; ЧОУ ДПО «РЦПП «Евраз-Сибирь»; обучение; запрос предложений; внешний тренер; методолог; электронный курс</x:v>
      </x:c>
      <x:c r="W82" s="5" t="str">
        <x:v>Именованная структура с подтверждением; отбор по стране, очереди и типу. Это не оценка вероятности заказа.</x:v>
      </x:c>
      <x:c r="X82" s="5" t="str">
        <x:v>cu_ru_industry.json:37</x:v>
      </x:c>
    </x:row>
    <x:row r="83" ht="54" customHeight="1">
      <x:c r="A83" s="5" t="str">
        <x:v>CU-0078</x:v>
      </x:c>
      <x:c r="B83" s="5" t="str">
        <x:v>main_200</x:v>
      </x:c>
      <x:c r="C83" s="5" t="str">
        <x:v>Центр подготовки персонала «Евраз-Урал»</x:v>
      </x:c>
      <x:c r="D83" s="5" t="str">
        <x:v>RU</x:v>
      </x:c>
      <x:c r="E83" s="5" t="str">
        <x:v>company_training_center</x:v>
      </x:c>
      <x:c r="F83" s="5" t="str">
        <x:v>ЧОУ ДПО «ЦПП Евраз-Урал»</x:v>
      </x:c>
      <x:c r="G83" s="5" t="str">
        <x:v>ЕВРАЗ</x:v>
      </x:c>
      <x:c r="H83" s="5" t="str">
        <x:v>Нижний Тагил</x:v>
      </x:c>
      <x:c r="I83" s="5" t="str">
        <x:v>Металлургия</x:v>
      </x:c>
      <x:c r="J83" s="5" t="str">
        <x:v>Руководители, специалисты и сотрудники группы; конкретные аудитории уточнить по программам</x:v>
      </x:c>
      <x:c r="K83" s="5" t="str">
        <x:v>обучение руководителей; наставничество; методология; электронные курсы; менеджмент</x:v>
      </x:c>
      <x:c r="L83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83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83" s="5" t="str">
        <x:v>Руководитель КУ/учебного центра; HRD; руководитель обучения и развития; методолог; закупщик образовательных услуг</x:v>
      </x:c>
      <x:c r="O83" s="5" t="str">
        <x:v>https://cpp-evraz-ural.ru/sveden/common/</x:v>
      </x:c>
      <x:c r="P83" s="5" t="str">
        <x:v>https://cpp-evraz-ural.ru/sveden/common/</x:v>
      </x:c>
      <x:c r="Q83" s="5" t="str">
        <x:v>Собственный сайт в поисковом индексе подтверждает полное наименование образовательной организации.</x:v>
      </x:c>
      <x:c r="R83" s="5" t="str">
        <x:v>search_index</x:v>
      </x:c>
      <x:c r="S83" s="12" t="n">
        <x:v>46296</x:v>
      </x:c>
      <x:c r="T83" s="5" t="str">
        <x:v>Прямое открытие не удалось; проверить разрешённый доступ. Центр отличается от «Евраз-Сибирь».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8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83" s="5" t="str">
        <x:v>обучение руководителей; наставничество; методология; электронные курсы; менеджмент; ЧОУ ДПО «ЦПП Евраз-Урал»; обучение; запрос предложений; внешний тренер; методолог; электронный курс</x:v>
      </x:c>
      <x:c r="W83" s="5" t="str">
        <x:v>Именованная структура с подтверждением; отбор по стране, очереди и типу. Это не оценка вероятности заказа.</x:v>
      </x:c>
      <x:c r="X83" s="5" t="str">
        <x:v>cu_ru_industry.json:38</x:v>
      </x:c>
    </x:row>
    <x:row r="84" ht="54" customHeight="1">
      <x:c r="A84" s="5" t="str">
        <x:v>CU-0079</x:v>
      </x:c>
      <x:c r="B84" s="5" t="str">
        <x:v>main_200</x:v>
      </x:c>
      <x:c r="C84" s="5" t="str">
        <x:v>Учебный центр ЧерМК / отдел по обучению и развитию Северстали</x:v>
      </x:c>
      <x:c r="D84" s="5" t="str">
        <x:v>RU</x:v>
      </x:c>
      <x:c r="E84" s="5" t="str">
        <x:v>company_training_center</x:v>
      </x:c>
      <x:c r="F84" s="5" t="str">
        <x:v>ПАО «Северсталь»</x:v>
      </x:c>
      <x:c r="G84" s="5" t="str">
        <x:v>Северсталь</x:v>
      </x:c>
      <x:c r="H84" s="5" t="str">
        <x:v>Череповец</x:v>
      </x:c>
      <x:c r="I84" s="5" t="str">
        <x:v>Металлургия</x:v>
      </x:c>
      <x:c r="J84" s="5" t="str">
        <x:v>Руководители, специалисты и сотрудники группы; конкретные аудитории уточнить по программам</x:v>
      </x:c>
      <x:c r="K84" s="5" t="str">
        <x:v>развитие специалистов; методология; наставничество; управленческие навыки; электронные курсы</x:v>
      </x:c>
      <x:c r="L84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84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84" s="5" t="str">
        <x:v>Руководитель КУ/учебного центра; HRD; руководитель обучения и развития; методолог; закупщик образовательных услуг</x:v>
      </x:c>
      <x:c r="O84" s="5" t="str">
        <x:v>https://severstal.com/rus/about/structure/businesses/cherepovetskiy-metallurgicheskiy-kombinat/uchebnyy-tsentr-chermk/</x:v>
      </x:c>
      <x:c r="P84" s="5" t="str">
        <x:v>https://severstal.com/rus/about/structure/businesses/cherepovetskiy-metallurgicheskiy-kombinat/uchebnyy-tsentr-chermk/</x:v>
      </x:c>
      <x:c r="Q84" s="5" t="str">
        <x:v>Актуальный официальный раздел раскрывает учебный центр ЧерМК и отдел по обучению и развитию.</x:v>
      </x:c>
      <x:c r="R84" s="5" t="str">
        <x:v>search_index</x:v>
      </x:c>
      <x:c r="S84" s="12" t="n">
        <x:v>46296</x:v>
      </x:c>
      <x:c r="T84" s="5" t="str">
        <x:v>Использован действующий учебный раздел; исторический НОУ «КУ Северсталь» не считается отдельным активным КУ. Открытие страницы инструментом не удалось.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8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84" s="5" t="str">
        <x:v>развитие специалистов; методология; наставничество; управленческие навыки; электронные курсы; ПАО «Северсталь»; обучение; запрос предложений; внешний тренер; методолог; электронный курс</x:v>
      </x:c>
      <x:c r="W84" s="5" t="str">
        <x:v>Именованная структура с подтверждением; отбор по стране, очереди и типу. Это не оценка вероятности заказа.</x:v>
      </x:c>
      <x:c r="X84" s="5" t="str">
        <x:v>cu_ru_industry.json:39</x:v>
      </x:c>
    </x:row>
    <x:row r="85" ht="54" customHeight="1">
      <x:c r="A85" s="5" t="str">
        <x:v>CU-0080</x:v>
      </x:c>
      <x:c r="B85" s="5" t="str">
        <x:v>reserve</x:v>
      </x:c>
      <x:c r="C85" s="5" t="str">
        <x:v>Учебный центр ПАО «Дорогобуж»</x:v>
      </x:c>
      <x:c r="D85" s="5" t="str">
        <x:v>RU</x:v>
      </x:c>
      <x:c r="E85" s="5" t="str">
        <x:v>company_training_center</x:v>
      </x:c>
      <x:c r="F85" s="5" t="str">
        <x:v>ПАО «Дорогобуж»</x:v>
      </x:c>
      <x:c r="G85" s="5" t="str">
        <x:v>Группа «Акрон»</x:v>
      </x:c>
      <x:c r="H85" s="5" t="str">
        <x:v>Дорогобуж</x:v>
      </x:c>
      <x:c r="I85" s="5" t="str">
        <x:v>Минеральные удобрения</x:v>
      </x:c>
      <x:c r="J85" s="5" t="str">
        <x:v>Руководители, специалисты и сотрудники группы; конкретные аудитории уточнить по программам</x:v>
      </x:c>
      <x:c r="K85" s="5" t="str">
        <x:v>наставники; развитие специалистов; цифровой учебный контент; методология; менеджмент</x:v>
      </x:c>
      <x:c r="L85" s="5" t="str">
        <x:v>Гипотезы для мониторинга: новый поток или изменение программы; приглашение внешнего эксперта; разработка электронного курса; закупка обучения; объявление партнёрства; вакансия методолога/руководителя обучения. Наличие КУ само по себе не является заказом.</x:v>
      </x:c>
      <x:c r="M85" s="5" t="str">
        <x:v>Через руководителя КУ/учебного центра или L&amp;D компании уточнить потребность; сопоставить программы с предложением МИСБ; проверить отбор внешних провайдеров и закупки группы. Возможны субподряд и совместные программы, а не только прямая продажа.</x:v>
      </x:c>
      <x:c r="N85" s="5" t="str">
        <x:v>Руководитель КУ/учебного центра; HRD; руководитель обучения и развития; методолог; закупщик образовательных услуг</x:v>
      </x:c>
      <x:c r="O85" s="5" t="str">
        <x:v>https://www.acron.ru/sustainability/learning_centers/</x:v>
      </x:c>
      <x:c r="P85" s="5" t="str">
        <x:v>https://www.acron.ru/sustainability/learning_centers/</x:v>
      </x:c>
      <x:c r="Q85" s="5" t="str">
        <x:v>На общей официальной странице отдельно раскрыт Учебный центр ПАО «Дорогобуж» и контактные сведения.</x:v>
      </x:c>
      <x:c r="R85" s="5" t="str">
        <x:v>content_read</x:v>
      </x:c>
      <x:c r="S85" s="12" t="n">
        <x:v>46296</x:v>
      </x:c>
      <x:c r="T85" s="5" t="str">
        <x:v>Общий URL с УЦ «Акрон» не означает одну организацию; различать по названию предприятия. Управленческий профиль уточнить. Подтверждено существование образовательной структуры, но не открытый заказ и не допуск МИСБ к закупке. Подключение автоматического сборщика не проверялось.</x:v>
      </x:c>
      <x:c r="U85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  <x:c r="V85" s="5" t="str">
        <x:v>наставники; развитие специалистов; цифровой учебный контент; методология; менеджмент; ПАО «Дорогобуж»; обучение; запрос предложений; внешний тренер; методолог; электронный курс</x:v>
      </x:c>
      <x:c r="W85" s="5" t="str">
        <x:v>Дополнительная подтвержденная структура сверх основной выборки; продолжать мониторинг.</x:v>
      </x:c>
      <x:c r="X85" s="5" t="str">
        <x:v>cu_ru_industry.json:40</x:v>
      </x:c>
    </x:row>
    <x:row r="86" ht="54" customHeight="1">
      <x:c r="A86" s="5" t="str">
        <x:v>CU-0081</x:v>
      </x:c>
      <x:c r="B86" s="5" t="str">
        <x:v>main_200</x:v>
      </x:c>
      <x:c r="C86" s="5" t="str">
        <x:v>СберУниверситет</x:v>
      </x:c>
      <x:c r="D86" s="5" t="str">
        <x:v>RU</x:v>
      </x:c>
      <x:c r="E86" s="5" t="str">
        <x:v>corporate_university</x:v>
      </x:c>
      <x:c r="F86" s="5" t="str">
        <x:v>Сбер</x:v>
      </x:c>
      <x:c r="G86" s="5" t="str">
        <x:v>Сбер</x:v>
      </x:c>
      <x:c r="H86" s="5" t="str">
        <x:v>Аносино, Московская область</x:v>
      </x:c>
      <x:c r="I86" s="5" t="str">
        <x:v>Банки</x:v>
      </x:c>
      <x:c r="J86" s="5" t="str">
        <x:v>Руководители Сбера, внешних компаний и государственных организаций</x:v>
      </x:c>
      <x:c r="K86" s="5" t="str">
        <x:v>Финансы, менеджмент, стратегия, ИИ, цифровые навыки, проектирование электронных курсов.</x:v>
      </x:c>
      <x:c r="L86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86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86" s="5" t="str">
        <x:v>Руководитель КУ/академии, руководитель T&amp;D, владелец программы; закупщик образовательных услуг</x:v>
      </x:c>
      <x:c r="O86" s="5" t="str">
        <x:v>https://sberuniversity.ru/</x:v>
      </x:c>
      <x:c r="P86" s="5" t="str">
        <x:v>https://sberuniversity.ru/</x:v>
      </x:c>
      <x:c r="Q86" s="5" t="str">
        <x:v>Официальный сайт АНО ДПО «Корпоративный университет Сбербанка» с каталогом, новостями и внешними программами.</x:v>
      </x:c>
      <x:c r="R86" s="5" t="str">
        <x:v>content_read</x:v>
      </x:c>
      <x:c r="S86" s="12" t="n">
        <x:v>46296</x:v>
      </x:c>
      <x:c r="T86" s="5" t="str">
        <x:v>Сам выступает крупным провайдером; искать конкретную закупку, партнёрство или запрос эксперта.</x:v>
      </x:c>
      <x:c r="U8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86" s="5" t="str">
        <x:v>"Сбер" (обучение OR ДПО OR тренинг OR электронный курс OR методист OR фасилитация OR запрос предложений OR приглашение экспертов)</x:v>
      </x:c>
      <x:c r="W86" s="5" t="str">
        <x:v>Именованная структура с подтверждением; отбор по стране, очереди и типу. Это не оценка вероятности заказа.</x:v>
      </x:c>
      <x:c r="X86" s="5" t="str">
        <x:v>cu_ru_services.json:1</x:v>
      </x:c>
    </x:row>
    <x:row r="87" ht="54" customHeight="1">
      <x:c r="A87" s="5" t="str">
        <x:v>CU-0082</x:v>
      </x:c>
      <x:c r="B87" s="5" t="str">
        <x:v>reserve</x:v>
      </x:c>
      <x:c r="C87" s="5" t="str">
        <x:v>ВТБ Образование</x:v>
      </x:c>
      <x:c r="D87" s="5" t="str">
        <x:v>RU</x:v>
      </x:c>
      <x:c r="E87" s="5" t="str">
        <x:v>candidate</x:v>
      </x:c>
      <x:c r="F87" s="5" t="str">
        <x:v>Банк ВТБ</x:v>
      </x:c>
      <x:c r="G87" s="5" t="str">
        <x:v>Банк ВТБ</x:v>
      </x:c>
      <x:c r="H87" s="5" t="str">
        <x:v>Не установлено</x:v>
      </x:c>
      <x:c r="I87" s="5" t="str">
        <x:v>Банки</x:v>
      </x:c>
      <x:c r="J87" s="5" t="str">
        <x:v>Внешние аудитории: специалисты, предприниматели, студенты, клиенты; внутреннее обучение отдельно не установлено</x:v>
      </x:c>
      <x:c r="K87" s="5" t="str">
        <x:v>Финансы, управление, цифровая экономика, разработка курсов для клиентов и сотрудников.</x:v>
      </x:c>
      <x:c r="L87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87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87" s="5" t="str">
        <x:v>Руководитель КУ/академии, руководитель T&amp;D, владелец программы; закупщик образовательных услуг</x:v>
      </x:c>
      <x:c r="O87" s="5" t="str">
        <x:v>https://learn.vtb.ru/</x:v>
      </x:c>
      <x:c r="P87" s="5" t="str">
        <x:v>https://learn.vtb.ru/</x:v>
      </x:c>
      <x:c r="Q87" s="5" t="str">
        <x:v>Банк называет ВТБ Образование стратегическим направлением образовательных инициатив; программы с университетами и экспертами.</x:v>
      </x:c>
      <x:c r="R87" s="5" t="str">
        <x:v>search_index</x:v>
      </x:c>
      <x:c r="S87" s="12" t="n">
        <x:v>46296</x:v>
      </x:c>
      <x:c r="T87" s="5" t="str">
        <x:v>Это образовательное направление/платформа банка; отдельное юридическое лицо или классический внутренний КУ не установлены.</x:v>
      </x:c>
      <x:c r="U8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87" s="5" t="str">
        <x:v>"Банк ВТБ" (обучение OR ДПО OR тренинг OR электронный курс OR методист OR фасилитация OR запрос предложений OR приглашение экспертов)</x:v>
      </x:c>
      <x:c r="W87" s="5" t="str">
        <x:v>Подтверждено образовательное направление / платформа банка; самостоятельная учебная единица пока не установлена. Полезный источник сохранён в резерве.</x:v>
      </x:c>
      <x:c r="X87" s="5" t="str">
        <x:v>cu_ru_services.json:2</x:v>
      </x:c>
    </x:row>
    <x:row r="88" ht="54" customHeight="1">
      <x:c r="A88" s="5" t="str">
        <x:v>CU-0083</x:v>
      </x:c>
      <x:c r="B88" s="5" t="str">
        <x:v>main_200</x:v>
      </x:c>
      <x:c r="C88" s="5" t="str">
        <x:v>Альфа-Академия</x:v>
      </x:c>
      <x:c r="D88" s="5" t="str">
        <x:v>RU</x:v>
      </x:c>
      <x:c r="E88" s="5" t="str">
        <x:v>corporate_university</x:v>
      </x:c>
      <x:c r="F88" s="5" t="str">
        <x:v>Альфа-Банк</x:v>
      </x:c>
      <x:c r="G88" s="5" t="str">
        <x:v>Альфа-Банк</x:v>
      </x:c>
      <x:c r="H88" s="5" t="str">
        <x:v>Не установлено</x:v>
      </x:c>
      <x:c r="I88" s="5" t="str">
        <x:v>Банки</x:v>
      </x:c>
      <x:c r="J88" s="5" t="str">
        <x:v>Руководители, специалисты и кадровый резерв компании</x:v>
      </x:c>
      <x:c r="K88" s="5" t="str">
        <x:v>Управленческие навыки, HR, обучение продажам, финансовые программы, электронный контент.</x:v>
      </x:c>
      <x:c r="L88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88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88" s="5" t="str">
        <x:v>Руководитель КУ/академии, руководитель T&amp;D, владелец программы; закупщик образовательных услуг</x:v>
      </x:c>
      <x:c r="O88" s="5" t="str">
        <x:v>https://alfabank.ru/about/sustainability/</x:v>
      </x:c>
      <x:c r="P88" s="5" t="str">
        <x:v>https://alfabank.ru/about/sustainability/</x:v>
      </x:c>
      <x:c r="Q88" s="5" t="str">
        <x:v>Официальная страница Альфа-Банка прямо определяет «Альфа-Академию» как «Корпоративный университет с современными методиками обучения»; классификация corporate_university следует самоописанию.</x:v>
      </x:c>
      <x:c r="R88" s="5" t="str">
        <x:v>search_index</x:v>
      </x:c>
      <x:c r="S88" s="12" t="n">
        <x:v>46296</x:v>
      </x:c>
      <x:c r="T88" s="5" t="str">
        <x:v>Каталог внутреннего обучения может быть закрыт; открытая страница не означает наличие заказа.</x:v>
      </x:c>
      <x:c r="U88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88" s="5" t="str">
        <x:v>"Альфа-Банк" (обучение OR ДПО OR тренинг OR электронный курс OR методист OR фасилитация OR запрос предложений OR приглашение экспертов)</x:v>
      </x:c>
      <x:c r="W88" s="5" t="str">
        <x:v>Именованная структура с подтверждением; отбор по стране, очереди и типу. Это не оценка вероятности заказа.</x:v>
      </x:c>
      <x:c r="X88" s="5" t="str">
        <x:v>cu_ru_services.json:3</x:v>
      </x:c>
    </x:row>
    <x:row r="89" ht="54" customHeight="1">
      <x:c r="A89" s="5" t="str">
        <x:v>CU-0084</x:v>
      </x:c>
      <x:c r="B89" s="5" t="str">
        <x:v>main_200</x:v>
      </x:c>
      <x:c r="C89" s="5" t="str">
        <x:v>РСХБ-Университет</x:v>
      </x:c>
      <x:c r="D89" s="5" t="str">
        <x:v>RU</x:v>
      </x:c>
      <x:c r="E89" s="5" t="str">
        <x:v>corporate_university</x:v>
      </x:c>
      <x:c r="F89" s="5" t="str">
        <x:v>Россельхозбанк</x:v>
      </x:c>
      <x:c r="G89" s="5" t="str">
        <x:v>Россельхозбанк</x:v>
      </x:c>
      <x:c r="H89" s="5" t="str">
        <x:v>Не установлено</x:v>
      </x:c>
      <x:c r="I89" s="5" t="str">
        <x:v>Банки</x:v>
      </x:c>
      <x:c r="J89" s="5" t="str">
        <x:v>Руководители, специалисты и кадровый резерв компании</x:v>
      </x:c>
      <x:c r="K89" s="5" t="str">
        <x:v>Комплаенс, антикоррупционные программы, закупки, управление, цифровые навыки.</x:v>
      </x:c>
      <x:c r="L89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89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89" s="5" t="str">
        <x:v>Руководитель КУ/академии, руководитель T&amp;D, владелец программы; закупщик образовательных услуг</x:v>
      </x:c>
      <x:c r="O89" s="5" t="str">
        <x:v>https://www.rshb.ru/news/19042024-000003</x:v>
      </x:c>
      <x:c r="P89" s="5" t="str">
        <x:v>https://www.rshb.ru/news/19042024-000003</x:v>
      </x:c>
      <x:c r="Q89" s="5" t="str">
        <x:v>Банк сообщает о мобильном РСХБ-Университете и круглосуточном учебном портале для работников.</x:v>
      </x:c>
      <x:c r="R89" s="5" t="str">
        <x:v>search_index</x:v>
      </x:c>
      <x:c r="S89" s="12" t="n">
        <x:v>46296</x:v>
      </x:c>
      <x:c r="T89" s="5" t="str">
        <x:v>Сведения подтверждают учебную систему, а не самостоятельное образовательное юрлицо; доступ к внутреннему порталу не проверен.</x:v>
      </x:c>
      <x:c r="U89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89" s="5" t="str">
        <x:v>"Россельхозбанк" (обучение OR ДПО OR тренинг OR электронный курс OR методист OR фасилитация OR запрос предложений OR приглашение экспертов)</x:v>
      </x:c>
      <x:c r="W89" s="5" t="str">
        <x:v>Именованная структура с подтверждением; отбор по стране, очереди и типу. Это не оценка вероятности заказа.</x:v>
      </x:c>
      <x:c r="X89" s="5" t="str">
        <x:v>cu_ru_services.json:4</x:v>
      </x:c>
    </x:row>
    <x:row r="90" ht="54" customHeight="1">
      <x:c r="A90" s="5" t="str">
        <x:v>CU-0085</x:v>
      </x:c>
      <x:c r="B90" s="5" t="str">
        <x:v>main_200</x:v>
      </x:c>
      <x:c r="C90" s="5" t="str">
        <x:v>Академия ПСБ</x:v>
      </x:c>
      <x:c r="D90" s="5" t="str">
        <x:v>RU</x:v>
      </x:c>
      <x:c r="E90" s="5" t="str">
        <x:v>corporate_academy</x:v>
      </x:c>
      <x:c r="F90" s="5" t="str">
        <x:v>ПСБ</x:v>
      </x:c>
      <x:c r="G90" s="5" t="str">
        <x:v>ПСБ</x:v>
      </x:c>
      <x:c r="H90" s="5" t="str">
        <x:v>Не установлено</x:v>
      </x:c>
      <x:c r="I90" s="5" t="str">
        <x:v>Банки</x:v>
      </x:c>
      <x:c r="J90" s="5" t="str">
        <x:v>Предприниматели, руководители и специалисты корпоративных клиентов; финансовые службы предприятий</x:v>
      </x:c>
      <x:c r="K90" s="5" t="str">
        <x:v>ГОЗ, финансы, закупки, управленческие навыки, ИИ, электронные программы.</x:v>
      </x:c>
      <x:c r="L90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90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90" s="5" t="str">
        <x:v>Руководитель КУ/академии, руководитель T&amp;D, владелец программы; закупщик образовательных услуг</x:v>
      </x:c>
      <x:c r="O90" s="5" t="str">
        <x:v>https://www.psbank.ru/bank/academy</x:v>
      </x:c>
      <x:c r="P90" s="5" t="str">
        <x:v>https://www.psbank.ru/bank/academy</x:v>
      </x:c>
      <x:c r="Q90" s="5" t="str">
        <x:v>Официальная Академия ПСБ: программы, бизнес-игры, управление проектами, цифровые и личностные навыки.</x:v>
      </x:c>
      <x:c r="R90" s="5" t="str">
        <x:v>search_index</x:v>
      </x:c>
      <x:c r="S90" s="12" t="n">
        <x:v>46296</x:v>
      </x:c>
      <x:c r="T90" s="5" t="str">
        <x:v>Внешнее обучение клиентов; возможный маршрут через экспертное партнёрство и субподряд.</x:v>
      </x:c>
      <x:c r="U90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90" s="5" t="str">
        <x:v>"ПСБ" (обучение OR ДПО OR тренинг OR электронный курс OR методист OR фасилитация OR запрос предложений OR приглашение экспертов)</x:v>
      </x:c>
      <x:c r="W90" s="5" t="str">
        <x:v>Именованная структура с подтверждением; отбор по стране, очереди и типу. Это не оценка вероятности заказа.</x:v>
      </x:c>
      <x:c r="X90" s="5" t="str">
        <x:v>cu_ru_services.json:5</x:v>
      </x:c>
    </x:row>
    <x:row r="91" ht="54" customHeight="1">
      <x:c r="A91" s="5" t="str">
        <x:v>CU-0086</x:v>
      </x:c>
      <x:c r="B91" s="5" t="str">
        <x:v>main_200</x:v>
      </x:c>
      <x:c r="C91" s="5" t="str">
        <x:v>Корпоративный университет УРАЛСИБ</x:v>
      </x:c>
      <x:c r="D91" s="5" t="str">
        <x:v>RU</x:v>
      </x:c>
      <x:c r="E91" s="5" t="str">
        <x:v>corporate_university</x:v>
      </x:c>
      <x:c r="F91" s="5" t="str">
        <x:v>Банк УРАЛСИБ</x:v>
      </x:c>
      <x:c r="G91" s="5" t="str">
        <x:v>Банк УРАЛСИБ</x:v>
      </x:c>
      <x:c r="H91" s="5" t="str">
        <x:v>Не установлено</x:v>
      </x:c>
      <x:c r="I91" s="5" t="str">
        <x:v>Банки</x:v>
      </x:c>
      <x:c r="J91" s="5" t="str">
        <x:v>Руководители, специалисты и кадровый резерв компании</x:v>
      </x:c>
      <x:c r="K91" s="5" t="str">
        <x:v>Менеджмент, финансовая грамотность, HR, комплаенс, электронное обучение.</x:v>
      </x:c>
      <x:c r="L91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91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91" s="5" t="str">
        <x:v>Руководитель КУ/академии, руководитель T&amp;D, владелец программы; закупщик образовательных услуг</x:v>
      </x:c>
      <x:c r="O91" s="5" t="str">
        <x:v>https://uralsib.ru/api/directory-engine/files/regulatory-objectives/riski_2015-05-29_lxnyyapa.pdf</x:v>
      </x:c>
      <x:c r="P91" s="5" t="str">
        <x:v>https://uralsib.ru/api/directory-engine/files/regulatory-objectives/riski_2015-05-29_lxnyyapa.pdf</x:v>
      </x:c>
      <x:c r="Q91" s="5" t="str">
        <x:v>Официальный банковский отчёт указывает КУ и региональные учебные центры как элементы обучения персонала.</x:v>
      </x:c>
      <x:c r="R91" s="5" t="str">
        <x:v>search_index</x:v>
      </x:c>
      <x:c r="S91" s="12" t="n">
        <x:v>46296</x:v>
      </x:c>
      <x:c r="T91" s="5" t="str">
        <x:v>Историческое подтверждение 2015 года; актуальное название и организационную форму необходимо перепроверить, источник сохранять.</x:v>
      </x:c>
      <x:c r="U91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91" s="5" t="str">
        <x:v>"Банк УРАЛСИБ" (обучение OR ДПО OR тренинг OR электронный курс OR методист OR фасилитация OR запрос предложений OR приглашение экспертов)</x:v>
      </x:c>
      <x:c r="W91" s="5" t="str">
        <x:v>Именованная структура с подтверждением; отбор по стране, очереди и типу. Это не оценка вероятности заказа.</x:v>
      </x:c>
      <x:c r="X91" s="5" t="str">
        <x:v>cu_ru_services.json:6</x:v>
      </x:c>
    </x:row>
    <x:row r="92" ht="54" customHeight="1">
      <x:c r="A92" s="5" t="str">
        <x:v>CU-0087</x:v>
      </x:c>
      <x:c r="B92" s="5" t="str">
        <x:v>main_200</x:v>
      </x:c>
      <x:c r="C92" s="5" t="str">
        <x:v>Корпоративный университет Совкомбанка</x:v>
      </x:c>
      <x:c r="D92" s="5" t="str">
        <x:v>RU</x:v>
      </x:c>
      <x:c r="E92" s="5" t="str">
        <x:v>corporate_university</x:v>
      </x:c>
      <x:c r="F92" s="5" t="str">
        <x:v>Совкомбанк</x:v>
      </x:c>
      <x:c r="G92" s="5" t="str">
        <x:v>Совкомбанк</x:v>
      </x:c>
      <x:c r="H92" s="5" t="str">
        <x:v>Не установлено</x:v>
      </x:c>
      <x:c r="I92" s="5" t="str">
        <x:v>Банки</x:v>
      </x:c>
      <x:c r="J92" s="5" t="str">
        <x:v>Руководители, специалисты и кадровый резерв компании</x:v>
      </x:c>
      <x:c r="K92" s="5" t="str">
        <x:v>Программы менеджмента, EMBA-модули, комплаенс, корпоративное управление, ИИ.</x:v>
      </x:c>
      <x:c r="L92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92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92" s="5" t="str">
        <x:v>Руководитель КУ/академии, руководитель T&amp;D, владелец программы; закупщик образовательных услуг</x:v>
      </x:c>
      <x:c r="O92" s="5" t="str">
        <x:v>https://sovcombank.ru/about/press-center/news/novosti-kompanii/gruppa-sovkombank-stala-laureatom-hr-premii-hrustalnaya-piramida--2024-srazu-v-tryoh-nominatsiyah</x:v>
      </x:c>
      <x:c r="P92" s="5" t="str">
        <x:v>https://sovcombank.ru/about/press-center/news/novosti-kompanii/gruppa-sovkombank-stala-laureatom-hr-premii-hrustalnaya-piramida--2024-srazu-v-tryoh-nominatsiyah</x:v>
      </x:c>
      <x:c r="Q92" s="5" t="str">
        <x:v>Официальная новость о наградах КУ; указано участие российских бизнес-тренеров и менеджеров группы.</x:v>
      </x:c>
      <x:c r="R92" s="5" t="str">
        <x:v>search_index</x:v>
      </x:c>
      <x:c r="S92" s="12" t="n">
        <x:v>46296</x:v>
      </x:c>
      <x:c r="T92" s="5" t="str">
        <x:v>Внешние тренеры упомянуты, но открытый набор подрядчиков не обнаружен.</x:v>
      </x:c>
      <x:c r="U92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92" s="5" t="str">
        <x:v>"Совкомбанк" (обучение OR ДПО OR тренинг OR электронный курс OR методист OR фасилитация OR запрос предложений OR приглашение экспертов)</x:v>
      </x:c>
      <x:c r="W92" s="5" t="str">
        <x:v>Именованная структура с подтверждением; отбор по стране, очереди и типу. Это не оценка вероятности заказа.</x:v>
      </x:c>
      <x:c r="X92" s="5" t="str">
        <x:v>cu_ru_services.json:7</x:v>
      </x:c>
    </x:row>
    <x:row r="93" ht="54" customHeight="1">
      <x:c r="A93" s="5" t="str">
        <x:v>CU-0088</x:v>
      </x:c>
      <x:c r="B93" s="5" t="str">
        <x:v>main_200</x:v>
      </x:c>
      <x:c r="C93" s="5" t="str">
        <x:v>Корпоративный университет Ингосстраха</x:v>
      </x:c>
      <x:c r="D93" s="5" t="str">
        <x:v>RU</x:v>
      </x:c>
      <x:c r="E93" s="5" t="str">
        <x:v>corporate_university</x:v>
      </x:c>
      <x:c r="F93" s="5" t="str">
        <x:v>Ингосстрах</x:v>
      </x:c>
      <x:c r="G93" s="5" t="str">
        <x:v>Ингосстрах</x:v>
      </x:c>
      <x:c r="H93" s="5" t="str">
        <x:v>Не установлено</x:v>
      </x:c>
      <x:c r="I93" s="5" t="str">
        <x:v>Страхование</x:v>
      </x:c>
      <x:c r="J93" s="5" t="str">
        <x:v>Руководители, специалисты и кадровый резерв компании</x:v>
      </x:c>
      <x:c r="K93" s="5" t="str">
        <x:v>Регулярный менеджмент, клиентский сервис, аналитика, оценка, обучение внутренним тренерам.</x:v>
      </x:c>
      <x:c r="L93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93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93" s="5" t="str">
        <x:v>Руководитель КУ/академии, руководитель T&amp;D, владелец программы; закупщик образовательных услуг</x:v>
      </x:c>
      <x:c r="O93" s="5" t="str">
        <x:v>https://cdn.ingos.ru/docs/year-reports/igs-annual-report-2024_rus.pdf</x:v>
      </x:c>
      <x:c r="P93" s="5" t="str">
        <x:v>https://cdn.ingos.ru/docs/year-reports/igs-annual-report-2024_rus.pdf</x:v>
      </x:c>
      <x:c r="Q93" s="5" t="str">
        <x:v>Официальный годовой отчёт 2024 описывает КУ, развитие сотрудников и математической культуры.</x:v>
      </x:c>
      <x:c r="R93" s="5" t="str">
        <x:v>search_index</x:v>
      </x:c>
      <x:c r="S93" s="12" t="n">
        <x:v>46296</x:v>
      </x:c>
      <x:c r="T93" s="5" t="str">
        <x:v>Отчёт — доказательство структуры и тем; не текущая заявка на обучение.</x:v>
      </x:c>
      <x:c r="U93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93" s="5" t="str">
        <x:v>"Ингосстрах" (обучение OR ДПО OR тренинг OR электронный курс OR методист OR фасилитация OR запрос предложений OR приглашение экспертов)</x:v>
      </x:c>
      <x:c r="W93" s="5" t="str">
        <x:v>Именованная структура с подтверждением; отбор по стране, очереди и типу. Это не оценка вероятности заказа.</x:v>
      </x:c>
      <x:c r="X93" s="5" t="str">
        <x:v>cu_ru_services.json:8</x:v>
      </x:c>
    </x:row>
    <x:row r="94" ht="54" customHeight="1">
      <x:c r="A94" s="5" t="str">
        <x:v>CU-0089</x:v>
      </x:c>
      <x:c r="B94" s="5" t="str">
        <x:v>reserve</x:v>
      </x:c>
      <x:c r="C94" s="5" t="str">
        <x:v>Корпоративный университет Росгосстраха</x:v>
      </x:c>
      <x:c r="D94" s="5" t="str">
        <x:v>RU</x:v>
      </x:c>
      <x:c r="E94" s="5" t="str">
        <x:v>corporate_university</x:v>
      </x:c>
      <x:c r="F94" s="5" t="str">
        <x:v>Росгосстрах</x:v>
      </x:c>
      <x:c r="G94" s="5" t="str">
        <x:v>Росгосстрах</x:v>
      </x:c>
      <x:c r="H94" s="5" t="str">
        <x:v>Не установлено</x:v>
      </x:c>
      <x:c r="I94" s="5" t="str">
        <x:v>Страхование</x:v>
      </x:c>
      <x:c r="J94" s="5" t="str">
        <x:v>Руководители, специалисты и кадровый резерв компании</x:v>
      </x:c>
      <x:c r="K94" s="5" t="str">
        <x:v>Управление продажами, страховые финансы, менеджмент, учебный контент и ИИ.</x:v>
      </x:c>
      <x:c r="L94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94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94" s="5" t="str">
        <x:v>Руководитель КУ/академии, руководитель T&amp;D, владелец программы; закупщик образовательных услуг</x:v>
      </x:c>
      <x:c r="O94" s="5" t="str">
        <x:v>https://my.rgs.ru/media/all_insurance/sbotnik_kaliningrad.pdf</x:v>
      </x:c>
      <x:c r="P94" s="5" t="str">
        <x:v>https://my.rgs.ru/media/all_insurance/sbotnik_kaliningrad.pdf</x:v>
      </x:c>
      <x:c r="Q94" s="5" t="str">
        <x:v>Корпоративный документ описывает КУ, бизнес-школу и систему дистанционного обучения Росгосстраха.</x:v>
      </x:c>
      <x:c r="R94" s="5" t="str">
        <x:v>search_index</x:v>
      </x:c>
      <x:c r="S94" s="12" t="n">
        <x:v>46296</x:v>
      </x:c>
      <x:c r="T94" s="5" t="str">
        <x:v>Историческое название подтверждено; в свежих публикациях действует управление обучения сети продаж — проверить преемственность.</x:v>
      </x:c>
      <x:c r="U94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94" s="5" t="str">
        <x:v>"Росгосстрах" (обучение OR ДПО OR тренинг OR электронный курс OR методист OR фасилитация OR запрос предложений OR приглашение экспертов)</x:v>
      </x:c>
      <x:c r="W94" s="5" t="str">
        <x:v>Дополнительная подтвержденная структура сверх основной выборки; продолжать мониторинг.</x:v>
      </x:c>
      <x:c r="X94" s="5" t="str">
        <x:v>cu_ru_services.json:9</x:v>
      </x:c>
    </x:row>
    <x:row r="95" ht="54" customHeight="1">
      <x:c r="A95" s="5" t="str">
        <x:v>CU-0090</x:v>
      </x:c>
      <x:c r="B95" s="5" t="str">
        <x:v>main_200</x:v>
      </x:c>
      <x:c r="C95" s="5" t="str">
        <x:v>Корпоративный университет АльфаСтрахования</x:v>
      </x:c>
      <x:c r="D95" s="5" t="str">
        <x:v>RU</x:v>
      </x:c>
      <x:c r="E95" s="5" t="str">
        <x:v>corporate_university</x:v>
      </x:c>
      <x:c r="F95" s="5" t="str">
        <x:v>АльфаСтрахование</x:v>
      </x:c>
      <x:c r="G95" s="5" t="str">
        <x:v>АльфаСтрахование</x:v>
      </x:c>
      <x:c r="H95" s="5" t="str">
        <x:v>Не установлено</x:v>
      </x:c>
      <x:c r="I95" s="5" t="str">
        <x:v>Страхование</x:v>
      </x:c>
      <x:c r="J95" s="5" t="str">
        <x:v>Руководители, специалисты и кадровый резерв компании</x:v>
      </x:c>
      <x:c r="K95" s="5" t="str">
        <x:v>Менеджмент, клиентские коммуникации, продажи, финансы, лидерство, обучение тренеров.</x:v>
      </x:c>
      <x:c r="L95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95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95" s="5" t="str">
        <x:v>Руководитель КУ/академии, руководитель T&amp;D, владелец программы; закупщик образовательных услуг</x:v>
      </x:c>
      <x:c r="O95" s="5" t="str">
        <x:v>https://www.alfastrah.ru/company/history/</x:v>
      </x:c>
      <x:c r="P95" s="5" t="str">
        <x:v>https://www.alfastrah.ru/company/history/</x:v>
      </x:c>
      <x:c r="Q95" s="5" t="str">
        <x:v>Официальная история компании содержит сведения о корпоративном университете группы.</x:v>
      </x:c>
      <x:c r="R95" s="5" t="str">
        <x:v>search_index</x:v>
      </x:c>
      <x:c r="S95" s="12" t="n">
        <x:v>46296</x:v>
      </x:c>
      <x:c r="T95" s="5" t="str">
        <x:v>История не подтверждает актуальный закупочный цикл; провести обновление контактного маршрута.</x:v>
      </x:c>
      <x:c r="U9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95" s="5" t="str">
        <x:v>"АльфаСтрахование" (обучение OR ДПО OR тренинг OR электронный курс OR методист OR фасилитация OR запрос предложений OR приглашение экспертов)</x:v>
      </x:c>
      <x:c r="W95" s="5" t="str">
        <x:v>Именованная структура с подтверждением; отбор по стране, очереди и типу. Это не оценка вероятности заказа.</x:v>
      </x:c>
      <x:c r="X95" s="5" t="str">
        <x:v>cu_ru_services.json:10</x:v>
      </x:c>
    </x:row>
    <x:row r="96" ht="54" customHeight="1">
      <x:c r="A96" s="5" t="str">
        <x:v>CU-0091</x:v>
      </x:c>
      <x:c r="B96" s="5" t="str">
        <x:v>main_200</x:v>
      </x:c>
      <x:c r="C96" s="5" t="str">
        <x:v>Школа страхования РЕСО</x:v>
      </x:c>
      <x:c r="D96" s="5" t="str">
        <x:v>RU</x:v>
      </x:c>
      <x:c r="E96" s="5" t="str">
        <x:v>company_training_center</x:v>
      </x:c>
      <x:c r="F96" s="5" t="str">
        <x:v>РЕСО-Гарантия</x:v>
      </x:c>
      <x:c r="G96" s="5" t="str">
        <x:v>РЕСО-Гарантия</x:v>
      </x:c>
      <x:c r="H96" s="5" t="str">
        <x:v>Не установлено</x:v>
      </x:c>
      <x:c r="I96" s="5" t="str">
        <x:v>Страхование</x:v>
      </x:c>
      <x:c r="J96" s="5" t="str">
        <x:v>Страховые агенты, кандидаты в агенты, руководители агентской сети</x:v>
      </x:c>
      <x:c r="K96" s="5" t="str">
        <x:v>Переговоры, продажи, наставничество, управленческие программы для руководителей агентской сети.</x:v>
      </x:c>
      <x:c r="L96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96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96" s="5" t="str">
        <x:v>Руководитель КУ/академии, руководитель T&amp;D, владелец программы; закупщик образовательных услуг</x:v>
      </x:c>
      <x:c r="O96" s="5" t="str">
        <x:v>https://reso.ru/agent-job/</x:v>
      </x:c>
      <x:c r="P96" s="5" t="str">
        <x:v>https://reso.ru/agent-job/</x:v>
      </x:c>
      <x:c r="Q96" s="5" t="str">
        <x:v>Официальная страница школы страхования и работы агентом; описано обучение агентской сети.</x:v>
      </x:c>
      <x:c r="R96" s="5" t="str">
        <x:v>search_index</x:v>
      </x:c>
      <x:c r="S96" s="12" t="n">
        <x:v>46296</x:v>
      </x:c>
      <x:c r="T96" s="5" t="str">
        <x:v>Преимущественно подготовка агентов; бизнес-навыки и менеджмент релевантнее узкой продуктовой аттестации.</x:v>
      </x:c>
      <x:c r="U9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96" s="5" t="str">
        <x:v>"РЕСО-Гарантия" (обучение OR ДПО OR тренинг OR электронный курс OR методист OR фасилитация OR запрос предложений OR приглашение экспертов)</x:v>
      </x:c>
      <x:c r="W96" s="5" t="str">
        <x:v>Именованная структура с подтверждением; отбор по стране, очереди и типу. Это не оценка вероятности заказа.</x:v>
      </x:c>
      <x:c r="X96" s="5" t="str">
        <x:v>cu_ru_services.json:11</x:v>
      </x:c>
    </x:row>
    <x:row r="97" ht="54" customHeight="1">
      <x:c r="A97" s="5" t="str">
        <x:v>CU-0092</x:v>
      </x:c>
      <x:c r="B97" s="5" t="str">
        <x:v>main_200</x:v>
      </x:c>
      <x:c r="C97" s="5" t="str">
        <x:v>Университет Банка России</x:v>
      </x:c>
      <x:c r="D97" s="5" t="str">
        <x:v>RU</x:v>
      </x:c>
      <x:c r="E97" s="5" t="str">
        <x:v>corporate_university</x:v>
      </x:c>
      <x:c r="F97" s="5" t="str">
        <x:v>Банк России</x:v>
      </x:c>
      <x:c r="G97" s="5" t="str">
        <x:v>Банк России</x:v>
      </x:c>
      <x:c r="H97" s="5" t="str">
        <x:v>Не установлено</x:v>
      </x:c>
      <x:c r="I97" s="5" t="str">
        <x:v>Финансовый регулятор</x:v>
      </x:c>
      <x:c r="J97" s="5" t="str">
        <x:v>Руководители, специалисты и кадровый резерв компании</x:v>
      </x:c>
      <x:c r="K97" s="5" t="str">
        <x:v>Финансовые риски, регуляторика, аналитика, управление, цифровые курсы.</x:v>
      </x:c>
      <x:c r="L97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97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97" s="5" t="str">
        <x:v>Руководитель КУ/академии, руководитель T&amp;D, владелец программы; закупщик образовательных услуг</x:v>
      </x:c>
      <x:c r="O97" s="5" t="str">
        <x:v>https://www.cbr.ru/about_br/bankstructute/ubr/</x:v>
      </x:c>
      <x:c r="P97" s="5" t="str">
        <x:v>https://www.cbr.ru/about_br/bankstructute/ubr/</x:v>
      </x:c>
      <x:c r="Q97" s="5" t="str">
        <x:v>Официальное описание: структурное подразделение центрального аппарата Банка России.</x:v>
      </x:c>
      <x:c r="R97" s="5" t="str">
        <x:v>search_index</x:v>
      </x:c>
      <x:c r="S97" s="12" t="n">
        <x:v>46296</x:v>
      </x:c>
      <x:c r="T97" s="5" t="str">
        <x:v>При открытии страницы получен 403; подтверждение доступно в поисковом индексе. Не считать сборщик подключённым.</x:v>
      </x:c>
      <x:c r="U9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97" s="5" t="str">
        <x:v>"Банк России" (обучение OR ДПО OR тренинг OR электронный курс OR методист OR фасилитация OR запрос предложений OR приглашение экспертов)</x:v>
      </x:c>
      <x:c r="W97" s="5" t="str">
        <x:v>Именованная структура с подтверждением; отбор по стране, очереди и типу. Это не оценка вероятности заказа.</x:v>
      </x:c>
      <x:c r="X97" s="5" t="str">
        <x:v>cu_ru_services.json:12</x:v>
      </x:c>
    </x:row>
    <x:row r="98" ht="54" customHeight="1">
      <x:c r="A98" s="5" t="str">
        <x:v>CU-0093</x:v>
      </x:c>
      <x:c r="B98" s="5" t="str">
        <x:v>main_200</x:v>
      </x:c>
      <x:c r="C98" s="5" t="str">
        <x:v>Корпоративный университет МТС</x:v>
      </x:c>
      <x:c r="D98" s="5" t="str">
        <x:v>RU</x:v>
      </x:c>
      <x:c r="E98" s="5" t="str">
        <x:v>corporate_university</x:v>
      </x:c>
      <x:c r="F98" s="5" t="str">
        <x:v>МТС</x:v>
      </x:c>
      <x:c r="G98" s="5" t="str">
        <x:v>МТС</x:v>
      </x:c>
      <x:c r="H98" s="5" t="str">
        <x:v>Не установлено</x:v>
      </x:c>
      <x:c r="I98" s="5" t="str">
        <x:v>Телекоммуникации</x:v>
      </x:c>
      <x:c r="J98" s="5" t="str">
        <x:v>Руководители, специалисты и кадровый резерв компании</x:v>
      </x:c>
      <x:c r="K98" s="5" t="str">
        <x:v>Комплаенс, IT и бизнес-анализ, лидерство, электронное обучение и курсы для партнёров.</x:v>
      </x:c>
      <x:c r="L98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98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98" s="5" t="str">
        <x:v>Руководитель КУ/академии, руководитель T&amp;D, владелец программы; закупщик образовательных услуг</x:v>
      </x:c>
      <x:c r="O98" s="5" t="str">
        <x:v>https://support.mts.ru/korporativnyyuniversitet</x:v>
      </x:c>
      <x:c r="P98" s="5" t="str">
        <x:v>https://support.mts.ru/korporativnyyuniversitet</x:v>
      </x:c>
      <x:c r="Q98" s="5" t="str">
        <x:v>Официальный справочный раздел МТС посвящён корпоративному университету; официальный пресс-релиз описывает образовательную платформу.</x:v>
      </x:c>
      <x:c r="R98" s="5" t="str">
        <x:v>content_read</x:v>
      </x:c>
      <x:c r="S98" s="12" t="n">
        <x:v>46296</x:v>
      </x:c>
      <x:c r="T98" s="5" t="str">
        <x:v>Доступ к содержанию обучающего портала может требовать регистрации.</x:v>
      </x:c>
      <x:c r="U98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98" s="5" t="str">
        <x:v>"МТС" (обучение OR ДПО OR тренинг OR электронный курс OR методист OR фасилитация OR запрос предложений OR приглашение экспертов)</x:v>
      </x:c>
      <x:c r="W98" s="5" t="str">
        <x:v>Именованная структура с подтверждением; отбор по стране, очереди и типу. Это не оценка вероятности заказа.</x:v>
      </x:c>
      <x:c r="X98" s="5" t="str">
        <x:v>cu_ru_services.json:13</x:v>
      </x:c>
    </x:row>
    <x:row r="99" ht="54" customHeight="1">
      <x:c r="A99" s="5" t="str">
        <x:v>CU-0094</x:v>
      </x:c>
      <x:c r="B99" s="5" t="str">
        <x:v>main_200</x:v>
      </x:c>
      <x:c r="C99" s="5" t="str">
        <x:v>билайн университет</x:v>
      </x:c>
      <x:c r="D99" s="5" t="str">
        <x:v>RU</x:v>
      </x:c>
      <x:c r="E99" s="5" t="str">
        <x:v>corporate_university</x:v>
      </x:c>
      <x:c r="F99" s="5" t="str">
        <x:v>ВымпелКом / билайн</x:v>
      </x:c>
      <x:c r="G99" s="5" t="str">
        <x:v>ВымпелКом / билайн</x:v>
      </x:c>
      <x:c r="H99" s="5" t="str">
        <x:v>Не установлено</x:v>
      </x:c>
      <x:c r="I99" s="5" t="str">
        <x:v>Телекоммуникации</x:v>
      </x:c>
      <x:c r="J99" s="5" t="str">
        <x:v>Руководители, специалисты и кадровый резерв компании</x:v>
      </x:c>
      <x:c r="K99" s="5" t="str">
        <x:v>Развитие лидеров, управление изменениями, навыки будущего, электронные и видеокурсы.</x:v>
      </x:c>
      <x:c r="L99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99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99" s="5" t="str">
        <x:v>Руководитель КУ/академии, руководитель T&amp;D, владелец программы; закупщик образовательных услуг</x:v>
      </x:c>
      <x:c r="O99" s="5" t="str">
        <x:v>https://beelinenow.ru/articles/klassika-i-sovremennost-25-let-bilayn-universitetu/</x:v>
      </x:c>
      <x:c r="P99" s="5" t="str">
        <x:v>https://beelinenow.ru/articles/klassika-i-sovremennost-25-let-bilayn-universitetu/</x:v>
      </x:c>
      <x:c r="Q99" s="5" t="str">
        <x:v>Корпоративное медиа описывает 25-летие университета, его обучение и программы развития персонала.</x:v>
      </x:c>
      <x:c r="R99" s="5" t="str">
        <x:v>search_index</x:v>
      </x:c>
      <x:c r="S99" s="12" t="n">
        <x:v>46296</x:v>
      </x:c>
      <x:c r="T99" s="5" t="str">
        <x:v>Проверка открытой публикации не равна доступу к LMS.</x:v>
      </x:c>
      <x:c r="U99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99" s="5" t="str">
        <x:v>"ВымпелКом / билайн" (обучение OR ДПО OR тренинг OR электронный курс OR методист OR фасилитация OR запрос предложений OR приглашение экспертов)</x:v>
      </x:c>
      <x:c r="W99" s="5" t="str">
        <x:v>Именованная структура с подтверждением; отбор по стране, очереди и типу. Это не оценка вероятности заказа.</x:v>
      </x:c>
      <x:c r="X99" s="5" t="str">
        <x:v>cu_ru_services.json:14</x:v>
      </x:c>
    </x:row>
    <x:row r="100" ht="54" customHeight="1">
      <x:c r="A100" s="5" t="str">
        <x:v>CU-0095</x:v>
      </x:c>
      <x:c r="B100" s="5" t="str">
        <x:v>main_200</x:v>
      </x:c>
      <x:c r="C100" s="5" t="str">
        <x:v>Корпоративный онлайн-университет Ростелекома</x:v>
      </x:c>
      <x:c r="D100" s="5" t="str">
        <x:v>RU</x:v>
      </x:c>
      <x:c r="E100" s="5" t="str">
        <x:v>corporate_university</x:v>
      </x:c>
      <x:c r="F100" s="5" t="str">
        <x:v>Ростелеком</x:v>
      </x:c>
      <x:c r="G100" s="5" t="str">
        <x:v>Ростелеком</x:v>
      </x:c>
      <x:c r="H100" s="5" t="str">
        <x:v>Не установлено</x:v>
      </x:c>
      <x:c r="I100" s="5" t="str">
        <x:v>Телекоммуникации</x:v>
      </x:c>
      <x:c r="J100" s="5" t="str">
        <x:v>Руководители, специалисты и кадровый резерв компании</x:v>
      </x:c>
      <x:c r="K100" s="5" t="str">
        <x:v>Цифровая трансформация, управление, ИИ, тренеры, разработка контента.</x:v>
      </x:c>
      <x:c r="L100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00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00" s="5" t="str">
        <x:v>Руководитель КУ/академии, руководитель T&amp;D, владелец программы; закупщик образовательных услуг</x:v>
      </x:c>
      <x:c r="O100" s="5" t="str">
        <x:v>https://www.company.rt.ru/social/staff/</x:v>
      </x:c>
      <x:c r="P100" s="5" t="str">
        <x:v>https://www.company.rt.ru/social/staff/</x:v>
      </x:c>
      <x:c r="Q100" s="5" t="str">
        <x:v>Официальная страница называет КУ, институт внутренних тренеров и дистанционную систему основными компонентами обучения.</x:v>
      </x:c>
      <x:c r="R100" s="5" t="str">
        <x:v>search_index</x:v>
      </x:c>
      <x:c r="S100" s="12" t="n">
        <x:v>46296</x:v>
      </x:c>
      <x:c r="T100" s="5" t="str">
        <x:v>Внутренние курсы могут создаваться самостоятельно; квалифицировать внешний спрос по отдельным сигналам.</x:v>
      </x:c>
      <x:c r="U100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00" s="5" t="str">
        <x:v>"Ростелеком" (обучение OR ДПО OR тренинг OR электронный курс OR методист OR фасилитация OR запрос предложений OR приглашение экспертов)</x:v>
      </x:c>
      <x:c r="W100" s="5" t="str">
        <x:v>Именованная структура с подтверждением; отбор по стране, очереди и типу. Это не оценка вероятности заказа.</x:v>
      </x:c>
      <x:c r="X100" s="5" t="str">
        <x:v>cu_ru_services.json:15</x:v>
      </x:c>
    </x:row>
    <x:row r="101" ht="54" customHeight="1">
      <x:c r="A101" s="5" t="str">
        <x:v>CU-0096</x:v>
      </x:c>
      <x:c r="B101" s="5" t="str">
        <x:v>main_200</x:v>
      </x:c>
      <x:c r="C101" s="5" t="str">
        <x:v>МегаАкадемия</x:v>
      </x:c>
      <x:c r="D101" s="5" t="str">
        <x:v>RU</x:v>
      </x:c>
      <x:c r="E101" s="5" t="str">
        <x:v>corporate_academy</x:v>
      </x:c>
      <x:c r="F101" s="5" t="str">
        <x:v>МегаФон</x:v>
      </x:c>
      <x:c r="G101" s="5" t="str">
        <x:v>МегаФон</x:v>
      </x:c>
      <x:c r="H101" s="5" t="str">
        <x:v>Не установлено</x:v>
      </x:c>
      <x:c r="I101" s="5" t="str">
        <x:v>Телекоммуникации</x:v>
      </x:c>
      <x:c r="J101" s="5" t="str">
        <x:v>Руководители, специалисты и кадровый резерв компании</x:v>
      </x:c>
      <x:c r="K101" s="5" t="str">
        <x:v>Управление, сервис, продажи, цифровые компетенции, электронные курсы.</x:v>
      </x:c>
      <x:c r="L101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01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01" s="5" t="str">
        <x:v>Руководитель КУ/академии, руководитель T&amp;D, владелец программы; закупщик образовательных услуг</x:v>
      </x:c>
      <x:c r="O101" s="5" t="str">
        <x:v>https://corp.megafon.ru/download/~federal/corp/investoram/report/year_reports/megafon_ar2019_rus.pdf</x:v>
      </x:c>
      <x:c r="P101" s="5" t="str">
        <x:v>https://corp.megafon.ru/download/~federal/corp/investoram/report/year_reports/megafon_ar2019_rus.pdf</x:v>
      </x:c>
      <x:c r="Q101" s="5" t="str">
        <x:v>Официальный годовой отчёт описывает МегаАкадемию и обучение сотрудников; на домене tng.megafon.ru есть актуальные учебные материалы с этим брендом.</x:v>
      </x:c>
      <x:c r="R101" s="5" t="str">
        <x:v>search_index</x:v>
      </x:c>
      <x:c r="S101" s="12" t="n">
        <x:v>46296</x:v>
      </x:c>
      <x:c r="T101" s="5" t="str">
        <x:v>Основное подробное подтверждение из отчёта 2019 года; проверить текущую структуру и бюджетодержателя.</x:v>
      </x:c>
      <x:c r="U101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01" s="5" t="str">
        <x:v>"МегаФон" (обучение OR ДПО OR тренинг OR электронный курс OR методист OR фасилитация OR запрос предложений OR приглашение экспертов)</x:v>
      </x:c>
      <x:c r="W101" s="5" t="str">
        <x:v>Именованная структура с подтверждением; отбор по стране, очереди и типу. Это не оценка вероятности заказа.</x:v>
      </x:c>
      <x:c r="X101" s="5" t="str">
        <x:v>cu_ru_services.json:16</x:v>
      </x:c>
    </x:row>
    <x:row r="102" ht="54" customHeight="1">
      <x:c r="A102" s="5" t="str">
        <x:v>CU-0097</x:v>
      </x:c>
      <x:c r="B102" s="5" t="str">
        <x:v>main_200</x:v>
      </x:c>
      <x:c r="C102" s="5" t="str">
        <x:v>Полка X5</x:v>
      </x:c>
      <x:c r="D102" s="5" t="str">
        <x:v>RU</x:v>
      </x:c>
      <x:c r="E102" s="5" t="str">
        <x:v>corporate_university</x:v>
      </x:c>
      <x:c r="F102" s="5" t="str">
        <x:v>X5 Group</x:v>
      </x:c>
      <x:c r="G102" s="5" t="str">
        <x:v>X5 Group</x:v>
      </x:c>
      <x:c r="H102" s="5" t="str">
        <x:v>Не установлено</x:v>
      </x:c>
      <x:c r="I102" s="5" t="str">
        <x:v>Розничная торговля</x:v>
      </x:c>
      <x:c r="J102" s="5" t="str">
        <x:v>Руководители, специалисты и кадровый резерв компании</x:v>
      </x:c>
      <x:c r="K102" s="5" t="str">
        <x:v>Менеджмент, цифровые навыки, финансы, управление категориями, обучение тренеров.</x:v>
      </x:c>
      <x:c r="L102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02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02" s="5" t="str">
        <x:v>Руководитель КУ/академии, руководитель T&amp;D, владелец программы; закупщик образовательных услуг</x:v>
      </x:c>
      <x:c r="O102" s="5" t="str">
        <x:v>https://www.x5.ru/ru/news/x5-zapuskaet-korporativnyj-universitet/</x:v>
      </x:c>
      <x:c r="P102" s="5" t="str">
        <x:v>https://www.x5.ru/ru/news/x5-zapuskaet-korporativnyj-universitet/</x:v>
      </x:c>
      <x:c r="Q102" s="5" t="str">
        <x:v>Официальная новость запуска корпоративного университета «Полка X5» и обучения в партнёрстве с бизнес-школами.</x:v>
      </x:c>
      <x:c r="R102" s="5" t="str">
        <x:v>search_index</x:v>
      </x:c>
      <x:c r="S102" s="12" t="n">
        <x:v>46296</x:v>
      </x:c>
      <x:c r="T102" s="5" t="str">
        <x:v>Не размножать один КУ на каждую торговую сеть без подтверждения самостоятельной структуры.</x:v>
      </x:c>
      <x:c r="U102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02" s="5" t="str">
        <x:v>"X5 Group" (обучение OR ДПО OR тренинг OR электронный курс OR методист OR фасилитация OR запрос предложений OR приглашение экспертов)</x:v>
      </x:c>
      <x:c r="W102" s="5" t="str">
        <x:v>Именованная структура с подтверждением; отбор по стране, очереди и типу. Это не оценка вероятности заказа.</x:v>
      </x:c>
      <x:c r="X102" s="5" t="str">
        <x:v>cu_ru_services.json:17</x:v>
      </x:c>
    </x:row>
    <x:row r="103" ht="54" customHeight="1">
      <x:c r="A103" s="5" t="str">
        <x:v>CU-0098</x:v>
      </x:c>
      <x:c r="B103" s="5" t="str">
        <x:v>main_200</x:v>
      </x:c>
      <x:c r="C103" s="5" t="str">
        <x:v>Корпоративная академия Магнита</x:v>
      </x:c>
      <x:c r="D103" s="5" t="str">
        <x:v>RU</x:v>
      </x:c>
      <x:c r="E103" s="5" t="str">
        <x:v>corporate_academy</x:v>
      </x:c>
      <x:c r="F103" s="5" t="str">
        <x:v>Магнит / АО Тандер</x:v>
      </x:c>
      <x:c r="G103" s="5" t="str">
        <x:v>Магнит / АО Тандер</x:v>
      </x:c>
      <x:c r="H103" s="5" t="str">
        <x:v>Не установлено</x:v>
      </x:c>
      <x:c r="I103" s="5" t="str">
        <x:v>Розничная торговля</x:v>
      </x:c>
      <x:c r="J103" s="5" t="str">
        <x:v>Руководители, специалисты и кадровый резерв компании</x:v>
      </x:c>
      <x:c r="K103" s="5" t="str">
        <x:v>Управление, кадровый резерв, HR, финансы, закупки, электронные программы.</x:v>
      </x:c>
      <x:c r="L103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03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03" s="5" t="str">
        <x:v>Руководитель КУ/академии, руководитель T&amp;D, владелец программы; закупщик образовательных услуг</x:v>
      </x:c>
      <x:c r="O103" s="5" t="str">
        <x:v>https://sr2022.magnit.com/ru/our-employees/recruitment-training/training-development</x:v>
      </x:c>
      <x:c r="P103" s="5" t="str">
        <x:v>https://sr2022.magnit.com/ru/our-employees/recruitment-training/training-development</x:v>
      </x:c>
      <x:c r="Q103" s="5" t="str">
        <x:v>Официальный отчёт описывает корпоративную академию, программы развития и образовательную лицензию.</x:v>
      </x:c>
      <x:c r="R103" s="5" t="str">
        <x:v>search_index</x:v>
      </x:c>
      <x:c r="S103" s="12" t="n">
        <x:v>46296</x:v>
      </x:c>
      <x:c r="T103" s="5" t="str">
        <x:v>Розничные рабочие инструкции сохранять как сигнал, но МИСБ ранжировать по бизнес-темам.</x:v>
      </x:c>
      <x:c r="U103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03" s="5" t="str">
        <x:v>"Магнит / АО Тандер" (обучение OR ДПО OR тренинг OR электронный курс OR методист OR фасилитация OR запрос предложений OR приглашение экспертов)</x:v>
      </x:c>
      <x:c r="W103" s="5" t="str">
        <x:v>Именованная структура с подтверждением; отбор по стране, очереди и типу. Это не оценка вероятности заказа.</x:v>
      </x:c>
      <x:c r="X103" s="5" t="str">
        <x:v>cu_ru_services.json:18</x:v>
      </x:c>
    </x:row>
    <x:row r="104" ht="54" customHeight="1">
      <x:c r="A104" s="5" t="str">
        <x:v>CU-0099</x:v>
      </x:c>
      <x:c r="B104" s="5" t="str">
        <x:v>main_200</x:v>
      </x:c>
      <x:c r="C104" s="5" t="str">
        <x:v>Корпоративный университет Монетки</x:v>
      </x:c>
      <x:c r="D104" s="5" t="str">
        <x:v>RU</x:v>
      </x:c>
      <x:c r="E104" s="5" t="str">
        <x:v>corporate_university</x:v>
      </x:c>
      <x:c r="F104" s="5" t="str">
        <x:v>Торговая сеть Монетка</x:v>
      </x:c>
      <x:c r="G104" s="5" t="str">
        <x:v>Группа Лента</x:v>
      </x:c>
      <x:c r="H104" s="5" t="str">
        <x:v>Не установлено</x:v>
      </x:c>
      <x:c r="I104" s="5" t="str">
        <x:v>Розничная торговля</x:v>
      </x:c>
      <x:c r="J104" s="5" t="str">
        <x:v>Руководители, специалисты и кадровый резерв компании</x:v>
      </x:c>
      <x:c r="K104" s="5" t="str">
        <x:v>Кадровый резерв, управленческие тренинги, сервис, электронное обучение.</x:v>
      </x:c>
      <x:c r="L104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04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04" s="5" t="str">
        <x:v>Руководитель КУ/академии, руководитель T&amp;D, владелец программы; закупщик образовательных услуг</x:v>
      </x:c>
      <x:c r="O104" s="5" t="str">
        <x:v>https://www.lentagroup.ru/ru/media/news-and-press-releases/bolee-98-sotrudnikov-monetki-polozhitelno-otsenivayut-obuchenie-v-korporativnom-universitete/</x:v>
      </x:c>
      <x:c r="P104" s="5" t="str">
        <x:v>https://www.lentagroup.ru/ru/media/news-and-press-releases/bolee-98-sotrudnikov-monetki-polozhitelno-otsenivayut-obuchenie-v-korporativnom-universitete/</x:v>
      </x:c>
      <x:c r="Q104" s="5" t="str">
        <x:v>Официальная публикация Группы Лента от 09.09.2026 описывает действующий КУ Монетки и масштаб обучения.</x:v>
      </x:c>
      <x:c r="R104" s="5" t="str">
        <x:v>search_index</x:v>
      </x:c>
      <x:c r="S104" s="12" t="n">
        <x:v>46296</x:v>
      </x:c>
      <x:c r="T104" s="5" t="str">
        <x:v>Самостоятельная структура внутри группы Лента; не смешивать с общегрупповой функцией обучения.</x:v>
      </x:c>
      <x:c r="U104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04" s="5" t="str">
        <x:v>"Торговая сеть Монетка" (обучение OR ДПО OR тренинг OR электронный курс OR методист OR фасилитация OR запрос предложений OR приглашение экспертов)</x:v>
      </x:c>
      <x:c r="W104" s="5" t="str">
        <x:v>Именованная структура с подтверждением; отбор по стране, очереди и типу. Это не оценка вероятности заказа.</x:v>
      </x:c>
      <x:c r="X104" s="5" t="str">
        <x:v>cu_ru_services.json:19</x:v>
      </x:c>
    </x:row>
    <x:row r="105" ht="54" customHeight="1">
      <x:c r="A105" s="5" t="str">
        <x:v>CU-0100</x:v>
      </x:c>
      <x:c r="B105" s="5" t="str">
        <x:v>main_200</x:v>
      </x:c>
      <x:c r="C105" s="5" t="str">
        <x:v>Цифровая академия / Академия ритейла М.Видео-Эльдорадо</x:v>
      </x:c>
      <x:c r="D105" s="5" t="str">
        <x:v>RU</x:v>
      </x:c>
      <x:c r="E105" s="5" t="str">
        <x:v>corporate_academy</x:v>
      </x:c>
      <x:c r="F105" s="5" t="str">
        <x:v>М.Видео-Эльдорадо</x:v>
      </x:c>
      <x:c r="G105" s="5" t="str">
        <x:v>М.Видео-Эльдорадо</x:v>
      </x:c>
      <x:c r="H105" s="5" t="str">
        <x:v>Не установлено</x:v>
      </x:c>
      <x:c r="I105" s="5" t="str">
        <x:v>Розничная торговля</x:v>
      </x:c>
      <x:c r="J105" s="5" t="str">
        <x:v>Руководители, специалисты и кадровый резерв компании</x:v>
      </x:c>
      <x:c r="K105" s="5" t="str">
        <x:v>Продуктовый менеджмент, agile, аналитика данных, цифровая трансформация, менеджмент.</x:v>
      </x:c>
      <x:c r="L105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05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05" s="5" t="str">
        <x:v>Руководитель КУ/академии, руководитель T&amp;D, владелец программы; закупщик образовательных услуг</x:v>
      </x:c>
      <x:c r="O105" s="5" t="str">
        <x:v>https://mvideoeldorado.ru/en/press-center/press-releases/detail/2420</x:v>
      </x:c>
      <x:c r="P105" s="5" t="str">
        <x:v>https://mvideoeldorado.ru/en/press-center/press-releases/detail/2420</x:v>
      </x:c>
      <x:c r="Q105" s="5" t="str">
        <x:v>Официальная публикация о собственной платформе корпоративного образования «Цифровая академия».</x:v>
      </x:c>
      <x:c r="R105" s="5" t="str">
        <x:v>search_index</x:v>
      </x:c>
      <x:c r="S105" s="12" t="n">
        <x:v>46296</x:v>
      </x:c>
      <x:c r="T105" s="5" t="str">
        <x:v>Связь с актуальной Академией ТехноЭкспертов и названиями внутренних школ перепроверить; здесь одна запись на образовательный контур группы.</x:v>
      </x:c>
      <x:c r="U10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05" s="5" t="str">
        <x:v>"М.Видео-Эльдорадо" (обучение OR ДПО OR тренинг OR электронный курс OR методист OR фасилитация OR запрос предложений OR приглашение экспертов)</x:v>
      </x:c>
      <x:c r="W105" s="5" t="str">
        <x:v>Именованная структура с подтверждением; отбор по стране, очереди и типу. Это не оценка вероятности заказа.</x:v>
      </x:c>
      <x:c r="X105" s="5" t="str">
        <x:v>cu_ru_services.json:20</x:v>
      </x:c>
    </x:row>
    <x:row r="106" ht="54" customHeight="1">
      <x:c r="A106" s="5" t="str">
        <x:v>CU-0101</x:v>
      </x:c>
      <x:c r="B106" s="5" t="str">
        <x:v>reserve</x:v>
      </x:c>
      <x:c r="C106" s="5" t="str">
        <x:v>Корпоративный университет IBS</x:v>
      </x:c>
      <x:c r="D106" s="5" t="str">
        <x:v>RU</x:v>
      </x:c>
      <x:c r="E106" s="5" t="str">
        <x:v>corporate_university</x:v>
      </x:c>
      <x:c r="F106" s="5" t="str">
        <x:v>IBS</x:v>
      </x:c>
      <x:c r="G106" s="5" t="str">
        <x:v>IBS</x:v>
      </x:c>
      <x:c r="H106" s="5" t="str">
        <x:v>Не установлено</x:v>
      </x:c>
      <x:c r="I106" s="5" t="str">
        <x:v>Информационные технологии</x:v>
      </x:c>
      <x:c r="J106" s="5" t="str">
        <x:v>Руководители, специалисты и кадровый резерв компании</x:v>
      </x:c>
      <x:c r="K106" s="5" t="str">
        <x:v>Проектный менеджмент, soft skills ИТ-руководителей, управление изменениями, электронные курсы.</x:v>
      </x:c>
      <x:c r="L106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06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06" s="5" t="str">
        <x:v>Руководитель КУ/академии, руководитель T&amp;D, владелец программы; закупщик образовательных услуг</x:v>
      </x:c>
      <x:c r="O106" s="5" t="str">
        <x:v>https://ibs.ru/media/ibs-integriruet-svoi-obrazovatelnye-struktury-v-korporativnyy-universitet/</x:v>
      </x:c>
      <x:c r="P106" s="5" t="str">
        <x:v>https://ibs.ru/media/ibs-integriruet-svoi-obrazovatelnye-struktury-v-korporativnyy-universitet/</x:v>
      </x:c>
      <x:c r="Q106" s="5" t="str">
        <x:v>Официальная публикация об объединении образовательных структур IBS в корпоративный университет.</x:v>
      </x:c>
      <x:c r="R106" s="5" t="str">
        <x:v>search_index</x:v>
      </x:c>
      <x:c r="S106" s="12" t="n">
        <x:v>46296</x:v>
      </x:c>
      <x:c r="T106" s="5" t="str">
        <x:v>Базовое свидетельство 2012 года; нынешнюю структуру и связь с внешним учебным центром IBS уточнить.</x:v>
      </x:c>
      <x:c r="U10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06" s="5" t="str">
        <x:v>"IBS" (обучение OR ДПО OR тренинг OR электронный курс OR методист OR фасилитация OR запрос предложений OR приглашение экспертов)</x:v>
      </x:c>
      <x:c r="W106" s="5" t="str">
        <x:v>Дополнительная подтвержденная структура сверх основной выборки; продолжать мониторинг.</x:v>
      </x:c>
      <x:c r="X106" s="5" t="str">
        <x:v>cu_ru_services.json:21</x:v>
      </x:c>
    </x:row>
    <x:row r="107" ht="54" customHeight="1">
      <x:c r="A107" s="5" t="str">
        <x:v>CU-0102</x:v>
      </x:c>
      <x:c r="B107" s="5" t="str">
        <x:v>main_200</x:v>
      </x:c>
      <x:c r="C107" s="5" t="str">
        <x:v>Корпоративный университет КРОК</x:v>
      </x:c>
      <x:c r="D107" s="5" t="str">
        <x:v>RU</x:v>
      </x:c>
      <x:c r="E107" s="5" t="str">
        <x:v>corporate_university</x:v>
      </x:c>
      <x:c r="F107" s="5" t="str">
        <x:v>КРОК</x:v>
      </x:c>
      <x:c r="G107" s="5" t="str">
        <x:v>КРОК</x:v>
      </x:c>
      <x:c r="H107" s="5" t="str">
        <x:v>Не установлено</x:v>
      </x:c>
      <x:c r="I107" s="5" t="str">
        <x:v>Информационные технологии</x:v>
      </x:c>
      <x:c r="J107" s="5" t="str">
        <x:v>Руководители, специалисты и кадровый резерв компании</x:v>
      </x:c>
      <x:c r="K107" s="5" t="str">
        <x:v>Обучение внутренним тренерам, бизнес-коммуникации, HR, управление, разработка курсов.</x:v>
      </x:c>
      <x:c r="L107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07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07" s="5" t="str">
        <x:v>Руководитель КУ/академии, руководитель T&amp;D, владелец программы; закупщик образовательных услуг</x:v>
      </x:c>
      <x:c r="O107" s="5" t="str">
        <x:v>https://edcrunch.online/conf/2022/180</x:v>
      </x:c>
      <x:c r="P107" s="5" t="str">
        <x:v>https://edcrunch.online/conf/2022/180</x:v>
      </x:c>
      <x:c r="Q107" s="5" t="str">
        <x:v>Первичный сайт конференции указывает руководителя корпоративного университета КРОК; edu.croc.ru показывает образовательные проекты компании.</x:v>
      </x:c>
      <x:c r="R107" s="5" t="str">
        <x:v>search_index</x:v>
      </x:c>
      <x:c r="S107" s="12" t="n">
        <x:v>46296</x:v>
      </x:c>
      <x:c r="T107" s="5" t="str">
        <x:v>Название подтверждено первичным организатором выступления, не собственной страницей университета; основной адрес edu.croc.ru при открытии вернул ошибку.</x:v>
      </x:c>
      <x:c r="U10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07" s="5" t="str">
        <x:v>"КРОК" (обучение OR ДПО OR тренинг OR электронный курс OR методист OR фасилитация OR запрос предложений OR приглашение экспертов)</x:v>
      </x:c>
      <x:c r="W107" s="5" t="str">
        <x:v>Именованная структура с подтверждением; отбор по стране, очереди и типу. Это не оценка вероятности заказа.</x:v>
      </x:c>
      <x:c r="X107" s="5" t="str">
        <x:v>cu_ru_services.json:22</x:v>
      </x:c>
    </x:row>
    <x:row r="108" ht="54" customHeight="1">
      <x:c r="A108" s="5" t="str">
        <x:v>CU-0103</x:v>
      </x:c>
      <x:c r="B108" s="5" t="str">
        <x:v>main_200</x:v>
      </x:c>
      <x:c r="C108" s="5" t="str">
        <x:v>Корпоративный университет / внутренняя Академия Softline</x:v>
      </x:c>
      <x:c r="D108" s="5" t="str">
        <x:v>RU</x:v>
      </x:c>
      <x:c r="E108" s="5" t="str">
        <x:v>corporate_university</x:v>
      </x:c>
      <x:c r="F108" s="5" t="str">
        <x:v>Softline</x:v>
      </x:c>
      <x:c r="G108" s="5" t="str">
        <x:v>Softline</x:v>
      </x:c>
      <x:c r="H108" s="5" t="str">
        <x:v>Не установлено</x:v>
      </x:c>
      <x:c r="I108" s="5" t="str">
        <x:v>Информационные технологии</x:v>
      </x:c>
      <x:c r="J108" s="5" t="str">
        <x:v>Руководители, специалисты и кадровый резерв компании</x:v>
      </x:c>
      <x:c r="K108" s="5" t="str">
        <x:v>Управление, коммуникации, продажи ИТ-решений, развитие тренеров, электронные курсы.</x:v>
      </x:c>
      <x:c r="L108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08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08" s="5" t="str">
        <x:v>Руководитель КУ/академии, руководитель T&amp;D, владелец программы; закупщик образовательных услуг</x:v>
      </x:c>
      <x:c r="O108" s="5" t="str">
        <x:v>https://edu.softline.com/news/kompaniya-softline-otkryta-dlya-vsekh-kto-reshil-smenit-profil-deyatelnosti-i-nashel-sebya-v-it/</x:v>
      </x:c>
      <x:c r="P108" s="5" t="str">
        <x:v>https://edu.softline.com/news/kompaniya-softline-otkryta-dlya-vsekh-kto-reshil-smenit-profil-deyatelnosti-i-nashel-sebya-v-it/</x:v>
      </x:c>
      <x:c r="Q108" s="5" t="str">
        <x:v>Официальная публикация отдельно описывает внутреннюю академию и КУ сотрудников с soft/hard skills.</x:v>
      </x:c>
      <x:c r="R108" s="5" t="str">
        <x:v>search_index</x:v>
      </x:c>
      <x:c r="S108" s="12" t="n">
        <x:v>46296</x:v>
      </x:c>
      <x:c r="T108" s="5" t="str">
        <x:v>Внешняя Академия Softline и внутренний КУ имеют разные аудитории; не предполагать единый закупочный бюджет.</x:v>
      </x:c>
      <x:c r="U108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08" s="5" t="str">
        <x:v>"Softline" (обучение OR ДПО OR тренинг OR электронный курс OR методист OR фасилитация OR запрос предложений OR приглашение экспертов)</x:v>
      </x:c>
      <x:c r="W108" s="5" t="str">
        <x:v>Именованная структура с подтверждением; отбор по стране, очереди и типу. Это не оценка вероятности заказа.</x:v>
      </x:c>
      <x:c r="X108" s="5" t="str">
        <x:v>cu_ru_services.json:23</x:v>
      </x:c>
    </x:row>
    <x:row r="109" ht="54" customHeight="1">
      <x:c r="A109" s="5" t="str">
        <x:v>CU-0104</x:v>
      </x:c>
      <x:c r="B109" s="5" t="str">
        <x:v>main_200</x:v>
      </x:c>
      <x:c r="C109" s="5" t="str">
        <x:v>Сетевая Академия ЛАНИТ</x:v>
      </x:c>
      <x:c r="D109" s="5" t="str">
        <x:v>RU</x:v>
      </x:c>
      <x:c r="E109" s="5" t="str">
        <x:v>company_training_center</x:v>
      </x:c>
      <x:c r="F109" s="5" t="str">
        <x:v>ЛАНИТ</x:v>
      </x:c>
      <x:c r="G109" s="5" t="str">
        <x:v>ЛАНИТ</x:v>
      </x:c>
      <x:c r="H109" s="5" t="str">
        <x:v>Не установлено</x:v>
      </x:c>
      <x:c r="I109" s="5" t="str">
        <x:v>Информационные технологии</x:v>
      </x:c>
      <x:c r="J109" s="5" t="str">
        <x:v>Руководители и специалисты внешних корпоративных клиентов; сотрудники группы — требует уточнения</x:v>
      </x:c>
      <x:c r="K109" s="5" t="str">
        <x:v>Управление ИТ-проектами, бизнес-анализ, развитие тренеров и методология, цифровые курсы.</x:v>
      </x:c>
      <x:c r="L109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09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09" s="5" t="str">
        <x:v>Руководитель КУ/академии, руководитель T&amp;D, владелец программы; закупщик образовательных услуг</x:v>
      </x:c>
      <x:c r="O109" s="5" t="str">
        <x:v>https://lanit.ru/press/archive/setevaya-akademiya-lanit-podvela-itogi-2021-goda-</x:v>
      </x:c>
      <x:c r="P109" s="5" t="str">
        <x:v>https://lanit.ru/press/archive/setevaya-akademiya-lanit-podvela-itogi-2021-goda-</x:v>
      </x:c>
      <x:c r="Q109" s="5" t="str">
        <x:v>Официальная группа описывает учебный центр «Сетевая Академия ЛАНИТ» как входящий в группу.</x:v>
      </x:c>
      <x:c r="R109" s="5" t="str">
        <x:v>search_index</x:v>
      </x:c>
      <x:c r="S109" s="12" t="n">
        <x:v>46296</x:v>
      </x:c>
      <x:c r="T109" s="5" t="str">
        <x:v>Внешний коммерческий учебный центр группы, а не подтверждённый внутренний КУ; рассматривать как партнёра/субподрядчика.</x:v>
      </x:c>
      <x:c r="U109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09" s="5" t="str">
        <x:v>"ЛАНИТ" (обучение OR ДПО OR тренинг OR электронный курс OR методист OR фасилитация OR запрос предложений OR приглашение экспертов)</x:v>
      </x:c>
      <x:c r="W109" s="5" t="str">
        <x:v>Именованная структура с подтверждением; отбор по стране, очереди и типу. Это не оценка вероятности заказа.</x:v>
      </x:c>
      <x:c r="X109" s="5" t="str">
        <x:v>cu_ru_services.json:24</x:v>
      </x:c>
    </x:row>
    <x:row r="110" ht="54" customHeight="1">
      <x:c r="A110" s="5" t="str">
        <x:v>CU-0105</x:v>
      </x:c>
      <x:c r="B110" s="5" t="str">
        <x:v>main_200</x:v>
      </x:c>
      <x:c r="C110" s="5" t="str">
        <x:v>Ozon Универ</x:v>
      </x:c>
      <x:c r="D110" s="5" t="str">
        <x:v>RU</x:v>
      </x:c>
      <x:c r="E110" s="5" t="str">
        <x:v>corporate_university</x:v>
      </x:c>
      <x:c r="F110" s="5" t="str">
        <x:v>Ozon</x:v>
      </x:c>
      <x:c r="G110" s="5" t="str">
        <x:v>Ozon</x:v>
      </x:c>
      <x:c r="H110" s="5" t="str">
        <x:v>Не установлено</x:v>
      </x:c>
      <x:c r="I110" s="5" t="str">
        <x:v>Электронная коммерция</x:v>
      </x:c>
      <x:c r="J110" s="5" t="str">
        <x:v>Руководители, специалисты и кадровый резерв компании</x:v>
      </x:c>
      <x:c r="K110" s="5" t="str">
        <x:v>Управление, антимонопольный комплаенс, цифровые курсы, логистика для менеджеров, HR.</x:v>
      </x:c>
      <x:c r="L110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10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10" s="5" t="str">
        <x:v>Руководитель КУ/академии, руководитель T&amp;D, владелец программы; закупщик образовательных услуг</x:v>
      </x:c>
      <x:c r="O110" s="5" t="str">
        <x:v>https://dreamjob.ru/employers/26029/blog/ucene-trend-kak-vygladit-korporativnyj-universitet-ozon</x:v>
      </x:c>
      <x:c r="P110" s="5" t="str">
        <x:v>https://dreamjob.ru/employers/26029/blog/ucene-trend-kak-vygladit-korporativnyj-universitet-ozon</x:v>
      </x:c>
      <x:c r="Q110" s="5" t="str">
        <x:v>Блог работодателя Ozon описывает внутренний корпоративный университет, обязательные и развивающие программы.</x:v>
      </x:c>
      <x:c r="R110" s="5" t="str">
        <x:v>content_read</x:v>
      </x:c>
      <x:c r="S110" s="12" t="n">
        <x:v>46296</x:v>
      </x:c>
      <x:c r="T110" s="5" t="str">
        <x:v>Точная доступность отдельного портала не установлена; использовать корпоративный блог и первичные сведения организатора разработки.</x:v>
      </x:c>
      <x:c r="U110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10" s="5" t="str">
        <x:v>"Ozon" (обучение OR ДПО OR тренинг OR электронный курс OR методист OR фасилитация OR запрос предложений OR приглашение экспертов)</x:v>
      </x:c>
      <x:c r="W110" s="5" t="str">
        <x:v>Именованная структура с подтверждением; отбор по стране, очереди и типу. Это не оценка вероятности заказа.</x:v>
      </x:c>
      <x:c r="X110" s="5" t="str">
        <x:v>cu_ru_services.json:25</x:v>
      </x:c>
    </x:row>
    <x:row r="111" ht="54" customHeight="1">
      <x:c r="A111" s="5" t="str">
        <x:v>CU-0106</x:v>
      </x:c>
      <x:c r="B111" s="5" t="str">
        <x:v>main_200</x:v>
      </x:c>
      <x:c r="C111" s="5" t="str">
        <x:v>Корпоративный университет Петровича</x:v>
      </x:c>
      <x:c r="D111" s="5" t="str">
        <x:v>RU</x:v>
      </x:c>
      <x:c r="E111" s="5" t="str">
        <x:v>corporate_university</x:v>
      </x:c>
      <x:c r="F111" s="5" t="str">
        <x:v>СТД Петрович</x:v>
      </x:c>
      <x:c r="G111" s="5" t="str">
        <x:v>СТД Петрович</x:v>
      </x:c>
      <x:c r="H111" s="5" t="str">
        <x:v>Не установлено</x:v>
      </x:c>
      <x:c r="I111" s="5" t="str">
        <x:v>Розничная торговля DIY</x:v>
      </x:c>
      <x:c r="J111" s="5" t="str">
        <x:v>Руководители, специалисты и кадровый резерв компании</x:v>
      </x:c>
      <x:c r="K111" s="5" t="str">
        <x:v>Управленческие компетенции, кадровый резерв, наставничество, гибридное управление.</x:v>
      </x:c>
      <x:c r="L111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11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11" s="5" t="str">
        <x:v>Руководитель КУ/академии, руководитель T&amp;D, владелец программы; закупщик образовательных услуг</x:v>
      </x:c>
      <x:c r="O111" s="5" t="str">
        <x:v>https://ostanin.ru/cases/std-petrovich/</x:v>
      </x:c>
      <x:c r="P111" s="5" t="str">
        <x:v>https://ostanin.ru/cases/std-petrovich/</x:v>
      </x:c>
      <x:c r="Q111" s="5" t="str">
        <x:v>Первичный кейс исполнителя описывает заказ КУ на подготовку кадрового резерва и приобретение готового онлайн-курса.</x:v>
      </x:c>
      <x:c r="R111" s="5" t="str">
        <x:v>search_index</x:v>
      </x:c>
      <x:c r="S111" s="12" t="n">
        <x:v>46296</x:v>
      </x:c>
      <x:c r="T111" s="5" t="str">
        <x:v>Исторический кейс продавца — свидетельство прежнего платного заказа, не новая открытая потребность. Не путать etrn.petrovich.ru с собственным КУ: там описание продукта Saby.</x:v>
      </x:c>
      <x:c r="U111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11" s="5" t="str">
        <x:v>"СТД Петрович" (обучение OR ДПО OR тренинг OR электронный курс OR методист OR фасилитация OR запрос предложений OR приглашение экспертов)</x:v>
      </x:c>
      <x:c r="W111" s="5" t="str">
        <x:v>Именованная структура с подтверждением; отбор по стране, очереди и типу. Это не оценка вероятности заказа.</x:v>
      </x:c>
      <x:c r="X111" s="5" t="str">
        <x:v>cu_ru_services.json:26</x:v>
      </x:c>
    </x:row>
    <x:row r="112" ht="54" customHeight="1">
      <x:c r="A112" s="5" t="str">
        <x:v>CU-0107</x:v>
      </x:c>
      <x:c r="B112" s="5" t="str">
        <x:v>main_200</x:v>
      </x:c>
      <x:c r="C112" s="5" t="str">
        <x:v>Корпоративный университет СК Согласие</x:v>
      </x:c>
      <x:c r="D112" s="5" t="str">
        <x:v>RU</x:v>
      </x:c>
      <x:c r="E112" s="5" t="str">
        <x:v>corporate_university</x:v>
      </x:c>
      <x:c r="F112" s="5" t="str">
        <x:v>СК Согласие</x:v>
      </x:c>
      <x:c r="G112" s="5" t="str">
        <x:v>СК Согласие</x:v>
      </x:c>
      <x:c r="H112" s="5" t="str">
        <x:v>Не установлено</x:v>
      </x:c>
      <x:c r="I112" s="5" t="str">
        <x:v>Страхование</x:v>
      </x:c>
      <x:c r="J112" s="5" t="str">
        <x:v>Руководители, специалисты и кадровый резерв компании</x:v>
      </x:c>
      <x:c r="K112" s="5" t="str">
        <x:v>Обучение офисного персонала, продажи, управление, цифровое обучение, страховой комплаенс.</x:v>
      </x:c>
      <x:c r="L112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12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12" s="5" t="str">
        <x:v>Руководитель КУ/академии, руководитель T&amp;D, владелец программы; закупщик образовательных услуг</x:v>
      </x:c>
      <x:c r="O112" s="5" t="str">
        <x:v>https://auditorium-cg.ru/cef25</x:v>
      </x:c>
      <x:c r="P112" s="5" t="str">
        <x:v>https://auditorium-cg.ru/cef25</x:v>
      </x:c>
      <x:c r="Q112" s="5" t="str">
        <x:v>Официальная программа конференции 2025 называет директора департамента «Корпоративный университет» СК Согласие.</x:v>
      </x:c>
      <x:c r="R112" s="5" t="str">
        <x:v>search_index</x:v>
      </x:c>
      <x:c r="S112" s="12" t="n">
        <x:v>46296</x:v>
      </x:c>
      <x:c r="T112" s="5" t="str">
        <x:v>Подтверждение через первичного организатора конференции; собственный открытый портал КУ ещё нужно найти.</x:v>
      </x:c>
      <x:c r="U112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12" s="5" t="str">
        <x:v>"СК Согласие" (обучение OR ДПО OR тренинг OR электронный курс OR методист OR фасилитация OR запрос предложений OR приглашение экспертов)</x:v>
      </x:c>
      <x:c r="W112" s="5" t="str">
        <x:v>Именованная структура с подтверждением; отбор по стране, очереди и типу. Это не оценка вероятности заказа.</x:v>
      </x:c>
      <x:c r="X112" s="5" t="str">
        <x:v>cu_ru_services.json:27</x:v>
      </x:c>
    </x:row>
    <x:row r="113" ht="54" customHeight="1">
      <x:c r="A113" s="5" t="str">
        <x:v>CU-0108</x:v>
      </x:c>
      <x:c r="B113" s="5" t="str">
        <x:v>main_200</x:v>
      </x:c>
      <x:c r="C113" s="5" t="str">
        <x:v>Академия бизнеса Б1</x:v>
      </x:c>
      <x:c r="D113" s="5" t="str">
        <x:v>RU</x:v>
      </x:c>
      <x:c r="E113" s="5" t="str">
        <x:v>corporate_academy</x:v>
      </x:c>
      <x:c r="F113" s="5" t="str">
        <x:v>Б1</x:v>
      </x:c>
      <x:c r="G113" s="5" t="str">
        <x:v>Б1</x:v>
      </x:c>
      <x:c r="H113" s="5" t="str">
        <x:v>Не установлено</x:v>
      </x:c>
      <x:c r="I113" s="5" t="str">
        <x:v>Аудит и консалтинг</x:v>
      </x:c>
      <x:c r="J113" s="5" t="str">
        <x:v>Руководители и специалисты внешних корпоративных клиентов; сотрудники группы — требует уточнения</x:v>
      </x:c>
      <x:c r="K113" s="5" t="str">
        <x:v>Финансы, МСФО, риски, управление, HR, электронное обучение и приглашённые эксперты.</x:v>
      </x:c>
      <x:c r="L113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13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13" s="5" t="str">
        <x:v>Руководитель КУ/академии, руководитель T&amp;D, владелец программы; закупщик образовательных услуг</x:v>
      </x:c>
      <x:c r="O113" s="5" t="str">
        <x:v>https://b1.ru/academyb1/</x:v>
      </x:c>
      <x:c r="P113" s="5" t="str">
        <x:v>https://b1.ru/academyb1/</x:v>
      </x:c>
      <x:c r="Q113" s="5" t="str">
        <x:v>Группа Б1 публикует собственное образовательное направление Академия бизнеса Б1.</x:v>
      </x:c>
      <x:c r="R113" s="5" t="str">
        <x:v>search_index</x:v>
      </x:c>
      <x:c r="S113" s="12" t="n">
        <x:v>46296</x:v>
      </x:c>
      <x:c r="T113" s="5" t="str">
        <x:v>Внешний образовательный бизнес группы, прямой конкурент и возможный партнёр; не классический внутренний КУ.</x:v>
      </x:c>
      <x:c r="U113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13" s="5" t="str">
        <x:v>"Б1" (обучение OR ДПО OR тренинг OR электронный курс OR методист OR фасилитация OR запрос предложений OR приглашение экспертов)</x:v>
      </x:c>
      <x:c r="W113" s="5" t="str">
        <x:v>Именованная структура с подтверждением; отбор по стране, очереди и типу. Это не оценка вероятности заказа.</x:v>
      </x:c>
      <x:c r="X113" s="5" t="str">
        <x:v>cu_ru_services.json:28</x:v>
      </x:c>
    </x:row>
    <x:row r="114" ht="54" customHeight="1">
      <x:c r="A114" s="5" t="str">
        <x:v>CU-0109</x:v>
      </x:c>
      <x:c r="B114" s="5" t="str">
        <x:v>main_200</x:v>
      </x:c>
      <x:c r="C114" s="5" t="str">
        <x:v>Академия Kept</x:v>
      </x:c>
      <x:c r="D114" s="5" t="str">
        <x:v>RU</x:v>
      </x:c>
      <x:c r="E114" s="5" t="str">
        <x:v>corporate_academy</x:v>
      </x:c>
      <x:c r="F114" s="5" t="str">
        <x:v>Kept</x:v>
      </x:c>
      <x:c r="G114" s="5" t="str">
        <x:v>Kept</x:v>
      </x:c>
      <x:c r="H114" s="5" t="str">
        <x:v>Не установлено</x:v>
      </x:c>
      <x:c r="I114" s="5" t="str">
        <x:v>Аудит и консалтинг</x:v>
      </x:c>
      <x:c r="J114" s="5" t="str">
        <x:v>Руководители и специалисты внешних корпоративных клиентов; сотрудники группы — требует уточнения</x:v>
      </x:c>
      <x:c r="K114" s="5" t="str">
        <x:v>Финансы, HR, лидерство, риск-менеджмент, цифровые технологии, электронный контент.</x:v>
      </x:c>
      <x:c r="L114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14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14" s="5" t="str">
        <x:v>Руководитель КУ/академии, руководитель T&amp;D, владелец программы; закупщик образовательных услуг</x:v>
      </x:c>
      <x:c r="O114" s="5" t="str">
        <x:v>https://academy.kept.ru/corp</x:v>
      </x:c>
      <x:c r="P114" s="5" t="str">
        <x:v>https://academy.kept.ru/corp</x:v>
      </x:c>
      <x:c r="Q114" s="5" t="str">
        <x:v>Официальная страница подтверждает, что академия — часть Kept, с корпоративными программами.</x:v>
      </x:c>
      <x:c r="R114" s="5" t="str">
        <x:v>search_index</x:v>
      </x:c>
      <x:c r="S114" s="12" t="n">
        <x:v>46296</x:v>
      </x:c>
      <x:c r="T114" s="5" t="str">
        <x:v>Коммерческий провайдер группы: искать партнёрство, преподавателей или субподряд, а не считать покупателем всех своих курсов.</x:v>
      </x:c>
      <x:c r="U114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14" s="5" t="str">
        <x:v>"Kept" (обучение OR ДПО OR тренинг OR электронный курс OR методист OR фасилитация OR запрос предложений OR приглашение экспертов)</x:v>
      </x:c>
      <x:c r="W114" s="5" t="str">
        <x:v>Именованная структура с подтверждением; отбор по стране, очереди и типу. Это не оценка вероятности заказа.</x:v>
      </x:c>
      <x:c r="X114" s="5" t="str">
        <x:v>cu_ru_services.json:29</x:v>
      </x:c>
    </x:row>
    <x:row r="115" ht="54" customHeight="1">
      <x:c r="A115" s="5" t="str">
        <x:v>CU-0110</x:v>
      </x:c>
      <x:c r="B115" s="5" t="str">
        <x:v>main_200</x:v>
      </x:c>
      <x:c r="C115" s="5" t="str">
        <x:v>Академия Технологий Доверия</x:v>
      </x:c>
      <x:c r="D115" s="5" t="str">
        <x:v>RU</x:v>
      </x:c>
      <x:c r="E115" s="5" t="str">
        <x:v>corporate_academy</x:v>
      </x:c>
      <x:c r="F115" s="5" t="str">
        <x:v>Технологии Доверия</x:v>
      </x:c>
      <x:c r="G115" s="5" t="str">
        <x:v>Технологии Доверия</x:v>
      </x:c>
      <x:c r="H115" s="5" t="str">
        <x:v>Не установлено</x:v>
      </x:c>
      <x:c r="I115" s="5" t="str">
        <x:v>Аудит и консалтинг</x:v>
      </x:c>
      <x:c r="J115" s="5" t="str">
        <x:v>Руководители и специалисты внешних корпоративных клиентов; сотрудники группы — требует уточнения</x:v>
      </x:c>
      <x:c r="K115" s="5" t="str">
        <x:v>МСФО, РСБУ, налоги, финансы, HR, коучинг, деловые коммуникации.</x:v>
      </x:c>
      <x:c r="L115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15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15" s="5" t="str">
        <x:v>Руководитель КУ/академии, руководитель T&amp;D, владелец программы; закупщик образовательных услуг</x:v>
      </x:c>
      <x:c r="O115" s="5" t="str">
        <x:v>https://training.tedo.ru/about-academy/</x:v>
      </x:c>
      <x:c r="P115" s="5" t="str">
        <x:v>https://training.tedo.ru/about-academy/</x:v>
      </x:c>
      <x:c r="Q115" s="5" t="str">
        <x:v>Официальная академия (бывшая Академия PwC) описывает программы и образовательную лицензию.</x:v>
      </x:c>
      <x:c r="R115" s="5" t="str">
        <x:v>search_index</x:v>
      </x:c>
      <x:c r="S115" s="12" t="n">
        <x:v>46296</x:v>
      </x:c>
      <x:c r="T115" s="5" t="str">
        <x:v>Внешний образовательный центр группы, не подтверждённый внутренний КУ; конкурентный и партнёрский маршрут.</x:v>
      </x:c>
      <x:c r="U11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15" s="5" t="str">
        <x:v>"Технологии Доверия" (обучение OR ДПО OR тренинг OR электронный курс OR методист OR фасилитация OR запрос предложений OR приглашение экспертов)</x:v>
      </x:c>
      <x:c r="W115" s="5" t="str">
        <x:v>Именованная структура с подтверждением; отбор по стране, очереди и типу. Это не оценка вероятности заказа.</x:v>
      </x:c>
      <x:c r="X115" s="5" t="str">
        <x:v>cu_ru_services.json:30</x:v>
      </x:c>
    </x:row>
    <x:row r="116" ht="54" customHeight="1">
      <x:c r="A116" s="5" t="str">
        <x:v>CU-0111</x:v>
      </x:c>
      <x:c r="B116" s="5" t="str">
        <x:v>main_200</x:v>
      </x:c>
      <x:c r="C116" s="5" t="str">
        <x:v>Экономико-правовая школа ФБК</x:v>
      </x:c>
      <x:c r="D116" s="5" t="str">
        <x:v>RU</x:v>
      </x:c>
      <x:c r="E116" s="5" t="str">
        <x:v>company_training_center</x:v>
      </x:c>
      <x:c r="F116" s="5" t="str">
        <x:v>ФБК</x:v>
      </x:c>
      <x:c r="G116" s="5" t="str">
        <x:v>ФБК</x:v>
      </x:c>
      <x:c r="H116" s="5" t="str">
        <x:v>Не установлено</x:v>
      </x:c>
      <x:c r="I116" s="5" t="str">
        <x:v>Аудит и консалтинг</x:v>
      </x:c>
      <x:c r="J116" s="5" t="str">
        <x:v>Руководители и специалисты внешних корпоративных клиентов; сотрудники группы — требует уточнения</x:v>
      </x:c>
      <x:c r="K116" s="5" t="str">
        <x:v>Финансы, право, налоги, аудит, электронные курсы, преподаватели узких тем.</x:v>
      </x:c>
      <x:c r="L116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16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16" s="5" t="str">
        <x:v>Руководитель КУ/академии, руководитель T&amp;D, владелец программы; закупщик образовательных услуг</x:v>
      </x:c>
      <x:c r="O116" s="5" t="str">
        <x:v>https://www.fbk.ru/press-center/news/ekonomiko-pravovaya-shkola-fbk-zapustila-novyy-sayt/</x:v>
      </x:c>
      <x:c r="P116" s="5" t="str">
        <x:v>https://www.fbk.ru/press-center/news/ekonomiko-pravovaya-shkola-fbk-zapustila-novyy-sayt/</x:v>
      </x:c>
      <x:c r="Q116" s="5" t="str">
        <x:v>Официальная ФБК подтверждает Экономико-правовую школу и адрес её сайта elsfbk.ru.</x:v>
      </x:c>
      <x:c r="R116" s="5" t="str">
        <x:v>search_index</x:v>
      </x:c>
      <x:c r="S116" s="12" t="n">
        <x:v>46296</x:v>
      </x:c>
      <x:c r="T116" s="5" t="str">
        <x:v>Внешний учебный центр группы; искать субподряд и совместные продукты. История закупок не установлена.</x:v>
      </x:c>
      <x:c r="U11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16" s="5" t="str">
        <x:v>"ФБК" (обучение OR ДПО OR тренинг OR электронный курс OR методист OR фасилитация OR запрос предложений OR приглашение экспертов)</x:v>
      </x:c>
      <x:c r="W116" s="5" t="str">
        <x:v>Именованная структура с подтверждением; отбор по стране, очереди и типу. Это не оценка вероятности заказа.</x:v>
      </x:c>
      <x:c r="X116" s="5" t="str">
        <x:v>cu_ru_services.json:31</x:v>
      </x:c>
    </x:row>
    <x:row r="117" ht="54" customHeight="1">
      <x:c r="A117" s="5" t="str">
        <x:v>CU-0112</x:v>
      </x:c>
      <x:c r="B117" s="5" t="str">
        <x:v>main_200</x:v>
      </x:c>
      <x:c r="C117" s="5" t="str">
        <x:v>Корпоративный университет СКБ Контур</x:v>
      </x:c>
      <x:c r="D117" s="5" t="str">
        <x:v>RU</x:v>
      </x:c>
      <x:c r="E117" s="5" t="str">
        <x:v>corporate_university</x:v>
      </x:c>
      <x:c r="F117" s="5" t="str">
        <x:v>СКБ Контур</x:v>
      </x:c>
      <x:c r="G117" s="5" t="str">
        <x:v>СКБ Контур</x:v>
      </x:c>
      <x:c r="H117" s="5" t="str">
        <x:v>Не установлено</x:v>
      </x:c>
      <x:c r="I117" s="5" t="str">
        <x:v>Информационные технологии</x:v>
      </x:c>
      <x:c r="J117" s="5" t="str">
        <x:v>Руководители, специалисты и кадровый резерв компании</x:v>
      </x:c>
      <x:c r="K117" s="5" t="str">
        <x:v>Лидерство, фасилитация, управление, HR, обучение бизнес-функций ИТ-компании.</x:v>
      </x:c>
      <x:c r="L117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17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17" s="5" t="str">
        <x:v>Руководитель КУ/академии, руководитель T&amp;D, владелец программы; закупщик образовательных услуг</x:v>
      </x:c>
      <x:c r="O117" s="5" t="str">
        <x:v>https://kontur.ru/press/news/79945-kontur_reshenie_kadrovogo_deficita_v_it</x:v>
      </x:c>
      <x:c r="P117" s="5" t="str">
        <x:v>https://kontur.ru/press/news/79945-kontur_reshenie_kadrovogo_deficita_v_it</x:v>
      </x:c>
      <x:c r="Q117" s="5" t="str">
        <x:v>Официальная новость описывает собственную образовательную платформу «Корпоративный университет».</x:v>
      </x:c>
      <x:c r="R117" s="5" t="str">
        <x:v>search_index</x:v>
      </x:c>
      <x:c r="S117" s="12" t="n">
        <x:v>46296</x:v>
      </x:c>
      <x:c r="T117" s="5" t="str">
        <x:v>Внутренний КУ отличается от внешней Контур.Школы; каналы сохранять связанными, не объединять бюджеты автоматически.</x:v>
      </x:c>
      <x:c r="U11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17" s="5" t="str">
        <x:v>"СКБ Контур" (обучение OR ДПО OR тренинг OR электронный курс OR методист OR фасилитация OR запрос предложений OR приглашение экспертов)</x:v>
      </x:c>
      <x:c r="W117" s="5" t="str">
        <x:v>Именованная структура с подтверждением; отбор по стране, очереди и типу. Это не оценка вероятности заказа.</x:v>
      </x:c>
      <x:c r="X117" s="5" t="str">
        <x:v>cu_ru_services.json:32</x:v>
      </x:c>
    </x:row>
    <x:row r="118" ht="54" customHeight="1">
      <x:c r="A118" s="5" t="str">
        <x:v>CU-0113</x:v>
      </x:c>
      <x:c r="B118" s="5" t="str">
        <x:v>main_200</x:v>
      </x:c>
      <x:c r="C118" s="5" t="str">
        <x:v>Корпоративный университет Тензора</x:v>
      </x:c>
      <x:c r="D118" s="5" t="str">
        <x:v>RU</x:v>
      </x:c>
      <x:c r="E118" s="5" t="str">
        <x:v>corporate_university</x:v>
      </x:c>
      <x:c r="F118" s="5" t="str">
        <x:v>Тензор / Saby</x:v>
      </x:c>
      <x:c r="G118" s="5" t="str">
        <x:v>Тензор / Saby</x:v>
      </x:c>
      <x:c r="H118" s="5" t="str">
        <x:v>Не установлено</x:v>
      </x:c>
      <x:c r="I118" s="5" t="str">
        <x:v>Информационные технологии</x:v>
      </x:c>
      <x:c r="J118" s="5" t="str">
        <x:v>Руководители, специалисты и кадровый резерв компании</x:v>
      </x:c>
      <x:c r="K118" s="5" t="str">
        <x:v>Менеджмент, продажи, обучение бухгалтерским и кадровым сервисам, электронные курсы.</x:v>
      </x:c>
      <x:c r="L118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18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18" s="5" t="str">
        <x:v>Руководитель КУ/академии, руководитель T&amp;D, владелец программы; закупщик образовательных услуг</x:v>
      </x:c>
      <x:c r="O118" s="5" t="str">
        <x:v>https://tensor.ru/about/training</x:v>
      </x:c>
      <x:c r="P118" s="5" t="str">
        <x:v>https://tensor.ru/about/training</x:v>
      </x:c>
      <x:c r="Q118" s="5" t="str">
        <x:v>Официальная страница обучения содержит раздел «Корпоративный университет».</x:v>
      </x:c>
      <x:c r="R118" s="5" t="str">
        <x:v>content_read</x:v>
      </x:c>
      <x:c r="S118" s="12" t="n">
        <x:v>46296</x:v>
      </x:c>
      <x:c r="T118" s="5" t="str">
        <x:v>Продукт Saby «Корпоративный университет» не равен внутреннему университету компании; использовать раздел обучения Тензора.</x:v>
      </x:c>
      <x:c r="U118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18" s="5" t="str">
        <x:v>"Тензор / Saby" (обучение OR ДПО OR тренинг OR электронный курс OR методист OR фасилитация OR запрос предложений OR приглашение экспертов)</x:v>
      </x:c>
      <x:c r="W118" s="5" t="str">
        <x:v>Именованная структура с подтверждением; отбор по стране, очереди и типу. Это не оценка вероятности заказа.</x:v>
      </x:c>
      <x:c r="X118" s="5" t="str">
        <x:v>cu_ru_services.json:33</x:v>
      </x:c>
    </x:row>
    <x:row r="119" ht="54" customHeight="1">
      <x:c r="A119" s="5" t="str">
        <x:v>CU-0114</x:v>
      </x:c>
      <x:c r="B119" s="5" t="str">
        <x:v>main_200</x:v>
      </x:c>
      <x:c r="C119" s="5" t="str">
        <x:v>Nexign Academy / корпоративный университет Nexign</x:v>
      </x:c>
      <x:c r="D119" s="5" t="str">
        <x:v>RU</x:v>
      </x:c>
      <x:c r="E119" s="5" t="str">
        <x:v>corporate_university</x:v>
      </x:c>
      <x:c r="F119" s="5" t="str">
        <x:v>Nexign</x:v>
      </x:c>
      <x:c r="G119" s="5" t="str">
        <x:v>Nexign</x:v>
      </x:c>
      <x:c r="H119" s="5" t="str">
        <x:v>Не установлено</x:v>
      </x:c>
      <x:c r="I119" s="5" t="str">
        <x:v>Информационные технологии</x:v>
      </x:c>
      <x:c r="J119" s="5" t="str">
        <x:v>Руководители, специалисты и кадровый резерв компании</x:v>
      </x:c>
      <x:c r="K119" s="5" t="str">
        <x:v>Управление ИТ-командами, HR, кадровый резерв, обучение внутренних тренеров.</x:v>
      </x:c>
      <x:c r="L119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19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19" s="5" t="str">
        <x:v>Руководитель КУ/академии, руководитель T&amp;D, владелец программы; закупщик образовательных услуг</x:v>
      </x:c>
      <x:c r="O119" s="5" t="str">
        <x:v>https://nexign.com/ru/nexign-academy/razvitie-hr-servisov</x:v>
      </x:c>
      <x:c r="P119" s="5" t="str">
        <x:v>https://nexign.com/ru/nexign-academy/razvitie-hr-servisov</x:v>
      </x:c>
      <x:c r="Q119" s="5" t="str">
        <x:v>Официальная академия предлагает HR-практики и построение систем обучения; официальное выступление HR-директора описывает КУ.</x:v>
      </x:c>
      <x:c r="R119" s="5" t="str">
        <x:v>content_read</x:v>
      </x:c>
      <x:c r="S119" s="12" t="n">
        <x:v>46296</x:v>
      </x:c>
      <x:c r="T119" s="5" t="str">
        <x:v>Подтверждён образовательный центр с выходом во внешнее обучение; отдельность брендов и бюджетов уточнить.</x:v>
      </x:c>
      <x:c r="U119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19" s="5" t="str">
        <x:v>"Nexign" (обучение OR ДПО OR тренинг OR электронный курс OR методист OR фасилитация OR запрос предложений OR приглашение экспертов)</x:v>
      </x:c>
      <x:c r="W119" s="5" t="str">
        <x:v>Именованная структура с подтверждением; отбор по стране, очереди и типу. Это не оценка вероятности заказа.</x:v>
      </x:c>
      <x:c r="X119" s="5" t="str">
        <x:v>cu_ru_services.json:34</x:v>
      </x:c>
    </x:row>
    <x:row r="120" ht="54" customHeight="1">
      <x:c r="A120" s="5" t="str">
        <x:v>CU-0115</x:v>
      </x:c>
      <x:c r="B120" s="5" t="str">
        <x:v>main_200</x:v>
      </x:c>
      <x:c r="C120" s="5" t="str">
        <x:v>ВСК Университет</x:v>
      </x:c>
      <x:c r="D120" s="5" t="str">
        <x:v>RU</x:v>
      </x:c>
      <x:c r="E120" s="5" t="str">
        <x:v>corporate_university</x:v>
      </x:c>
      <x:c r="F120" s="5" t="str">
        <x:v>ВСК</x:v>
      </x:c>
      <x:c r="G120" s="5" t="str">
        <x:v>ВСК</x:v>
      </x:c>
      <x:c r="H120" s="5" t="str">
        <x:v>Москва</x:v>
      </x:c>
      <x:c r="I120" s="5" t="str">
        <x:v>Страхование</x:v>
      </x:c>
      <x:c r="J120" s="5" t="str">
        <x:v>Руководители, специалисты и кадровый резерв компании</x:v>
      </x:c>
      <x:c r="K120" s="5" t="str">
        <x:v>Страховые финансы, переговоры, управление, деловая переписка, цифровые навыки.</x:v>
      </x:c>
      <x:c r="L120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20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20" s="5" t="str">
        <x:v>Руководитель КУ/академии, руководитель T&amp;D, владелец программы; закупщик образовательных услуг</x:v>
      </x:c>
      <x:c r="O120" s="5" t="str">
        <x:v>https://university.vsk.ru/</x:v>
      </x:c>
      <x:c r="P120" s="5" t="str">
        <x:v>https://university.vsk.ru/</x:v>
      </x:c>
      <x:c r="Q120" s="5" t="str">
        <x:v>Официальный сайт АНО ДПО «ВСК Университет»: программы, мероприятия и собственные контакты.</x:v>
      </x:c>
      <x:c r="R120" s="5" t="str">
        <x:v>content_read</x:v>
      </x:c>
      <x:c r="S120" s="12" t="n">
        <x:v>46296</x:v>
      </x:c>
      <x:c r="T120" s="5" t="str">
        <x:v>Предлагает внешние образовательные услуги; потребность в подрядчиках требует отдельного сигнала.</x:v>
      </x:c>
      <x:c r="U120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20" s="5" t="str">
        <x:v>"ВСК" (обучение OR ДПО OR тренинг OR электронный курс OR методист OR фасилитация OR запрос предложений OR приглашение экспертов)</x:v>
      </x:c>
      <x:c r="W120" s="5" t="str">
        <x:v>Именованная структура с подтверждением; отбор по стране, очереди и типу. Это не оценка вероятности заказа.</x:v>
      </x:c>
      <x:c r="X120" s="5" t="str">
        <x:v>cu_ru_services.json:35</x:v>
      </x:c>
    </x:row>
    <x:row r="121" ht="54" customHeight="1">
      <x:c r="A121" s="5" t="str">
        <x:v>CU-0116</x:v>
      </x:c>
      <x:c r="B121" s="5" t="str">
        <x:v>main_200</x:v>
      </x:c>
      <x:c r="C121" s="5" t="str">
        <x:v>Корпоративный университет Ак Барс Банка</x:v>
      </x:c>
      <x:c r="D121" s="5" t="str">
        <x:v>RU</x:v>
      </x:c>
      <x:c r="E121" s="5" t="str">
        <x:v>corporate_university</x:v>
      </x:c>
      <x:c r="F121" s="5" t="str">
        <x:v>Ак Барс Банк</x:v>
      </x:c>
      <x:c r="G121" s="5" t="str">
        <x:v>Ак Барс Банк</x:v>
      </x:c>
      <x:c r="H121" s="5" t="str">
        <x:v>Казань</x:v>
      </x:c>
      <x:c r="I121" s="5" t="str">
        <x:v>Банки</x:v>
      </x:c>
      <x:c r="J121" s="5" t="str">
        <x:v>Руководители, специалисты и кадровый резерв компании</x:v>
      </x:c>
      <x:c r="K121" s="5" t="str">
        <x:v>Банковские риски, менеджмент, HR, аналитика, цифровые навыки.</x:v>
      </x:c>
      <x:c r="L121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21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21" s="5" t="str">
        <x:v>Руководитель КУ/академии, руководитель T&amp;D, владелец программы; закупщик образовательных услуг</x:v>
      </x:c>
      <x:c r="O121" s="5" t="str">
        <x:v>https://www.tisbi.ru/novosti/tisbi-prinyal-uchastie-v-shestom-zasedanii-kruglogo-stola-s-departamentom-po-rabote-s-personalom-i-korporativnim-universitetom-ak-bars-banka</x:v>
      </x:c>
      <x:c r="P121" s="5" t="str">
        <x:v>https://www.tisbi.ru/novosti/tisbi-prinyal-uchastie-v-shestom-zasedanii-kruglogo-stola-s-departamentom-po-rabote-s-personalom-i-korporativnim-universitetom-ak-bars-banka</x:v>
      </x:c>
      <x:c r="Q121" s="5" t="str">
        <x:v>Университет-партнёр ТИСБИ в феврале 2026 описывает совместное заседание с КУ банка; банк также подтверждает КУ в корпоративном отчёте.</x:v>
      </x:c>
      <x:c r="R121" s="5" t="str">
        <x:v>search_index</x:v>
      </x:c>
      <x:c r="S121" s="12" t="n">
        <x:v>46296</x:v>
      </x:c>
      <x:c r="T121" s="5" t="str">
        <x:v>Первичный партнёрский источник; официальный отдельный URL КУ ещё не найден.</x:v>
      </x:c>
      <x:c r="U121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21" s="5" t="str">
        <x:v>"Ак Барс Банк" (обучение OR ДПО OR тренинг OR электронный курс OR методист OR фасилитация OR запрос предложений OR приглашение экспертов)</x:v>
      </x:c>
      <x:c r="W121" s="5" t="str">
        <x:v>Именованная структура с подтверждением; отбор по стране, очереди и типу. Это не оценка вероятности заказа.</x:v>
      </x:c>
      <x:c r="X121" s="5" t="str">
        <x:v>cu_ru_services.json:36</x:v>
      </x:c>
    </x:row>
    <x:row r="122" ht="54" customHeight="1">
      <x:c r="A122" s="5" t="str">
        <x:v>CU-0117</x:v>
      </x:c>
      <x:c r="B122" s="5" t="str">
        <x:v>main_200</x:v>
      </x:c>
      <x:c r="C122" s="5" t="str">
        <x:v>Корпоративный университет Газпромбанка</x:v>
      </x:c>
      <x:c r="D122" s="5" t="str">
        <x:v>RU</x:v>
      </x:c>
      <x:c r="E122" s="5" t="str">
        <x:v>corporate_university</x:v>
      </x:c>
      <x:c r="F122" s="5" t="str">
        <x:v>Газпромбанк</x:v>
      </x:c>
      <x:c r="G122" s="5" t="str">
        <x:v>Газпромбанк</x:v>
      </x:c>
      <x:c r="H122" s="5" t="str">
        <x:v>Не установлено</x:v>
      </x:c>
      <x:c r="I122" s="5" t="str">
        <x:v>Банки</x:v>
      </x:c>
      <x:c r="J122" s="5" t="str">
        <x:v>Руководители, специалисты и кадровый резерв компании</x:v>
      </x:c>
      <x:c r="K122" s="5" t="str">
        <x:v>Лидерство, финансовый риск, HR, цифровая трансформация, электронные программы.</x:v>
      </x:c>
      <x:c r="L122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22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22" s="5" t="str">
        <x:v>Руководитель КУ/академии, руководитель T&amp;D, владелец программы; закупщик образовательных услуг</x:v>
      </x:c>
      <x:c r="O122" s="5" t="str">
        <x:v>https://career.habr.com/companies/gazprombank/scores/2022</x:v>
      </x:c>
      <x:c r="P122" s="5" t="str">
        <x:v>https://career.habr.com/companies/gazprombank/scores/2022</x:v>
      </x:c>
      <x:c r="Q122" s="5" t="str">
        <x:v>Ответы работодателя на карьерной платформе прямо описывают КУ и набор курсов; первичная программа конференции CEF 2022 называет руководителя КУ.</x:v>
      </x:c>
      <x:c r="R122" s="5" t="str">
        <x:v>search_index</x:v>
      </x:c>
      <x:c r="S122" s="12" t="n">
        <x:v>46296</x:v>
      </x:c>
      <x:c r="T122" s="5" t="str">
        <x:v>Учитывать именно ответ работодателя, не отзывы сотрудников; уточнить современный портал и структуру.</x:v>
      </x:c>
      <x:c r="U122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22" s="5" t="str">
        <x:v>"Газпромбанк" (обучение OR ДПО OR тренинг OR электронный курс OR методист OR фасилитация OR запрос предложений OR приглашение экспертов)</x:v>
      </x:c>
      <x:c r="W122" s="5" t="str">
        <x:v>Именованная структура с подтверждением; отбор по стране, очереди и типу. Это не оценка вероятности заказа.</x:v>
      </x:c>
      <x:c r="X122" s="5" t="str">
        <x:v>cu_ru_services.json:37</x:v>
      </x:c>
    </x:row>
    <x:row r="123" ht="54" customHeight="1">
      <x:c r="A123" s="5" t="str">
        <x:v>CU-0118</x:v>
      </x:c>
      <x:c r="B123" s="5" t="str">
        <x:v>main_200</x:v>
      </x:c>
      <x:c r="C123" s="5" t="str">
        <x:v>Академия лидерства T2Way</x:v>
      </x:c>
      <x:c r="D123" s="5" t="str">
        <x:v>RU</x:v>
      </x:c>
      <x:c r="E123" s="5" t="str">
        <x:v>corporate_academy</x:v>
      </x:c>
      <x:c r="F123" s="5" t="str">
        <x:v>t2</x:v>
      </x:c>
      <x:c r="G123" s="5" t="str">
        <x:v>t2</x:v>
      </x:c>
      <x:c r="H123" s="5" t="str">
        <x:v>Не установлено</x:v>
      </x:c>
      <x:c r="I123" s="5" t="str">
        <x:v>Телекоммуникации</x:v>
      </x:c>
      <x:c r="J123" s="5" t="str">
        <x:v>Руководители, специалисты и кадровый резерв компании</x:v>
      </x:c>
      <x:c r="K123" s="5" t="str">
        <x:v>Лидерство, изменение бизнес-процессов, кадровый резерв, цифровые навыки.</x:v>
      </x:c>
      <x:c r="L123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23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23" s="5" t="str">
        <x:v>Руководитель КУ/академии, руководитель T&amp;D, владелец программы; закупщик образовательных услуг</x:v>
      </x:c>
      <x:c r="O123" s="5" t="str">
        <x:v>https://careers.t2.ru/?erid=2Vtzqwb7nMJ</x:v>
      </x:c>
      <x:c r="P123" s="5" t="str">
        <x:v>https://careers.t2.ru/?erid=2Vtzqwb7nMJ</x:v>
      </x:c>
      <x:c r="Q123" s="5" t="str">
        <x:v>Официальный карьерный сайт прямо перечисляет академию лидерства T2Way и маркетплейс обучения.</x:v>
      </x:c>
      <x:c r="R123" s="5" t="str">
        <x:v>search_index</x:v>
      </x:c>
      <x:c r="S123" s="12" t="n">
        <x:v>46296</x:v>
      </x:c>
      <x:c r="T123" s="5" t="str">
        <x:v>Академия как именованный элемент обучения, самостоятельность подразделения не установлена; связь с Ростелекомом не означает общий КУ.</x:v>
      </x:c>
      <x:c r="U123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23" s="5" t="str">
        <x:v>"t2" (обучение OR ДПО OR тренинг OR электронный курс OR методист OR фасилитация OR запрос предложений OR приглашение экспертов)</x:v>
      </x:c>
      <x:c r="W123" s="5" t="str">
        <x:v>Именованная структура с подтверждением; отбор по стране, очереди и типу. Это не оценка вероятности заказа.</x:v>
      </x:c>
      <x:c r="X123" s="5" t="str">
        <x:v>cu_ru_services.json:38</x:v>
      </x:c>
    </x:row>
    <x:row r="124" ht="54" customHeight="1">
      <x:c r="A124" s="5" t="str">
        <x:v>CU-0119</x:v>
      </x:c>
      <x:c r="B124" s="5" t="str">
        <x:v>main_200</x:v>
      </x:c>
      <x:c r="C124" s="5" t="str">
        <x:v>Т1 Цифровая академия</x:v>
      </x:c>
      <x:c r="D124" s="5" t="str">
        <x:v>RU</x:v>
      </x:c>
      <x:c r="E124" s="5" t="str">
        <x:v>corporate_academy</x:v>
      </x:c>
      <x:c r="F124" s="5" t="str">
        <x:v>Т1</x:v>
      </x:c>
      <x:c r="G124" s="5" t="str">
        <x:v>Т1</x:v>
      </x:c>
      <x:c r="H124" s="5" t="str">
        <x:v>Иннополис</x:v>
      </x:c>
      <x:c r="I124" s="5" t="str">
        <x:v>Информационные технологии</x:v>
      </x:c>
      <x:c r="J124" s="5" t="str">
        <x:v>Сотрудники холдинга и внешние корпоративные клиенты</x:v>
      </x:c>
      <x:c r="K124" s="5" t="str">
        <x:v>Управление цифровой трансформацией, ИТ-команды, бизнес-анализ, электронные курсы.</x:v>
      </x:c>
      <x:c r="L124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24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24" s="5" t="str">
        <x:v>Руководитель КУ/академии, руководитель T&amp;D, владелец программы; закупщик образовательных услуг</x:v>
      </x:c>
      <x:c r="O124" s="5" t="str">
        <x:v>https://t1.ru/about/units/t1-academy</x:v>
      </x:c>
      <x:c r="P124" s="5" t="str">
        <x:v>https://t1.ru/about/units/t1-academy</x:v>
      </x:c>
      <x:c r="Q124" s="5" t="str">
        <x:v>Официальная структура холдинга описывает академию, методический отдел и программы развития сотрудников.</x:v>
      </x:c>
      <x:c r="R124" s="5" t="str">
        <x:v>content_read</x:v>
      </x:c>
      <x:c r="S124" s="12" t="n">
        <x:v>46296</x:v>
      </x:c>
      <x:c r="T124" s="5" t="str">
        <x:v>Внутреннее и внешнее обучение; возможное партнёрство/субподряд, текущая закупка не подтверждена.</x:v>
      </x:c>
      <x:c r="U124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24" s="5" t="str">
        <x:v>"Т1" (обучение OR ДПО OR тренинг OR электронный курс OR методист OR фасилитация OR запрос предложений OR приглашение экспертов)</x:v>
      </x:c>
      <x:c r="W124" s="5" t="str">
        <x:v>Именованная структура с подтверждением; отбор по стране, очереди и типу. Это не оценка вероятности заказа.</x:v>
      </x:c>
      <x:c r="X124" s="5" t="str">
        <x:v>cu_ru_services.json:39</x:v>
      </x:c>
    </x:row>
    <x:row r="125" ht="54" customHeight="1">
      <x:c r="A125" s="5" t="str">
        <x:v>CU-0120</x:v>
      </x:c>
      <x:c r="B125" s="5" t="str">
        <x:v>main_200</x:v>
      </x:c>
      <x:c r="C125" s="5" t="str">
        <x:v>1С:Учебный центр №1</x:v>
      </x:c>
      <x:c r="D125" s="5" t="str">
        <x:v>RU</x:v>
      </x:c>
      <x:c r="E125" s="5" t="str">
        <x:v>company_training_center</x:v>
      </x:c>
      <x:c r="F125" s="5" t="str">
        <x:v>Фирма 1С</x:v>
      </x:c>
      <x:c r="G125" s="5" t="str">
        <x:v>1С</x:v>
      </x:c>
      <x:c r="H125" s="5" t="str">
        <x:v>Москва</x:v>
      </x:c>
      <x:c r="I125" s="5" t="str">
        <x:v>Информационные технологии</x:v>
      </x:c>
      <x:c r="J125" s="5" t="str">
        <x:v>Бухгалтеры, экономисты, кадровики, программисты и сотрудники партнёрской сети; внешний корпоративный контур.</x:v>
      </x:c>
      <x:c r="K125" s="5" t="str">
        <x:v>Бухгалтерский и налоговый учёт, кадровое делопроизводство, управленческий учёт, электронные курсы и методология обучения.</x:v>
      </x:c>
      <x:c r="L125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25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25" s="5" t="str">
        <x:v>Руководитель КУ/академии, руководитель T&amp;D, владелец программы; закупщик образовательных услуг</x:v>
      </x:c>
      <x:c r="O125" s="5" t="str">
        <x:v>https://uc1.1c.ru/</x:v>
      </x:c>
      <x:c r="P125" s="5" t="str">
        <x:v>https://uc1.1c.ru/about/?ysclid=mbgmgyswxj770636479</x:v>
      </x:c>
      <x:c r="Q125" s="5" t="str">
        <x:v>Официальная страница прямо называет Учебный центр №1 структурным подразделением фирмы 1С в её центральном офисе.</x:v>
      </x:c>
      <x:c r="R125" s="5" t="str">
        <x:v>search_index</x:v>
      </x:c>
      <x:c r="S125" s="12" t="n">
        <x:v>46296</x:v>
      </x:c>
      <x:c r="T125" s="5" t="str">
        <x:v>Именованный учебный центр вендора, а не классический внутренний КУ; не путать с независимыми авторизованными центрами 1С.</x:v>
      </x:c>
      <x:c r="U12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  <x:c r="V125" s="5" t="str">
        <x:v>"1С:Учебный центр №1" (преподаватель OR методист OR вебинар OR партнёрство OR разработка курса)</x:v>
      </x:c>
      <x:c r="W125" s="5" t="str">
        <x:v>Именованная структура с подтверждением; отбор по стране, очереди и типу. Это не оценка вероятности заказа.</x:v>
      </x:c>
      <x:c r="X125" s="5" t="str">
        <x:v>cu_ru_services.json:40</x:v>
      </x:c>
    </x:row>
    <x:row r="126" ht="54" customHeight="1">
      <x:c r="A126" s="5" t="str">
        <x:v>CU-0121</x:v>
      </x:c>
      <x:c r="B126" s="5" t="str">
        <x:v>reserve</x:v>
      </x:c>
      <x:c r="C126" s="5" t="str">
        <x:v>Управление развития функции обучения Т-Банка</x:v>
      </x:c>
      <x:c r="D126" s="5" t="str">
        <x:v>RU</x:v>
      </x:c>
      <x:c r="E126" s="5" t="str">
        <x:v>candidate</x:v>
      </x:c>
      <x:c r="F126" s="5" t="str">
        <x:v>Т-Банк</x:v>
      </x:c>
      <x:c r="G126" s="5" t="str">
        <x:v>Т-Банк</x:v>
      </x:c>
      <x:c r="H126" s="5" t="str">
        <x:v>Не установлено</x:v>
      </x:c>
      <x:c r="I126" s="5" t="str">
        <x:v>Банки</x:v>
      </x:c>
      <x:c r="J126" s="5" t="str">
        <x:v>Руководители, специалисты и кадровый резерв компании</x:v>
      </x:c>
      <x:c r="K126" s="5" t="str">
        <x:v>Операционный менеджмент, сервис, продажи, наставничество, электронные программы.</x:v>
      </x:c>
      <x:c r="L126" s="5" t="str">
        <x:v>Искать новые программы, приглашения внешних тренеров и методистов, закупки ДПО, разработку электронных курсов, вакансии T&amp;D, расширение аудитории. Наличие КУ само по себе не доказывает текущий платный заказ.</x:v>
      </x:c>
      <x:c r="M126" s="5" t="str">
        <x:v>КУ / функция обучения → владелец программы или HR → подтверждение потребности и закупочного маршрута; для внешних академий также партнёрство и субподряд.</x:v>
      </x:c>
      <x:c r="N126" s="5" t="str">
        <x:v>Руководитель КУ/академии, руководитель T&amp;D, владелец программы; закупщик образовательных услуг</x:v>
      </x:c>
      <x:c r="O126" s="5" t="str">
        <x:v>https://rutube.ru/video/363426e9f42348c0d1d8e4388de851f7/</x:v>
      </x:c>
      <x:c r="P126" s="5" t="str">
        <x:v>https://rutube.ru/video/363426e9f42348c0d1d8e4388de851f7/</x:v>
      </x:c>
      <x:c r="Q126" s="5" t="str">
        <x:v>Первичный видеоматериал организатора встречи 18.06.2025 посвящён управлению обучения операционных подразделений Т-Банка.</x:v>
      </x:c>
      <x:c r="R126" s="5" t="str">
        <x:v>candidate</x:v>
      </x:c>
      <x:c r="S126" s="12" t="n">
        <x:v>46296</x:v>
      </x:c>
      <x:c r="T126" s="5" t="str">
        <x:v>Функциональный аналог КУ; формальное название — управление. Не путать с частным вузом «Центральный университет» и внешней Т-Академией.</x:v>
      </x:c>
      <x:c r="U126" s="5" t="str">
        <x:v>Найти официальное подтверждение конкретного КУ/УЦ/академии сотрудников Т-Банка; пока не включать в число подтверждённых образовательных структур.</x:v>
      </x:c>
      <x:c r="V126" s="5" t="str">
        <x:v>"Т-Банк" (обучение OR ДПО OR тренинг OR электронный курс OR методист OR фасилитация OR запрос предложений OR приглашение экспертов)</x:v>
      </x:c>
      <x:c r="W126" s="5" t="str">
        <x:v>Требуется уточнение статуса, структуры или самостоятельности; все каналы сохранены.</x:v>
      </x:c>
      <x:c r="X126" s="5" t="str">
        <x:v>cu_ru_services_reserve.json:1</x:v>
      </x:c>
    </x:row>
    <x:row r="127" ht="54" customHeight="1">
      <x:c r="A127" s="5" t="str">
        <x:v>CU-0122</x:v>
      </x:c>
      <x:c r="B127" s="5" t="str">
        <x:v>main_200</x:v>
      </x:c>
      <x:c r="C127" s="5" t="str">
        <x:v>Корпоративный университет РЖД</x:v>
      </x:c>
      <x:c r="D127" s="5" t="str">
        <x:v>RU</x:v>
      </x:c>
      <x:c r="E127" s="5" t="str">
        <x:v>corporate_university</x:v>
      </x:c>
      <x:c r="F127" s="5" t="str">
        <x:v>ОАО «РЖД»</x:v>
      </x:c>
      <x:c r="G127" s="5" t="str">
        <x:v>ОАО «РЖД»</x:v>
      </x:c>
      <x:c r="H127" s="5" t="str">
        <x:v>Москва / Щербинка</x:v>
      </x:c>
      <x:c r="I127" s="5" t="str">
        <x:v>Железнодорожный транспорт</x:v>
      </x:c>
      <x:c r="J127" s="5" t="str">
        <x:v>Руководители, специалисты, кадровый резерв холдинга и партнёров</x:v>
      </x:c>
      <x:c r="K127" s="5" t="str">
        <x:v>Высокое: менеджмент, HR, корпоративные финансы, цифровая трансформация, методология и электронное обучение</x:v>
      </x:c>
      <x:c r="L127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27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27" s="5" t="str">
        <x:v>Руководитель КУ/учебного центра; руководитель обучения и развития; методолог; закупщик образовательных услуг</x:v>
      </x:c>
      <x:c r="O127" s="5" t="str">
        <x:v>https://www.universitetrzd.ru/</x:v>
      </x:c>
      <x:c r="P127" s="5" t="str">
        <x:v>https://www.universitetrzd.ru/about/</x:v>
      </x:c>
      <x:c r="Q127" s="5" t="str">
        <x:v>Официальная страница описывает бизнес-образование, развитие руководителей и специалистов, кадровый резерв и сотрудничество с внешними образовательными организациями.</x:v>
      </x:c>
      <x:c r="R127" s="5" t="str">
        <x:v>content_read</x:v>
      </x:c>
      <x:c r="S127" s="12" t="n">
        <x:v>46296</x:v>
      </x:c>
      <x:c r="T127" s="5" t="str">
        <x:v>Существование образовательного подразделения не означает наличие текущего внешнего заказа. Доступ к внутренней LMS не проверен.</x:v>
      </x:c>
      <x:c r="U127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27" s="5" t="str">
        <x:v>РЖД Корпоративный университет; кадровый резерв; Корпоративный MBA; внешние образовательные организации; электронные курсы</x:v>
      </x:c>
      <x:c r="W127" s="5" t="str">
        <x:v>Именованная структура с подтверждением; отбор по стране, очереди и типу. Это не оценка вероятности заказа.</x:v>
      </x:c>
      <x:c r="X127" s="5" t="str">
        <x:v>cu_ru_other.json:1</x:v>
      </x:c>
    </x:row>
    <x:row r="128" ht="54" customHeight="1">
      <x:c r="A128" s="5" t="str">
        <x:v>CU-0123</x:v>
      </x:c>
      <x:c r="B128" s="5" t="str">
        <x:v>main_200</x:v>
      </x:c>
      <x:c r="C128" s="5" t="str">
        <x:v>Корпоративный университет группы «Волга-Днепр»</x:v>
      </x:c>
      <x:c r="D128" s="5" t="str">
        <x:v>RU</x:v>
      </x:c>
      <x:c r="E128" s="5" t="str">
        <x:v>corporate_university</x:v>
      </x:c>
      <x:c r="F128" s="5" t="str">
        <x:v>Группа «Волга-Днепр»</x:v>
      </x:c>
      <x:c r="G128" s="5" t="str">
        <x:v>Группа «Волга-Днепр»</x:v>
      </x:c>
      <x:c r="H128" s="5" t="str">
        <x:v>Москва / Ульяновск</x:v>
      </x:c>
      <x:c r="I128" s="5" t="str">
        <x:v>Авиация и логистика</x:v>
      </x:c>
      <x:c r="J128" s="5" t="str">
        <x:v>Руководители и специалисты, авиационный персонал</x:v>
      </x:c>
      <x:c r="K128" s="5" t="str">
        <x:v>Высокое для бизнес-обучения, менеджмента, управления знаниями и онлайн-программ; авиационные допуски требуют отдельной экспертизы</x:v>
      </x:c>
      <x:c r="L128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28" s="5" t="str">
        <x:v>Подтверждён канал внешних поставщиков образовательных услуг на странице развития персонала; предложить бизнес-программы команде КУ, затем уточнить закупочную процедуру.</x:v>
      </x:c>
      <x:c r="N128" s="5" t="str">
        <x:v>Руководитель КУ/учебного центра; руководитель обучения и развития; методолог; закупщик образовательных услуг</x:v>
      </x:c>
      <x:c r="O128" s="5" t="str">
        <x:v>https://www.volga-dnepr.com/about/practice-and-work-for-young-specialists/</x:v>
      </x:c>
      <x:c r="P128" s="5" t="str">
        <x:v>https://www.volga-dnepr.com/about/practice-and-work-for-young-specialists/</x:v>
      </x:c>
      <x:c r="Q128" s="5" t="str">
        <x:v>На официальной странице КУ включает центр бизнес-обучения руководителей и специалистов; прямо указаны внешние консультанты как поставщики образовательных услуг.</x:v>
      </x:c>
      <x:c r="R128" s="5" t="str">
        <x:v>content_read</x:v>
      </x:c>
      <x:c r="S128" s="12" t="n">
        <x:v>46296</x:v>
      </x:c>
      <x:c r="T128" s="5" t="str">
        <x:v>Существование образовательного подразделения не означает наличие текущего внешнего заказа. Доступ к внутренней LMS не проверен.</x:v>
      </x:c>
      <x:c r="U128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28" s="5" t="str">
        <x:v>Волга-Днепр корпоративный университет; бизнес-обучение; внешние консультанты; управление знаниями</x:v>
      </x:c>
      <x:c r="W128" s="5" t="str">
        <x:v>Именованная структура с подтверждением; отбор по стране, очереди и типу. Это не оценка вероятности заказа.</x:v>
      </x:c>
      <x:c r="X128" s="5" t="str">
        <x:v>cu_ru_other.json:2</x:v>
      </x:c>
    </x:row>
    <x:row r="129" ht="54" customHeight="1">
      <x:c r="A129" s="5" t="str">
        <x:v>CU-0124</x:v>
      </x:c>
      <x:c r="B129" s="5" t="str">
        <x:v>main_200</x:v>
      </x:c>
      <x:c r="C129" s="5" t="str">
        <x:v>АР-Университет</x:v>
      </x:c>
      <x:c r="D129" s="5" t="str">
        <x:v>RU</x:v>
      </x:c>
      <x:c r="E129" s="5" t="str">
        <x:v>corporate_academy</x:v>
      </x:c>
      <x:c r="F129" s="5" t="str">
        <x:v>Холдинг «Аэропорты Регионов»</x:v>
      </x:c>
      <x:c r="G129" s="5" t="str">
        <x:v>Холдинг «Аэропорты Регионов»</x:v>
      </x:c>
      <x:c r="H129" s="5" t="str">
        <x:v>Не установлено</x:v>
      </x:c>
      <x:c r="I129" s="5" t="str">
        <x:v>Аэропорты</x:v>
      </x:c>
      <x:c r="J129" s="5" t="str">
        <x:v>Специалисты и руководители аэропортовой отрасли</x:v>
      </x:c>
      <x:c r="K129" s="5" t="str">
        <x:v>Условное: сервис, коммуникации, управление, методология цифрового обучения; технические авиационные программы вне основного профиля МИСБ</x:v>
      </x:c>
      <x:c r="L129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29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29" s="5" t="str">
        <x:v>Руководитель КУ/учебного центра; руководитель обучения и развития; методолог; закупщик образовательных услуг</x:v>
      </x:c>
      <x:c r="O129" s="5" t="str">
        <x:v>https://ar-university.ru/ru/about</x:v>
      </x:c>
      <x:c r="P129" s="5" t="str">
        <x:v>https://ar-university.ru/ru/about</x:v>
      </x:c>
      <x:c r="Q129" s="5" t="str">
        <x:v>Официальный поисковый индекс описывает авиационный образовательный центр холдинга «Аэропорты Регионов» и развитие дистанционных форматов.</x:v>
      </x:c>
      <x:c r="R129" s="5" t="str">
        <x:v>search_index</x:v>
      </x:c>
      <x:c r="S129" s="12" t="n">
        <x:v>46296</x:v>
      </x:c>
      <x:c r="T129" s="5" t="str">
        <x:v>При открытии извлечён только пустой документ; подтверждение по официальному поисковому индексу. Текущая техническая доступность требует проверки.</x:v>
      </x:c>
      <x:c r="U129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29" s="5" t="str">
        <x:v>АР-Университет; Аэропорты Регионов обучение; клиентоориентированность; онлайн обучение</x:v>
      </x:c>
      <x:c r="W129" s="5" t="str">
        <x:v>Именованная структура с подтверждением; отбор по стране, очереди и типу. Это не оценка вероятности заказа.</x:v>
      </x:c>
      <x:c r="X129" s="5" t="str">
        <x:v>cu_ru_other.json:3</x:v>
      </x:c>
    </x:row>
    <x:row r="130" ht="54" customHeight="1">
      <x:c r="A130" s="5" t="str">
        <x:v>CU-0125</x:v>
      </x:c>
      <x:c r="B130" s="5" t="str">
        <x:v>main_200</x:v>
      </x:c>
      <x:c r="C130" s="5" t="str">
        <x:v>Корпоративный университет — авиационный учебный центр Пулково</x:v>
      </x:c>
      <x:c r="D130" s="5" t="str">
        <x:v>RU</x:v>
      </x:c>
      <x:c r="E130" s="5" t="str">
        <x:v>corporate_university</x:v>
      </x:c>
      <x:c r="F130" s="5" t="str">
        <x:v>ООО «Воздушные Ворота Северной Столицы»</x:v>
      </x:c>
      <x:c r="G130" s="5" t="str">
        <x:v>ООО «Воздушные Ворота Северной Столицы»</x:v>
      </x:c>
      <x:c r="H130" s="5" t="str">
        <x:v>Санкт-Петербург</x:v>
      </x:c>
      <x:c r="I130" s="5" t="str">
        <x:v>Аэропорты</x:v>
      </x:c>
      <x:c r="J130" s="5" t="str">
        <x:v>Авиационные специалисты и сотрудники аэропорта</x:v>
      </x:c>
      <x:c r="K130" s="5" t="str">
        <x:v>Условное: клиентский сервис, коммуникации, развитие внутренних инструкторов и электронные курсы; проверять управленческую часть каждой задачи</x:v>
      </x:c>
      <x:c r="L130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30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30" s="5" t="str">
        <x:v>Руководитель КУ/учебного центра; руководитель обучения и развития; методолог; закупщик образовательных услуг</x:v>
      </x:c>
      <x:c r="O130" s="5" t="str">
        <x:v>https://pulkovoairport.ru/atc/about-educational/</x:v>
      </x:c>
      <x:c r="P130" s="5" t="str">
        <x:v>https://pulkovoairport.ru/atc/about-educational/</x:v>
      </x:c>
      <x:c r="Q130" s="5" t="str">
        <x:v>КУ АУЦ официально назван подразделением дирекции по персоналу; раскрыты руководство, контакты и отчёты о самообследовании.</x:v>
      </x:c>
      <x:c r="R130" s="5" t="str">
        <x:v>content_read</x:v>
      </x:c>
      <x:c r="S130" s="12" t="n">
        <x:v>46296</x:v>
      </x:c>
      <x:c r="T130" s="5" t="str">
        <x:v>Существование образовательного подразделения не означает наличие текущего внешнего заказа. Доступ к внутренней LMS не проверен.</x:v>
      </x:c>
      <x:c r="U130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30" s="5" t="str">
        <x:v>Пулково КУ АУЦ; Воздушные Ворота Северной Столицы; обучение; тренинг; электронный курс</x:v>
      </x:c>
      <x:c r="W130" s="5" t="str">
        <x:v>Именованная структура с подтверждением; отбор по стране, очереди и типу. Это не оценка вероятности заказа.</x:v>
      </x:c>
      <x:c r="X130" s="5" t="str">
        <x:v>cu_ru_other.json:4</x:v>
      </x:c>
    </x:row>
    <x:row r="131" ht="54" customHeight="1">
      <x:c r="A131" s="5" t="str">
        <x:v>CU-0126</x:v>
      </x:c>
      <x:c r="B131" s="5" t="str">
        <x:v>reserve</x:v>
      </x:c>
      <x:c r="C131" s="5" t="str">
        <x:v>S7 Training</x:v>
      </x:c>
      <x:c r="D131" s="5" t="str">
        <x:v>RU</x:v>
      </x:c>
      <x:c r="E131" s="5" t="str">
        <x:v>company_training_center</x:v>
      </x:c>
      <x:c r="F131" s="5" t="str">
        <x:v>S7 Group / авиакомпания «Сибирь»</x:v>
      </x:c>
      <x:c r="G131" s="5" t="str">
        <x:v>S7 Group / авиакомпания «Сибирь»</x:v>
      </x:c>
      <x:c r="H131" s="5" t="str">
        <x:v>Домодедово / Ступино</x:v>
      </x:c>
      <x:c r="I131" s="5" t="str">
        <x:v>Авиация</x:v>
      </x:c>
      <x:c r="J131" s="5" t="str">
        <x:v>Лётный и наземный персонал, бортпроводники, инструкторы</x:v>
      </x:c>
      <x:c r="K131" s="5" t="str">
        <x:v>Условное: цифровая методология, обучение инструкторов, сервис и коммуникации; основной авиационный профиль не является подтверждённым спросом на МИСБ</x:v>
      </x:c>
      <x:c r="L131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31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31" s="5" t="str">
        <x:v>Руководитель КУ/учебного центра; руководитель обучения и развития; методолог; закупщик образовательных услуг</x:v>
      </x:c>
      <x:c r="O131" s="5" t="str">
        <x:v>https://www.s7training.ru/</x:v>
      </x:c>
      <x:c r="P131" s="5" t="str">
        <x:v>https://s7-training.ru/osnovnyie-svedeniya</x:v>
      </x:c>
      <x:c r="Q131" s="5" t="str">
        <x:v>Официальные сведения: АНО ДПО «С 7 Тренинг» создан как авиационный учебный центр авиакомпании «Сибирь».</x:v>
      </x:c>
      <x:c r="R131" s="5" t="str">
        <x:v>content_read</x:v>
      </x:c>
      <x:c r="S131" s="12" t="n">
        <x:v>46296</x:v>
      </x:c>
      <x:c r="T131" s="5" t="str">
        <x:v>Существование образовательного подразделения не означает наличие текущего внешнего заказа. Доступ к внутренней LMS не проверен.</x:v>
      </x:c>
      <x:c r="U131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31" s="5" t="str">
        <x:v>S7 Training; С 7 Тренинг; подготовка персонала; инструкторы; обучение</x:v>
      </x:c>
      <x:c r="W131" s="5" t="str">
        <x:v>Дополнительная подтвержденная структура сверх основной выборки; продолжать мониторинг.</x:v>
      </x:c>
      <x:c r="X131" s="5" t="str">
        <x:v>cu_ru_other.json:5</x:v>
      </x:c>
    </x:row>
    <x:row r="132" ht="54" customHeight="1">
      <x:c r="A132" s="5" t="str">
        <x:v>CU-0127</x:v>
      </x:c>
      <x:c r="B132" s="5" t="str">
        <x:v>main_200</x:v>
      </x:c>
      <x:c r="C132" s="5" t="str">
        <x:v>Авиашкола Аэрофлота (Академия Аэрофлота)</x:v>
      </x:c>
      <x:c r="D132" s="5" t="str">
        <x:v>RU</x:v>
      </x:c>
      <x:c r="E132" s="5" t="str">
        <x:v>corporate_academy</x:v>
      </x:c>
      <x:c r="F132" s="5" t="str">
        <x:v>Группа «Аэрофлот»</x:v>
      </x:c>
      <x:c r="G132" s="5" t="str">
        <x:v>Группа «Аэрофлот»</x:v>
      </x:c>
      <x:c r="H132" s="5" t="str">
        <x:v>Не установлено</x:v>
      </x:c>
      <x:c r="I132" s="5" t="str">
        <x:v>Авиация</x:v>
      </x:c>
      <x:c r="J132" s="5" t="str">
        <x:v>Специалисты авиакомпаний, бортпроводники, инструкторы</x:v>
      </x:c>
      <x:c r="K132" s="5" t="str">
        <x:v>Условное: сервис, внутренние тренеры, электронное обучение; узкие программы авиационной подготовки требуют профильного исполнителя</x:v>
      </x:c>
      <x:c r="L132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32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32" s="5" t="str">
        <x:v>Руководитель КУ/учебного центра; руководитель обучения и развития; методолог; закупщик образовательных услуг</x:v>
      </x:c>
      <x:c r="O132" s="5" t="str">
        <x:v>https://www.avb.ru/</x:v>
      </x:c>
      <x:c r="P132" s="5" t="str">
        <x:v>https://www.avb.ru/about</x:v>
      </x:c>
      <x:c r="Q132" s="5" t="str">
        <x:v>Официальная страница использует бренд Авиашкола Аэрофлота и содержит справку об Академии Аэрофлота, документы и руководство.</x:v>
      </x:c>
      <x:c r="R132" s="5" t="str">
        <x:v>content_read</x:v>
      </x:c>
      <x:c r="S132" s="12" t="n">
        <x:v>46296</x:v>
      </x:c>
      <x:c r="T132" s="5" t="str">
        <x:v>На странице встречаются оба наименования. До договора уточнить действующее наименование юридического лица и актуальные программы; не создавать два КУ из двух брендов.</x:v>
      </x:c>
      <x:c r="U132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32" s="5" t="str">
        <x:v>Авиашкола Аэрофлота; Академия Аэрофлота; обучение персонала; сервис; учебные материалы</x:v>
      </x:c>
      <x:c r="W132" s="5" t="str">
        <x:v>Именованная структура с подтверждением; отбор по стране, очереди и типу. Это не оценка вероятности заказа.</x:v>
      </x:c>
      <x:c r="X132" s="5" t="str">
        <x:v>cu_ru_other.json:6</x:v>
      </x:c>
    </x:row>
    <x:row r="133" ht="54" customHeight="1">
      <x:c r="A133" s="5" t="str">
        <x:v>CU-0128</x:v>
      </x:c>
      <x:c r="B133" s="5" t="str">
        <x:v>main_200</x:v>
      </x:c>
      <x:c r="C133" s="5" t="str">
        <x:v>Корпоративный университет Почты России</x:v>
      </x:c>
      <x:c r="D133" s="5" t="str">
        <x:v>RU</x:v>
      </x:c>
      <x:c r="E133" s="5" t="str">
        <x:v>corporate_university</x:v>
      </x:c>
      <x:c r="F133" s="5" t="str">
        <x:v>АО «Почта России»</x:v>
      </x:c>
      <x:c r="G133" s="5" t="str">
        <x:v>АО «Почта России»</x:v>
      </x:c>
      <x:c r="H133" s="5" t="str">
        <x:v>Не установлено</x:v>
      </x:c>
      <x:c r="I133" s="5" t="str">
        <x:v>Почтовая связь и логистика</x:v>
      </x:c>
      <x:c r="J133" s="5" t="str">
        <x:v>Руководители и сотрудники распределённой почтовой сети</x:v>
      </x:c>
      <x:c r="K133" s="5" t="str">
        <x:v>Высокое: массовое дистанционное обучение, сервис, управленческие навыки, наставничество и обучающее видео</x:v>
      </x:c>
      <x:c r="L133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33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33" s="5" t="str">
        <x:v>Руководитель КУ/учебного центра; руководитель обучения и развития; методолог; закупщик образовательных услуг</x:v>
      </x:c>
      <x:c r="O133" s="5" t="str">
        <x:v>https://www.pochta.ru/news/item/post-156</x:v>
      </x:c>
      <x:c r="P133" s="5" t="str">
        <x:v>https://www.pochta.ru/news/item/post-156</x:v>
      </x:c>
      <x:c r="Q133" s="5" t="str">
        <x:v>Официальный поисковый индекс сообщения о кафедре Почты России в РЭУ называет руководителя корпоративного университета.</x:v>
      </x:c>
      <x:c r="R133" s="5" t="str">
        <x:v>search_index</x:v>
      </x:c>
      <x:c r="S133" s="12" t="n">
        <x:v>46296</x:v>
      </x:c>
      <x:c r="T133" s="5" t="str">
        <x:v>Официальная страница при открытии вернула HTTP 417; существование подтверждено индексом. Отдельный публичный портал КУ и закупочный endpoint здесь не установлены.</x:v>
      </x:c>
      <x:c r="U133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33" s="5" t="str">
        <x:v>Почта России корпоративный университет; дистанционное обучение; наставничество; учебные ролики</x:v>
      </x:c>
      <x:c r="W133" s="5" t="str">
        <x:v>Именованная структура с подтверждением; отбор по стране, очереди и типу. Это не оценка вероятности заказа.</x:v>
      </x:c>
      <x:c r="X133" s="5" t="str">
        <x:v>cu_ru_other.json:7</x:v>
      </x:c>
    </x:row>
    <x:row r="134" ht="54" customHeight="1">
      <x:c r="A134" s="5" t="str">
        <x:v>CU-0129</x:v>
      </x:c>
      <x:c r="B134" s="5" t="str">
        <x:v>main_200</x:v>
      </x:c>
      <x:c r="C134" s="5" t="str">
        <x:v>Корпоративный университет Транспортного комплекса Москвы</x:v>
      </x:c>
      <x:c r="D134" s="5" t="str">
        <x:v>RU</x:v>
      </x:c>
      <x:c r="E134" s="5" t="str">
        <x:v>corporate_university</x:v>
      </x:c>
      <x:c r="F134" s="5" t="str">
        <x:v>ГУП «Московский метрополитен» / Московский транспорт</x:v>
      </x:c>
      <x:c r="G134" s="5" t="str">
        <x:v>ГУП «Московский метрополитен» / Московский транспорт</x:v>
      </x:c>
      <x:c r="H134" s="5" t="str">
        <x:v>Москва</x:v>
      </x:c>
      <x:c r="I134" s="5" t="str">
        <x:v>Городской транспорт</x:v>
      </x:c>
      <x:c r="J134" s="5" t="str">
        <x:v>Сотрудники транспортного комплекса, руководители, наставники</x:v>
      </x:c>
      <x:c r="K134" s="5" t="str">
        <x:v>Высокое для управления, наставничества, сервисных компетенций и цифровых учебных материалов; техническую подготовку ранжировать отдельно</x:v>
      </x:c>
      <x:c r="L134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34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34" s="5" t="str">
        <x:v>Руководитель КУ/учебного центра; руководитель обучения и развития; методолог; закупщик образовательных услуг</x:v>
      </x:c>
      <x:c r="O134" s="5" t="str">
        <x:v>https://sop.mosmetro.ru/</x:v>
      </x:c>
      <x:c r="P134" s="5" t="str">
        <x:v>https://sop.mosmetro.ru/</x:v>
      </x:c>
      <x:c r="Q134" s="5" t="str">
        <x:v>Официальный индекс указывает создание КУ транспортного комплекса в 2021 году; канал университета публикует описание развития кадров и ссылку на сайт.</x:v>
      </x:c>
      <x:c r="R134" s="5" t="str">
        <x:v>search_index</x:v>
      </x:c>
      <x:c r="S134" s="12" t="n">
        <x:v>46296</x:v>
      </x:c>
      <x:c r="T134" s="5" t="str">
        <x:v>Сайт при открытии ответил тайм-аутом; официальный поисковый индекс и публичный канал доступны как подтверждение.</x:v>
      </x:c>
      <x:c r="U134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34" s="5" t="str">
        <x:v>Московский транспорт корпоративный университет; наставничество; управленческие компетенции; обучение</x:v>
      </x:c>
      <x:c r="W134" s="5" t="str">
        <x:v>Именованная структура с подтверждением; отбор по стране, очереди и типу. Это не оценка вероятности заказа.</x:v>
      </x:c>
      <x:c r="X134" s="5" t="str">
        <x:v>cu_ru_other.json:8</x:v>
      </x:c>
    </x:row>
    <x:row r="135" ht="54" customHeight="1">
      <x:c r="A135" s="5" t="str">
        <x:v>CU-0130</x:v>
      </x:c>
      <x:c r="B135" s="5" t="str">
        <x:v>reserve</x:v>
      </x:c>
      <x:c r="C135" s="5" t="str">
        <x:v>Авиационный учебный центр «ЮТэйр-Вертолетные услуги»</x:v>
      </x:c>
      <x:c r="D135" s="5" t="str">
        <x:v>RU</x:v>
      </x:c>
      <x:c r="E135" s="5" t="str">
        <x:v>company_training_center</x:v>
      </x:c>
      <x:c r="F135" s="5" t="str">
        <x:v>АО «ЮТэйр-Вертолетные услуги»</x:v>
      </x:c>
      <x:c r="G135" s="5" t="str">
        <x:v>АО «ЮТэйр-Вертолетные услуги»</x:v>
      </x:c>
      <x:c r="H135" s="5" t="str">
        <x:v>Не установлено</x:v>
      </x:c>
      <x:c r="I135" s="5" t="str">
        <x:v>Вертолётная авиация</x:v>
      </x:c>
      <x:c r="J135" s="5" t="str">
        <x:v>Авиационный персонал и инструкторы</x:v>
      </x:c>
      <x:c r="K135" s="5" t="str">
        <x:v>Условное: методология, мультимедийные курсы, коммуникации и управленческие программы; лётная подготовка вне основного профиля</x:v>
      </x:c>
      <x:c r="L135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35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35" s="5" t="str">
        <x:v>Руководитель КУ/учебного центра; руководитель обучения и развития; методолог; закупщик образовательных услуг</x:v>
      </x:c>
      <x:c r="O135" s="5" t="str">
        <x:v>https://heli.utair.ru/aviationtrainingcenter</x:v>
      </x:c>
      <x:c r="P135" s="5" t="str">
        <x:v>https://heli.utair.ru/aviationtrainingcenter</x:v>
      </x:c>
      <x:c r="Q135" s="5" t="str">
        <x:v>Официальная страница учебного центра заявляет профессиональное обучение и дополнительное профессиональное образование.</x:v>
      </x:c>
      <x:c r="R135" s="5" t="str">
        <x:v>search_index</x:v>
      </x:c>
      <x:c r="S135" s="12" t="n">
        <x:v>46296</x:v>
      </x:c>
      <x:c r="T135" s="5" t="str">
        <x:v>Существование образовательного подразделения не означает наличие текущего внешнего заказа. Доступ к внутренней LMS не проверен.</x:v>
      </x:c>
      <x:c r="U135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35" s="5" t="str">
        <x:v>ЮТэйр-Вертолетные услуги учебный центр; учебные материалы; ДПО; инструкторы</x:v>
      </x:c>
      <x:c r="W135" s="5" t="str">
        <x:v>Дополнительная подтвержденная структура сверх основной выборки; продолжать мониторинг.</x:v>
      </x:c>
      <x:c r="X135" s="5" t="str">
        <x:v>cu_ru_other.json:9</x:v>
      </x:c>
    </x:row>
    <x:row r="136" ht="54" customHeight="1">
      <x:c r="A136" s="5" t="str">
        <x:v>CU-0131</x:v>
      </x:c>
      <x:c r="B136" s="5" t="str">
        <x:v>main_200</x:v>
      </x:c>
      <x:c r="C136" s="5" t="str">
        <x:v>DOMODEDOVO TRAINING</x:v>
      </x:c>
      <x:c r="D136" s="5" t="str">
        <x:v>RU</x:v>
      </x:c>
      <x:c r="E136" s="5" t="str">
        <x:v>company_training_center</x:v>
      </x:c>
      <x:c r="F136" s="5" t="str">
        <x:v>Группа DME / ООО «ДОМОДЕДОВО ТРЕЙНИНГ»</x:v>
      </x:c>
      <x:c r="G136" s="5" t="str">
        <x:v>Группа DME / ООО «ДОМОДЕДОВО ТРЕЙНИНГ»</x:v>
      </x:c>
      <x:c r="H136" s="5" t="str">
        <x:v>Домодедово</x:v>
      </x:c>
      <x:c r="I136" s="5" t="str">
        <x:v>Аэропорты</x:v>
      </x:c>
      <x:c r="J136" s="5" t="str">
        <x:v>Сотрудники аэропорта и партнёрских компаний</x:v>
      </x:c>
      <x:c r="K136" s="5" t="str">
        <x:v>Высокое/условное: сервис, управление, обучение персонала и цифровые курсы; авиационную техническую подготовку отделять</x:v>
      </x:c>
      <x:c r="L136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36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36" s="5" t="str">
        <x:v>Руководитель КУ/учебного центра; руководитель обучения и развития; методолог; закупщик образовательных услуг</x:v>
      </x:c>
      <x:c r="O136" s="5" t="str">
        <x:v>https://business.dme.ru/company/group/dt/</x:v>
      </x:c>
      <x:c r="P136" s="5" t="str">
        <x:v>https://business.dme.ru/company/group/dt/</x:v>
      </x:c>
      <x:c r="Q136" s="5" t="str">
        <x:v>Официальная страница описывает подготовку и повышение компетенций сотрудников группы и партнёров, содержит отдельный маршрут информации для поставщиков.</x:v>
      </x:c>
      <x:c r="R136" s="5" t="str">
        <x:v>content_read</x:v>
      </x:c>
      <x:c r="S136" s="12" t="n">
        <x:v>46296</x:v>
      </x:c>
      <x:c r="T136" s="5" t="str">
        <x:v>Существование образовательного подразделения не означает наличие текущего внешнего заказа. Доступ к внутренней LMS не проверен.</x:v>
      </x:c>
      <x:c r="U136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36" s="5" t="str">
        <x:v>Домодедово Трейнинг; DME Training; образовательные услуги; закупки обучения; поставщики</x:v>
      </x:c>
      <x:c r="W136" s="5" t="str">
        <x:v>Именованная структура с подтверждением; отбор по стране, очереди и типу. Это не оценка вероятности заказа.</x:v>
      </x:c>
      <x:c r="X136" s="5" t="str">
        <x:v>cu_ru_other.json:10</x:v>
      </x:c>
    </x:row>
    <x:row r="137" ht="54" customHeight="1">
      <x:c r="A137" s="5" t="str">
        <x:v>CU-0132</x:v>
      </x:c>
      <x:c r="B137" s="5" t="str">
        <x:v>reserve</x:v>
      </x:c>
      <x:c r="C137" s="5" t="str">
        <x:v>Авиационный учебный центр аэропорта Толмачёво</x:v>
      </x:c>
      <x:c r="D137" s="5" t="str">
        <x:v>RU</x:v>
      </x:c>
      <x:c r="E137" s="5" t="str">
        <x:v>company_training_center</x:v>
      </x:c>
      <x:c r="F137" s="5" t="str">
        <x:v>АО «Аэропорт Толмачёво» / Новапорт</x:v>
      </x:c>
      <x:c r="G137" s="5" t="str">
        <x:v>АО «Аэропорт Толмачёво» / Новапорт</x:v>
      </x:c>
      <x:c r="H137" s="5" t="str">
        <x:v>Новосибирск</x:v>
      </x:c>
      <x:c r="I137" s="5" t="str">
        <x:v>Аэропорты</x:v>
      </x:c>
      <x:c r="J137" s="5" t="str">
        <x:v>Авиационные специалисты и персонал аэропортов</x:v>
      </x:c>
      <x:c r="K137" s="5" t="str">
        <x:v>Условное: методология дистанционного обучения, подготовка инструкторов, сервис; основной профиль отраслевой технический</x:v>
      </x:c>
      <x:c r="L137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37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37" s="5" t="str">
        <x:v>Руководитель КУ/учебного центра; руководитель обучения и развития; методолог; закупщик образовательных услуг</x:v>
      </x:c>
      <x:c r="O137" s="5" t="str">
        <x:v>https://auc.tolmachevo.ru/</x:v>
      </x:c>
      <x:c r="P137" s="5" t="str">
        <x:v>https://auc.tolmachevo.ru/</x:v>
      </x:c>
      <x:c r="Q137" s="5" t="str">
        <x:v>Официальный сайт учебного центра аэропорта содержит программы и описание электронной образовательной среды.</x:v>
      </x:c>
      <x:c r="R137" s="5" t="str">
        <x:v>search_index</x:v>
      </x:c>
      <x:c r="S137" s="12" t="n">
        <x:v>46296</x:v>
      </x:c>
      <x:c r="T137" s="5" t="str">
        <x:v>Существование образовательного подразделения не означает наличие текущего внешнего заказа. Доступ к внутренней LMS не проверен.</x:v>
      </x:c>
      <x:c r="U137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37" s="5" t="str">
        <x:v>Толмачево АУЦ; учебные программы; дистанционное обучение; инструкторы</x:v>
      </x:c>
      <x:c r="W137" s="5" t="str">
        <x:v>Дополнительная подтвержденная структура сверх основной выборки; продолжать мониторинг.</x:v>
      </x:c>
      <x:c r="X137" s="5" t="str">
        <x:v>cu_ru_other.json:11</x:v>
      </x:c>
    </x:row>
    <x:row r="138" ht="54" customHeight="1">
      <x:c r="A138" s="5" t="str">
        <x:v>CU-0133</x:v>
      </x:c>
      <x:c r="B138" s="5" t="str">
        <x:v>main_200</x:v>
      </x:c>
      <x:c r="C138" s="5" t="str">
        <x:v>CDEK University / CDEK.Univer</x:v>
      </x:c>
      <x:c r="D138" s="5" t="str">
        <x:v>RU</x:v>
      </x:c>
      <x:c r="E138" s="5" t="str">
        <x:v>corporate_university</x:v>
      </x:c>
      <x:c r="F138" s="5" t="str">
        <x:v>СДЭК</x:v>
      </x:c>
      <x:c r="G138" s="5" t="str">
        <x:v>СДЭК</x:v>
      </x:c>
      <x:c r="H138" s="5" t="str">
        <x:v>Не установлено</x:v>
      </x:c>
      <x:c r="I138" s="5" t="str">
        <x:v>Логистика</x:v>
      </x:c>
      <x:c r="J138" s="5" t="str">
        <x:v>Сотрудники и руководители сети, продажи, сервис</x:v>
      </x:c>
      <x:c r="K138" s="5" t="str">
        <x:v>Высокое: продажи, сервис, менеджмент, дистанционные курсы и обучение франчайзинговой сети</x:v>
      </x:c>
      <x:c r="L138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38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38" s="5" t="str">
        <x:v>Руководитель КУ/учебного центра; руководитель обучения и развития; методолог; закупщик образовательных услуг</x:v>
      </x:c>
      <x:c r="O138" s="5" t="str">
        <x:v>https://rabota.cdek.ru/career</x:v>
      </x:c>
      <x:c r="P138" s="5" t="str">
        <x:v>https://rabota.cdek.ru/career</x:v>
      </x:c>
      <x:c r="Q138" s="5" t="str">
        <x:v>Официальная страница CDEK University описывает собственную образовательную платформу, развитие лидеров, тренинги и soft-skills.</x:v>
      </x:c>
      <x:c r="R138" s="5" t="str">
        <x:v>content_read</x:v>
      </x:c>
      <x:c r="S138" s="12" t="n">
        <x:v>46296</x:v>
      </x:c>
      <x:c r="T138" s="5" t="str">
        <x:v>Существование образовательного подразделения не означает наличие текущего внешнего заказа. Доступ к внутренней LMS не проверен.</x:v>
      </x:c>
      <x:c r="U138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38" s="5" t="str">
        <x:v>CDEK University; CDEK.Univer; СДЭК обучение; школа продаж; soft skills</x:v>
      </x:c>
      <x:c r="W138" s="5" t="str">
        <x:v>Именованная структура с подтверждением; отбор по стране, очереди и типу. Это не оценка вероятности заказа.</x:v>
      </x:c>
      <x:c r="X138" s="5" t="str">
        <x:v>cu_ru_other.json:12</x:v>
      </x:c>
    </x:row>
    <x:row r="139" ht="54" customHeight="1">
      <x:c r="A139" s="5" t="str">
        <x:v>CU-0134</x:v>
      </x:c>
      <x:c r="B139" s="5" t="str">
        <x:v>main_200</x:v>
      </x:c>
      <x:c r="C139" s="5" t="str">
        <x:v>Академия FESCO</x:v>
      </x:c>
      <x:c r="D139" s="5" t="str">
        <x:v>RU</x:v>
      </x:c>
      <x:c r="E139" s="5" t="str">
        <x:v>corporate_academy</x:v>
      </x:c>
      <x:c r="F139" s="5" t="str">
        <x:v>Транспортная группа FESCO</x:v>
      </x:c>
      <x:c r="G139" s="5" t="str">
        <x:v>Транспортная группа FESCO</x:v>
      </x:c>
      <x:c r="H139" s="5" t="str">
        <x:v>Не установлено</x:v>
      </x:c>
      <x:c r="I139" s="5" t="str">
        <x:v>Морская логистика и порты</x:v>
      </x:c>
      <x:c r="J139" s="5" t="str">
        <x:v>Сотрудники логистики, портов и транспортных подразделений</x:v>
      </x:c>
      <x:c r="K139" s="5" t="str">
        <x:v>Условное/высокое: управление, логистика для специалистов, переговоры, цифровое обучение; проверять аудиторию каждого курса</x:v>
      </x:c>
      <x:c r="L139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39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39" s="5" t="str">
        <x:v>Руководитель КУ/учебного центра; руководитель обучения и развития; методолог; закупщик образовательных услуг</x:v>
      </x:c>
      <x:c r="O139" s="5" t="str">
        <x:v>https://www.fesco.ru/ru/about/fesco-academy/docs/</x:v>
      </x:c>
      <x:c r="P139" s="5" t="str">
        <x:v>https://www.fesco.ru/ru/about/fesco-academy/docs/</x:v>
      </x:c>
      <x:c r="Q139" s="5" t="str">
        <x:v>Официальный индекс раздела Академии FESCO содержит планы развития учебного центра, самообследование и образовательные документы.</x:v>
      </x:c>
      <x:c r="R139" s="5" t="str">
        <x:v>search_index</x:v>
      </x:c>
      <x:c r="S139" s="12" t="n">
        <x:v>46296</x:v>
      </x:c>
      <x:c r="T139" s="5" t="str">
        <x:v>При прямом открытии показана страница блокировки доступа. Подтверждение по официальному индексу. Не считать технический доступ к сбору установленным.</x:v>
      </x:c>
      <x:c r="U139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39" s="5" t="str">
        <x:v>Академия FESCO; учебный центр ВМТП; обучение; мастер лекции; план развития</x:v>
      </x:c>
      <x:c r="W139" s="5" t="str">
        <x:v>Именованная структура с подтверждением; отбор по стране, очереди и типу. Это не оценка вероятности заказа.</x:v>
      </x:c>
      <x:c r="X139" s="5" t="str">
        <x:v>cu_ru_other.json:13</x:v>
      </x:c>
    </x:row>
    <x:row r="140" ht="54" customHeight="1">
      <x:c r="A140" s="5" t="str">
        <x:v>CU-0135</x:v>
      </x:c>
      <x:c r="B140" s="5" t="str">
        <x:v>main_200</x:v>
      </x:c>
      <x:c r="C140" s="5" t="str">
        <x:v>Корпоративный университет Самолёт Плюс</x:v>
      </x:c>
      <x:c r="D140" s="5" t="str">
        <x:v>RU</x:v>
      </x:c>
      <x:c r="E140" s="5" t="str">
        <x:v>corporate_university</x:v>
      </x:c>
      <x:c r="F140" s="5" t="str">
        <x:v>Самолёт Плюс</x:v>
      </x:c>
      <x:c r="G140" s="5" t="str">
        <x:v>Самолёт Плюс</x:v>
      </x:c>
      <x:c r="H140" s="5" t="str">
        <x:v>Не установлено</x:v>
      </x:c>
      <x:c r="I140" s="5" t="str">
        <x:v>Недвижимость и франчайзинг</x:v>
      </x:c>
      <x:c r="J140" s="5" t="str">
        <x:v>Руководители офисов, HR, агенты, ипотечные и страховые брокеры</x:v>
      </x:c>
      <x:c r="K140" s="5" t="str">
        <x:v>Высокое: продажи, управление, HR, право, дистанционные курсы, обучение партнёрской сети</x:v>
      </x:c>
      <x:c r="L140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40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40" s="5" t="str">
        <x:v>Руководитель КУ/учебного центра; руководитель обучения и развития; методолог; закупщик образовательных услуг</x:v>
      </x:c>
      <x:c r="O140" s="5" t="str">
        <x:v>https://education.samoletplus.ru/local/crw/</x:v>
      </x:c>
      <x:c r="P140" s="5" t="str">
        <x:v>https://education.samoletplus.ru/local/crw/</x:v>
      </x:c>
      <x:c r="Q140" s="5" t="str">
        <x:v>На открытом портале КУ доступны категории для руководителей, HR, агентов, брокеров и юридических аспектов сделок.</x:v>
      </x:c>
      <x:c r="R140" s="5" t="str">
        <x:v>content_read</x:v>
      </x:c>
      <x:c r="S140" s="12" t="n">
        <x:v>46296</x:v>
      </x:c>
      <x:c r="T140" s="5" t="str">
        <x:v>Каталог частично доступен без входа; сами курсы и внутренние материалы могут быть закрыты. Не смешивать КУ сети с любыми образовательными инициативами девелопера.</x:v>
      </x:c>
      <x:c r="U140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40" s="5" t="str">
        <x:v>КУСП; Самолет Плюс корпоративный университет; HR; руководители; юридические аспекты сделок</x:v>
      </x:c>
      <x:c r="W140" s="5" t="str">
        <x:v>Именованная структура с подтверждением; отбор по стране, очереди и типу. Это не оценка вероятности заказа.</x:v>
      </x:c>
      <x:c r="X140" s="5" t="str">
        <x:v>cu_ru_other.json:14</x:v>
      </x:c>
    </x:row>
    <x:row r="141" ht="54" customHeight="1">
      <x:c r="A141" s="5" t="str">
        <x:v>CU-0136</x:v>
      </x:c>
      <x:c r="B141" s="5" t="str">
        <x:v>main_200</x:v>
      </x:c>
      <x:c r="C141" s="5" t="str">
        <x:v>Корпоративный университет ПЕТОН</x:v>
      </x:c>
      <x:c r="D141" s="5" t="str">
        <x:v>RU</x:v>
      </x:c>
      <x:c r="E141" s="5" t="str">
        <x:v>corporate_university</x:v>
      </x:c>
      <x:c r="F141" s="5" t="str">
        <x:v>ООО «НИПИ НГ «Петон»</x:v>
      </x:c>
      <x:c r="G141" s="5" t="str">
        <x:v>ООО «НИПИ НГ «Петон»</x:v>
      </x:c>
      <x:c r="H141" s="5" t="str">
        <x:v>Уфа</x:v>
      </x:c>
      <x:c r="I141" s="5" t="str">
        <x:v>Инжиниринг и строительство</x:v>
      </x:c>
      <x:c r="J141" s="5" t="str">
        <x:v>Руководители, ИТР, специалисты; также рабочие специальности</x:v>
      </x:c>
      <x:c r="K141" s="5" t="str">
        <x:v>Высокое для управления проектами, изменениями, HR и цифровых курсов; рабочие профессии ранжировать отдельно</x:v>
      </x:c>
      <x:c r="L141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41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41" s="5" t="str">
        <x:v>Руководитель КУ/учебного центра; руководитель обучения и развития; методолог; закупщик образовательных услуг</x:v>
      </x:c>
      <x:c r="O141" s="5" t="str">
        <x:v>https://www.university.peton.ru/</x:v>
      </x:c>
      <x:c r="P141" s="5" t="str">
        <x:v>https://www.peton.ru/ru/education/structure-management/</x:v>
      </x:c>
      <x:c r="Q141" s="5" t="str">
        <x:v>Официальные сведения называют КУ специализированным образовательным подразделением департамента персонала; сайт КУ описывает управленческие программы и цифровизацию.</x:v>
      </x:c>
      <x:c r="R141" s="5" t="str">
        <x:v>content_read</x:v>
      </x:c>
      <x:c r="S141" s="12" t="n">
        <x:v>46296</x:v>
      </x:c>
      <x:c r="T141" s="5" t="str">
        <x:v>Сайт содержит визуальные числовые заглушки и смешанный каталог. Не использовать маркетинговые счётчики как достоверные показатели масштаба.</x:v>
      </x:c>
      <x:c r="U141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41" s="5" t="str">
        <x:v>ПЕТОН корпоративный университет; управление проектами; управление изменениями; электронные курсы</x:v>
      </x:c>
      <x:c r="W141" s="5" t="str">
        <x:v>Именованная структура с подтверждением; отбор по стране, очереди и типу. Это не оценка вероятности заказа.</x:v>
      </x:c>
      <x:c r="X141" s="5" t="str">
        <x:v>cu_ru_other.json:15</x:v>
      </x:c>
    </x:row>
    <x:row r="142" ht="54" customHeight="1">
      <x:c r="A142" s="5" t="str">
        <x:v>CU-0137</x:v>
      </x:c>
      <x:c r="B142" s="5" t="str">
        <x:v>main_200</x:v>
      </x:c>
      <x:c r="C142" s="5" t="str">
        <x:v>Корпоративный университет ТЕХНОНИКОЛЬ</x:v>
      </x:c>
      <x:c r="D142" s="5" t="str">
        <x:v>RU</x:v>
      </x:c>
      <x:c r="E142" s="5" t="str">
        <x:v>corporate_university</x:v>
      </x:c>
      <x:c r="F142" s="5" t="str">
        <x:v>Производственная компания ТЕХНОНИКОЛЬ</x:v>
      </x:c>
      <x:c r="G142" s="5" t="str">
        <x:v>Производственная компания ТЕХНОНИКОЛЬ</x:v>
      </x:c>
      <x:c r="H142" s="5" t="str">
        <x:v>Не установлено</x:v>
      </x:c>
      <x:c r="I142" s="5" t="str">
        <x:v>Строительные материалы</x:v>
      </x:c>
      <x:c r="J142" s="5" t="str">
        <x:v>Руководители и специалисты производственной компании</x:v>
      </x:c>
      <x:c r="K142" s="5" t="str">
        <x:v>Высокое: лидерство, управление командами, обучение внутренних экспертов; отдельно исследовать потребности дилеров и проектировщиков</x:v>
      </x:c>
      <x:c r="L142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42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42" s="5" t="str">
        <x:v>Руководитель КУ/учебного центра; руководитель обучения и развития; методолог; закупщик образовательных услуг</x:v>
      </x:c>
      <x:c r="O142" s="5" t="str">
        <x:v>https://www.tn.ru/journal/tm/novyy-etap-korporativnogo-obucheniya-v-tekhnonikol/</x:v>
      </x:c>
      <x:c r="P142" s="5" t="str">
        <x:v>https://www.tn.ru/journal/tm/novyy-etap-korporativnogo-obucheniya-v-tekhnonikol/</x:v>
      </x:c>
      <x:c r="Q142" s="5" t="str">
        <x:v>Официальный индекс статьи описывает КУ с фокусом на лидерстве и управлении командами.</x:v>
      </x:c>
      <x:c r="R142" s="5" t="str">
        <x:v>search_index</x:v>
      </x:c>
      <x:c r="S142" s="12" t="n">
        <x:v>46296</x:v>
      </x:c>
      <x:c r="T142" s="5" t="str">
        <x:v>Статья при открытии вернула HTTP 403. Строительная Академия и внутренний КУ — связанные каналы, не автоматически одно юрлицо/бюджет.</x:v>
      </x:c>
      <x:c r="U142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42" s="5" t="str">
        <x:v>ТЕХНОНИКОЛЬ корпоративный университет; лидерство; управление командами; кадровый резерв</x:v>
      </x:c>
      <x:c r="W142" s="5" t="str">
        <x:v>Именованная структура с подтверждением; отбор по стране, очереди и типу. Это не оценка вероятности заказа.</x:v>
      </x:c>
      <x:c r="X142" s="5" t="str">
        <x:v>cu_ru_other.json:16</x:v>
      </x:c>
    </x:row>
    <x:row r="143" ht="54" customHeight="1">
      <x:c r="A143" s="5" t="str">
        <x:v>CU-0138</x:v>
      </x:c>
      <x:c r="B143" s="5" t="str">
        <x:v>main_200</x:v>
      </x:c>
      <x:c r="C143" s="5" t="str">
        <x:v>Корпоративный университет ТСТН — Академия директоров</x:v>
      </x:c>
      <x:c r="D143" s="5" t="str">
        <x:v>RU</x:v>
      </x:c>
      <x:c r="E143" s="5" t="str">
        <x:v>corporate_academy</x:v>
      </x:c>
      <x:c r="F143" s="5" t="str">
        <x:v>Торговая Сеть ТЕХНОНИКОЛЬ (ТСТН)</x:v>
      </x:c>
      <x:c r="G143" s="5" t="str">
        <x:v>Торговая Сеть ТЕХНОНИКОЛЬ (ТСТН)</x:v>
      </x:c>
      <x:c r="H143" s="5" t="str">
        <x:v>Не установлено</x:v>
      </x:c>
      <x:c r="I143" s="5" t="str">
        <x:v>Дистрибуция строительных материалов</x:v>
      </x:c>
      <x:c r="J143" s="5" t="str">
        <x:v>Директора и управленческий резерв торговой сети</x:v>
      </x:c>
      <x:c r="K143" s="5" t="str">
        <x:v>Высокое: управленческий резерв, продажи, финансы руководителям, развитие внутренних тренеров</x:v>
      </x:c>
      <x:c r="L143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43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43" s="5" t="str">
        <x:v>Руководитель КУ/учебного центра; руководитель обучения и развития; методолог; закупщик образовательных услуг</x:v>
      </x:c>
      <x:c r="O143" s="5" t="str">
        <x:v>https://www.tstn.ru/protein/probiznes/otkuda_berutsya_kadry_korporativnyy_universitet_tstn/</x:v>
      </x:c>
      <x:c r="P143" s="5" t="str">
        <x:v>https://www.tstn.ru/protein/probiznes/otkuda_berutsya_kadry_korporativnyy_universitet_tstn/</x:v>
      </x:c>
      <x:c r="Q143" s="5" t="str">
        <x:v>Официальная статья торговой сети рассказывает об Академии директоров и внутренних преподавателях.</x:v>
      </x:c>
      <x:c r="R143" s="5" t="str">
        <x:v>search_index</x:v>
      </x:c>
      <x:c r="S143" s="12" t="n">
        <x:v>46296</x:v>
      </x:c>
      <x:c r="T143" s="5" t="str">
        <x:v>Страница при открытии не извлекла текст; подтверждена официальным индексом. Отдельная программа/образовательная структура торговой сети: не смешивать с КУ производственной компании без проверки организационных границ.</x:v>
      </x:c>
      <x:c r="U143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43" s="5" t="str">
        <x:v>ТСТН Академия директоров; Торговая Сеть ТЕХНОНИКОЛЬ обучение; кадровый резерв</x:v>
      </x:c>
      <x:c r="W143" s="5" t="str">
        <x:v>Именованная структура с подтверждением; отбор по стране, очереди и типу. Это не оценка вероятности заказа.</x:v>
      </x:c>
      <x:c r="X143" s="5" t="str">
        <x:v>cu_ru_other.json:17</x:v>
      </x:c>
    </x:row>
    <x:row r="144" ht="54" customHeight="1">
      <x:c r="A144" s="5" t="str">
        <x:v>CU-0139</x:v>
      </x:c>
      <x:c r="B144" s="5" t="str">
        <x:v>reserve</x:v>
      </x:c>
      <x:c r="C144" s="5" t="str">
        <x:v>Академия КНАУФ — Россия</x:v>
      </x:c>
      <x:c r="D144" s="5" t="str">
        <x:v>RU</x:v>
      </x:c>
      <x:c r="E144" s="5" t="str">
        <x:v>corporate_academy</x:v>
      </x:c>
      <x:c r="F144" s="5" t="str">
        <x:v>КНАУФ Россия</x:v>
      </x:c>
      <x:c r="G144" s="5" t="str">
        <x:v>КНАУФ Россия</x:v>
      </x:c>
      <x:c r="H144" s="5" t="str">
        <x:v>Не установлено</x:v>
      </x:c>
      <x:c r="I144" s="5" t="str">
        <x:v>Строительные материалы</x:v>
      </x:c>
      <x:c r="J144" s="5" t="str">
        <x:v>Строительные специалисты, инженеры, партнёры; также рабочие профессии</x:v>
      </x:c>
      <x:c r="K144" s="5" t="str">
        <x:v>Условное: управление, обучение партнёров и создание цифрового контента; монтажные/рабочие программы вне основного профиля МИСБ</x:v>
      </x:c>
      <x:c r="L144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44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44" s="5" t="str">
        <x:v>Руководитель КУ/учебного центра; руководитель обучения и развития; методолог; закупщик образовательных услуг</x:v>
      </x:c>
      <x:c r="O144" s="5" t="str">
        <x:v>https://www.knauf.ru/service/academy/</x:v>
      </x:c>
      <x:c r="P144" s="5" t="str">
        <x:v>https://www.knauf.ru/service/academy/</x:v>
      </x:c>
      <x:c r="Q144" s="5" t="str">
        <x:v>Официальная академия предлагает очное, вебинарное и дистанционное обучение; есть программы для инженеров технического надзора и бригадиров.</x:v>
      </x:c>
      <x:c r="R144" s="5" t="str">
        <x:v>search_index</x:v>
      </x:c>
      <x:c r="S144" s="12" t="n">
        <x:v>46296</x:v>
      </x:c>
      <x:c r="T144" s="5" t="str">
        <x:v>Существование образовательного подразделения не означает наличие текущего внешнего заказа. Доступ к внутренней LMS не проверен.</x:v>
      </x:c>
      <x:c r="U144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44" s="5" t="str">
        <x:v>Академия КНАУФ; инженеры; вебинары; дистанционное обучение; партнеры</x:v>
      </x:c>
      <x:c r="W144" s="5" t="str">
        <x:v>Дополнительная подтвержденная структура сверх основной выборки; продолжать мониторинг.</x:v>
      </x:c>
      <x:c r="X144" s="5" t="str">
        <x:v>cu_ru_other.json:18</x:v>
      </x:c>
    </x:row>
    <x:row r="145" ht="54" customHeight="1">
      <x:c r="A145" s="5" t="str">
        <x:v>CU-0140</x:v>
      </x:c>
      <x:c r="B145" s="5" t="str">
        <x:v>main_200</x:v>
      </x:c>
      <x:c r="C145" s="5" t="str">
        <x:v>Корпоративный университет «РУСЛАКТО»</x:v>
      </x:c>
      <x:c r="D145" s="5" t="str">
        <x:v>RU</x:v>
      </x:c>
      <x:c r="E145" s="5" t="str">
        <x:v>corporate_university</x:v>
      </x:c>
      <x:c r="F145" s="5" t="str">
        <x:v>Агрохолдинг «РУСЛАКТО»</x:v>
      </x:c>
      <x:c r="G145" s="5" t="str">
        <x:v>Агрохолдинг «РУСЛАКТО»</x:v>
      </x:c>
      <x:c r="H145" s="5" t="str">
        <x:v>Не установлено</x:v>
      </x:c>
      <x:c r="I145" s="5" t="str">
        <x:v>АПК и молочная переработка</x:v>
      </x:c>
      <x:c r="J145" s="5" t="str">
        <x:v>Руководители, специалисты и кадровый резерв агрохолдинга</x:v>
      </x:c>
      <x:c r="K145" s="5" t="str">
        <x:v>Высокое: менеджмент, HR, кадровый резерв, адаптация, цифровые курсы; агротехнические профессии отдельно</x:v>
      </x:c>
      <x:c r="L145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45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45" s="5" t="str">
        <x:v>Руководитель КУ/учебного центра; руководитель обучения и развития; методолог; закупщик образовательных услуг</x:v>
      </x:c>
      <x:c r="O145" s="5" t="str">
        <x:v>https://ruslacto.ru/university/</x:v>
      </x:c>
      <x:c r="P145" s="5" t="str">
        <x:v>https://ruslacto.ru/university/</x:v>
      </x:c>
      <x:c r="Q145" s="5" t="str">
        <x:v>Официальная страница КУ описывает обучение, адаптацию и кадровый резерв для руководящих и экспертных позиций.</x:v>
      </x:c>
      <x:c r="R145" s="5" t="str">
        <x:v>content_read</x:v>
      </x:c>
      <x:c r="S145" s="12" t="n">
        <x:v>46296</x:v>
      </x:c>
      <x:c r="T145" s="5" t="str">
        <x:v>Существование образовательного подразделения не означает наличие текущего внешнего заказа. Доступ к внутренней LMS не проверен.</x:v>
      </x:c>
      <x:c r="U145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45" s="5" t="str">
        <x:v>РУСЛАКТО корпоративный университет; Высота; кадровый резерв; адаптация; управленческие навыки</x:v>
      </x:c>
      <x:c r="W145" s="5" t="str">
        <x:v>Именованная структура с подтверждением; отбор по стране, очереди и типу. Это не оценка вероятности заказа.</x:v>
      </x:c>
      <x:c r="X145" s="5" t="str">
        <x:v>cu_ru_other.json:19</x:v>
      </x:c>
    </x:row>
    <x:row r="146" ht="54" customHeight="1">
      <x:c r="A146" s="5" t="str">
        <x:v>CU-0141</x:v>
      </x:c>
      <x:c r="B146" s="5" t="str">
        <x:v>main_200</x:v>
      </x:c>
      <x:c r="C146" s="5" t="str">
        <x:v>Академия «ЭкоНива» / корпоративный университет</x:v>
      </x:c>
      <x:c r="D146" s="5" t="str">
        <x:v>RU</x:v>
      </x:c>
      <x:c r="E146" s="5" t="str">
        <x:v>corporate_academy</x:v>
      </x:c>
      <x:c r="F146" s="5" t="str">
        <x:v>ГК «ЭкоНива»</x:v>
      </x:c>
      <x:c r="G146" s="5" t="str">
        <x:v>ГК «ЭкоНива»</x:v>
      </x:c>
      <x:c r="H146" s="5" t="str">
        <x:v>Не установлено</x:v>
      </x:c>
      <x:c r="I146" s="5" t="str">
        <x:v>АПК и молочное производство</x:v>
      </x:c>
      <x:c r="J146" s="5" t="str">
        <x:v>Сотрудники, руководители, кадровый резерв, студенты-практиканты</x:v>
      </x:c>
      <x:c r="K146" s="5" t="str">
        <x:v>Высокое/условное: Академия управления, экономика, кадровый резерв, наставничество; студенческие агрономические программы не являются прямой потребностью МИСБ</x:v>
      </x:c>
      <x:c r="L146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46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46" s="5" t="str">
        <x:v>Руководитель КУ/учебного центра; руководитель обучения и развития; методолог; закупщик образовательных услуг</x:v>
      </x:c>
      <x:c r="O146" s="5" t="str">
        <x:v>https://ekoniva-apk.ru/projects</x:v>
      </x:c>
      <x:c r="P146" s="5" t="str">
        <x:v>https://ekoniva-apk.ru/images/press/esg/esg_report-2023.pdf</x:v>
      </x:c>
      <x:c r="Q146" s="5" t="str">
        <x:v>Официальный ESG-отчёт включает корпоративный университет в HR-структуру. Раздел проектов содержит Академию ЭкоНива и Академию управления; новости 2026 подтверждают образовательную активность.</x:v>
      </x:c>
      <x:c r="R146" s="5" t="str">
        <x:v>search_index</x:v>
      </x:c>
      <x:c r="S146" s="12" t="n">
        <x:v>46296</x:v>
      </x:c>
      <x:c r="T146" s="5" t="str">
        <x:v>Раздел проектов при открытии дал ошибку; подтверждение по официальному индексу и отчёту. Осенняя/Весенняя академии — программы одной образовательной системы, не отдельные КУ.</x:v>
      </x:c>
      <x:c r="U146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46" s="5" t="str">
        <x:v>ЭкоНива Академия управления; корпоративный университет; наставничество; кадровый резерв</x:v>
      </x:c>
      <x:c r="W146" s="5" t="str">
        <x:v>Именованная структура с подтверждением; отбор по стране, очереди и типу. Это не оценка вероятности заказа.</x:v>
      </x:c>
      <x:c r="X146" s="5" t="str">
        <x:v>cu_ru_other.json:20</x:v>
      </x:c>
    </x:row>
    <x:row r="147" ht="54" customHeight="1">
      <x:c r="A147" s="5" t="str">
        <x:v>CU-0142</x:v>
      </x:c>
      <x:c r="B147" s="5" t="str">
        <x:v>reserve</x:v>
      </x:c>
      <x:c r="C147" s="5" t="str">
        <x:v>Академия Мираторг</x:v>
      </x:c>
      <x:c r="D147" s="5" t="str">
        <x:v>RU</x:v>
      </x:c>
      <x:c r="E147" s="5" t="str">
        <x:v>corporate_academy</x:v>
      </x:c>
      <x:c r="F147" s="5" t="str">
        <x:v>АПХ «Мираторг»</x:v>
      </x:c>
      <x:c r="G147" s="5" t="str">
        <x:v>АПХ «Мираторг»</x:v>
      </x:c>
      <x:c r="H147" s="5" t="str">
        <x:v>Не установлено</x:v>
      </x:c>
      <x:c r="I147" s="5" t="str">
        <x:v>АПК и пищевая промышленность</x:v>
      </x:c>
      <x:c r="J147" s="5" t="str">
        <x:v>Сотрудники агрохолдинга, рабочие и специалисты</x:v>
      </x:c>
      <x:c r="K147" s="5" t="str">
        <x:v>Условное: методология, цифровые курсы, подготовка преподавателей и потенциальные управленческие программы; текущий видимый каталог преимущественно вне профиля МИСБ</x:v>
      </x:c>
      <x:c r="L147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47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47" s="5" t="str">
        <x:v>Руководитель КУ/учебного центра; руководитель обучения и развития; методолог; закупщик образовательных услуг</x:v>
      </x:c>
      <x:c r="O147" s="5" t="str">
        <x:v>https://miratorg.ru/academy/</x:v>
      </x:c>
      <x:c r="P147" s="5" t="str">
        <x:v>https://miratorg.ru/career/academy/NEWindex.php</x:v>
      </x:c>
      <x:c r="Q147" s="5" t="str">
        <x:v>Официальный сайт описывает разветвлённый корпоративный учебный центр. Действующий каталог ориентирован преимущественно на профессиональную подготовку и обязательное обучение.</x:v>
      </x:c>
      <x:c r="R147" s="5" t="str">
        <x:v>content_read</x:v>
      </x:c>
      <x:c r="S147" s="12" t="n">
        <x:v>46296</x:v>
      </x:c>
      <x:c r="T147" s="5" t="str">
        <x:v>Основной видимый спрос — рабочие профессии и обязательная безопасность. Сохранять источник, но не маркировать все записи как подходящие заказы.</x:v>
      </x:c>
      <x:c r="U147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47" s="5" t="str">
        <x:v>Академия Мираторг; учебный центр; электронное обучение; внутренние тренеры</x:v>
      </x:c>
      <x:c r="W147" s="5" t="str">
        <x:v>Дополнительная подтвержденная структура сверх основной выборки; продолжать мониторинг.</x:v>
      </x:c>
      <x:c r="X147" s="5" t="str">
        <x:v>cu_ru_other.json:21</x:v>
      </x:c>
    </x:row>
    <x:row r="148" ht="54" customHeight="1">
      <x:c r="A148" s="5" t="str">
        <x:v>CU-0143</x:v>
      </x:c>
      <x:c r="B148" s="5" t="str">
        <x:v>main_200</x:v>
      </x:c>
      <x:c r="C148" s="5" t="str">
        <x:v>Научно-образовательный центр «Бирюч» ЭФКО</x:v>
      </x:c>
      <x:c r="D148" s="5" t="str">
        <x:v>RU</x:v>
      </x:c>
      <x:c r="E148" s="5" t="str">
        <x:v>company_training_center</x:v>
      </x:c>
      <x:c r="F148" s="5" t="str">
        <x:v>Группа ЭФКО</x:v>
      </x:c>
      <x:c r="G148" s="5" t="str">
        <x:v>Группа ЭФКО</x:v>
      </x:c>
      <x:c r="H148" s="5" t="str">
        <x:v>Не установлено</x:v>
      </x:c>
      <x:c r="I148" s="5" t="str">
        <x:v>Пищевая промышленность и биотехнологии</x:v>
      </x:c>
      <x:c r="J148" s="5" t="str">
        <x:v>Руководители, специалисты и управленческий резерв</x:v>
      </x:c>
      <x:c r="K148" s="5" t="str">
        <x:v>Высокое: менеджмент, коммуникации, развитие руководителей и образовательная методология</x:v>
      </x:c>
      <x:c r="L148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48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48" s="5" t="str">
        <x:v>Руководитель КУ/учебного центра; руководитель обучения и развития; методолог; закупщик образовательных услуг</x:v>
      </x:c>
      <x:c r="O148" s="5" t="str">
        <x:v>https://biruch.efko.ru/o-nas/</x:v>
      </x:c>
      <x:c r="P148" s="5" t="str">
        <x:v>https://biruch.efko.ru/o-nas/</x:v>
      </x:c>
      <x:c r="Q148" s="5" t="str">
        <x:v>Официальный сайт НОЦ описывает подготовку эффективных менеджеров и развитие внутрикорпоративных коммуникаций; основан при участии ЭФКО.</x:v>
      </x:c>
      <x:c r="R148" s="5" t="str">
        <x:v>content_read</x:v>
      </x:c>
      <x:c r="S148" s="12" t="n">
        <x:v>46296</x:v>
      </x:c>
      <x:c r="T148" s="5" t="str">
        <x:v>Существование образовательного подразделения не означает наличие текущего внешнего заказа. Доступ к внутренней LMS не проверен.</x:v>
      </x:c>
      <x:c r="U148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48" s="5" t="str">
        <x:v>ЭФКО Бирюч; научно-образовательный центр; подготовка менеджеров; управленческие компетенции</x:v>
      </x:c>
      <x:c r="W148" s="5" t="str">
        <x:v>Именованная структура с подтверждением; отбор по стране, очереди и типу. Это не оценка вероятности заказа.</x:v>
      </x:c>
      <x:c r="X148" s="5" t="str">
        <x:v>cu_ru_other.json:22</x:v>
      </x:c>
    </x:row>
    <x:row r="149" ht="54" customHeight="1">
      <x:c r="A149" s="5" t="str">
        <x:v>CU-0144</x:v>
      </x:c>
      <x:c r="B149" s="5" t="str">
        <x:v>main_200</x:v>
      </x:c>
      <x:c r="C149" s="5" t="str">
        <x:v>Медицинская академия МЕДСИ</x:v>
      </x:c>
      <x:c r="D149" s="5" t="str">
        <x:v>RU</x:v>
      </x:c>
      <x:c r="E149" s="5" t="str">
        <x:v>corporate_academy</x:v>
      </x:c>
      <x:c r="F149" s="5" t="str">
        <x:v>АО «Группа компаний «Медси»</x:v>
      </x:c>
      <x:c r="G149" s="5" t="str">
        <x:v>АО «Группа компаний «Медси»</x:v>
      </x:c>
      <x:c r="H149" s="5" t="str">
        <x:v>Не установлено</x:v>
      </x:c>
      <x:c r="I149" s="5" t="str">
        <x:v>Частное здравоохранение</x:v>
      </x:c>
      <x:c r="J149" s="5" t="str">
        <x:v>Врачи, медицинские специалисты и руководители подразделений</x:v>
      </x:c>
      <x:c r="K149" s="5" t="str">
        <x:v>Условное: управление медицинской организацией, HR, сервис, коммуникации и электронные курсы; клиническое образование требует медицинской экспертизы</x:v>
      </x:c>
      <x:c r="L149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49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49" s="5" t="str">
        <x:v>Руководитель КУ/учебного центра; руководитель обучения и развития; методолог; закупщик образовательных услуг</x:v>
      </x:c>
      <x:c r="O149" s="5" t="str">
        <x:v>https://medsi.ru/academy/</x:v>
      </x:c>
      <x:c r="P149" s="5" t="str">
        <x:v>https://medsi.ru/about/medacademy/</x:v>
      </x:c>
      <x:c r="Q149" s="5" t="str">
        <x:v>Официальные страницы академии подтверждают дополнительное профессиональное образование и дистанционные образовательные технологии.</x:v>
      </x:c>
      <x:c r="R149" s="5" t="str">
        <x:v>search_index</x:v>
      </x:c>
      <x:c r="S149" s="12" t="n">
        <x:v>46296</x:v>
      </x:c>
      <x:c r="T149" s="5" t="str">
        <x:v>Информационная страница при открытии вернула HTTP 500; официальные индексируемые страницы подтверждают академию. Не приравнивать медицинские программы к профилю МИСБ.</x:v>
      </x:c>
      <x:c r="U149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49" s="5" t="str">
        <x:v>МЕДСИ академия; медицинский менеджмент; обучение; дистанционные технологии; партнерство</x:v>
      </x:c>
      <x:c r="W149" s="5" t="str">
        <x:v>Именованная структура с подтверждением; отбор по стране, очереди и типу. Это не оценка вероятности заказа.</x:v>
      </x:c>
      <x:c r="X149" s="5" t="str">
        <x:v>cu_ru_other.json:23</x:v>
      </x:c>
    </x:row>
    <x:row r="150" ht="54" customHeight="1">
      <x:c r="A150" s="5" t="str">
        <x:v>CU-0145</x:v>
      </x:c>
      <x:c r="B150" s="5" t="str">
        <x:v>main_200</x:v>
      </x:c>
      <x:c r="C150" s="5" t="str">
        <x:v>Высшая медицинская школа — учебный центр ИНВИТРО</x:v>
      </x:c>
      <x:c r="D150" s="5" t="str">
        <x:v>RU</x:v>
      </x:c>
      <x:c r="E150" s="5" t="str">
        <x:v>company_training_center</x:v>
      </x:c>
      <x:c r="F150" s="5" t="str">
        <x:v>ИНВИТРО (исторически подтверждённая связь)</x:v>
      </x:c>
      <x:c r="G150" s="5" t="str">
        <x:v>ИНВИТРО (исторически подтверждённая связь)</x:v>
      </x:c>
      <x:c r="H150" s="5" t="str">
        <x:v>Москва</x:v>
      </x:c>
      <x:c r="I150" s="5" t="str">
        <x:v>Частное здравоохранение</x:v>
      </x:c>
      <x:c r="J150" s="5" t="str">
        <x:v>Медицинские работники, управленческие и сервисные сотрудники</x:v>
      </x:c>
      <x:c r="K150" s="5" t="str">
        <x:v>Условное/высокое для менеджмента, сервиса, переговоров, HR и электронного контента; клиническая часть вне основного профиля</x:v>
      </x:c>
      <x:c r="L150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50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50" s="5" t="str">
        <x:v>Руководитель КУ/учебного центра; руководитель обучения и развития; методолог; закупщик образовательных услуг</x:v>
      </x:c>
      <x:c r="O150" s="5" t="str">
        <x:v>https://www.vmsh.ru/</x:v>
      </x:c>
      <x:c r="P150" s="5" t="str">
        <x:v>https://www.invitro.ru/zhukovka/about/news/13171/</x:v>
      </x:c>
      <x:c r="Q150" s="5" t="str">
        <x:v>ИНВИТРО официально описывало ВМШ как собственный учебный центр, включая тренинги управления персоналом, переговоров и бюджетирования. Действующий сайт ВМШ содержит программы ДПО.</x:v>
      </x:c>
      <x:c r="R150" s="5" t="str">
        <x:v>search_index</x:v>
      </x:c>
      <x:c r="S150" s="12" t="n">
        <x:v>46296</x:v>
      </x:c>
      <x:c r="T150" s="5" t="str">
        <x:v>Корпоративная связь с ИНВИТРО подтверждена исторической публикацией 2012 года; текущего владельца/заказчика и статус связи необходимо сверить до коммерческого контакта.</x:v>
      </x:c>
      <x:c r="U150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50" s="5" t="str">
        <x:v>Высшая медицинская школа; ВМШ ИНВИТРО; управление персоналом; сервис; обучение</x:v>
      </x:c>
      <x:c r="W150" s="5" t="str">
        <x:v>Именованная структура с подтверждением; отбор по стране, очереди и типу. Это не оценка вероятности заказа.</x:v>
      </x:c>
      <x:c r="X150" s="5" t="str">
        <x:v>cu_ru_other.json:24</x:v>
      </x:c>
    </x:row>
    <x:row r="151" ht="54" customHeight="1">
      <x:c r="A151" s="5" t="str">
        <x:v>CU-0146</x:v>
      </x:c>
      <x:c r="B151" s="5" t="str">
        <x:v>main_200</x:v>
      </x:c>
      <x:c r="C151" s="5" t="str">
        <x:v>Корпоративный университет BIOCAD</x:v>
      </x:c>
      <x:c r="D151" s="5" t="str">
        <x:v>RU</x:v>
      </x:c>
      <x:c r="E151" s="5" t="str">
        <x:v>corporate_university</x:v>
      </x:c>
      <x:c r="F151" s="5" t="str">
        <x:v>BIOCAD</x:v>
      </x:c>
      <x:c r="G151" s="5" t="str">
        <x:v>BIOCAD</x:v>
      </x:c>
      <x:c r="H151" s="5" t="str">
        <x:v>Не установлено</x:v>
      </x:c>
      <x:c r="I151" s="5" t="str">
        <x:v>Биотехнологии и фармацевтика</x:v>
      </x:c>
      <x:c r="J151" s="5" t="str">
        <x:v>Сотрудники и специалисты биотехнологической компании</x:v>
      </x:c>
      <x:c r="K151" s="5" t="str">
        <x:v>Высокое: менеджмент, проектное управление, HR, цифровые компетенции и электронное обучение; фармацевтические технологические программы отдельно</x:v>
      </x:c>
      <x:c r="L151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51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51" s="5" t="str">
        <x:v>Руководитель КУ/учебного центра; руководитель обучения и развития; методолог; закупщик образовательных услуг</x:v>
      </x:c>
      <x:c r="O151" s="5" t="str">
        <x:v>https://career.biocad.ru/department/IT</x:v>
      </x:c>
      <x:c r="P151" s="5" t="str">
        <x:v>https://career.biocad.ru/department/IT</x:v>
      </x:c>
      <x:c r="Q151" s="5" t="str">
        <x:v>Официальный карьерный сайт прямо указывает внутренний корпоративный университет и внешнее обучение.</x:v>
      </x:c>
      <x:c r="R151" s="5" t="str">
        <x:v>search_index</x:v>
      </x:c>
      <x:c r="S151" s="12" t="n">
        <x:v>46296</x:v>
      </x:c>
      <x:c r="T151" s="5" t="str">
        <x:v>Это публичный карьерный канал, а не открытый сайт внутренней LMS. Наличие университета подтверждено, публичный закупочный маршрут не установлен.</x:v>
      </x:c>
      <x:c r="U151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51" s="5" t="str">
        <x:v>BIOCAD корпоративный университет; внешнее обучение; управление проектами; электронные курсы</x:v>
      </x:c>
      <x:c r="W151" s="5" t="str">
        <x:v>Именованная структура с подтверждением; отбор по стране, очереди и типу. Это не оценка вероятности заказа.</x:v>
      </x:c>
      <x:c r="X151" s="5" t="str">
        <x:v>cu_ru_other.json:25</x:v>
      </x:c>
    </x:row>
    <x:row r="152" ht="54" customHeight="1">
      <x:c r="A152" s="5" t="str">
        <x:v>CU-0147</x:v>
      </x:c>
      <x:c r="B152" s="5" t="str">
        <x:v>main_200</x:v>
      </x:c>
      <x:c r="C152" s="5" t="str">
        <x:v>Академия Р-Фарм</x:v>
      </x:c>
      <x:c r="D152" s="5" t="str">
        <x:v>RU</x:v>
      </x:c>
      <x:c r="E152" s="5" t="str">
        <x:v>corporate_academy</x:v>
      </x:c>
      <x:c r="F152" s="5" t="str">
        <x:v>Группа «Р-Фарм»</x:v>
      </x:c>
      <x:c r="G152" s="5" t="str">
        <x:v>Группа «Р-Фарм»</x:v>
      </x:c>
      <x:c r="H152" s="5" t="str">
        <x:v>Не установлено</x:v>
      </x:c>
      <x:c r="I152" s="5" t="str">
        <x:v>Фармацевтика</x:v>
      </x:c>
      <x:c r="J152" s="5" t="str">
        <x:v>Сотрудники, руководители и кадровый резерв</x:v>
      </x:c>
      <x:c r="K152" s="5" t="str">
        <x:v>Высокое: лидерские компетенции, управление командами, обучение тренеров и цифровой контент</x:v>
      </x:c>
      <x:c r="L152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52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52" s="5" t="str">
        <x:v>Руководитель КУ/учебного центра; руководитель обучения и развития; методолог; закупщик образовательных услуг</x:v>
      </x:c>
      <x:c r="O152" s="5" t="str">
        <x:v>https://t.me/s/rpharm_group?before=1458</x:v>
      </x:c>
      <x:c r="P152" s="5" t="str">
        <x:v>https://t.me/s/rpharm_group?before=1458</x:v>
      </x:c>
      <x:c r="Q152" s="5" t="str">
        <x:v>Публичный корпоративный канал описывает платформу Академия Р-Фарм и программы лидерства, управления командами и других направлений.</x:v>
      </x:c>
      <x:c r="R152" s="5" t="str">
        <x:v>search_index</x:v>
      </x:c>
      <x:c r="S152" s="12" t="n">
        <x:v>46296</x:v>
      </x:c>
      <x:c r="T152" s="5" t="str">
        <x:v>Исходный URL указывает историческое окно Telegram. Для мониторинга нужна лента целиком, включая новые сообщения; внутренний адрес платформы не установлен.</x:v>
      </x:c>
      <x:c r="U152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52" s="5" t="str">
        <x:v>Академия Р-Фарм; лидерские компетенции; управление командами; кадровый резерв; образовательная платформа</x:v>
      </x:c>
      <x:c r="W152" s="5" t="str">
        <x:v>Именованная структура с подтверждением; отбор по стране, очереди и типу. Это не оценка вероятности заказа.</x:v>
      </x:c>
      <x:c r="X152" s="5" t="str">
        <x:v>cu_ru_other.json:26</x:v>
      </x:c>
    </x:row>
    <x:row r="153" ht="54" customHeight="1">
      <x:c r="A153" s="5" t="str">
        <x:v>CU-0148</x:v>
      </x:c>
      <x:c r="B153" s="5" t="str">
        <x:v>main_200</x:v>
      </x:c>
      <x:c r="C153" s="5" t="str">
        <x:v>Академия гостеприимства COSMOS</x:v>
      </x:c>
      <x:c r="D153" s="5" t="str">
        <x:v>RU</x:v>
      </x:c>
      <x:c r="E153" s="5" t="str">
        <x:v>corporate_academy</x:v>
      </x:c>
      <x:c r="F153" s="5" t="str">
        <x:v>Cosmos Hotel Group</x:v>
      </x:c>
      <x:c r="G153" s="5" t="str">
        <x:v>Cosmos Hotel Group</x:v>
      </x:c>
      <x:c r="H153" s="5" t="str">
        <x:v>Не установлено</x:v>
      </x:c>
      <x:c r="I153" s="5" t="str">
        <x:v>Гостиничный бизнес</x:v>
      </x:c>
      <x:c r="J153" s="5" t="str">
        <x:v>Управляющие и сотрудники отелей, корпоративные клиенты</x:v>
      </x:c>
      <x:c r="K153" s="5" t="str">
        <x:v>Высокое: менеджмент, сервис, продажи, HR, развитие руководителей и электронные курсы</x:v>
      </x:c>
      <x:c r="L153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53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53" s="5" t="str">
        <x:v>Руководитель КУ/учебного центра; руководитель обучения и развития; методолог; закупщик образовательных услуг</x:v>
      </x:c>
      <x:c r="O153" s="5" t="str">
        <x:v>https://cosmos-academy.ru/</x:v>
      </x:c>
      <x:c r="P153" s="5" t="str">
        <x:v>https://cosmos-academy.ru/academy/</x:v>
      </x:c>
      <x:c r="Q153" s="5" t="str">
        <x:v>Официальная академия описывает обучение сотрудников сети, руководителей и внешних клиентов на базе практик Cosmos Hotel Group.</x:v>
      </x:c>
      <x:c r="R153" s="5" t="str">
        <x:v>search_index</x:v>
      </x:c>
      <x:c r="S153" s="12" t="n">
        <x:v>46296</x:v>
      </x:c>
      <x:c r="T153" s="5" t="str">
        <x:v>Страница описания при открытии вернула HTTP 502; сведения доступны в официальном поисковом индексе. Академия одновременно потенциальный заказчик, партнёр и конкурент.</x:v>
      </x:c>
      <x:c r="U153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53" s="5" t="str">
        <x:v>Cosmos Академия гостеприимства; управляющие; корпоративное обучение; бизнес игры; тренеры</x:v>
      </x:c>
      <x:c r="W153" s="5" t="str">
        <x:v>Именованная структура с подтверждением; отбор по стране, очереди и типу. Это не оценка вероятности заказа.</x:v>
      </x:c>
      <x:c r="X153" s="5" t="str">
        <x:v>cu_ru_other.json:27</x:v>
      </x:c>
    </x:row>
    <x:row r="154" ht="54" customHeight="1">
      <x:c r="A154" s="5" t="str">
        <x:v>CU-0149</x:v>
      </x:c>
      <x:c r="B154" s="5" t="str">
        <x:v>main_200</x:v>
      </x:c>
      <x:c r="C154" s="5" t="str">
        <x:v>Академия гостеприимства курорта «Мрия»</x:v>
      </x:c>
      <x:c r="D154" s="5" t="str">
        <x:v>RU</x:v>
      </x:c>
      <x:c r="E154" s="5" t="str">
        <x:v>corporate_academy</x:v>
      </x:c>
      <x:c r="F154" s="5" t="str">
        <x:v>Курорт «Мрия»</x:v>
      </x:c>
      <x:c r="G154" s="5" t="str">
        <x:v>Курорт «Мрия»</x:v>
      </x:c>
      <x:c r="H154" s="5" t="str">
        <x:v>Ялта</x:v>
      </x:c>
      <x:c r="I154" s="5" t="str">
        <x:v>Гостиничный бизнес</x:v>
      </x:c>
      <x:c r="J154" s="5" t="str">
        <x:v>Собственники, управляющие, HR, руководители сервисных и коммерческих функций</x:v>
      </x:c>
      <x:c r="K154" s="5" t="str">
        <x:v>Высокое: менеджмент, сервис, командные и стратегические сессии, продажи, электронные программы</x:v>
      </x:c>
      <x:c r="L154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54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54" s="5" t="str">
        <x:v>Руководитель КУ/учебного центра; руководитель обучения и развития; методолог; закупщик образовательных услуг</x:v>
      </x:c>
      <x:c r="O154" s="5" t="str">
        <x:v>https://academy-hospitality.ru/</x:v>
      </x:c>
      <x:c r="P154" s="5" t="str">
        <x:v>https://academy-hospitality.ru/</x:v>
      </x:c>
      <x:c r="Q154" s="5" t="str">
        <x:v>Сайт академии содержит программы для отельеров и управленцев, стратегические сессии, онлайн-курсы, экспертов и контакты.</x:v>
      </x:c>
      <x:c r="R154" s="5" t="str">
        <x:v>content_read</x:v>
      </x:c>
      <x:c r="S154" s="12" t="n">
        <x:v>46296</x:v>
      </x:c>
      <x:c r="T154" s="5" t="str">
        <x:v>Академия продаёт собственные программы; это партнёрский/субподрядный маршрут, а не доказанный открытый спрос на подрядчика.</x:v>
      </x:c>
      <x:c r="U154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54" s="5" t="str">
        <x:v>Мрия Академия гостеприимства; сервис-менеджмент; стратегические сессии; публичные выступления</x:v>
      </x:c>
      <x:c r="W154" s="5" t="str">
        <x:v>Именованная структура с подтверждением; отбор по стране, очереди и типу. Это не оценка вероятности заказа.</x:v>
      </x:c>
      <x:c r="X154" s="5" t="str">
        <x:v>cu_ru_other.json:28</x:v>
      </x:c>
    </x:row>
    <x:row r="155" ht="54" customHeight="1">
      <x:c r="A155" s="5" t="str">
        <x:v>CU-0150</x:v>
      </x:c>
      <x:c r="B155" s="5" t="str">
        <x:v>main_200</x:v>
      </x:c>
      <x:c r="C155" s="5" t="str">
        <x:v>Учебный центр Главгосэкспертизы России</x:v>
      </x:c>
      <x:c r="D155" s="5" t="str">
        <x:v>RU</x:v>
      </x:c>
      <x:c r="E155" s="5" t="str">
        <x:v>industry_training_center</x:v>
      </x:c>
      <x:c r="F155" s="5" t="str">
        <x:v>ФАУ «Главгосэкспертиза России»</x:v>
      </x:c>
      <x:c r="G155" s="5" t="str">
        <x:v>ФАУ «Главгосэкспертиза России»</x:v>
      </x:c>
      <x:c r="H155" s="5" t="str">
        <x:v>Не установлено</x:v>
      </x:c>
      <x:c r="I155" s="5" t="str">
        <x:v>Строительная экспертиза</x:v>
      </x:c>
      <x:c r="J155" s="5" t="str">
        <x:v>Специалисты строительной экспертизы, проектировщики, команды регионов и заказчиков</x:v>
      </x:c>
      <x:c r="K155" s="5" t="str">
        <x:v>Высокое/условное: управление проектами, закупки, правовые/финансовые темы и цифровизация; узкую строительную экспертизу проверять отдельно</x:v>
      </x:c>
      <x:c r="L155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55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55" s="5" t="str">
        <x:v>Руководитель КУ/учебного центра; руководитель обучения и развития; методолог; закупщик образовательных услуг</x:v>
      </x:c>
      <x:c r="O155" s="5" t="str">
        <x:v>https://edu.gge.ru/</x:v>
      </x:c>
      <x:c r="P155" s="5" t="str">
        <x:v>https://edu.gge.ru/</x:v>
      </x:c>
      <x:c r="Q155" s="5" t="str">
        <x:v>Официальный сайт отраслевого учебного центра содержит программы, годовой план, корпоративное обучение и экспертов.</x:v>
      </x:c>
      <x:c r="R155" s="5" t="str">
        <x:v>content_read</x:v>
      </x:c>
      <x:c r="S155" s="12" t="n">
        <x:v>46296</x:v>
      </x:c>
      <x:c r="T155" s="5" t="str">
        <x:v>Это отраслевой учебный центр государственного учреждения, а не КУ коммерческой компании. Потенциальны экспертное партнёрство и закупочный канал учреждения.</x:v>
      </x:c>
      <x:c r="U155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55" s="5" t="str">
        <x:v>Главгосэкспертиза учебный центр; корпоративное обучение; эксперты; план мероприятий; вебинар</x:v>
      </x:c>
      <x:c r="W155" s="5" t="str">
        <x:v>Именованная структура с подтверждением; отбор по стране, очереди и типу. Это не оценка вероятности заказа.</x:v>
      </x:c>
      <x:c r="X155" s="5" t="str">
        <x:v>cu_ru_other.json:29</x:v>
      </x:c>
    </x:row>
    <x:row r="156" ht="54" customHeight="1">
      <x:c r="A156" s="5" t="str">
        <x:v>CU-0151</x:v>
      </x:c>
      <x:c r="B156" s="5" t="str">
        <x:v>main_200</x:v>
      </x:c>
      <x:c r="C156" s="5" t="str">
        <x:v>Корпоративный университет «Автобан»</x:v>
      </x:c>
      <x:c r="D156" s="5" t="str">
        <x:v>RU</x:v>
      </x:c>
      <x:c r="E156" s="5" t="str">
        <x:v>corporate_university</x:v>
      </x:c>
      <x:c r="F156" s="5" t="str">
        <x:v>Строительно-инвестиционный холдинг «Автобан»</x:v>
      </x:c>
      <x:c r="G156" s="5" t="str">
        <x:v>Строительно-инвестиционный холдинг «Автобан»</x:v>
      </x:c>
      <x:c r="H156" s="5" t="str">
        <x:v>Не установлено</x:v>
      </x:c>
      <x:c r="I156" s="5" t="str">
        <x:v>Дорожное строительство</x:v>
      </x:c>
      <x:c r="J156" s="5" t="str">
        <x:v>Руководители, ИТР, специалисты и кадровый резерв</x:v>
      </x:c>
      <x:c r="K156" s="5" t="str">
        <x:v>Высокое: управление проектами, кадры, наставничество, экономика строительства, электронное обучение; рабочие профессии отдельно</x:v>
      </x:c>
      <x:c r="L156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56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56" s="5" t="str">
        <x:v>Руководитель КУ/учебного центра; руководитель обучения и развития; методолог; закупщик образовательных услуг</x:v>
      </x:c>
      <x:c r="O156" s="5" t="str">
        <x:v>https://www.avtoban.ru/company/staff/development/</x:v>
      </x:c>
      <x:c r="P156" s="5" t="str">
        <x:v>https://www.avtoban.ru/sustainability/</x:v>
      </x:c>
      <x:c r="Q156" s="5" t="str">
        <x:v>Официальная страница устойчивого развития называет постоянно действующий КУ; отдельный раздел развития описывает корпоративное обучение и кадровый резерв.</x:v>
      </x:c>
      <x:c r="R156" s="5" t="str">
        <x:v>content_read</x:v>
      </x:c>
      <x:c r="S156" s="12" t="n">
        <x:v>46296</x:v>
      </x:c>
      <x:c r="T156" s="5" t="str">
        <x:v>Существование образовательного подразделения не означает наличие текущего внешнего заказа. Доступ к внутренней LMS не проверен.</x:v>
      </x:c>
      <x:c r="U156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56" s="5" t="str">
        <x:v>Автобан корпоративный университет; кадровый резерв; корпоративное обучение; закупка обучения</x:v>
      </x:c>
      <x:c r="W156" s="5" t="str">
        <x:v>Именованная структура с подтверждением; отбор по стране, очереди и типу. Это не оценка вероятности заказа.</x:v>
      </x:c>
      <x:c r="X156" s="5" t="str">
        <x:v>cu_ru_other.json:30</x:v>
      </x:c>
    </x:row>
    <x:row r="157" ht="54" customHeight="1">
      <x:c r="A157" s="5" t="str">
        <x:v>CU-0152</x:v>
      </x:c>
      <x:c r="B157" s="5" t="str">
        <x:v>main_200</x:v>
      </x:c>
      <x:c r="C157" s="5" t="str">
        <x:v>Корпоративный университет СКФ</x:v>
      </x:c>
      <x:c r="D157" s="5" t="str">
        <x:v>RU</x:v>
      </x:c>
      <x:c r="E157" s="5" t="str">
        <x:v>corporate_university</x:v>
      </x:c>
      <x:c r="F157" s="5" t="str">
        <x:v>ПАО «Совкомфлот»</x:v>
      </x:c>
      <x:c r="G157" s="5" t="str">
        <x:v>ПАО «Совкомфлот»</x:v>
      </x:c>
      <x:c r="H157" s="5" t="str">
        <x:v>Санкт-Петербург</x:v>
      </x:c>
      <x:c r="I157" s="5" t="str">
        <x:v>Морской транспорт</x:v>
      </x:c>
      <x:c r="J157" s="5" t="str">
        <x:v>Моряки, береговые специалисты и руководители группы, внешние судоходные компании</x:v>
      </x:c>
      <x:c r="K157" s="5" t="str">
        <x:v>Условное/высокое: управленческие программы береговым специалистам, лидерство, коммуникации, цифровое обучение; морские допуски вне основного профиля</x:v>
      </x:c>
      <x:c r="L157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57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57" s="5" t="str">
        <x:v>Руководитель КУ/учебного центра; руководитель обучения и развития; методолог; закупщик образовательных услуг</x:v>
      </x:c>
      <x:c r="O157" s="5" t="str">
        <x:v>https://university.scf-group.ru/</x:v>
      </x:c>
      <x:c r="P157" s="5" t="str">
        <x:v>https://university.scf-group.ru/structure/</x:v>
      </x:c>
      <x:c r="Q157" s="5" t="str">
        <x:v>Официальный сайт подтверждает КУ и группу обучения и развития. Официальный индекс основной страницы указывает переименование УТЦ СКФ в КУ в феврале 2026 года.</x:v>
      </x:c>
      <x:c r="R157" s="5" t="str">
        <x:v>content_read</x:v>
      </x:c>
      <x:c r="S157" s="12" t="n">
        <x:v>46296</x:v>
      </x:c>
      <x:c r="T157" s="5" t="str">
        <x:v>Старый УТЦ СКФ и новый КУ СКФ — одна структура после переименования. Домен может переключать язык; сохранить оба публичных маршрута. Текущий внешний заказ не найден.</x:v>
      </x:c>
      <x:c r="U157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57" s="5" t="str">
        <x:v>СКФ корпоративный университет; Совкомфлот; береговые специалисты; развитие руководителей</x:v>
      </x:c>
      <x:c r="W157" s="5" t="str">
        <x:v>Именованная структура с подтверждением; отбор по стране, очереди и типу. Это не оценка вероятности заказа.</x:v>
      </x:c>
      <x:c r="X157" s="5" t="str">
        <x:v>cu_ru_other_extra.json:1</x:v>
      </x:c>
    </x:row>
    <x:row r="158" ht="54" customHeight="1">
      <x:c r="A158" s="5" t="str">
        <x:v>CU-0153</x:v>
      </x:c>
      <x:c r="B158" s="5" t="str">
        <x:v>reserve</x:v>
      </x:c>
      <x:c r="C158" s="5" t="str">
        <x:v>Морской учебно-тренажерный центр «СКФ Новошип Тренинг»</x:v>
      </x:c>
      <x:c r="D158" s="5" t="str">
        <x:v>RU</x:v>
      </x:c>
      <x:c r="E158" s="5" t="str">
        <x:v>company_training_center</x:v>
      </x:c>
      <x:c r="F158" s="5" t="str">
        <x:v>ПАО «Новошип» / группа «Совкомфлот»</x:v>
      </x:c>
      <x:c r="G158" s="5" t="str">
        <x:v>ПАО «Новошип» / группа «Совкомфлот»</x:v>
      </x:c>
      <x:c r="H158" s="5" t="str">
        <x:v>Новороссийск</x:v>
      </x:c>
      <x:c r="I158" s="5" t="str">
        <x:v>Морской транспорт</x:v>
      </x:c>
      <x:c r="J158" s="5" t="str">
        <x:v>Морские специалисты и инструкторы</x:v>
      </x:c>
      <x:c r="K158" s="5" t="str">
        <x:v>Условное: цифровые материалы, подготовка преподавателей и управленческие компетенции; морская тренажёрная подготовка вне основного профиля</x:v>
      </x:c>
      <x:c r="L158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58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58" s="5" t="str">
        <x:v>Руководитель КУ/учебного центра; руководитель обучения и развития; методолог; закупщик образовательных услуг</x:v>
      </x:c>
      <x:c r="O158" s="5" t="str">
        <x:v>https://www.sovcomflot.ru/career/trainingcentre/</x:v>
      </x:c>
      <x:c r="P158" s="5" t="str">
        <x:v>https://www.sovcomflot.ru/career/trainingcentre/</x:v>
      </x:c>
      <x:c r="Q158" s="5" t="str">
        <x:v>Официальная страница группы отдельно перечисляет ЧУ ДПО «Морской учебно-тренажерный центр «СКФ Новошип Тренинг» в Новороссийске и петербургский центр. Это самостоятельная учебная структура, а не второе название КУ СКФ.</x:v>
      </x:c>
      <x:c r="R158" s="5" t="str">
        <x:v>content_read</x:v>
      </x:c>
      <x:c r="S158" s="12" t="n">
        <x:v>46296</x:v>
      </x:c>
      <x:c r="T158" s="5" t="str">
        <x:v>Источник — общегрупповая страница двух центров. Не считать разные URL отдельными КУ. Перед подключением обнаружить официальный отдельный сайт и подтвердить актуальность юридического наименования.</x:v>
      </x:c>
      <x:c r="U158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58" s="5" t="str">
        <x:v>СКФ Новошип Тренинг; учебный центр; инструкторы; учебные материалы</x:v>
      </x:c>
      <x:c r="W158" s="5" t="str">
        <x:v>Дополнительная подтвержденная структура сверх основной выборки; продолжать мониторинг.</x:v>
      </x:c>
      <x:c r="X158" s="5" t="str">
        <x:v>cu_ru_other_extra.json:2</x:v>
      </x:c>
    </x:row>
    <x:row r="159" ht="54" customHeight="1">
      <x:c r="A159" s="5" t="str">
        <x:v>CU-0154</x:v>
      </x:c>
      <x:c r="B159" s="5" t="str">
        <x:v>main_200</x:v>
      </x:c>
      <x:c r="C159" s="5" t="str">
        <x:v>Корпоративный университет локомотивных технологий («ЛокоТех»)</x:v>
      </x:c>
      <x:c r="D159" s="5" t="str">
        <x:v>RU</x:v>
      </x:c>
      <x:c r="E159" s="5" t="str">
        <x:v>corporate_university</x:v>
      </x:c>
      <x:c r="F159" s="5" t="str">
        <x:v>Группа «ЛокоТех»</x:v>
      </x:c>
      <x:c r="G159" s="5" t="str">
        <x:v>Группа «ЛокоТех»</x:v>
      </x:c>
      <x:c r="H159" s="5" t="str">
        <x:v>Не установлено</x:v>
      </x:c>
      <x:c r="I159" s="5" t="str">
        <x:v>Ремонт и обслуживание железнодорожной техники</x:v>
      </x:c>
      <x:c r="J159" s="5" t="str">
        <x:v>Специалисты, ИТР, руководители и рабочие предприятий группы</x:v>
      </x:c>
      <x:c r="K159" s="5" t="str">
        <x:v>Условное: soft-компетенции руководителей/специалистов, методология и цифровые материалы; большая часть текущих программ посвящена рабочим профессиям</x:v>
      </x:c>
      <x:c r="L159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59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59" s="5" t="str">
        <x:v>Руководитель КУ/учебного центра; руководитель обучения и развития; методолог; закупщик образовательных услуг</x:v>
      </x:c>
      <x:c r="O159" s="5" t="str">
        <x:v>https://sdo.locotech.ru/</x:v>
      </x:c>
      <x:c r="P159" s="5" t="str">
        <x:v>https://locotech.ru/press-center/news/25551/</x:v>
      </x:c>
      <x:c r="Q159" s="5" t="str">
        <x:v>Официальная новость от 03.09.2026 подтверждает новые программы КУ и ежегодный сбор запросов подразделений; LMS указывает АНО ДПО «Корпоративный университет локомотивных технологий».</x:v>
      </x:c>
      <x:c r="R159" s="5" t="str">
        <x:v>content_read</x:v>
      </x:c>
      <x:c r="S159" s="12" t="n">
        <x:v>46296</x:v>
      </x:c>
      <x:c r="T159" s="5" t="str">
        <x:v>LMS при открытии дала тайм-аут; существование и работа КУ подтверждены свежей официальной новостью. Технические рабочие программы не считать целевыми для МИСБ.</x:v>
      </x:c>
      <x:c r="U159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59" s="5" t="str">
        <x:v>ЛокоТех корпоративный университет; локомотивные технологии; soft компетенции; запросы подразделений; СДО</x:v>
      </x:c>
      <x:c r="W159" s="5" t="str">
        <x:v>Именованная структура с подтверждением; отбор по стране, очереди и типу. Это не оценка вероятности заказа.</x:v>
      </x:c>
      <x:c r="X159" s="5" t="str">
        <x:v>cu_ru_other_extra.json:3</x:v>
      </x:c>
    </x:row>
    <x:row r="160" ht="54" customHeight="1">
      <x:c r="A160" s="5" t="str">
        <x:v>CU-0155</x:v>
      </x:c>
      <x:c r="B160" s="5" t="str">
        <x:v>main_200</x:v>
      </x:c>
      <x:c r="C160" s="5" t="str">
        <x:v>Корпоративный университет Медскан Hadassah</x:v>
      </x:c>
      <x:c r="D160" s="5" t="str">
        <x:v>RU</x:v>
      </x:c>
      <x:c r="E160" s="5" t="str">
        <x:v>corporate_university</x:v>
      </x:c>
      <x:c r="F160" s="5" t="str">
        <x:v>Медскан / Hadassah Medical Moscow</x:v>
      </x:c>
      <x:c r="G160" s="5" t="str">
        <x:v>Медскан / Hadassah Medical Moscow</x:v>
      </x:c>
      <x:c r="H160" s="5" t="str">
        <x:v>Москва</x:v>
      </x:c>
      <x:c r="I160" s="5" t="str">
        <x:v>Частное здравоохранение</x:v>
      </x:c>
      <x:c r="J160" s="5" t="str">
        <x:v>Собственники и руководители медицинских организаций, врачи, медицинский персонал</x:v>
      </x:c>
      <x:c r="K160" s="5" t="str">
        <x:v>Высокое для управленческих программ, стратегии, HR, сервиса и цифровых курсов; клинические темы отдельно</x:v>
      </x:c>
      <x:c r="L160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60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60" s="5" t="str">
        <x:v>Руководитель КУ/учебного центра; руководитель обучения и развития; методолог; закупщик образовательных услуг</x:v>
      </x:c>
      <x:c r="O160" s="5" t="str">
        <x:v>https://university.hadassah.moscow/</x:v>
      </x:c>
      <x:c r="P160" s="5" t="str">
        <x:v>https://university.hadassah.moscow/</x:v>
      </x:c>
      <x:c r="Q160" s="5" t="str">
        <x:v>Официальный сайт КУ содержит самостоятельные программы для руководителей медицинских организаций, включая стратегическое управление и развитие клиники.</x:v>
      </x:c>
      <x:c r="R160" s="5" t="str">
        <x:v>content_read</x:v>
      </x:c>
      <x:c r="S160" s="12" t="n">
        <x:v>46296</x:v>
      </x:c>
      <x:c r="T160" s="5" t="str">
        <x:v>Потенциальный партнёр/субподрядчик и конкурент; публикация курса не является доказательством закупки внешнего обучения.</x:v>
      </x:c>
      <x:c r="U160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60" s="5" t="str">
        <x:v>Hadassah корпоративный университет; Медскан; управление частной клиникой; стратегическое управление; руководители</x:v>
      </x:c>
      <x:c r="W160" s="5" t="str">
        <x:v>Именованная структура с подтверждением; отбор по стране, очереди и типу. Это не оценка вероятности заказа.</x:v>
      </x:c>
      <x:c r="X160" s="5" t="str">
        <x:v>cu_ru_other_extra.json:4</x:v>
      </x:c>
    </x:row>
    <x:row r="161" ht="54" customHeight="1">
      <x:c r="A161" s="5" t="str">
        <x:v>CU-0156</x:v>
      </x:c>
      <x:c r="B161" s="5" t="str">
        <x:v>main_200</x:v>
      </x:c>
      <x:c r="C161" s="5" t="str">
        <x:v>Медицинская школа ЕМС — EMC Medical School</x:v>
      </x:c>
      <x:c r="D161" s="5" t="str">
        <x:v>RU</x:v>
      </x:c>
      <x:c r="E161" s="5" t="str">
        <x:v>company_training_center</x:v>
      </x:c>
      <x:c r="F161" s="5" t="str">
        <x:v>Европейский медицинский центр (ЕМС)</x:v>
      </x:c>
      <x:c r="G161" s="5" t="str">
        <x:v>Европейский медицинский центр (ЕМС)</x:v>
      </x:c>
      <x:c r="H161" s="5" t="str">
        <x:v>Москва</x:v>
      </x:c>
      <x:c r="I161" s="5" t="str">
        <x:v>Частное здравоохранение</x:v>
      </x:c>
      <x:c r="J161" s="5" t="str">
        <x:v>Врачи, медицинские специалисты и партнёры клиник</x:v>
      </x:c>
      <x:c r="K161" s="5" t="str">
        <x:v>Условное: образовательная методология, цифровые курсы, сервис и управленческие модули; основной клинический профиль требует специализированных преподавателей</x:v>
      </x:c>
      <x:c r="L161" s="5" t="str">
        <x:v>Гипотезы для мониторинга: новые программы и потоки; обновление электронных курсов; программы развития руководителей и резерва; объявление поиска тренеров/экспертов; закупка образовательных услуг. Наличие программы само по себе не доказывает внешний заказ.</x:v>
      </x:c>
      <x:c r="M161" s="5" t="str">
        <x:v>Предлагаемый маршрут: команда учебного центра/КУ → уточнение задач и правил привлечения внешних преподавателей → закупочная служба соответствующего юрлица. Открытый заказ не установлен.</x:v>
      </x:c>
      <x:c r="N161" s="5" t="str">
        <x:v>Руководитель КУ/учебного центра; руководитель обучения и развития; методолог; закупщик образовательных услуг</x:v>
      </x:c>
      <x:c r="O161" s="5" t="str">
        <x:v>https://www.emc-school.ru/</x:v>
      </x:c>
      <x:c r="P161" s="5" t="str">
        <x:v>https://www.emcmos.ru/for-specialists/</x:v>
      </x:c>
      <x:c r="Q161" s="5" t="str">
        <x:v>Официальная страница ЕМС подтверждает собственную медицинскую школу как институт последипломного образования; школа имеет действующий сайт ДПО.</x:v>
      </x:c>
      <x:c r="R161" s="5" t="str">
        <x:v>search_index</x:v>
      </x:c>
      <x:c r="S161" s="12" t="n">
        <x:v>46296</x:v>
      </x:c>
      <x:c r="T161" s="5" t="str">
        <x:v>Основной каталог клинический. Подходящие бизнес-темы и готовность к внешнему субподряду нужно подтвердить; действующий заказ не найден.</x:v>
      </x:c>
      <x:c r="U161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  <x:c r="V161" s="5" t="str">
        <x:v>EMC Medical School; Медицинская школа ЕМС; онлайн обучение; партнерское сотрудничество</x:v>
      </x:c>
      <x:c r="W161" s="5" t="str">
        <x:v>Именованная структура с подтверждением; отбор по стране, очереди и типу. Это не оценка вероятности заказа.</x:v>
      </x:c>
      <x:c r="X161" s="5" t="str">
        <x:v>cu_ru_other_extra.json:5</x:v>
      </x:c>
    </x:row>
    <x:row r="162" ht="54" customHeight="1">
      <x:c r="A162" s="5" t="str">
        <x:v>CU-0157</x:v>
      </x:c>
      <x:c r="B162" s="5" t="str">
        <x:v>main_200</x:v>
      </x:c>
      <x:c r="C162" s="5" t="str">
        <x:v>Международная Бизнес-Академия «Белоруснефть»</x:v>
      </x:c>
      <x:c r="D162" s="5" t="str">
        <x:v>BY</x:v>
      </x:c>
      <x:c r="E162" s="5" t="str">
        <x:v>corporate_academy</x:v>
      </x:c>
      <x:c r="F162" s="5" t="str">
        <x:v>РУП «Производственное объединение «Белоруснефть»</x:v>
      </x:c>
      <x:c r="G162" s="5" t="str">
        <x:v>Белоруснефть</x:v>
      </x:c>
      <x:c r="H162" s="5" t="str">
        <x:v>Речица</x:v>
      </x:c>
      <x:c r="I162" s="5" t="str">
        <x:v>Нефтегаз</x:v>
      </x:c>
      <x:c r="J162" s="5" t="str">
        <x:v>Руководители, кадровый резерв, специалисты нефтегазовой отрасли, внешние корпоративные слушатели.</x:v>
      </x:c>
      <x:c r="K162" s="5" t="str">
        <x:v>Высокое: управленческие программы, HR, корпоративное обучение и электронные курсы; возможны совместные программы и приглашение экспертов.</x:v>
      </x:c>
      <x:c r="L162" s="5" t="str">
        <x:v>Новые управленческие модули; набор преподавателей; развитие международных программ; расширение электронного обучения.</x:v>
      </x:c>
      <x:c r="M162" s="5" t="str">
        <x:v>Гипотеза: предложить академии конкретный управленческий модуль или совместную программу; путь закупки уточнить у юридического заказчика.</x:v>
      </x:c>
      <x:c r="N162" s="5" t="str">
        <x:v>Руководитель академии; руководитель развития персонала; куратор управленческих программ.</x:v>
      </x:c>
      <x:c r="O162" s="5" t="str">
        <x:v>https://mba.belorusneft.by/</x:v>
      </x:c>
      <x:c r="P162" s="5" t="str">
        <x:v>https://mba.belorusneft.by/about?lang=ru</x:v>
      </x:c>
      <x:c r="Q162" s="5" t="str">
        <x:v>Официальный сайт описывает академию для подготовки сотрудников; в 2024 году учебный центр получил название бизнес-академии. Управленческие и технические направления.</x:v>
      </x:c>
      <x:c r="R162" s="5" t="str">
        <x:v>search_index</x:v>
      </x:c>
      <x:c r="S162" s="12" t="n">
        <x:v>46296</x:v>
      </x:c>
      <x:c r="T162" s="5" t="str">
        <x:v>Наличие программы не подтверждает закупку внешних услуг. Основной сайт иногда не отвечает автоматическому чтению.</x:v>
      </x:c>
      <x:c r="U162" s="5" t="str">
        <x:v>Изучить текущий календарь курсов, выделить темы МИСБ и выяснить порядок включения внешних экспертов.</x:v>
      </x:c>
      <x:c r="V162" s="5" t="str">
        <x:v>"Белоруснефть" ("академия" OR "обучение руководителей" OR "внешний тренер" OR "образовательные услуги")</x:v>
      </x:c>
      <x:c r="W162" s="5" t="str">
        <x:v>Именованная структура с подтверждением; отбор по стране, очереди и типу. Это не оценка вероятности заказа.</x:v>
      </x:c>
      <x:c r="X162" s="5" t="str">
        <x:v>cu_belarus.json:1</x:v>
      </x:c>
    </x:row>
    <x:row r="163" ht="54" customHeight="1">
      <x:c r="A163" s="5" t="str">
        <x:v>CU-0158</x:v>
      </x:c>
      <x:c r="B163" s="5" t="str">
        <x:v>main_200</x:v>
      </x:c>
      <x:c r="C163" s="5" t="str">
        <x:v>Центр подготовки, повышения квалификации и переподготовки кадров трубопроводного транспорта</x:v>
      </x:c>
      <x:c r="D163" s="5" t="str">
        <x:v>BY</x:v>
      </x:c>
      <x:c r="E163" s="5" t="str">
        <x:v>company_training_center</x:v>
      </x:c>
      <x:c r="F163" s="5" t="str">
        <x:v>ОАО «Газпром трансгаз Беларусь»</x:v>
      </x:c>
      <x:c r="G163" s="5" t="str">
        <x:v>Газпром</x:v>
      </x:c>
      <x:c r="H163" s="5" t="str">
        <x:v>Минск</x:v>
      </x:c>
      <x:c r="I163" s="5" t="str">
        <x:v>Газотранспорт</x:v>
      </x:c>
      <x:c r="J163" s="5" t="str">
        <x:v>Руководители, специалисты, рабочие трубопроводного транспорта.</x:v>
      </x:c>
      <x:c r="K163" s="5" t="str">
        <x:v>Условное: менеджмент, работа с персоналом, методология обучения и цифровые учебные материалы для руководителей и специалистов.</x:v>
      </x:c>
      <x:c r="L163" s="5" t="str">
        <x:v>Обновление планов повышения квалификации; электронные курсы; внешние преподаватели; обучение кадрового резерва.</x:v>
      </x:c>
      <x:c r="M163" s="5" t="str">
        <x:v>Гипотеза: партнерский модуль через учебный центр; отдельно установить заказчика и процедуру отбора исполнителя.</x:v>
      </x:c>
      <x:c r="N163" s="5" t="str">
        <x:v>Директор центра; руководитель учебно-методической работы; HR материнской компании.</x:v>
      </x:c>
      <x:c r="O163" s="5" t="str">
        <x:v>https://ecbtg.by/</x:v>
      </x:c>
      <x:c r="P163" s="5" t="str">
        <x:v>https://ecbtg.by/obuchenie-rabochih/</x:v>
      </x:c>
      <x:c r="Q163" s="5" t="str">
        <x:v>Сайт учреждения прямо указывает принадлежность ОАО «Газпром трансгаз Беларусь» и образовательную деятельность. Есть программы для руководителей и специалистов.</x:v>
      </x:c>
      <x:c r="R163" s="5" t="str">
        <x:v>search_index</x:v>
      </x:c>
      <x:c r="S163" s="12" t="n">
        <x:v>46296</x:v>
      </x:c>
      <x:c r="T163" s="5" t="str">
        <x:v>Технические и рабочие квалификации вне основной специализации МИСБ; прямой доступ к сайту нестабилен.</x:v>
      </x:c>
      <x:c r="U163" s="5" t="str">
        <x:v>Получить актуальный план обучения руководителей и специалистов; отделить бизнес-компетенции от обязательной технической подготовки.</x:v>
      </x:c>
      <x:c r="V163" s="5" t="str">
        <x:v>"Газпром трансгаз Беларусь" ("учебный центр" OR "повышение квалификации") ("закупка" OR "преподаватель" OR "руководители")</x:v>
      </x:c>
      <x:c r="W163" s="5" t="str">
        <x:v>Именованная структура с подтверждением; отбор по стране, очереди и типу. Это не оценка вероятности заказа.</x:v>
      </x:c>
      <x:c r="X163" s="5" t="str">
        <x:v>cu_belarus.json:2</x:v>
      </x:c>
    </x:row>
    <x:row r="164" ht="54" customHeight="1">
      <x:c r="A164" s="5" t="str">
        <x:v>CU-0159</x:v>
      </x:c>
      <x:c r="B164" s="5" t="str">
        <x:v>main_200</x:v>
      </x:c>
      <x:c r="C164" s="5" t="str">
        <x:v>Учебный центр подготовки персонала «Энергетик»</x:v>
      </x:c>
      <x:c r="D164" s="5" t="str">
        <x:v>BY</x:v>
      </x:c>
      <x:c r="E164" s="5" t="str">
        <x:v>company_training_center</x:v>
      </x:c>
      <x:c r="F164" s="5" t="str">
        <x:v>РУП «Брестэнерго»</x:v>
      </x:c>
      <x:c r="G164" s="5" t="str">
        <x:v>ГПО «Белэнерго»</x:v>
      </x:c>
      <x:c r="H164" s="5" t="str">
        <x:v>Брест</x:v>
      </x:c>
      <x:c r="I164" s="5" t="str">
        <x:v>Электроэнергетика</x:v>
      </x:c>
      <x:c r="J164" s="5" t="str">
        <x:v>Руководители, специалисты и рабочие энергетики.</x:v>
      </x:c>
      <x:c r="K164" s="5" t="str">
        <x:v>Условное: управление производственными командами, HR, обучение внутренних тренеров, электронные курсы.</x:v>
      </x:c>
      <x:c r="L164" s="5" t="str">
        <x:v>Новые управленческие программы; обучение руководителей; приглашенные преподаватели; изменение дистанционных форматов.</x:v>
      </x:c>
      <x:c r="M164" s="5" t="str">
        <x:v>Гипотеза: модуль для руководителей через центр; проверять закупки и кадровый план Брестэнерго.</x:v>
      </x:c>
      <x:c r="N164" s="5" t="str">
        <x:v>Директор центра; заместитель директора по учебной работе; HR Брестэнерго.</x:v>
      </x:c>
      <x:c r="O164" s="5" t="str">
        <x:v>https://xn--90aefa3bijdgk5j.xn--90ais/filials/ucebnyi-centr-podgotovki-personala-energetik</x:v>
      </x:c>
      <x:c r="P164" s="5" t="str">
        <x:v>https://xn--90aefa3bijdgk5j.xn--90ais/filials/ucebnyi-centr-podgotovki-personala-energetik</x:v>
      </x:c>
      <x:c r="Q164" s="5" t="str">
        <x:v>Официальная страница филиала описывает отдельный учебный центр, программы руководителей и специалистов, целевое обучение и дистанционные форматы.</x:v>
      </x:c>
      <x:c r="R164" s="5" t="str">
        <x:v>search_index</x:v>
      </x:c>
      <x:c r="S164" s="12" t="n">
        <x:v>46296</x:v>
      </x:c>
      <x:c r="T164" s="5" t="str">
        <x:v>Центр преимущественно отраслевой; учебные площадки центра не считать отдельными корпоративными университетами.</x:v>
      </x:c>
      <x:c r="U164" s="5" t="str">
        <x:v>Разобрать перечень управленческих программ и найти действующий контакт учебно-методической службы.</x:v>
      </x:c>
      <x:c r="V164" s="5" t="str">
        <x:v>"Брестэнерго" ("Энергетик" OR "учебный центр") ("семинар" OR "руководители" OR "закупка")</x:v>
      </x:c>
      <x:c r="W164" s="5" t="str">
        <x:v>Именованная структура с подтверждением; отбор по стране, очереди и типу. Это не оценка вероятности заказа.</x:v>
      </x:c>
      <x:c r="X164" s="5" t="str">
        <x:v>cu_belarus.json:3</x:v>
      </x:c>
    </x:row>
    <x:row r="165" ht="54" customHeight="1">
      <x:c r="A165" s="5" t="str">
        <x:v>CU-0160</x:v>
      </x:c>
      <x:c r="B165" s="5" t="str">
        <x:v>main_200</x:v>
      </x:c>
      <x:c r="C165" s="5" t="str">
        <x:v>Филиал «Учебный центр» РУП «Гродноэнерго»</x:v>
      </x:c>
      <x:c r="D165" s="5" t="str">
        <x:v>BY</x:v>
      </x:c>
      <x:c r="E165" s="5" t="str">
        <x:v>company_training_center</x:v>
      </x:c>
      <x:c r="F165" s="5" t="str">
        <x:v>РУП «Гродноэнерго»</x:v>
      </x:c>
      <x:c r="G165" s="5" t="str">
        <x:v>ГПО «Белэнерго»</x:v>
      </x:c>
      <x:c r="H165" s="5" t="str">
        <x:v>Гродно</x:v>
      </x:c>
      <x:c r="I165" s="5" t="str">
        <x:v>Электроэнергетика</x:v>
      </x:c>
      <x:c r="J165" s="5" t="str">
        <x:v>Персонал энергокомпании, руководители и технические специалисты.</x:v>
      </x:c>
      <x:c r="K165" s="5" t="str">
        <x:v>Условное: развитие руководителей, управление персоналом, методология внутренних программ и электронное обучение.</x:v>
      </x:c>
      <x:c r="L165" s="5" t="str">
        <x:v>Новые программы руководителей; обмен практиками с другими энергокомпаниями; привлечение экспертов.</x:v>
      </x:c>
      <x:c r="M165" s="5" t="str">
        <x:v>Гипотеза: экспертный модуль через руководство центра; закупочный контур материнского предприятия уточнить.</x:v>
      </x:c>
      <x:c r="N165" s="5" t="str">
        <x:v>Директор учебного центра; руководитель развития персонала.</x:v>
      </x:c>
      <x:c r="O165" s="5" t="str">
        <x:v>https://energo.grodno.by/</x:v>
      </x:c>
      <x:c r="P165" s="5" t="str">
        <x:v>https://t.me/s/grodnoenergo_official/6524</x:v>
      </x:c>
      <x:c r="Q165" s="5" t="str">
        <x:v>Официальный сайт содержит учебный центр в структуре; корпоративный Telegram публикует материалы о работе центра и его руководителе.</x:v>
      </x:c>
      <x:c r="R165" s="5" t="str">
        <x:v>search_index</x:v>
      </x:c>
      <x:c r="S165" s="12" t="n">
        <x:v>46296</x:v>
      </x:c>
      <x:c r="T165" s="5" t="str">
        <x:v>Сайт — входная точка, не лента заказов. Технические темы требуют отдельной компетенции.</x:v>
      </x:c>
      <x:c r="U165" s="5" t="str">
        <x:v>Найти глубокую страницу учебного центра и актуальный план обучения; затем настроить мониторинг публикаций.</x:v>
      </x:c>
      <x:c r="V165" s="5" t="str">
        <x:v>"Гродноэнерго" "учебный центр" ("руководители" OR "программа" OR "обучение" OR "партнер")</x:v>
      </x:c>
      <x:c r="W165" s="5" t="str">
        <x:v>Именованная структура с подтверждением; отбор по стране, очереди и типу. Это не оценка вероятности заказа.</x:v>
      </x:c>
      <x:c r="X165" s="5" t="str">
        <x:v>cu_belarus.json:4</x:v>
      </x:c>
    </x:row>
    <x:row r="166" ht="54" customHeight="1">
      <x:c r="A166" s="5" t="str">
        <x:v>CU-0161</x:v>
      </x:c>
      <x:c r="B166" s="5" t="str">
        <x:v>main_200</x:v>
      </x:c>
      <x:c r="C166" s="5" t="str">
        <x:v>Филиал «Учебный центр» РУП «Гомельэнерго»</x:v>
      </x:c>
      <x:c r="D166" s="5" t="str">
        <x:v>BY</x:v>
      </x:c>
      <x:c r="E166" s="5" t="str">
        <x:v>company_training_center</x:v>
      </x:c>
      <x:c r="F166" s="5" t="str">
        <x:v>РУП «Гомельэнерго»</x:v>
      </x:c>
      <x:c r="G166" s="5" t="str">
        <x:v>ГПО «Белэнерго»</x:v>
      </x:c>
      <x:c r="H166" s="5" t="str">
        <x:v>Гомель</x:v>
      </x:c>
      <x:c r="I166" s="5" t="str">
        <x:v>Электроэнергетика</x:v>
      </x:c>
      <x:c r="J166" s="5" t="str">
        <x:v>Работники энергосистемы; руководители и специалисты.</x:v>
      </x:c>
      <x:c r="K166" s="5" t="str">
        <x:v>Условное: управленческие семинары, обучение наставников, развитие кадрового резерва, цифровые учебные материалы.</x:v>
      </x:c>
      <x:c r="L166" s="5" t="str">
        <x:v>Новые управленческие потоки; учебные проекты с партнерами; расширение дистанционных программ.</x:v>
      </x:c>
      <x:c r="M166" s="5" t="str">
        <x:v>Гипотеза: предложение тематического модуля руководителю центра; закупку проверять отдельно.</x:v>
      </x:c>
      <x:c r="N166" s="5" t="str">
        <x:v>Руководитель учебного центра; HR; куратор повышения квалификации.</x:v>
      </x:c>
      <x:c r="O166" s="5" t="str">
        <x:v>https://gomelenergo.by/</x:v>
      </x:c>
      <x:c r="P166" s="5" t="str">
        <x:v>https://t.me/s/gomelenergo_by?after=3474</x:v>
      </x:c>
      <x:c r="Q166" s="5" t="str">
        <x:v>Официальные корпоративные публикации называют филиал «Учебный центр», описывают учебную базу и подготовку специалистов, в том числе международное сотрудничество.</x:v>
      </x:c>
      <x:c r="R166" s="5" t="str">
        <x:v>search_index</x:v>
      </x:c>
      <x:c r="S166" s="12" t="n">
        <x:v>46296</x:v>
      </x:c>
      <x:c r="T166" s="5" t="str">
        <x:v>Прямой сайт не прочитан; существование центра подтверждено корпоративной публикацией. Не весь технический спрос соответствует МИСБ.</x:v>
      </x:c>
      <x:c r="U166" s="5" t="str">
        <x:v>Проверить актуальную страницу филиала и план подготовки руководителей.</x:v>
      </x:c>
      <x:c r="V166" s="5" t="str">
        <x:v>"Гомельэнерго" "учебный центр" ("семинар" OR "руководители" OR "партнер" OR "дистанционное")</x:v>
      </x:c>
      <x:c r="W166" s="5" t="str">
        <x:v>Именованная структура с подтверждением; отбор по стране, очереди и типу. Это не оценка вероятности заказа.</x:v>
      </x:c>
      <x:c r="X166" s="5" t="str">
        <x:v>cu_belarus.json:5</x:v>
      </x:c>
    </x:row>
    <x:row r="167" ht="54" customHeight="1">
      <x:c r="A167" s="5" t="str">
        <x:v>CU-0162</x:v>
      </x:c>
      <x:c r="B167" s="5" t="str">
        <x:v>main_200</x:v>
      </x:c>
      <x:c r="C167" s="5" t="str">
        <x:v>Филиал «Учебный центр» РУП «Витебскэнерго»</x:v>
      </x:c>
      <x:c r="D167" s="5" t="str">
        <x:v>BY</x:v>
      </x:c>
      <x:c r="E167" s="5" t="str">
        <x:v>company_training_center</x:v>
      </x:c>
      <x:c r="F167" s="5" t="str">
        <x:v>РУП «Витебскэнерго»</x:v>
      </x:c>
      <x:c r="G167" s="5" t="str">
        <x:v>ГПО «Белэнерго»</x:v>
      </x:c>
      <x:c r="H167" s="5" t="str">
        <x:v>Витебск</x:v>
      </x:c>
      <x:c r="I167" s="5" t="str">
        <x:v>Электроэнергетика</x:v>
      </x:c>
      <x:c r="J167" s="5" t="str">
        <x:v>Специалисты, рабочие и руководители энергосистемы; сотрудники учебного подразделения.</x:v>
      </x:c>
      <x:c r="K167" s="5" t="str">
        <x:v>Условное: управление проектами и персоналом, цифровизация обучения, методическая подготовка корпоративных преподавателей.</x:v>
      </x:c>
      <x:c r="L167" s="5" t="str">
        <x:v>Новые образовательные услуги; цифровые проекты учебного центра; закупки обучения руководителей.</x:v>
      </x:c>
      <x:c r="M167" s="5" t="str">
        <x:v>Гипотеза: через учебный центр и процедуры закупок материнской компании; проверять конкретный предмет лота.</x:v>
      </x:c>
      <x:c r="N167" s="5" t="str">
        <x:v>Директор филиала; куратор образовательной деятельности; HR; закупки.</x:v>
      </x:c>
      <x:c r="O167" s="5" t="str">
        <x:v>https://www.vitebsk.energo.by/o-predpriyatii/filials/uchebnyi-tsentr/</x:v>
      </x:c>
      <x:c r="P167" s="5" t="str">
        <x:v>https://www.vitebsk.energo.by/o-predpriyatii/filials/uchebnyi-tsentr/</x:v>
      </x:c>
      <x:c r="Q167" s="5" t="str">
        <x:v>На прочитанной странице филиал описан как многопрофильное подразделение: обучение персонала, IT-разработки, проектирование, метрология; приведены адрес и рабочий контакт центра.</x:v>
      </x:c>
      <x:c r="R167" s="5" t="str">
        <x:v>content_read</x:v>
      </x:c>
      <x:c r="S167" s="12" t="n">
        <x:v>46296</x:v>
      </x:c>
      <x:c r="T167" s="5" t="str">
        <x:v>Учебный центр оказывает много необразовательных услуг: нужно фильтровать предмет публикации.</x:v>
      </x:c>
      <x:c r="U167" s="5" t="str">
        <x:v>Подключить официальные процедуры закупок; отдельно классифицировать образовательные и инженерные услуги центра.</x:v>
      </x:c>
      <x:c r="V167" s="5" t="str">
        <x:v>"Витебскэнерго" ("обучение" OR "образовательные услуги" OR "семинар" OR "учебный центр")</x:v>
      </x:c>
      <x:c r="W167" s="5" t="str">
        <x:v>Именованная структура с подтверждением; отбор по стране, очереди и типу. Это не оценка вероятности заказа.</x:v>
      </x:c>
      <x:c r="X167" s="5" t="str">
        <x:v>cu_belarus.json:6</x:v>
      </x:c>
    </x:row>
    <x:row r="168" ht="54" customHeight="1">
      <x:c r="A168" s="5" t="str">
        <x:v>CU-0163</x:v>
      </x:c>
      <x:c r="B168" s="5" t="str">
        <x:v>reserve</x:v>
      </x:c>
      <x:c r="C168" s="5" t="str">
        <x:v>Учебный центр РУП «Могилевэнерго»</x:v>
      </x:c>
      <x:c r="D168" s="5" t="str">
        <x:v>BY</x:v>
      </x:c>
      <x:c r="E168" s="5" t="str">
        <x:v>candidate</x:v>
      </x:c>
      <x:c r="F168" s="5" t="str">
        <x:v>РУП «Могилевэнерго»</x:v>
      </x:c>
      <x:c r="G168" s="5" t="str">
        <x:v>ГПО «Белэнерго»</x:v>
      </x:c>
      <x:c r="H168" s="5" t="str">
        <x:v>Могилев</x:v>
      </x:c>
      <x:c r="I168" s="5" t="str">
        <x:v>Электроэнергетика</x:v>
      </x:c>
      <x:c r="J168" s="5" t="str">
        <x:v>Персонал энергокомпании; руководители и специалисты.</x:v>
      </x:c>
      <x:c r="K168" s="5" t="str">
        <x:v>Условное: развитие руководителей, наставничество, HR и дистанционное обучение.</x:v>
      </x:c>
      <x:c r="L168" s="5" t="str">
        <x:v>Изменение структуры центра; новый учебный план; приглашение преподавателей; закупки обучения.</x:v>
      </x:c>
      <x:c r="M168" s="5" t="str">
        <x:v>Гипотеза: сначала подтвердить текущий статус подразделения через предприятие, затем изучить закупки образовательных услуг.</x:v>
      </x:c>
      <x:c r="N168" s="5" t="str">
        <x:v>HR; руководитель центра; закупочная служба.</x:v>
      </x:c>
      <x:c r="O168" s="5" t="str">
        <x:v>https://mogilev.energo.by/</x:v>
      </x:c>
      <x:c r="P168" s="5" t="str">
        <x:v>https://fcviten.by/nashi-partnyory/partnyory-vhodyashie-v-belenergo/mogilyovenergo</x:v>
      </x:c>
      <x:c r="Q168" s="5" t="str">
        <x:v>Страница отраслевого партнера перечисляет учебный центр среди филиалов Могилевэнерго. Прямой сайт предприятия и раздел закупок прочитаны; актуальная отдельная страница центра пока не установлена.</x:v>
      </x:c>
      <x:c r="R168" s="5" t="str">
        <x:v>search_index</x:v>
      </x:c>
      <x:c r="S168" s="12" t="n">
        <x:v>46296</x:v>
      </x:c>
      <x:c r="T168" s="5" t="str">
        <x:v>Слабее остальных записей: подтверждение структуры на сайте отраслевого партнера, не на прочитанной странице самой компании; актуальность центра требует проверки.</x:v>
      </x:c>
      <x:c r="U168" s="5" t="str">
        <x:v>Перепроверить актуальное организационное подчинение и действующий самостоятельный учебный центр.</x:v>
      </x:c>
      <x:c r="V168" s="5" t="str">
        <x:v>"Могилевэнерго" ("учебный центр" OR "повышение квалификации" OR "обучение руководителей")</x:v>
      </x:c>
      <x:c r="W168" s="5" t="str">
        <x:v>Учебный центр указан отраслевым партнером; требуется актуальное прямое подтверждение структуры.</x:v>
      </x:c>
      <x:c r="X168" s="5" t="str">
        <x:v>cu_belarus.json:7</x:v>
      </x:c>
    </x:row>
    <x:row r="169" ht="54" customHeight="1">
      <x:c r="A169" s="5" t="str">
        <x:v>CU-0164</x:v>
      </x:c>
      <x:c r="B169" s="5" t="str">
        <x:v>main_200</x:v>
      </x:c>
      <x:c r="C169" s="5" t="str">
        <x:v>Учебный центр РУП «Минскэнерго»</x:v>
      </x:c>
      <x:c r="D169" s="5" t="str">
        <x:v>BY</x:v>
      </x:c>
      <x:c r="E169" s="5" t="str">
        <x:v>company_training_center</x:v>
      </x:c>
      <x:c r="F169" s="5" t="str">
        <x:v>РУП «Минскэнерго»</x:v>
      </x:c>
      <x:c r="G169" s="5" t="str">
        <x:v>ГПО «Белэнерго»</x:v>
      </x:c>
      <x:c r="H169" s="5" t="str">
        <x:v>Минск</x:v>
      </x:c>
      <x:c r="I169" s="5" t="str">
        <x:v>Электроэнергетика</x:v>
      </x:c>
      <x:c r="J169" s="5" t="str">
        <x:v>Руководители, специалисты и рабочие энергетики.</x:v>
      </x:c>
      <x:c r="K169" s="5" t="str">
        <x:v>Условное: управление, HR, цифровизация корпоративного обучения, обучение внутренних преподавателей.</x:v>
      </x:c>
      <x:c r="L169" s="5" t="str">
        <x:v>Программы руководителей и резерва; новые семинары; тендеры на обучение.</x:v>
      </x:c>
      <x:c r="M169" s="5" t="str">
        <x:v>Гипотеза: через центр и закупочную службу Минскэнерго; сопоставлять лоты с темами МИСБ.</x:v>
      </x:c>
      <x:c r="N169" s="5" t="str">
        <x:v>Руководитель учебного центра; HR; закупки.</x:v>
      </x:c>
      <x:c r="O169" s="5" t="str">
        <x:v>https://web.minskenergo.by/filialy/uchebnyj-tsentr/obrazovatelnye-uslugi/</x:v>
      </x:c>
      <x:c r="P169" s="5" t="str">
        <x:v>https://web.minskenergo.by/filialy/uchebnyj-tsentr/obrazovatelnye-uslugi/</x:v>
      </x:c>
      <x:c r="Q169" s="5" t="str">
        <x:v>Прочитана официальная страница образовательных услуг учебного центра; прямо указано обучение руководителей и специалистов.</x:v>
      </x:c>
      <x:c r="R169" s="5" t="str">
        <x:v>content_read</x:v>
      </x:c>
      <x:c r="S169" s="12" t="n">
        <x:v>46296</x:v>
      </x:c>
      <x:c r="T169" s="5" t="str">
        <x:v>Технические квалификации и допуски не считать целевым спросом МИСБ без подтвержденной компетенции.</x:v>
      </x:c>
      <x:c r="U169" s="5" t="str">
        <x:v>Сопоставить календарь учебного центра с разделом закупок, найти темы для внешнего преподавателя.</x:v>
      </x:c>
      <x:c r="V169" s="5" t="str">
        <x:v>"Минскэнерго" ("учебный центр" OR "обучение руководителей" OR "образовательные услуги")</x:v>
      </x:c>
      <x:c r="W169" s="5" t="str">
        <x:v>Именованная структура с подтверждением; отбор по стране, очереди и типу. Это не оценка вероятности заказа.</x:v>
      </x:c>
      <x:c r="X169" s="5" t="str">
        <x:v>cu_belarus.json:8</x:v>
      </x:c>
    </x:row>
    <x:row r="170" ht="54" customHeight="1">
      <x:c r="A170" s="5" t="str">
        <x:v>CU-0165</x:v>
      </x:c>
      <x:c r="B170" s="5" t="str">
        <x:v>main_200</x:v>
      </x:c>
      <x:c r="C170" s="5" t="str">
        <x:v>ГИПК «ГАЗ-ИНСТИТУТ»</x:v>
      </x:c>
      <x:c r="D170" s="5" t="str">
        <x:v>BY</x:v>
      </x:c>
      <x:c r="E170" s="5" t="str">
        <x:v>industry_training_center</x:v>
      </x:c>
      <x:c r="F170" s="5" t="str">
        <x:v>ГПО «Белтопгаз» — вышестоящая организация</x:v>
      </x:c>
      <x:c r="G170" s="5" t="str">
        <x:v>ГПО «Белтопгаз»</x:v>
      </x:c>
      <x:c r="H170" s="5" t="str">
        <x:v>Не установлено</x:v>
      </x:c>
      <x:c r="I170" s="5" t="str">
        <x:v>Газоснабжение и топливная промышленность</x:v>
      </x:c>
      <x:c r="J170" s="5" t="str">
        <x:v>Руководители, специалисты и рабочие газовой отрасли; корпоративные слушатели.</x:v>
      </x:c>
      <x:c r="K170" s="5" t="str">
        <x:v>Высокое: программы руководителей, стратегические решения, коммуникации, командная работа, личная эффективность; возможен преподавательский субподряд.</x:v>
      </x:c>
      <x:c r="L170" s="5" t="str">
        <x:v>Новые управленческие модули; набор групп; расширение партнерств и преподавательского состава.</x:v>
      </x:c>
      <x:c r="M170" s="5" t="str">
        <x:v>Гипотеза: партнерство по конкретной программе или приглашение эксперта; institute также потенциальный конкурент.</x:v>
      </x:c>
      <x:c r="N170" s="5" t="str">
        <x:v>Ректор; проректор по учебной работе; руководитель методической службы.</x:v>
      </x:c>
      <x:c r="O170" s="5" t="str">
        <x:v>https://gazinstitut.by/</x:v>
      </x:c>
      <x:c r="P170" s="5" t="str">
        <x:v>https://gazinstitut.by/gpobeltopgas/</x:v>
      </x:c>
      <x:c r="Q170" s="5" t="str">
        <x:v>Сайт подтверждает отраслевой институт повышения квалификации; страница вышестоящей организации прямо указывает Белтопгаз. На сайте есть управленческие программы и привлечение преподавателей вузов и специалистов предприятий.</x:v>
      </x:c>
      <x:c r="R170" s="5" t="str">
        <x:v>content_read</x:v>
      </x:c>
      <x:c r="S170" s="12" t="n">
        <x:v>46296</x:v>
      </x:c>
      <x:c r="T170" s="5" t="str">
        <x:v>Отраслевой институт, не корпоративный университет по названию; собственная развитая учебная экспертиза и конкуренция.</x:v>
      </x:c>
      <x:c r="U170" s="5" t="str">
        <x:v>Сопоставить управленческую линейку с экспертами МИСБ; проверить порядок привлечения внешних преподавателей.</x:v>
      </x:c>
      <x:c r="V170" s="5" t="str">
        <x:v>"ГАЗ-ИНСТИТУТ" ("управленческие" OR "руководитель" OR "партнерство" OR "преподаватель" OR "семинар")</x:v>
      </x:c>
      <x:c r="W170" s="5" t="str">
        <x:v>Именованная структура с подтверждением; отбор по стране, очереди и типу. Это не оценка вероятности заказа.</x:v>
      </x:c>
      <x:c r="X170" s="5" t="str">
        <x:v>cu_belarus.json:9</x:v>
      </x:c>
    </x:row>
    <x:row r="171" ht="54" customHeight="1">
      <x:c r="A171" s="5" t="str">
        <x:v>CU-0166</x:v>
      </x:c>
      <x:c r="B171" s="5" t="str">
        <x:v>main_200</x:v>
      </x:c>
      <x:c r="C171" s="5" t="str">
        <x:v>Дорожный центр по подготовке, переподготовке и повышению квалификации кадров</x:v>
      </x:c>
      <x:c r="D171" s="5" t="str">
        <x:v>BY</x:v>
      </x:c>
      <x:c r="E171" s="5" t="str">
        <x:v>company_training_center</x:v>
      </x:c>
      <x:c r="F171" s="5" t="str">
        <x:v>ГО «Белорусская железная дорога»</x:v>
      </x:c>
      <x:c r="G171" s="5" t="str">
        <x:v>Белорусская железная дорога</x:v>
      </x:c>
      <x:c r="H171" s="5" t="str">
        <x:v>Не установлено</x:v>
      </x:c>
      <x:c r="I171" s="5" t="str">
        <x:v>Железнодорожный транспорт</x:v>
      </x:c>
      <x:c r="J171" s="5" t="str">
        <x:v>Персонал БЖД, руководители, специалисты и работники массовых профессий.</x:v>
      </x:c>
      <x:c r="K171" s="5" t="str">
        <x:v>Условное: управление персоналом, подготовка наставников, методология обучения, электронные курсы для управленческого персонала.</x:v>
      </x:c>
      <x:c r="L171" s="5" t="str">
        <x:v>Новые программы руководителей; цифровое обучение; методические проекты; подбор преподавателей.</x:v>
      </x:c>
      <x:c r="M171" s="5" t="str">
        <x:v>Гипотеза: через дорожный центр и кадровую службу БЖД; территориальные подразделения использовать как дополнительные сигнальные каналы.</x:v>
      </x:c>
      <x:c r="N171" s="5" t="str">
        <x:v>Руководитель дорожного центра; HR БЖД; учебно-методическая служба.</x:v>
      </x:c>
      <x:c r="O171" s="5" t="str">
        <x:v>https://www.rw.by/corporate/structure/dorozhnij_centr_po_podgotovke_perepodgot/</x:v>
      </x:c>
      <x:c r="P171" s="5" t="str">
        <x:v>https://www.rw.by/corporate/structure/dorozhnij_centr_po_podgotovke_perepodgot/</x:v>
      </x:c>
      <x:c r="Q171" s="5" t="str">
        <x:v>Официальная структура БЖД содержит дорожный центр и его территориальные подразделения дополнительного образования взрослых.</x:v>
      </x:c>
      <x:c r="R171" s="5" t="str">
        <x:v>search_index</x:v>
      </x:c>
      <x:c r="S171" s="12" t="n">
        <x:v>46296</x:v>
      </x:c>
      <x:c r="T171" s="5" t="str">
        <x:v>Территориальные учебные подразделения не считать отдельными КУ; большая доля профессиональной рабочей подготовки.</x:v>
      </x:c>
      <x:c r="U171" s="5" t="str">
        <x:v>Собрать страницы подразделений и общий план управленческой подготовки, объединяя записи по одному центру.</x:v>
      </x:c>
      <x:c r="V171" s="5" t="str">
        <x:v>"Белорусская железная дорога" ("Дорожный центр" OR "повышение квалификации") ("руководители" OR "обучение" OR "закупка")</x:v>
      </x:c>
      <x:c r="W171" s="5" t="str">
        <x:v>Именованная структура с подтверждением; отбор по стране, очереди и типу. Это не оценка вероятности заказа.</x:v>
      </x:c>
      <x:c r="X171" s="5" t="str">
        <x:v>cu_belarus.json:10</x:v>
      </x:c>
    </x:row>
    <x:row r="172" ht="54" customHeight="1">
      <x:c r="A172" s="5" t="str">
        <x:v>CU-0167</x:v>
      </x:c>
      <x:c r="B172" s="5" t="str">
        <x:v>main_200</x:v>
      </x:c>
      <x:c r="C172" s="5" t="str">
        <x:v>Институт ИТ и бизнес-администрирования IBA</x:v>
      </x:c>
      <x:c r="D172" s="5" t="str">
        <x:v>BY</x:v>
      </x:c>
      <x:c r="E172" s="5" t="str">
        <x:v>company_training_center</x:v>
      </x:c>
      <x:c r="F172" s="5" t="str">
        <x:v>IBA Group</x:v>
      </x:c>
      <x:c r="G172" s="5" t="str">
        <x:v>IBA Group</x:v>
      </x:c>
      <x:c r="H172" s="5" t="str">
        <x:v>Минск</x:v>
      </x:c>
      <x:c r="I172" s="5" t="str">
        <x:v>IT и бизнес-образование</x:v>
      </x:c>
      <x:c r="J172" s="5" t="str">
        <x:v>IT-специалисты, руководители проектов, корпоративные клиенты, сотрудники группы.</x:v>
      </x:c>
      <x:c r="K172" s="5" t="str">
        <x:v>Высокое: бизнес-анализ, управление проектами и командами, цифровые навыки; возможна кооперация по внешним корпоративным заказам.</x:v>
      </x:c>
      <x:c r="L172" s="5" t="str">
        <x:v>Новый курс или корпоративный проект; поиск преподавателя-практика; партнерские программы; расширение бизнес-обучения.</x:v>
      </x:c>
      <x:c r="M172" s="5" t="str">
        <x:v>Гипотеза: экспертный субподряд, совместная программа, обмен корпоративными запросами; институт одновременно конкурент.</x:v>
      </x:c>
      <x:c r="N172" s="5" t="str">
        <x:v>Руководитель бизнес-обучения; директор института; менеджер корпоративных программ.</x:v>
      </x:c>
      <x:c r="O172" s="5" t="str">
        <x:v>https://www.instituteiba.by/</x:v>
      </x:c>
      <x:c r="P172" s="5" t="str">
        <x:v>https://www.instituteiba.by/about/news/news-2020/we-re-18-let-s-check-your-knowledge-about-the-institute-iba/?special_version=Y</x:v>
      </x:c>
      <x:c r="Q172" s="5" t="str">
        <x:v>Официальная публикация института называет IBA Group материнской компанией. Текущая страница «О нас» прочитана: частное учреждение дополнительного образования с IT- и бизнес-программами, привлекающее практикующих специалистов.</x:v>
      </x:c>
      <x:c r="R172" s="5" t="str">
        <x:v>search_index</x:v>
      </x:c>
      <x:c r="S172" s="12" t="n">
        <x:v>46296</x:v>
      </x:c>
      <x:c r="T172" s="5" t="str">
        <x:v>Материнская связь подтверждена публикацией 2020 года; актуальное юридическое владение перед сделкой перепроверить. Наличие курсов не доказывает внешний спрос.</x:v>
      </x:c>
      <x:c r="U172" s="5" t="str">
        <x:v>Проверить текущую связь с группой и список преподавательских потребностей, предложить конкретную тему.</x:v>
      </x:c>
      <x:c r="V172" s="5" t="str">
        <x:v>"Институт IBA" ("преподаватель" OR "корпоративное обучение" OR "партнер" OR "новый курс")</x:v>
      </x:c>
      <x:c r="W172" s="5" t="str">
        <x:v>Именованная структура с подтверждением; отбор по стране, очереди и типу. Это не оценка вероятности заказа.</x:v>
      </x:c>
      <x:c r="X172" s="5" t="str">
        <x:v>cu_belarus.json:11</x:v>
      </x:c>
    </x:row>
    <x:row r="173" ht="54" customHeight="1">
      <x:c r="A173" s="5" t="str">
        <x:v>CU-0168</x:v>
      </x:c>
      <x:c r="B173" s="5" t="str">
        <x:v>reserve</x:v>
      </x:c>
      <x:c r="C173" s="5" t="str">
        <x:v>Учебный центр Itransition</x:v>
      </x:c>
      <x:c r="D173" s="5" t="str">
        <x:v>BY</x:v>
      </x:c>
      <x:c r="E173" s="5" t="str">
        <x:v>candidate</x:v>
      </x:c>
      <x:c r="F173" s="5" t="str">
        <x:v>Itransition</x:v>
      </x:c>
      <x:c r="G173" s="5" t="str">
        <x:v>Itransition</x:v>
      </x:c>
      <x:c r="H173" s="5" t="str">
        <x:v>Не установлено</x:v>
      </x:c>
      <x:c r="I173" s="5" t="str">
        <x:v>IT</x:v>
      </x:c>
      <x:c r="J173" s="5" t="str">
        <x:v>Начинающие IT-специалисты, наставники, сотрудники компании.</x:v>
      </x:c>
      <x:c r="K173" s="5" t="str">
        <x:v>Среднее: коммуникации, обучение наставников, управление IT-командами и учебными программами; разработка ПО как основной курс вне фокуса МИСБ.</x:v>
      </x:c>
      <x:c r="L173" s="5" t="str">
        <x:v>Расширение учебных треков; набор менторов; новые программы командных и управленческих навыков.</x:v>
      </x:c>
      <x:c r="M173" s="5" t="str">
        <x:v>Гипотеза: точечный модуль для наставников или новых руководителей через L&amp;D.</x:v>
      </x:c>
      <x:c r="N173" s="5" t="str">
        <x:v>Руководитель training center; L&amp;D; HR.</x:v>
      </x:c>
      <x:c r="O173" s="5" t="str">
        <x:v>https://www.itransition.com/careers/training</x:v>
      </x:c>
      <x:c r="P173" s="5" t="str">
        <x:v>https://www.itransition.com/careers/training</x:v>
      </x:c>
      <x:c r="Q173" s="5" t="str">
        <x:v>Корпоративная страница описывает собственный training center, обучение под руководством специалистов компании, наставников и практические проекты. Региональный доступ и текущий набор в Беларуси нужно уточнять.</x:v>
      </x:c>
      <x:c r="R173" s="5" t="str">
        <x:v>content_read</x:v>
      </x:c>
      <x:c r="S173" s="12" t="n">
        <x:v>46296</x:v>
      </x:c>
      <x:c r="T173" s="5" t="str">
        <x:v>Страница международная; действующую белорусскую площадку и юридического заказчика требуется подтвердить. Набор стажеров не является заказом.</x:v>
      </x:c>
      <x:c r="U173" s="5" t="str">
        <x:v>Проверить текущую белорусскую географию центра и потребность в нетехнических модулях.</x:v>
      </x:c>
      <x:c r="V173" s="5" t="str">
        <x:v>"Itransition" ("training center" OR "учебный центр") ("Minsk" OR "Belarus" OR "Минск" OR "ментор")</x:v>
      </x:c>
      <x:c r="W173" s="5" t="str">
        <x:v>Собственный training center подтвержден, но действующая белорусская география пока не установлена.</x:v>
      </x:c>
      <x:c r="X173" s="5" t="str">
        <x:v>cu_belarus.json:12</x:v>
      </x:c>
    </x:row>
    <x:row r="174" ht="54" customHeight="1">
      <x:c r="A174" s="5" t="str">
        <x:v>CU-0169</x:v>
      </x:c>
      <x:c r="B174" s="5" t="str">
        <x:v>main_200</x:v>
      </x:c>
      <x:c r="C174" s="5" t="str">
        <x:v>Корпоративный Тренинг-центр ISsoft</x:v>
      </x:c>
      <x:c r="D174" s="5" t="str">
        <x:v>BY</x:v>
      </x:c>
      <x:c r="E174" s="5" t="str">
        <x:v>company_training_center</x:v>
      </x:c>
      <x:c r="F174" s="5" t="str">
        <x:v>ISsoft</x:v>
      </x:c>
      <x:c r="G174" s="5" t="str">
        <x:v>ISsoft</x:v>
      </x:c>
      <x:c r="H174" s="5" t="str">
        <x:v>Минск</x:v>
      </x:c>
      <x:c r="I174" s="5" t="str">
        <x:v>IT</x:v>
      </x:c>
      <x:c r="J174" s="5" t="str">
        <x:v>IT-специалисты, бизнес-аналитики, наставники и руководители команд.</x:v>
      </x:c>
      <x:c r="K174" s="5" t="str">
        <x:v>Среднее: бизнес-анализ, управление командами и проектами, коммуникации, методология корпоративного обучения.</x:v>
      </x:c>
      <x:c r="L174" s="5" t="str">
        <x:v>Новые нетехнические курсы; рост тренинг-центра; поиск тренеров; программы для руководителей.</x:v>
      </x:c>
      <x:c r="M174" s="5" t="str">
        <x:v>Гипотеза: специализированный внешний модуль через HR или тренинг-центр.</x:v>
      </x:c>
      <x:c r="N174" s="5" t="str">
        <x:v>Руководитель тренинг-центра; L&amp;D; HR.</x:v>
      </x:c>
      <x:c r="O174" s="5" t="str">
        <x:v>https://issoft.by/training-center/</x:v>
      </x:c>
      <x:c r="P174" s="5" t="str">
        <x:v>https://issoft.by/training-center/</x:v>
      </x:c>
      <x:c r="Q174" s="5" t="str">
        <x:v>Официальный белорусский сайт описывает корпоративный тренинг-центр, курсы для новых и опытных сотрудников, наставничество и внутреннее обучение.</x:v>
      </x:c>
      <x:c r="R174" s="5" t="str">
        <x:v>search_index</x:v>
      </x:c>
      <x:c r="S174" s="12" t="n">
        <x:v>46296</x:v>
      </x:c>
      <x:c r="T174" s="5" t="str">
        <x:v>Технические курсы компания часто создает своими силами; публичный набор может быть приостановлен.</x:v>
      </x:c>
      <x:c r="U174" s="5" t="str">
        <x:v>Разделить открытые школы для новичков и внутреннюю подготовку руководителей, проверить внешний преподавательский контур.</x:v>
      </x:c>
      <x:c r="V174" s="5" t="str">
        <x:v>"ISsoft" ("тренинг-центр" OR "training center" OR "обучение") ("руководители" OR "тренер" OR "soft skills")</x:v>
      </x:c>
      <x:c r="W174" s="5" t="str">
        <x:v>Именованная структура с подтверждением; отбор по стране, очереди и типу. Это не оценка вероятности заказа.</x:v>
      </x:c>
      <x:c r="X174" s="5" t="str">
        <x:v>cu_belarus.json:13</x:v>
      </x:c>
    </x:row>
    <x:row r="175" ht="54" customHeight="1">
      <x:c r="A175" s="5" t="str">
        <x:v>CU-0170</x:v>
      </x:c>
      <x:c r="B175" s="5" t="str">
        <x:v>main_200</x:v>
      </x:c>
      <x:c r="C175" s="5" t="str">
        <x:v>Корпоративный университет «АЛЮТЕХ»</x:v>
      </x:c>
      <x:c r="D175" s="5" t="str">
        <x:v>BY</x:v>
      </x:c>
      <x:c r="E175" s="5" t="str">
        <x:v>corporate_university</x:v>
      </x:c>
      <x:c r="F175" s="5" t="str">
        <x:v>Группа компаний «АЛЮТЕХ»</x:v>
      </x:c>
      <x:c r="G175" s="5" t="str">
        <x:v>АЛЮТЕХ</x:v>
      </x:c>
      <x:c r="H175" s="5" t="str">
        <x:v>Не установлено</x:v>
      </x:c>
      <x:c r="I175" s="5" t="str">
        <x:v>Производство строительных систем</x:v>
      </x:c>
      <x:c r="J175" s="5" t="str">
        <x:v>Дилеры, партнеры, инженеры, руководители и специалисты сбытовой сети.</x:v>
      </x:c>
      <x:c r="K175" s="5" t="str">
        <x:v>Высокое: продажи B2B, переговоры, управление дилерской сетью, развитие руководителей, электронное обучение.</x:v>
      </x:c>
      <x:c r="L175" s="5" t="str">
        <x:v>Обновление учебного портала; запуск партнерских программ; набор тренеров; развитие дилеров.</x:v>
      </x:c>
      <x:c r="M175" s="5" t="str">
        <x:v>Гипотеза: модуль для партнерской сети или производство электронных материалов; проверить подразделение-заказчика.</x:v>
      </x:c>
      <x:c r="N175" s="5" t="str">
        <x:v>Руководитель корпоративного обучения; директор партнерской сети; HR.</x:v>
      </x:c>
      <x:c r="O175" s="5" t="str">
        <x:v>https://alutech-group.com/cis-ru/diler-rva/publikacii/novosti/obnovlen-uchebnyy-portal/</x:v>
      </x:c>
      <x:c r="P175" s="5" t="str">
        <x:v>https://alutech-group.com/cis-ru/diler-rva/publikacii/novosti/obnovlen-uchebnyy-portal/</x:v>
      </x:c>
      <x:c r="Q175" s="5" t="str">
        <x:v>Официальная публикация 2018 года называет корпоративный университет и учебный портал для партнерской сети. Дополнительно подтвержден собственный центр инженерно-технического обучения.</x:v>
      </x:c>
      <x:c r="R175" s="5" t="str">
        <x:v>search_index</x:v>
      </x:c>
      <x:c r="S175" s="12" t="n">
        <x:v>46296</x:v>
      </x:c>
      <x:c r="T175" s="5" t="str">
        <x:v>Доказательство бренда КУ историческое; текущая форма и адрес нуждаются в уточнении. Инженерный центр учтен дополнительным каналом, не отдельным КУ.</x:v>
      </x:c>
      <x:c r="U175" s="5" t="str">
        <x:v>Найти действующий адрес портала и владельца обучения; проверить, продолжает ли использоваться бренд КУ.</x:v>
      </x:c>
      <x:c r="V175" s="5" t="str">
        <x:v>"АЛЮТЕХ" ("корпоративный университет" OR "учебный портал" OR "учебный центр") ("партнер" OR "тренинг" OR "обновлен")</x:v>
      </x:c>
      <x:c r="W175" s="5" t="str">
        <x:v>Именованная структура с подтверждением; отбор по стране, очереди и типу. Это не оценка вероятности заказа.</x:v>
      </x:c>
      <x:c r="X175" s="5" t="str">
        <x:v>cu_belarus.json:14</x:v>
      </x:c>
    </x:row>
    <x:row r="176" ht="54" customHeight="1">
      <x:c r="A176" s="5" t="str">
        <x:v>CU-0171</x:v>
      </x:c>
      <x:c r="B176" s="5" t="str">
        <x:v>main_200</x:v>
      </x:c>
      <x:c r="C176" s="5" t="str">
        <x:v>Академия недвижимости А-100</x:v>
      </x:c>
      <x:c r="D176" s="5" t="str">
        <x:v>BY</x:v>
      </x:c>
      <x:c r="E176" s="5" t="str">
        <x:v>corporate_academy</x:v>
      </x:c>
      <x:c r="F176" s="5" t="str">
        <x:v>Группа компаний А-100</x:v>
      </x:c>
      <x:c r="G176" s="5" t="str">
        <x:v>А-100</x:v>
      </x:c>
      <x:c r="H176" s="5" t="str">
        <x:v>Не установлено</x:v>
      </x:c>
      <x:c r="I176" s="5" t="str">
        <x:v>Девелопмент и недвижимость</x:v>
      </x:c>
      <x:c r="J176" s="5" t="str">
        <x:v>Специалисты по продажам недвижимости, руководители и партнеры девелопера.</x:v>
      </x:c>
      <x:c r="K176" s="5" t="str">
        <x:v>Высокое: продажи, переговоры, клиентский сервис, управление командами продаж и электронные программы.</x:v>
      </x:c>
      <x:c r="L176" s="5" t="str">
        <x:v>Новые учебные потоки; расширение программы; внешние спикеры; запуск новых проектов девелопера.</x:v>
      </x:c>
      <x:c r="M176" s="5" t="str">
        <x:v>Гипотеза: предложить модуль академии или обучение команды продаж через HR/коммерческий блок.</x:v>
      </x:c>
      <x:c r="N176" s="5" t="str">
        <x:v>Руководитель академии; коммерческий директор; HR.</x:v>
      </x:c>
      <x:c r="O176" s="5" t="str">
        <x:v>https://www.a-100.by/group-of-companies/</x:v>
      </x:c>
      <x:c r="P176" s="5" t="str">
        <x:v>https://www.a-100.by/group-of-companies/</x:v>
      </x:c>
      <x:c r="Q176" s="5" t="str">
        <x:v>Официальная история группы сообщает об открытии академии недвижимости в 2024 году и обучении продажам недвижимости, работе с возражениями и сделками.</x:v>
      </x:c>
      <x:c r="R176" s="5" t="str">
        <x:v>search_index</x:v>
      </x:c>
      <x:c r="S176" s="12" t="n">
        <x:v>46296</x:v>
      </x:c>
      <x:c r="T176" s="5" t="str">
        <x:v>Корпоративная страница истории — подтверждение существования, а не текущая закупка. Текущая программа требует проверки.</x:v>
      </x:c>
      <x:c r="U176" s="5" t="str">
        <x:v>Найти самостоятельную страницу академии и текущую программу, уточнить формат привлечения тренеров.</x:v>
      </x:c>
      <x:c r="V176" s="5" t="str">
        <x:v>"А-100" ("Академия недвижимости" OR "обучение продажам" OR "тренер" OR "академия")</x:v>
      </x:c>
      <x:c r="W176" s="5" t="str">
        <x:v>Именованная структура с подтверждением; отбор по стране, очереди и типу. Это не оценка вероятности заказа.</x:v>
      </x:c>
      <x:c r="X176" s="5" t="str">
        <x:v>cu_belarus.json:15</x:v>
      </x:c>
    </x:row>
    <x:row r="177" ht="54" customHeight="1">
      <x:c r="A177" s="5" t="str">
        <x:v>CU-0172</x:v>
      </x:c>
      <x:c r="B177" s="5" t="str">
        <x:v>reserve</x:v>
      </x:c>
      <x:c r="C177" s="5" t="str">
        <x:v>Центр по работе с персоналом ОАО «Белагропромбанк»</x:v>
      </x:c>
      <x:c r="D177" s="5" t="str">
        <x:v>BY</x:v>
      </x:c>
      <x:c r="E177" s="5" t="str">
        <x:v>candidate</x:v>
      </x:c>
      <x:c r="F177" s="5" t="str">
        <x:v>ОАО «Белагропромбанк»</x:v>
      </x:c>
      <x:c r="G177" s="5" t="str">
        <x:v>Белагропромбанк</x:v>
      </x:c>
      <x:c r="H177" s="5" t="str">
        <x:v>Не установлено</x:v>
      </x:c>
      <x:c r="I177" s="5" t="str">
        <x:v>Банки</x:v>
      </x:c>
      <x:c r="J177" s="5" t="str">
        <x:v>Руководители, специалисты и клиентские команды банка.</x:v>
      </x:c>
      <x:c r="K177" s="5" t="str">
        <x:v>Высокое: управление, HR, клиентский сервис, финансы для управленцев, цифровые навыки и разработка учебных материалов.</x:v>
      </x:c>
      <x:c r="L177" s="5" t="str">
        <x:v>Новые программы банка; приглашение внешних преподавателей; управленческий резерв; трансформация клиентского сервиса.</x:v>
      </x:c>
      <x:c r="M177" s="5" t="str">
        <x:v>Гипотеза: внешний эксперт или учебный модуль через центр; подтверждено использование внешних преподавателей, но открытый заказ не найден.</x:v>
      </x:c>
      <x:c r="N177" s="5" t="str">
        <x:v>Руководитель центра по работе с персоналом; руководитель обучения; HR.</x:v>
      </x:c>
      <x:c r="O177" s="5" t="str">
        <x:v>https://www.belapb.by/about/karera-v-banke/razvitie-personala/</x:v>
      </x:c>
      <x:c r="P177" s="5" t="str">
        <x:v>https://www.belapb.by/about/karera-v-banke/razvitie-personala/</x:v>
      </x:c>
      <x:c r="Q177" s="5" t="str">
        <x:v>Официальная страница развития персонала описывает центр, обучение собственными бизнес-тренерами и привлечение внешних преподавателей и экспертов.</x:v>
      </x:c>
      <x:c r="R177" s="5" t="str">
        <x:v>search_index</x:v>
      </x:c>
      <x:c r="S177" s="12" t="n">
        <x:v>46296</x:v>
      </x:c>
      <x:c r="T177" s="5" t="str">
        <x:v>Название центра шире учебной функции; в реестр включен по прямо описанной системной учебной работе. Не путать с публичными социальными академиями банка.</x:v>
      </x:c>
      <x:c r="U177" s="5" t="str">
        <x:v>Определить текущий календарь программ и процедуру отбора внешних экспертов.</x:v>
      </x:c>
      <x:c r="V177" s="5" t="str">
        <x:v>"Белагропромбанк" ("развитие персонала" OR "внешние преподаватели" OR "обучение" OR "бизнес-тренер")</x:v>
      </x:c>
      <x:c r="W177" s="5" t="str">
        <x:v>Официально подтвержден HR-центр с бизнес-тренерами и внешними провайдерами, но отдельная учебная структура не установлена. Источник заказов сохраняется в резерве.</x:v>
      </x:c>
      <x:c r="X177" s="5" t="str">
        <x:v>cu_belarus.json:16</x:v>
      </x:c>
    </x:row>
    <x:row r="178" ht="54" customHeight="1">
      <x:c r="A178" s="5" t="str">
        <x:v>CU-0173</x:v>
      </x:c>
      <x:c r="B178" s="5" t="str">
        <x:v>main_200</x:v>
      </x:c>
      <x:c r="C178" s="5" t="str">
        <x:v>Учебный центр ОАО «БЕЛАЗ»</x:v>
      </x:c>
      <x:c r="D178" s="5" t="str">
        <x:v>BY</x:v>
      </x:c>
      <x:c r="E178" s="5" t="str">
        <x:v>company_training_center</x:v>
      </x:c>
      <x:c r="F178" s="5" t="str">
        <x:v>ОАО «БЕЛАЗ» — управляющая компания холдинга «БЕЛАЗ-ХОЛДИНГ»</x:v>
      </x:c>
      <x:c r="G178" s="5" t="str">
        <x:v>БЕЛАЗ-ХОЛДИНГ</x:v>
      </x:c>
      <x:c r="H178" s="5" t="str">
        <x:v>Жодино</x:v>
      </x:c>
      <x:c r="I178" s="5" t="str">
        <x:v>Машиностроение</x:v>
      </x:c>
      <x:c r="J178" s="5" t="str">
        <x:v>Сервисные инженеры, специалисты партнеров, персонал эксплуатирующих предприятий.</x:v>
      </x:c>
      <x:c r="K178" s="5" t="str">
        <x:v>Ограниченное: управление сервисными командами, клиентский сервис B2B, обучение наставников, электронные учебные материалы.</x:v>
      </x:c>
      <x:c r="L178" s="5" t="str">
        <x:v>Модернизация учебных материалов; развитие международной сервисной сети; новые управленческие программы для сервисных подразделений.</x:v>
      </x:c>
      <x:c r="M178" s="5" t="str">
        <x:v>Гипотеза: нетехнический модуль для сервисной сети либо методический подряд; технические квалификации исключить.</x:v>
      </x:c>
      <x:c r="N178" s="5" t="str">
        <x:v>Руководитель учебного центра; директор сервиса; HR.</x:v>
      </x:c>
      <x:c r="O178" s="5" t="str">
        <x:v>https://m.belaz.by/services/training/</x:v>
      </x:c>
      <x:c r="P178" s="5" t="str">
        <x:v>https://m.belaz.by/services/training/</x:v>
      </x:c>
      <x:c r="Q178" s="5" t="str">
        <x:v>Официальная страница обучения описывает учебный центр, учебные классы, тренажеры и подготовку сервисных центров и заказчиков.</x:v>
      </x:c>
      <x:c r="R178" s="5" t="str">
        <x:v>search_index</x:v>
      </x:c>
      <x:c r="S178" s="12" t="n">
        <x:v>46296</x:v>
      </x:c>
      <x:c r="T178" s="5" t="str">
        <x:v>Преимущественно технический центр; прямой спрос на темы МИСБ не обнаружен.</x:v>
      </x:c>
      <x:c r="U178" s="5" t="str">
        <x:v>Уточнить заказчика обучения сервисной сети и наличие управленческих/методических потребностей.</x:v>
      </x:c>
      <x:c r="V178" s="5" t="str">
        <x:v>"БЕЛАЗ" ("учебный центр" OR "обучение сервисных") ("программа" OR "партнер" OR "дистанционное")</x:v>
      </x:c>
      <x:c r="W178" s="5" t="str">
        <x:v>Именованная структура с подтверждением; отбор по стране, очереди и типу. Это не оценка вероятности заказа.</x:v>
      </x:c>
      <x:c r="X178" s="5" t="str">
        <x:v>cu_belarus.json:17</x:v>
      </x:c>
    </x:row>
    <x:row r="179" ht="54" customHeight="1">
      <x:c r="A179" s="5" t="str">
        <x:v>CU-0174</x:v>
      </x:c>
      <x:c r="B179" s="5" t="str">
        <x:v>main_200</x:v>
      </x:c>
      <x:c r="C179" s="5" t="str">
        <x:v>Учебный центр по подготовке и повышению квалификации кадров БМЗ</x:v>
      </x:c>
      <x:c r="D179" s="5" t="str">
        <x:v>BY</x:v>
      </x:c>
      <x:c r="E179" s="5" t="str">
        <x:v>company_training_center</x:v>
      </x:c>
      <x:c r="F179" s="5" t="str">
        <x:v>ОАО «БМЗ» — управляющая компания холдинга «БМК»</x:v>
      </x:c>
      <x:c r="G179" s="5" t="str">
        <x:v>Белорусская металлургическая компания</x:v>
      </x:c>
      <x:c r="H179" s="5" t="str">
        <x:v>Жлобин</x:v>
      </x:c>
      <x:c r="I179" s="5" t="str">
        <x:v>Металлургия</x:v>
      </x:c>
      <x:c r="J179" s="5" t="str">
        <x:v>Руководители, специалисты и рабочие металлургического предприятия.</x:v>
      </x:c>
      <x:c r="K179" s="5" t="str">
        <x:v>Условное: HR, управление производственными командами, личная эффективность, защита персональных данных и методология обучения.</x:v>
      </x:c>
      <x:c r="L179" s="5" t="str">
        <x:v>Новые программы руководителей; изменения требований к корпоративным специалистам; обновление учебной базы; приглашение экспертов.</x:v>
      </x:c>
      <x:c r="M179" s="5" t="str">
        <x:v>Гипотеза: управленческий или функциональный модуль через центр и HR БМЗ.</x:v>
      </x:c>
      <x:c r="N179" s="5" t="str">
        <x:v>Руководитель центра; начальник подготовки кадров; HR; закупки.</x:v>
      </x:c>
      <x:c r="O179" s="5" t="str">
        <x:v>https://metallurg.belsteel.com/?p=17054</x:v>
      </x:c>
      <x:c r="P179" s="5" t="str">
        <x:v>https://belsteel.com/about/bmz-35.php</x:v>
      </x:c>
      <x:c r="Q179" s="5" t="str">
        <x:v>Корпоративный сайт сообщает о создании учебного центра, корпоративная газета описывает подготовку рабочих, руководителей и специалистов.</x:v>
      </x:c>
      <x:c r="R179" s="5" t="str">
        <x:v>search_index</x:v>
      </x:c>
      <x:c r="S179" s="12" t="n">
        <x:v>46296</x:v>
      </x:c>
      <x:c r="T179" s="5" t="str">
        <x:v>Техническая подготовка преобладает; историческую страницу дополнять текущими новостями.</x:v>
      </x:c>
      <x:c r="U179" s="5" t="str">
        <x:v>Проверить текущие программы для руководителей и специалистов, не смешивать их с рабочими профессиями.</x:v>
      </x:c>
      <x:c r="V179" s="5" t="str">
        <x:v>"БМЗ" ("учебный центр" OR "повышение квалификации") ("руководители" OR "персональные данные" OR "семинар")</x:v>
      </x:c>
      <x:c r="W179" s="5" t="str">
        <x:v>Именованная структура с подтверждением; отбор по стране, очереди и типу. Это не оценка вероятности заказа.</x:v>
      </x:c>
      <x:c r="X179" s="5" t="str">
        <x:v>cu_belarus.json:18</x:v>
      </x:c>
    </x:row>
    <x:row r="180" ht="54" customHeight="1">
      <x:c r="A180" s="5" t="str">
        <x:v>CU-0175</x:v>
      </x:c>
      <x:c r="B180" s="5" t="str">
        <x:v>main_200</x:v>
      </x:c>
      <x:c r="C180" s="5" t="str">
        <x:v>Учебный центр Национального банка Республики Беларусь</x:v>
      </x:c>
      <x:c r="D180" s="5" t="str">
        <x:v>BY</x:v>
      </x:c>
      <x:c r="E180" s="5" t="str">
        <x:v>industry_training_center</x:v>
      </x:c>
      <x:c r="F180" s="5" t="str">
        <x:v>Национальный банк Республики Беларусь</x:v>
      </x:c>
      <x:c r="G180" s="5" t="str">
        <x:v>Национальный банк Республики Беларусь</x:v>
      </x:c>
      <x:c r="H180" s="5" t="str">
        <x:v>Раубичи</x:v>
      </x:c>
      <x:c r="I180" s="5" t="str">
        <x:v>Банковский регулятор</x:v>
      </x:c>
      <x:c r="J180" s="5" t="str">
        <x:v>Руководители и специалисты Национального банка и финансового сектора.</x:v>
      </x:c>
      <x:c r="K180" s="5" t="str">
        <x:v>Высокое: управленческие решения, публичные выступления, HR, цифровые и функциональные навыки банковских специалистов.</x:v>
      </x:c>
      <x:c r="L180" s="5" t="str">
        <x:v>Приглашения организовать обучение; конкретная тема, срок, требования к исполнителю; новый годовой план.</x:v>
      </x:c>
      <x:c r="M180" s="5" t="str">
        <x:v>Официальные приглашения на организацию обучения: каждый документ проверять на срок и предмет; возможный прямой канал отбора поставщика.</x:v>
      </x:c>
      <x:c r="N180" s="5" t="str">
        <x:v>Ответственный за обучение работников; руководство учебного центра; закупки.</x:v>
      </x:c>
      <x:c r="O180" s="5" t="str">
        <x:v>https://www.nbrb.by/branches/educenter</x:v>
      </x:c>
      <x:c r="P180" s="5" t="str">
        <x:v>https://www.nbrb.by/branches/educenter</x:v>
      </x:c>
      <x:c r="Q180" s="5" t="str">
        <x:v>Официальная страница описывает учебный центр дополнительного образования. Отдельный официальный раздел публикует приглашения на организацию обучения работников Национального банка.</x:v>
      </x:c>
      <x:c r="R180" s="5" t="str">
        <x:v>search_index</x:v>
      </x:c>
      <x:c r="S180" s="12" t="n">
        <x:v>46296</x:v>
      </x:c>
      <x:c r="T180" s="5" t="str">
        <x:v>Регулятор, а не коммерческий корпоративный университет. Некоторые приглашения могут быть архивными; нужна проверка актуальности каждого документа.</x:v>
      </x:c>
      <x:c r="U180" s="5" t="str">
        <x:v>Первым подключить мониторинг раздела приглашений; извлекать дедлайн, тему, адрес подачи и требования, не считать архивный документ действующим.</x:v>
      </x:c>
      <x:c r="V180" s="5" t="str">
        <x:v>site:nbrb.by/info/education ("приглашение" OR "организация обучения" OR "управленческих решений" OR "ораторское")</x:v>
      </x:c>
      <x:c r="W180" s="5" t="str">
        <x:v>Именованная структура с подтверждением; отбор по стране, очереди и типу. Это не оценка вероятности заказа.</x:v>
      </x:c>
      <x:c r="X180" s="5" t="str">
        <x:v>cu_belarus.json:19</x:v>
      </x:c>
    </x:row>
    <x:row r="181" ht="54" customHeight="1">
      <x:c r="A181" s="5" t="str">
        <x:v>CU-0176</x:v>
      </x:c>
      <x:c r="B181" s="5" t="str">
        <x:v>main_200</x:v>
      </x:c>
      <x:c r="C181" s="5" t="str">
        <x:v>Учебный центр по техническому и сервисному обслуживанию МТЗ</x:v>
      </x:c>
      <x:c r="D181" s="5" t="str">
        <x:v>BY</x:v>
      </x:c>
      <x:c r="E181" s="5" t="str">
        <x:v>company_training_center</x:v>
      </x:c>
      <x:c r="F181" s="5" t="str">
        <x:v>ОАО «Минский тракторный завод»</x:v>
      </x:c>
      <x:c r="G181" s="5" t="str">
        <x:v>МТЗ-ХОЛДИНГ</x:v>
      </x:c>
      <x:c r="H181" s="5" t="str">
        <x:v>Минск</x:v>
      </x:c>
      <x:c r="I181" s="5" t="str">
        <x:v>Машиностроение</x:v>
      </x:c>
      <x:c r="J181" s="5" t="str">
        <x:v>Сервисные специалисты, механики, партнерская сеть МТЗ.</x:v>
      </x:c>
      <x:c r="K181" s="5" t="str">
        <x:v>Ограниченное: методология электронного обучения, управление сервисом, клиентская коммуникация и обучение наставников.</x:v>
      </x:c>
      <x:c r="L181" s="5" t="str">
        <x:v>Новые дистанционные форматы; расширение сервисной сети; обновление методических материалов.</x:v>
      </x:c>
      <x:c r="M181" s="5" t="str">
        <x:v>Гипотеза: запрос через центр или сервисный блок МТЗ; уточнить белорусского юридического заказчика.</x:v>
      </x:c>
      <x:c r="N181" s="5" t="str">
        <x:v>Руководитель учебного центра; сервисный директор; HR.</x:v>
      </x:c>
      <x:c r="O181" s="5" t="str">
        <x:v>https://www.mtz-td.ru/educatcenter</x:v>
      </x:c>
      <x:c r="P181" s="5" t="str">
        <x:v>https://www.mtz-td.ru/educatcenter</x:v>
      </x:c>
      <x:c r="Q181" s="5" t="str">
        <x:v>Официальный торговый дом описывает учебный центр МТЗ, теоретические и практические занятия, обучение сервисных специалистов и дистанционную систему.</x:v>
      </x:c>
      <x:c r="R181" s="5" t="str">
        <x:v>search_index</x:v>
      </x:c>
      <x:c r="S181" s="12" t="n">
        <x:v>46296</x:v>
      </x:c>
      <x:c r="T181" s="5" t="str">
        <x:v>Источник — официальный торговый дом в РФ, объект обучения находится при МТЗ в Беларуси; часть описания историческая. Технические компетенции вне основного профиля МИСБ.</x:v>
      </x:c>
      <x:c r="U181" s="5" t="str">
        <x:v>Найти актуальную страницу центра на сайте завода и текущий план, проверить возможность нетехнического модуля.</x:v>
      </x:c>
      <x:c r="V181" s="5" t="str">
        <x:v>"МТЗ" ("учебный центр" OR "техническое и сервисное обслуживание") ("дистанционное" OR "партнер" OR "обучение")</x:v>
      </x:c>
      <x:c r="W181" s="5" t="str">
        <x:v>Именованная структура с подтверждением; отбор по стране, очереди и типу. Это не оценка вероятности заказа.</x:v>
      </x:c>
      <x:c r="X181" s="5" t="str">
        <x:v>cu_belarus.json:20</x:v>
      </x:c>
    </x:row>
    <x:row r="182" ht="54" customHeight="1">
      <x:c r="A182" s="5" t="str">
        <x:v>CU-0177</x:v>
      </x:c>
      <x:c r="B182" s="5" t="str">
        <x:v>main_200</x:v>
      </x:c>
      <x:c r="C182" s="5" t="str">
        <x:v>Учреждение образования «УЦ БелТЮФ»</x:v>
      </x:c>
      <x:c r="D182" s="5" t="str">
        <x:v>BY</x:v>
      </x:c>
      <x:c r="E182" s="5" t="str">
        <x:v>company_training_center</x:v>
      </x:c>
      <x:c r="F182" s="5" t="str">
        <x:v>СП «БЕЛТЮФ»</x:v>
      </x:c>
      <x:c r="G182" s="5" t="str">
        <x:v>БелТЮФ</x:v>
      </x:c>
      <x:c r="H182" s="5" t="str">
        <x:v>Минск</x:v>
      </x:c>
      <x:c r="I182" s="5" t="str">
        <x:v>Технический надзор и промышленная безопасность</x:v>
      </x:c>
      <x:c r="J182" s="5" t="str">
        <x:v>Руководители и специалисты промышленных и транспортных предприятий; преподаватели центра.</x:v>
      </x:c>
      <x:c r="K182" s="5" t="str">
        <x:v>Условное: трудовые отношения, управление, корпоративные методические материалы и цифровые курсы; возможен образовательный субподряд.</x:v>
      </x:c>
      <x:c r="L182" s="5" t="str">
        <x:v>Вакансии преподавателей; новые управленческие курсы; партнерства; цифровое развитие программ.</x:v>
      </x:c>
      <x:c r="M182" s="5" t="str">
        <x:v>Гипотеза: партнерский преподавательский модуль либо совместное обслуживание корпоративного клиента.</x:v>
      </x:c>
      <x:c r="N182" s="5" t="str">
        <x:v>Директор УЦ; руководитель учебной работы; менеджер корпоративных программ.</x:v>
      </x:c>
      <x:c r="O182" s="5" t="str">
        <x:v>https://beltuv.by/uc/</x:v>
      </x:c>
      <x:c r="P182" s="5" t="str">
        <x:v>https://beltuv.by/</x:v>
      </x:c>
      <x:c r="Q182" s="5" t="str">
        <x:v>Официальная главная страница прямо называет УЦ дочерним предприятием СП «БЕЛТЮФ»; страница центра предлагает программы рабочим, специалистам и руководителям.</x:v>
      </x:c>
      <x:c r="R182" s="5" t="str">
        <x:v>search_index</x:v>
      </x:c>
      <x:c r="S182" s="12" t="n">
        <x:v>46296</x:v>
      </x:c>
      <x:c r="T182" s="5" t="str">
        <x:v>Центр сам продает обучение и может быть конкурентом; технические квалификации не целевой спрос МИСБ.</x:v>
      </x:c>
      <x:c r="U182" s="5" t="str">
        <x:v>Просмотреть вакансии и программы руководителей, отделив подтвержденный внешний спрос от продвижения собственных курсов.</x:v>
      </x:c>
      <x:c r="V182" s="5" t="str">
        <x:v>"БелТЮФ" ("преподаватель" OR "вакансии" OR "руководителей" OR "обучающие курсы")</x:v>
      </x:c>
      <x:c r="W182" s="5" t="str">
        <x:v>Именованная структура с подтверждением; отбор по стране, очереди и типу. Это не оценка вероятности заказа.</x:v>
      </x:c>
      <x:c r="X182" s="5" t="str">
        <x:v>cu_belarus.json:21</x:v>
      </x:c>
    </x:row>
    <x:row r="183" ht="54" customHeight="1">
      <x:c r="A183" s="5" t="str">
        <x:v>CU-0178</x:v>
      </x:c>
      <x:c r="B183" s="5" t="str">
        <x:v>main_200</x:v>
      </x:c>
      <x:c r="C183" s="5" t="str">
        <x:v>Учебный центр авиационной безопасности ИКАО Национального аэропорта Минск</x:v>
      </x:c>
      <x:c r="D183" s="5" t="str">
        <x:v>BY</x:v>
      </x:c>
      <x:c r="E183" s="5" t="str">
        <x:v>company_training_center</x:v>
      </x:c>
      <x:c r="F183" s="5" t="str">
        <x:v>РУП «Национальный аэропорт Минск»</x:v>
      </x:c>
      <x:c r="G183" s="5" t="str">
        <x:v>Национальный аэропорт Минск</x:v>
      </x:c>
      <x:c r="H183" s="5" t="str">
        <x:v>Не установлено</x:v>
      </x:c>
      <x:c r="I183" s="5" t="str">
        <x:v>Аэропорты и авиация</x:v>
      </x:c>
      <x:c r="J183" s="5" t="str">
        <x:v>Специалисты и руководители авиационной безопасности и аэропортовых организаций.</x:v>
      </x:c>
      <x:c r="K183" s="5" t="str">
        <x:v>Условное: обучение тренеров, управленческие навыки, коммуникации и методология электронного обучения. Отраслевая сертификационная подготовка требует отдельной компетенции.</x:v>
      </x:c>
      <x:c r="L183" s="5" t="str">
        <x:v>Новые партнерские курсы; подготовка тренеров; расширение программ управленческих навыков; цифровые форматы.</x:v>
      </x:c>
      <x:c r="M183" s="5" t="str">
        <x:v>Гипотеза: партнерство по нетехническому модулю через центр; отдельная проверка закупочного контура аэропорта.</x:v>
      </x:c>
      <x:c r="N183" s="5" t="str">
        <x:v>Руководитель УЦ; куратор учебных программ; HR аэропорта.</x:v>
      </x:c>
      <x:c r="O183" s="5" t="str">
        <x:v>https://icao.airport.by/</x:v>
      </x:c>
      <x:c r="P183" s="5" t="str">
        <x:v>https://icao.airport.by/about</x:v>
      </x:c>
      <x:c r="Q183" s="5" t="str">
        <x:v>Официальная страница прямо описывает центр как структурное подразделение аэропорта; есть программы специалистов и руководителей, расписание и отдельные контакты.</x:v>
      </x:c>
      <x:c r="R183" s="5" t="str">
        <x:v>search_index</x:v>
      </x:c>
      <x:c r="S183" s="12" t="n">
        <x:v>46296</x:v>
      </x:c>
      <x:c r="T183" s="5" t="str">
        <x:v>Узкая авиационная специализация; корпоративная программа не равна заказу на внешнего провайдера.</x:v>
      </x:c>
      <x:c r="U183" s="5" t="str">
        <x:v>Сопоставить расписание с темами МИСБ и уточнить возможности приглашенного преподавателя.</x:v>
      </x:c>
      <x:c r="V183" s="5" t="str">
        <x:v>"Национальный аэропорт Минск" ("учебный центр" OR "ИКАО") ("программа" OR "партнер" OR "тренер")</x:v>
      </x:c>
      <x:c r="W183" s="5" t="str">
        <x:v>Именованная структура с подтверждением; отбор по стране, очереди и типу. Это не оценка вероятности заказа.</x:v>
      </x:c>
      <x:c r="X183" s="5" t="str">
        <x:v>cu_belarus.json:22</x:v>
      </x:c>
    </x:row>
    <x:row r="184" ht="54" customHeight="1">
      <x:c r="A184" s="5" t="str">
        <x:v>CU-0179</x:v>
      </x:c>
      <x:c r="B184" s="5" t="str">
        <x:v>main_200</x:v>
      </x:c>
      <x:c r="C184" s="5" t="str">
        <x:v>Учебно-тренировочный центр Белорусской АЭС</x:v>
      </x:c>
      <x:c r="D184" s="5" t="str">
        <x:v>BY</x:v>
      </x:c>
      <x:c r="E184" s="5" t="str">
        <x:v>company_training_center</x:v>
      </x:c>
      <x:c r="F184" s="5" t="str">
        <x:v>РУП «Белорусская атомная электростанция»</x:v>
      </x:c>
      <x:c r="G184" s="5" t="str">
        <x:v>Белорусская АЭС</x:v>
      </x:c>
      <x:c r="H184" s="5" t="str">
        <x:v>Островецкий район</x:v>
      </x:c>
      <x:c r="I184" s="5" t="str">
        <x:v>Атомная энергетика</x:v>
      </x:c>
      <x:c r="J184" s="5" t="str">
        <x:v>Персонал станции, руководители, специалисты и внутренние инструкторы.</x:v>
      </x:c>
      <x:c r="K184" s="5" t="str">
        <x:v>Условное: развитие руководителей, коммуникации, обучение наставников и методическая поддержка. Техническая атомная подготовка не входит в гипотезу предложения.</x:v>
      </x:c>
      <x:c r="L184" s="5" t="str">
        <x:v>Управленческие программы; развитие кадрового резерва; обучение инструкторов; электронные учебные материалы.</x:v>
      </x:c>
      <x:c r="M184" s="5" t="str">
        <x:v>Гипотеза: нетехнический модуль через УТЦ и HR; установить закупочную процедуру станции.</x:v>
      </x:c>
      <x:c r="N184" s="5" t="str">
        <x:v>Руководитель УТЦ; начальник организации обучения; HR.</x:v>
      </x:c>
      <x:c r="O184" s="5" t="str">
        <x:v>https://belaes.by/ru/obrazovatelnaya-deyatelnost.html</x:v>
      </x:c>
      <x:c r="P184" s="5" t="str">
        <x:v>https://belaes.by/ru/obrazovatelnaya-deyatelnost.html</x:v>
      </x:c>
      <x:c r="Q184" s="5" t="str">
        <x:v>Официальный сайт описывает УТЦ как структурное подразделение, обеспечивающее подготовку и повышение квалификации персонала; указаны программы руководителей и специалистов и контакты руководства.</x:v>
      </x:c>
      <x:c r="R184" s="5" t="str">
        <x:v>search_index</x:v>
      </x:c>
      <x:c r="S184" s="12" t="n">
        <x:v>46296</x:v>
      </x:c>
      <x:c r="T184" s="5" t="str">
        <x:v>Не относить к группе Росатом по факту технологического партнерства. Узкие технические темы не целевой спрос МИСБ.</x:v>
      </x:c>
      <x:c r="U184" s="5" t="str">
        <x:v>Прочитать план руководителей и специалистов и выяснить актуальные нетехнические потребности.</x:v>
      </x:c>
      <x:c r="V184" s="5" t="str">
        <x:v>"Белорусская АЭС" ("учебно-тренировочный центр" OR "обучение руководителей") ("программа" OR "преподаватель" OR "закупка")</x:v>
      </x:c>
      <x:c r="W184" s="5" t="str">
        <x:v>Именованная структура с подтверждением; отбор по стране, очереди и типу. Это не оценка вероятности заказа.</x:v>
      </x:c>
      <x:c r="X184" s="5" t="str">
        <x:v>cu_belarus.json:23</x:v>
      </x:c>
    </x:row>
    <x:row r="185" ht="54" customHeight="1">
      <x:c r="A185" s="5" t="str">
        <x:v>CU-0180</x:v>
      </x:c>
      <x:c r="B185" s="5" t="str">
        <x:v>reserve</x:v>
      </x:c>
      <x:c r="C185" s="5" t="str">
        <x:v>Учебно-практический центр МАЗ-БНТУ</x:v>
      </x:c>
      <x:c r="D185" s="5" t="str">
        <x:v>BY</x:v>
      </x:c>
      <x:c r="E185" s="5" t="str">
        <x:v>candidate</x:v>
      </x:c>
      <x:c r="F185" s="5" t="str">
        <x:v>ОАО «МАЗ» и БНТУ</x:v>
      </x:c>
      <x:c r="G185" s="5" t="str">
        <x:v>МАЗ</x:v>
      </x:c>
      <x:c r="H185" s="5" t="str">
        <x:v>Не установлено</x:v>
      </x:c>
      <x:c r="I185" s="5" t="str">
        <x:v>Машиностроение</x:v>
      </x:c>
      <x:c r="J185" s="5" t="str">
        <x:v>Уточнить после подтверждения корпоративного учебного подразделения.</x:v>
      </x:c>
      <x:c r="K185" s="5" t="str">
        <x:v>Гипотеза: управленческие и функциональные программы, обучение наставников, методология и цифровые учебные материалы.</x:v>
      </x:c>
      <x:c r="L185" s="5" t="str">
        <x:v>Подтверждение подразделения; новая программа; приглашение внешних преподавателей; закупка обучения.</x:v>
      </x:c>
      <x:c r="M185" s="5" t="str">
        <x:v>Сначала подтвердить самостоятельную учебную структуру и заказчика; затем искать процедуру партнерства или закупки.</x:v>
      </x:c>
      <x:c r="N185" s="5" t="str">
        <x:v>HR/L&amp;D; предполагаемый руководитель обучения.</x:v>
      </x:c>
      <x:c r="O185" s="5" t="str">
        <x:v>https://maz.by/media/news/2022/04/18/vladimir-semashko-posetil-maz</x:v>
      </x:c>
      <x:c r="P185" s="5" t="str">
        <x:v>https://maz.by/media/news/2022/04/18/vladimir-semashko-posetil-maz</x:v>
      </x:c>
      <x:c r="Q185" s="5" t="str">
        <x:v>Официальная новость МАЗ подтверждает именованный учебно-практический центр. Не установлено, является ли он самостоятельным корпоративным обучающим подразделением или совместной университетской площадкой.</x:v>
      </x:c>
      <x:c r="R185" s="5" t="str">
        <x:v>candidate</x:v>
      </x:c>
      <x:c r="S185" s="12" t="n">
        <x:v>46296</x:v>
      </x:c>
      <x:c r="T185" s="5" t="str">
        <x:v>Резерв. Не включать в число подтвержденных корпоративных учебных структур до дополнительной проверки.</x:v>
      </x:c>
      <x:c r="U185" s="5" t="str">
        <x:v>Проверить учредительную принадлежность, постоянную команду, программу взрослых сотрудников и актуальное состояние; при подтверждении перенести в основной реестр.</x:v>
      </x:c>
      <x:c r="V185" s="5" t="str">
        <x:v>"МАЗ" ("учебный центр" OR "корпоративный университет" OR "академия" OR "training center")</x:v>
      </x:c>
      <x:c r="W185" s="5" t="str">
        <x:v>Требуется уточнение статуса, структуры или самостоятельности; все каналы сохранены.</x:v>
      </x:c>
      <x:c r="X185" s="5" t="str">
        <x:v>cu_belarus_candidates.json:1</x:v>
      </x:c>
    </x:row>
    <x:row r="186" ht="54" customHeight="1">
      <x:c r="A186" s="5" t="str">
        <x:v>CU-0181</x:v>
      </x:c>
      <x:c r="B186" s="5" t="str">
        <x:v>reserve</x:v>
      </x:c>
      <x:c r="C186" s="5" t="str">
        <x:v>Учебный центр Нафтан — кандидат</x:v>
      </x:c>
      <x:c r="D186" s="5" t="str">
        <x:v>BY</x:v>
      </x:c>
      <x:c r="E186" s="5" t="str">
        <x:v>candidate</x:v>
      </x:c>
      <x:c r="F186" s="5" t="str">
        <x:v>ОАО «Нафтан»</x:v>
      </x:c>
      <x:c r="G186" s="5" t="str">
        <x:v>Нафтан</x:v>
      </x:c>
      <x:c r="H186" s="5" t="str">
        <x:v>Не установлено</x:v>
      </x:c>
      <x:c r="I186" s="5" t="str">
        <x:v>Нефтепереработка</x:v>
      </x:c>
      <x:c r="J186" s="5" t="str">
        <x:v>Уточнить после подтверждения корпоративного учебного подразделения.</x:v>
      </x:c>
      <x:c r="K186" s="5" t="str">
        <x:v>Гипотеза: управленческие и функциональные программы, обучение наставников, методология и цифровые учебные материалы.</x:v>
      </x:c>
      <x:c r="L186" s="5" t="str">
        <x:v>Подтверждение подразделения; новая программа; приглашение внешних преподавателей; закупка обучения.</x:v>
      </x:c>
      <x:c r="M186" s="5" t="str">
        <x:v>Сначала подтвердить самостоятельную учебную структуру и заказчика; затем искать процедуру партнерства или закупки.</x:v>
      </x:c>
      <x:c r="N186" s="5" t="str">
        <x:v>HR/L&amp;D; предполагаемый руководитель обучения.</x:v>
      </x:c>
      <x:c r="O186" s="5" t="str">
        <x:v>https://gazeta.naftan.by/mastera-svoego-dela</x:v>
      </x:c>
      <x:c r="P186" s="5" t="str">
        <x:v>https://gazeta.naftan.by/mastera-svoego-dela</x:v>
      </x:c>
      <x:c r="Q186" s="5" t="str">
        <x:v>Индекс корпоративной газеты упоминает учебный центр и полигон предприятия, но полный контекст и принадлежность центра не прочитаны.</x:v>
      </x:c>
      <x:c r="R186" s="5" t="str">
        <x:v>candidate</x:v>
      </x:c>
      <x:c r="S186" s="12" t="n">
        <x:v>46296</x:v>
      </x:c>
      <x:c r="T186" s="5" t="str">
        <x:v>Резерв. Не включать в число подтвержденных корпоративных учебных структур до дополнительной проверки.</x:v>
      </x:c>
      <x:c r="U186" s="5" t="str">
        <x:v>Прочитать публикацию полностью, установить какое предприятие владеет упомянутым центром; не считать подтвержденным центром Нафтана по сниппету.</x:v>
      </x:c>
      <x:c r="V186" s="5" t="str">
        <x:v>"Нафтан" ("учебный центр" OR "корпоративный университет" OR "академия" OR "training center")</x:v>
      </x:c>
      <x:c r="W186" s="5" t="str">
        <x:v>Требуется уточнение статуса, структуры или самостоятельности; все каналы сохранены.</x:v>
      </x:c>
      <x:c r="X186" s="5" t="str">
        <x:v>cu_belarus_candidates.json:2</x:v>
      </x:c>
    </x:row>
    <x:row r="187" ht="54" customHeight="1">
      <x:c r="A187" s="5" t="str">
        <x:v>CU-0182</x:v>
      </x:c>
      <x:c r="B187" s="5" t="str">
        <x:v>reserve</x:v>
      </x:c>
      <x:c r="C187" s="5" t="str">
        <x:v>Учебный центр Минсктранс — исторический кандидат</x:v>
      </x:c>
      <x:c r="D187" s="5" t="str">
        <x:v>BY</x:v>
      </x:c>
      <x:c r="E187" s="5" t="str">
        <x:v>candidate</x:v>
      </x:c>
      <x:c r="F187" s="5" t="str">
        <x:v>ГП «Минсктранс»</x:v>
      </x:c>
      <x:c r="G187" s="5" t="str">
        <x:v>Минсктранс</x:v>
      </x:c>
      <x:c r="H187" s="5" t="str">
        <x:v>Не установлено</x:v>
      </x:c>
      <x:c r="I187" s="5" t="str">
        <x:v>Городской транспорт</x:v>
      </x:c>
      <x:c r="J187" s="5" t="str">
        <x:v>Уточнить после подтверждения корпоративного учебного подразделения.</x:v>
      </x:c>
      <x:c r="K187" s="5" t="str">
        <x:v>Гипотеза: управленческие и функциональные программы, обучение наставников, методология и цифровые учебные материалы.</x:v>
      </x:c>
      <x:c r="L187" s="5" t="str">
        <x:v>Подтверждение подразделения; новая программа; приглашение внешних преподавателей; закупка обучения.</x:v>
      </x:c>
      <x:c r="M187" s="5" t="str">
        <x:v>Сначала подтвердить самостоятельную учебную структуру и заказчика; затем искать процедуру партнерства или закупки.</x:v>
      </x:c>
      <x:c r="N187" s="5" t="str">
        <x:v>HR/L&amp;D; предполагаемый руководитель обучения.</x:v>
      </x:c>
      <x:c r="O187" s="5" t="str">
        <x:v>https://minsktrans.by/wp-content/uploads/2020/11/vypusk-833.pdf</x:v>
      </x:c>
      <x:c r="P187" s="5" t="str">
        <x:v>https://minsktrans.by/wp-content/uploads/2020/11/vypusk-833.pdf</x:v>
      </x:c>
      <x:c r="Q187" s="5" t="str">
        <x:v>Корпоративное издание содержит историческое упоминание собственного учебного центра; текущий статус не подтвержден.</x:v>
      </x:c>
      <x:c r="R187" s="5" t="str">
        <x:v>candidate</x:v>
      </x:c>
      <x:c r="S187" s="12" t="n">
        <x:v>46296</x:v>
      </x:c>
      <x:c r="T187" s="5" t="str">
        <x:v>Резерв. Не включать в число подтвержденных корпоративных учебных структур до дополнительной проверки.</x:v>
      </x:c>
      <x:c r="U187" s="5" t="str">
        <x:v>Проверить, сохранился ли центр как подразделение и не передано ли обучение внешнему колледжу.</x:v>
      </x:c>
      <x:c r="V187" s="5" t="str">
        <x:v>"Минсктранс" ("учебный центр" OR "корпоративный университет" OR "академия" OR "training center")</x:v>
      </x:c>
      <x:c r="W187" s="5" t="str">
        <x:v>Требуется уточнение статуса, структуры или самостоятельности; все каналы сохранены.</x:v>
      </x:c>
      <x:c r="X187" s="5" t="str">
        <x:v>cu_belarus_candidates.json:3</x:v>
      </x:c>
    </x:row>
    <x:row r="188" ht="54" customHeight="1">
      <x:c r="A188" s="5" t="str">
        <x:v>CU-0183</x:v>
      </x:c>
      <x:c r="B188" s="5" t="str">
        <x:v>reserve</x:v>
      </x:c>
      <x:c r="C188" s="5" t="str">
        <x:v>LeverX Learning Hub — Беларусь требует подтверждения</x:v>
      </x:c>
      <x:c r="D188" s="5" t="str">
        <x:v>BY</x:v>
      </x:c>
      <x:c r="E188" s="5" t="str">
        <x:v>candidate</x:v>
      </x:c>
      <x:c r="F188" s="5" t="str">
        <x:v>LeverX</x:v>
      </x:c>
      <x:c r="G188" s="5" t="str">
        <x:v>LeverX</x:v>
      </x:c>
      <x:c r="H188" s="5" t="str">
        <x:v>Не установлено</x:v>
      </x:c>
      <x:c r="I188" s="5" t="str">
        <x:v>IT</x:v>
      </x:c>
      <x:c r="J188" s="5" t="str">
        <x:v>Уточнить после подтверждения корпоративного учебного подразделения.</x:v>
      </x:c>
      <x:c r="K188" s="5" t="str">
        <x:v>Гипотеза: управленческие и функциональные программы, обучение наставников, методология и цифровые учебные материалы.</x:v>
      </x:c>
      <x:c r="L188" s="5" t="str">
        <x:v>Подтверждение подразделения; новая программа; приглашение внешних преподавателей; закупка обучения.</x:v>
      </x:c>
      <x:c r="M188" s="5" t="str">
        <x:v>Сначала подтвердить самостоятельную учебную структуру и заказчика; затем искать процедуру партнерства или закупки.</x:v>
      </x:c>
      <x:c r="N188" s="5" t="str">
        <x:v>HR/L&amp;D; предполагаемый руководитель обучения.</x:v>
      </x:c>
      <x:c r="O188" s="5" t="str">
        <x:v>https://career.leverx.com/courses</x:v>
      </x:c>
      <x:c r="P188" s="5" t="str">
        <x:v>https://career.leverx.com/courses</x:v>
      </x:c>
      <x:c r="Q188" s="5" t="str">
        <x:v>Корпоративные учебные курсы и learning hub найдены, но действующая белорусская принадлежность центра и локальный заказчик не подтверждены.</x:v>
      </x:c>
      <x:c r="R188" s="5" t="str">
        <x:v>candidate</x:v>
      </x:c>
      <x:c r="S188" s="12" t="n">
        <x:v>46296</x:v>
      </x:c>
      <x:c r="T188" s="5" t="str">
        <x:v>Резерв. Не включать в число подтвержденных корпоративных учебных структур до дополнительной проверки.</x:v>
      </x:c>
      <x:c r="U188" s="5" t="str">
        <x:v>Проверить текущие города обучения, локальное юридическое лицо и структуру learning hub; не считать международный бренд отдельным КУ Беларуси автоматически.</x:v>
      </x:c>
      <x:c r="V188" s="5" t="str">
        <x:v>"LeverX" ("учебный центр" OR "корпоративный университет" OR "академия" OR "training center")</x:v>
      </x:c>
      <x:c r="W188" s="5" t="str">
        <x:v>Требуется уточнение статуса, структуры или самостоятельности; все каналы сохранены.</x:v>
      </x:c>
      <x:c r="X188" s="5" t="str">
        <x:v>cu_belarus_candidates.json:4</x:v>
      </x:c>
    </x:row>
    <x:row r="189" ht="54" customHeight="1">
      <x:c r="A189" s="5" t="str">
        <x:v>CU-0184</x:v>
      </x:c>
      <x:c r="B189" s="5" t="str">
        <x:v>reserve</x:v>
      </x:c>
      <x:c r="C189" s="5" t="str">
        <x:v>Andersen Trainee — программа, структура не подтверждена</x:v>
      </x:c>
      <x:c r="D189" s="5" t="str">
        <x:v>BY</x:v>
      </x:c>
      <x:c r="E189" s="5" t="str">
        <x:v>candidate</x:v>
      </x:c>
      <x:c r="F189" s="5" t="str">
        <x:v>Andersen</x:v>
      </x:c>
      <x:c r="G189" s="5" t="str">
        <x:v>Andersen</x:v>
      </x:c>
      <x:c r="H189" s="5" t="str">
        <x:v>Не установлено</x:v>
      </x:c>
      <x:c r="I189" s="5" t="str">
        <x:v>IT</x:v>
      </x:c>
      <x:c r="J189" s="5" t="str">
        <x:v>Уточнить после подтверждения корпоративного учебного подразделения.</x:v>
      </x:c>
      <x:c r="K189" s="5" t="str">
        <x:v>Гипотеза: управленческие и функциональные программы, обучение наставников, методология и цифровые учебные материалы.</x:v>
      </x:c>
      <x:c r="L189" s="5" t="str">
        <x:v>Подтверждение подразделения; новая программа; приглашение внешних преподавателей; закупка обучения.</x:v>
      </x:c>
      <x:c r="M189" s="5" t="str">
        <x:v>Сначала подтвердить самостоятельную учебную структуру и заказчика; затем искать процедуру партнерства или закупки.</x:v>
      </x:c>
      <x:c r="N189" s="5" t="str">
        <x:v>HR/L&amp;D; предполагаемый руководитель обучения.</x:v>
      </x:c>
      <x:c r="O189" s="5" t="str">
        <x:v>https://people.andersenlab.com/trainee/courses</x:v>
      </x:c>
      <x:c r="P189" s="5" t="str">
        <x:v>https://people.andersenlab.com/trainee/courses</x:v>
      </x:c>
      <x:c r="Q189" s="5" t="str">
        <x:v>Корпоративные учебные программы с белорусскими городами найдены, но самостоятельный центр/академия не доказан.</x:v>
      </x:c>
      <x:c r="R189" s="5" t="str">
        <x:v>candidate</x:v>
      </x:c>
      <x:c r="S189" s="12" t="n">
        <x:v>46296</x:v>
      </x:c>
      <x:c r="T189" s="5" t="str">
        <x:v>Резерв. Не включать в число подтвержденных корпоративных учебных структур до дополнительной проверки.</x:v>
      </x:c>
      <x:c r="U189" s="5" t="str">
        <x:v>Искать именованное учебное подразделение, постоянную команду и бюджет обучения; пока сохранять как источник сигналов о корпоративном обучении.</x:v>
      </x:c>
      <x:c r="V189" s="5" t="str">
        <x:v>"Andersen" ("учебный центр" OR "корпоративный университет" OR "академия" OR "training center")</x:v>
      </x:c>
      <x:c r="W189" s="5" t="str">
        <x:v>Требуется уточнение статуса, структуры или самостоятельности; все каналы сохранены.</x:v>
      </x:c>
      <x:c r="X189" s="5" t="str">
        <x:v>cu_belarus_candidates.json:5</x:v>
      </x:c>
    </x:row>
    <x:row r="190" ht="54" customHeight="1">
      <x:c r="A190" s="5" t="str">
        <x:v>CU-0185</x:v>
      </x:c>
      <x:c r="B190" s="5" t="str">
        <x:v>main_200</x:v>
      </x:c>
      <x:c r="C190" s="5" t="str">
        <x:v>Samruk Business Academy (бывший КУ «Самрук-Казына»)</x:v>
      </x:c>
      <x:c r="D190" s="5" t="str">
        <x:v>KZ</x:v>
      </x:c>
      <x:c r="E190" s="5" t="str">
        <x:v>corporate_academy</x:v>
      </x:c>
      <x:c r="F190" s="5" t="str">
        <x:v>ЧУ Samruk Business Academy</x:v>
      </x:c>
      <x:c r="G190" s="5" t="str">
        <x:v>Самрук-Қазына</x:v>
      </x:c>
      <x:c r="H190" s="5" t="str">
        <x:v>Астана</x:v>
      </x:c>
      <x:c r="I190" s="5" t="str">
        <x:v>Межотраслевой холдинг</x:v>
      </x:c>
      <x:c r="J190" s="5" t="str">
        <x:v>Руководители, HR, специалисты группы</x:v>
      </x:c>
      <x:c r="K190" s="5" t="str">
        <x:v>Высокая: управление, HR, стратегия, финансы, электронные курсы.</x:v>
      </x:c>
      <x:c r="L190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190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190" s="5" t="str">
        <x:v>Директор/руководитель учебного подразделения; HR/L&amp;D; владелец программы; закупщик услуг</x:v>
      </x:c>
      <x:c r="O190" s="5" t="str">
        <x:v>https://sba.kz/</x:v>
      </x:c>
      <x:c r="P190" s="5" t="str">
        <x:v>https://sba.kz/</x:v>
      </x:c>
      <x:c r="Q190" s="5" t="str">
        <x:v>Официальный сайт и каталог показывают корпоративные открытые и модульные программы.</x:v>
      </x:c>
      <x:c r="R190" s="5" t="str">
        <x:v>search_index</x:v>
      </x:c>
      <x:c r="S190" s="12" t="n">
        <x:v>46296</x:v>
      </x:c>
      <x:c r="T190" s="5" t="str">
        <x:v>Основной HTML при открытии почти пуст: нужен JS-рендеринг или доступный публичный экспорт; закупка подписок не требуется.</x:v>
      </x:c>
      <x:c r="U19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190" s="5" t="str">
        <x:v>Samruk Business Academy (бывший КУ «Самрук-Казына»); ЧУ Samruk Business Academy; обучение; тренинг; внешний преподаватель; электронный курс; поставщик; оқыту; training</x:v>
      </x:c>
      <x:c r="W190" s="5" t="str">
        <x:v>Именованная структура с подтверждением; отбор по стране, очереди и типу. Это не оценка вероятности заказа.</x:v>
      </x:c>
      <x:c r="X190" s="5" t="str">
        <x:v>cu_kazakhstan.json:1</x:v>
      </x:c>
    </x:row>
    <x:row r="191" ht="54" customHeight="1">
      <x:c r="A191" s="5" t="str">
        <x:v>CU-0186</x:v>
      </x:c>
      <x:c r="B191" s="5" t="str">
        <x:v>main_200</x:v>
      </x:c>
      <x:c r="C191" s="5" t="str">
        <x:v>Корпоративный университет ERG</x:v>
      </x:c>
      <x:c r="D191" s="5" t="str">
        <x:v>KZ</x:v>
      </x:c>
      <x:c r="E191" s="5" t="str">
        <x:v>corporate_university</x:v>
      </x:c>
      <x:c r="F191" s="5" t="str">
        <x:v>ERG — образовательное подразделение группы; юридического оператора уточнить</x:v>
      </x:c>
      <x:c r="G191" s="5" t="str">
        <x:v>ERG</x:v>
      </x:c>
      <x:c r="H191" s="5" t="str">
        <x:v>Астана</x:v>
      </x:c>
      <x:c r="I191" s="5" t="str">
        <x:v>Горно-металлургический комплекс</x:v>
      </x:c>
      <x:c r="J191" s="5" t="str">
        <x:v>Руководители, специалисты и рабочие ERG</x:v>
      </x:c>
      <x:c r="K191" s="5" t="str">
        <x:v>Высокая: лидерство, закупки, финансы, HR, проектное управление, методология.</x:v>
      </x:c>
      <x:c r="L191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191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191" s="5" t="str">
        <x:v>Директор/руководитель учебного подразделения; HR/L&amp;D; владелец программы; закупщик услуг</x:v>
      </x:c>
      <x:c r="O191" s="5" t="str">
        <x:v>https://www.erg.kz/ru/career</x:v>
      </x:c>
      <x:c r="P191" s="5" t="str">
        <x:v>https://www.erg.kz/ru/career</x:v>
      </x:c>
      <x:c r="Q191" s="5" t="str">
        <x:v>Официальный HR-раздел описывает ERG CU, академии лидерства и проектного управления, подготовку тренеров.</x:v>
      </x:c>
      <x:c r="R191" s="5" t="str">
        <x:v>content_read</x:v>
      </x:c>
      <x:c r="S191" s="12" t="n">
        <x:v>46296</x:v>
      </x:c>
      <x:c r="T191" s="5" t="str">
        <x:v>Существование образовательной структуры не доказывает открытый заказ; автоматический сбор и процедура допуска поставщиков не проверены.</x:v>
      </x:c>
      <x:c r="U19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191" s="5" t="str">
        <x:v>Корпоративный университет ERG; ТОО «Business &amp; Technology Services» / ERG; обучение; тренинг; внешний преподаватель; электронный курс; поставщик; оқыту; training</x:v>
      </x:c>
      <x:c r="W191" s="5" t="str">
        <x:v>Именованная структура с подтверждением; отбор по стране, очереди и типу. Это не оценка вероятности заказа.</x:v>
      </x:c>
      <x:c r="X191" s="5" t="str">
        <x:v>cu_kazakhstan.json:2</x:v>
      </x:c>
    </x:row>
    <x:row r="192" ht="54" customHeight="1">
      <x:c r="A192" s="5" t="str">
        <x:v>CU-0187</x:v>
      </x:c>
      <x:c r="B192" s="5" t="str">
        <x:v>main_200</x:v>
      </x:c>
      <x:c r="C192" s="5" t="str">
        <x:v>BI University</x:v>
      </x:c>
      <x:c r="D192" s="5" t="str">
        <x:v>KZ</x:v>
      </x:c>
      <x:c r="E192" s="5" t="str">
        <x:v>corporate_university</x:v>
      </x:c>
      <x:c r="F192" s="5" t="str">
        <x:v>BI University</x:v>
      </x:c>
      <x:c r="G192" s="5" t="str">
        <x:v>BI Group</x:v>
      </x:c>
      <x:c r="H192" s="5" t="str">
        <x:v>Астана</x:v>
      </x:c>
      <x:c r="I192" s="5" t="str">
        <x:v>Строительство и девелопмент</x:v>
      </x:c>
      <x:c r="J192" s="5" t="str">
        <x:v>Руководители, инженеры, бизнес-партнёры</x:v>
      </x:c>
      <x:c r="K192" s="5" t="str">
        <x:v>Высокая: управление, бережливое производство, бизнес-тренеры, цифровой контент.</x:v>
      </x:c>
      <x:c r="L192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192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192" s="5" t="str">
        <x:v>Директор/руководитель учебного подразделения; HR/L&amp;D; владелец программы; закупщик услуг</x:v>
      </x:c>
      <x:c r="O192" s="5" t="str">
        <x:v>https://www.biu.kz/</x:v>
      </x:c>
      <x:c r="P192" s="5" t="str">
        <x:v>https://biu.kz/us</x:v>
      </x:c>
      <x:c r="Q192" s="5" t="str">
        <x:v>Сайт называет BI University корпоративным университетом BI Group; видны управленческие программы и контакты.</x:v>
      </x:c>
      <x:c r="R192" s="5" t="str">
        <x:v>content_read</x:v>
      </x:c>
      <x:c r="S192" s="12" t="n">
        <x:v>46296</x:v>
      </x:c>
      <x:c r="T192" s="5" t="str">
        <x:v>Существование образовательной структуры не доказывает открытый заказ; автоматический сбор и процедура допуска поставщиков не проверены.</x:v>
      </x:c>
      <x:c r="U19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192" s="5" t="str">
        <x:v>BI University; BI University; обучение; тренинг; внешний преподаватель; электронный курс; поставщик; оқыту; training</x:v>
      </x:c>
      <x:c r="W192" s="5" t="str">
        <x:v>Именованная структура с подтверждением; отбор по стране, очереди и типу. Это не оценка вероятности заказа.</x:v>
      </x:c>
      <x:c r="X192" s="5" t="str">
        <x:v>cu_kazakhstan.json:3</x:v>
      </x:c>
    </x:row>
    <x:row r="193" ht="54" customHeight="1">
      <x:c r="A193" s="5" t="str">
        <x:v>CU-0188</x:v>
      </x:c>
      <x:c r="B193" s="5" t="str">
        <x:v>main_200</x:v>
      </x:c>
      <x:c r="C193" s="5" t="str">
        <x:v>Корпоративный университет Qarmet</x:v>
      </x:c>
      <x:c r="D193" s="5" t="str">
        <x:v>KZ</x:v>
      </x:c>
      <x:c r="E193" s="5" t="str">
        <x:v>corporate_university</x:v>
      </x:c>
      <x:c r="F193" s="5" t="str">
        <x:v>АО «Qarmet»</x:v>
      </x:c>
      <x:c r="G193" s="5" t="str">
        <x:v>Qarmet</x:v>
      </x:c>
      <x:c r="H193" s="5" t="str">
        <x:v>Темиртау</x:v>
      </x:c>
      <x:c r="I193" s="5" t="str">
        <x:v>Металлургия</x:v>
      </x:c>
      <x:c r="J193" s="5" t="str">
        <x:v>Руководители, специалисты, производственный персонал</x:v>
      </x:c>
      <x:c r="K193" s="5" t="str">
        <x:v>Высокая: управленческие модули, стрессоустойчивость, цифровизация обучения.</x:v>
      </x:c>
      <x:c r="L193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193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193" s="5" t="str">
        <x:v>Директор/руководитель учебного подразделения; HR/L&amp;D; владелец программы; закупщик услуг</x:v>
      </x:c>
      <x:c r="O193" s="5" t="str">
        <x:v>https://qarmet.kz/ru/</x:v>
      </x:c>
      <x:c r="P193" s="5" t="str">
        <x:v>https://qarmet.kz/ru/</x:v>
      </x:c>
      <x:c r="Q193" s="5" t="str">
        <x:v>Сайт содержит отдельный блок КУ, учебные центры и программы hard/soft skills.</x:v>
      </x:c>
      <x:c r="R193" s="5" t="str">
        <x:v>content_read</x:v>
      </x:c>
      <x:c r="S193" s="12" t="n">
        <x:v>46296</x:v>
      </x:c>
      <x:c r="T193" s="5" t="str">
        <x:v>Существование образовательной структуры не доказывает открытый заказ; автоматический сбор и процедура допуска поставщиков не проверены.</x:v>
      </x:c>
      <x:c r="U19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193" s="5" t="str">
        <x:v>Корпоративный университет Qarmet; АО «Qarmet»; обучение; тренинг; внешний преподаватель; электронный курс; поставщик; оқыту; training</x:v>
      </x:c>
      <x:c r="W193" s="5" t="str">
        <x:v>Именованная структура с подтверждением; отбор по стране, очереди и типу. Это не оценка вероятности заказа.</x:v>
      </x:c>
      <x:c r="X193" s="5" t="str">
        <x:v>cu_kazakhstan.json:4</x:v>
      </x:c>
    </x:row>
    <x:row r="194" ht="54" customHeight="1">
      <x:c r="A194" s="5" t="str">
        <x:v>CU-0189</x:v>
      </x:c>
      <x:c r="B194" s="5" t="str">
        <x:v>main_200</x:v>
      </x:c>
      <x:c r="C194" s="5" t="str">
        <x:v>Корпоративный университет QazTehna</x:v>
      </x:c>
      <x:c r="D194" s="5" t="str">
        <x:v>KZ</x:v>
      </x:c>
      <x:c r="E194" s="5" t="str">
        <x:v>corporate_university</x:v>
      </x:c>
      <x:c r="F194" s="5" t="str">
        <x:v>ТОО «QazTehna»</x:v>
      </x:c>
      <x:c r="G194" s="5" t="str">
        <x:v>QazTehna</x:v>
      </x:c>
      <x:c r="H194" s="5" t="str">
        <x:v>Сарань</x:v>
      </x:c>
      <x:c r="I194" s="5" t="str">
        <x:v>Автомобилестроение</x:v>
      </x:c>
      <x:c r="J194" s="5" t="str">
        <x:v>Все уровни руководителей и специалистов</x:v>
      </x:c>
      <x:c r="K194" s="5" t="str">
        <x:v>Высокая: управление производством, наставничество, учебный контент.</x:v>
      </x:c>
      <x:c r="L194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194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194" s="5" t="str">
        <x:v>Директор/руководитель учебного подразделения; HR/L&amp;D; владелец программы; закупщик услуг</x:v>
      </x:c>
      <x:c r="O194" s="5" t="str">
        <x:v>https://university.qaztehna.kz/</x:v>
      </x:c>
      <x:c r="P194" s="5" t="str">
        <x:v>https://university.qaztehna.kz/ob-universitete/</x:v>
      </x:c>
      <x:c r="Q194" s="5" t="str">
        <x:v>Официальное описание: образовательное подразделение управления по работе с персоналом для руководителей и специалистов.</x:v>
      </x:c>
      <x:c r="R194" s="5" t="str">
        <x:v>search_index</x:v>
      </x:c>
      <x:c r="S194" s="12" t="n">
        <x:v>46296</x:v>
      </x:c>
      <x:c r="T194" s="5" t="str">
        <x:v>Существование образовательной структуры не доказывает открытый заказ; автоматический сбор и процедура допуска поставщиков не проверены.</x:v>
      </x:c>
      <x:c r="U19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194" s="5" t="str">
        <x:v>Корпоративный университет QazTehna; ТОО «QazTehna»; обучение; тренинг; внешний преподаватель; электронный курс; поставщик; оқыту; training</x:v>
      </x:c>
      <x:c r="W194" s="5" t="str">
        <x:v>Именованная структура с подтверждением; отбор по стране, очереди и типу. Это не оценка вероятности заказа.</x:v>
      </x:c>
      <x:c r="X194" s="5" t="str">
        <x:v>cu_kazakhstan.json:5</x:v>
      </x:c>
    </x:row>
    <x:row r="195" ht="54" customHeight="1">
      <x:c r="A195" s="5" t="str">
        <x:v>CU-0190</x:v>
      </x:c>
      <x:c r="B195" s="5" t="str">
        <x:v>main_200</x:v>
      </x:c>
      <x:c r="C195" s="5" t="str">
        <x:v>Корпоративный университет АО «КазНИИСА»</x:v>
      </x:c>
      <x:c r="D195" s="5" t="str">
        <x:v>KZ</x:v>
      </x:c>
      <x:c r="E195" s="5" t="str">
        <x:v>corporate_university</x:v>
      </x:c>
      <x:c r="F195" s="5" t="str">
        <x:v>АО «КазНИИСА»</x:v>
      </x:c>
      <x:c r="G195" s="5" t="str">
        <x:v>КазНИИСА</x:v>
      </x:c>
      <x:c r="H195" s="5" t="str">
        <x:v>Алматы</x:v>
      </x:c>
      <x:c r="I195" s="5" t="str">
        <x:v>Строительство и инженерия</x:v>
      </x:c>
      <x:c r="J195" s="5" t="str">
        <x:v>ИТР проектных, строительных и экспертных организаций</x:v>
      </x:c>
      <x:c r="K195" s="5" t="str">
        <x:v>Условная: партнёрские управленческие, договорные и проектные модули для ИТР.</x:v>
      </x:c>
      <x:c r="L195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195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195" s="5" t="str">
        <x:v>Директор/руководитель учебного подразделения; HR/L&amp;D; владелец программы; закупщик услуг</x:v>
      </x:c>
      <x:c r="O195" s="5" t="str">
        <x:v>https://kazniisa.kz/centres/corporate-university</x:v>
      </x:c>
      <x:c r="P195" s="5" t="str">
        <x:v>https://kazniisa.kz/centres/corporate-university</x:v>
      </x:c>
      <x:c r="Q195" s="5" t="str">
        <x:v>Официальная страница описывает КУ и повышение квалификации инженерно-технических работников.</x:v>
      </x:c>
      <x:c r="R195" s="5" t="str">
        <x:v>search_index</x:v>
      </x:c>
      <x:c r="S195" s="12" t="n">
        <x:v>46296</x:v>
      </x:c>
      <x:c r="T195" s="5" t="str">
        <x:v>Преимущественно техническое регулирование и аттестация; профильный контент требует отраслевых экспертов. Открытие страницы вернуло ошибку; индекс доступен.</x:v>
      </x:c>
      <x:c r="U19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195" s="5" t="str">
        <x:v>Корпоративный университет АО «КазНИИСА»; АО «КазНИИСА»; обучение; тренинг; внешний преподаватель; электронный курс; поставщик; оқыту; training</x:v>
      </x:c>
      <x:c r="W195" s="5" t="str">
        <x:v>Именованная структура с подтверждением; отбор по стране, очереди и типу. Это не оценка вероятности заказа.</x:v>
      </x:c>
      <x:c r="X195" s="5" t="str">
        <x:v>cu_kazakhstan.json:6</x:v>
      </x:c>
    </x:row>
    <x:row r="196" ht="54" customHeight="1">
      <x:c r="A196" s="5" t="str">
        <x:v>CU-0191</x:v>
      </x:c>
      <x:c r="B196" s="5" t="str">
        <x:v>main_200</x:v>
      </x:c>
      <x:c r="C196" s="5" t="str">
        <x:v>Корпоративный университет АҚҚУ</x:v>
      </x:c>
      <x:c r="D196" s="5" t="str">
        <x:v>KZ</x:v>
      </x:c>
      <x:c r="E196" s="5" t="str">
        <x:v>corporate_university</x:v>
      </x:c>
      <x:c r="F196" s="5" t="str">
        <x:v>Alina Group</x:v>
      </x:c>
      <x:c r="G196" s="5" t="str">
        <x:v>Alina Group</x:v>
      </x:c>
      <x:c r="H196" s="5" t="str">
        <x:v>Не установлено</x:v>
      </x:c>
      <x:c r="I196" s="5" t="str">
        <x:v>Строительные материалы</x:v>
      </x:c>
      <x:c r="J196" s="5" t="str">
        <x:v>Работники, руководители, партнёры</x:v>
      </x:c>
      <x:c r="K196" s="5" t="str">
        <x:v>Высокая: продажи, управление, корпоративная культура и контент.</x:v>
      </x:c>
      <x:c r="L196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196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196" s="5" t="str">
        <x:v>Директор/руководитель учебного подразделения; HR/L&amp;D; владелец программы; закупщик услуг</x:v>
      </x:c>
      <x:c r="O196" s="5" t="str">
        <x:v>https://alina.kz/akku/</x:v>
      </x:c>
      <x:c r="P196" s="5" t="str">
        <x:v>https://alina.kz/akku/</x:v>
      </x:c>
      <x:c r="Q196" s="5" t="str">
        <x:v>Официальная страница в поисковом индексе называет корпоративный университет Аққу и направления обучения.</x:v>
      </x:c>
      <x:c r="R196" s="5" t="str">
        <x:v>search_index</x:v>
      </x:c>
      <x:c r="S196" s="12" t="n">
        <x:v>46296</x:v>
      </x:c>
      <x:c r="T196" s="5" t="str">
        <x:v>При открытии 502; сохранить и повторить. Актуальная юридическая структура собственника требует сверки.</x:v>
      </x:c>
      <x:c r="U19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196" s="5" t="str">
        <x:v>Корпоративный университет АҚҚУ; Alina Group; обучение; тренинг; внешний преподаватель; электронный курс; поставщик; оқыту; training</x:v>
      </x:c>
      <x:c r="W196" s="5" t="str">
        <x:v>Именованная структура с подтверждением; отбор по стране, очереди и типу. Это не оценка вероятности заказа.</x:v>
      </x:c>
      <x:c r="X196" s="5" t="str">
        <x:v>cu_kazakhstan.json:7</x:v>
      </x:c>
    </x:row>
    <x:row r="197" ht="54" customHeight="1">
      <x:c r="A197" s="5" t="str">
        <x:v>CU-0192</x:v>
      </x:c>
      <x:c r="B197" s="5" t="str">
        <x:v>main_200</x:v>
      </x:c>
      <x:c r="C197" s="5" t="str">
        <x:v>Казахстанский ядерный университет</x:v>
      </x:c>
      <x:c r="D197" s="5" t="str">
        <x:v>KZ</x:v>
      </x:c>
      <x:c r="E197" s="5" t="str">
        <x:v>corporate_university</x:v>
      </x:c>
      <x:c r="F197" s="5" t="str">
        <x:v>Филиал ТОО «Институт высоких технологий»</x:v>
      </x:c>
      <x:c r="G197" s="5" t="str">
        <x:v>Казатомпром</x:v>
      </x:c>
      <x:c r="H197" s="5" t="str">
        <x:v>Алматы</x:v>
      </x:c>
      <x:c r="I197" s="5" t="str">
        <x:v>Атомная промышленность</x:v>
      </x:c>
      <x:c r="J197" s="5" t="str">
        <x:v>Руководители, специалисты, персонал группы</x:v>
      </x:c>
      <x:c r="K197" s="5" t="str">
        <x:v>Высокая: функциональные компетенции, менеджмент, обучение тренеров и электронные программы.</x:v>
      </x:c>
      <x:c r="L197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197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197" s="5" t="str">
        <x:v>Директор/руководитель учебного подразделения; HR/L&amp;D; владелец программы; закупщик услуг</x:v>
      </x:c>
      <x:c r="O197" s="5" t="str">
        <x:v>https://knu.kazatomprom.kz/ru</x:v>
      </x:c>
      <x:c r="P197" s="5" t="str">
        <x:v>https://iht.kazatomprom.kz/ru/subcontent/kazahstanskiy-yadernyy-universitet-40</x:v>
      </x:c>
      <x:c r="Q197" s="5" t="str">
        <x:v>Официальные ресурсы подтверждают КЯУ как филиал ИВТ; сайт имеет функциональные и академические программы.</x:v>
      </x:c>
      <x:c r="R197" s="5" t="str">
        <x:v>content_read</x:v>
      </x:c>
      <x:c r="S197" s="12" t="n">
        <x:v>46296</x:v>
      </x:c>
      <x:c r="T197" s="5" t="str">
        <x:v>Существование образовательной структуры не доказывает открытый заказ; автоматический сбор и процедура допуска поставщиков не проверены.</x:v>
      </x:c>
      <x:c r="U19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197" s="5" t="str">
        <x:v>Казахстанский ядерный университет; Филиал ТОО «Институт высоких технологий»; обучение; тренинг; внешний преподаватель; электронный курс; поставщик; оқыту; training</x:v>
      </x:c>
      <x:c r="W197" s="5" t="str">
        <x:v>Именованная структура с подтверждением; отбор по стране, очереди и типу. Это не оценка вероятности заказа.</x:v>
      </x:c>
      <x:c r="X197" s="5" t="str">
        <x:v>cu_kazakhstan.json:8</x:v>
      </x:c>
    </x:row>
    <x:row r="198" ht="54" customHeight="1">
      <x:c r="A198" s="5" t="str">
        <x:v>CU-0193</x:v>
      </x:c>
      <x:c r="B198" s="5" t="str">
        <x:v>main_200</x:v>
      </x:c>
      <x:c r="C198" s="5" t="str">
        <x:v>Корпоративный университет Управления трудовых ресурсов Казцинк</x:v>
      </x:c>
      <x:c r="D198" s="5" t="str">
        <x:v>KZ</x:v>
      </x:c>
      <x:c r="E198" s="5" t="str">
        <x:v>corporate_university</x:v>
      </x:c>
      <x:c r="F198" s="5" t="str">
        <x:v>ТОО «Казцинк»</x:v>
      </x:c>
      <x:c r="G198" s="5" t="str">
        <x:v>Казцинк</x:v>
      </x:c>
      <x:c r="H198" s="5" t="str">
        <x:v>Усть-Каменогорск</x:v>
      </x:c>
      <x:c r="I198" s="5" t="str">
        <x:v>Горно-металлургический комплекс</x:v>
      </x:c>
      <x:c r="J198" s="5" t="str">
        <x:v>Руководители, специалисты, рабочие</x:v>
      </x:c>
      <x:c r="K198" s="5" t="str">
        <x:v>Высокая: школы менеджмента, функциональное обучение, разработка курсов.</x:v>
      </x:c>
      <x:c r="L198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198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198" s="5" t="str">
        <x:v>Директор/руководитель учебного подразделения; HR/L&amp;D; владелец программы; закупщик услуг</x:v>
      </x:c>
      <x:c r="O198" s="5" t="str">
        <x:v>https://www.kazzinc.com/eng/stazhirovka-i-karera</x:v>
      </x:c>
      <x:c r="P198" s="5" t="str">
        <x:v>https://www.erg.kz/files/%D0%9E%D0%B1%D0%B7%D0%BE%D1%80_%D0%9A%D0%A3_%D0%93%D0%9C%D0%9A_%D0%92%D0%A1_31.07.2025_RU.pdf</x:v>
      </x:c>
      <x:c r="Q198" s="5" t="str">
        <x:v>Отраслевой обзор ERG, согласованный с участниками: отдельный профиль КУ Казцинк, с.43–46 PDF.</x:v>
      </x:c>
      <x:c r="R198" s="5" t="str">
        <x:v>content_read</x:v>
      </x:c>
      <x:c r="S198" s="12" t="n">
        <x:v>46296</x:v>
      </x:c>
      <x:c r="T198" s="5" t="str">
        <x:v>Доказательство структуры находится в совместном отраслевом обзоре; основной адрес — корпоративный HR-шлюз, не отдельный сайт КУ.</x:v>
      </x:c>
      <x:c r="U19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198" s="5" t="str">
        <x:v>Корпоративный университет Управления трудовых ресурсов Казцинк; ТОО «Казцинк»; обучение; тренинг; внешний преподаватель; электронный курс; поставщик; оқыту; training</x:v>
      </x:c>
      <x:c r="W198" s="5" t="str">
        <x:v>Именованная структура с подтверждением; отбор по стране, очереди и типу. Это не оценка вероятности заказа.</x:v>
      </x:c>
      <x:c r="X198" s="5" t="str">
        <x:v>cu_kazakhstan.json:9</x:v>
      </x:c>
    </x:row>
    <x:row r="199" ht="54" customHeight="1">
      <x:c r="A199" s="5" t="str">
        <x:v>CU-0194</x:v>
      </x:c>
      <x:c r="B199" s="5" t="str">
        <x:v>reserve</x:v>
      </x:c>
      <x:c r="C199" s="5" t="str">
        <x:v>Отдел обучения и развития персонала Казахмыс (система корпоративного обучения)</x:v>
      </x:c>
      <x:c r="D199" s="5" t="str">
        <x:v>KZ</x:v>
      </x:c>
      <x:c r="E199" s="5" t="str">
        <x:v>candidate</x:v>
      </x:c>
      <x:c r="F199" s="5" t="str">
        <x:v>ТОО «Корпорация Казахмыс»</x:v>
      </x:c>
      <x:c r="G199" s="5" t="str">
        <x:v>Казахмыс</x:v>
      </x:c>
      <x:c r="H199" s="5" t="str">
        <x:v>Караганда</x:v>
      </x:c>
      <x:c r="I199" s="5" t="str">
        <x:v>Горно-металлургический комплекс</x:v>
      </x:c>
      <x:c r="J199" s="5" t="str">
        <x:v>Руководители, специалисты, рабочие</x:v>
      </x:c>
      <x:c r="K199" s="5" t="str">
        <x:v>Высокая: управленческое обучение, развитие кадрового потенциала, электронные курсы.</x:v>
      </x:c>
      <x:c r="L199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199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199" s="5" t="str">
        <x:v>Директор/руководитель учебного подразделения; HR/L&amp;D; владелец программы; закупщик услуг</x:v>
      </x:c>
      <x:c r="O199" s="5" t="str">
        <x:v>https://www.kazakhmys.kz/ru</x:v>
      </x:c>
      <x:c r="P199" s="5" t="str">
        <x:v>https://www.erg.kz/files/%D0%9E%D0%B1%D0%B7%D0%BE%D1%80_%D0%9A%D0%A3_%D0%93%D0%9C%D0%9A_%D0%92%D0%A1_31.07.2025_RU.pdf</x:v>
      </x:c>
      <x:c r="Q199" s="5" t="str">
        <x:v>Обзор ERG описывает именно отдел обучения и развития Казахмыс, а не самостоятельный университет.</x:v>
      </x:c>
      <x:c r="R199" s="5" t="str">
        <x:v>content_read</x:v>
      </x:c>
      <x:c r="S199" s="12" t="n">
        <x:v>46296</x:v>
      </x:c>
      <x:c r="T199" s="5" t="str">
        <x:v>РЕЗЕРВ: отдельный КУ/самостоятельный корпоративный центр обучения персонала не доказан. Тип: функциональное учебное подразделение. Не превращать в отдельное юридическое лицо или приписывать официальный бренд КУ.</x:v>
      </x:c>
      <x:c r="U19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199" s="5" t="str">
        <x:v>Отдел обучения и развития персонала Казахмыс (система корпоративного обучения); ТОО «Корпорация Казахмыс»; обучение; тренинг; внешний преподаватель; электронный курс; поставщик; оқыту; training</x:v>
      </x:c>
      <x:c r="W199" s="5" t="str">
        <x:v>Требуется уточнение статуса, структуры или самостоятельности; все каналы сохранены.</x:v>
      </x:c>
      <x:c r="X199" s="5" t="str">
        <x:v>cu_kazakhstan.json:10</x:v>
      </x:c>
    </x:row>
    <x:row r="200" ht="54" customHeight="1">
      <x:c r="A200" s="5" t="str">
        <x:v>CU-0195</x:v>
      </x:c>
      <x:c r="B200" s="5" t="str">
        <x:v>main_200</x:v>
      </x:c>
      <x:c r="C200" s="5" t="str">
        <x:v>Учебный центр АО «АК Алтыналмас»</x:v>
      </x:c>
      <x:c r="D200" s="5" t="str">
        <x:v>KZ</x:v>
      </x:c>
      <x:c r="E200" s="5" t="str">
        <x:v>company_training_center</x:v>
      </x:c>
      <x:c r="F200" s="5" t="str">
        <x:v>АО «АК Алтыналмас»</x:v>
      </x:c>
      <x:c r="G200" s="5" t="str">
        <x:v>Алтыналмас</x:v>
      </x:c>
      <x:c r="H200" s="5" t="str">
        <x:v>Не установлено</x:v>
      </x:c>
      <x:c r="I200" s="5" t="str">
        <x:v>Золотодобыча</x:v>
      </x:c>
      <x:c r="J200" s="5" t="str">
        <x:v>Производственный персонал и специалисты</x:v>
      </x:c>
      <x:c r="K200" s="5" t="str">
        <x:v>Условная: руководители, наставники, методология и цифровой учебный контент.</x:v>
      </x:c>
      <x:c r="L200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00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00" s="5" t="str">
        <x:v>Директор/руководитель учебного подразделения; HR/L&amp;D; владелец программы; закупщик услуг</x:v>
      </x:c>
      <x:c r="O200" s="5" t="str">
        <x:v>https://www.altynalmas.kz/blog/news/73</x:v>
      </x:c>
      <x:c r="P200" s="5" t="str">
        <x:v>https://www.altynalmas.kz/blog/news/73</x:v>
      </x:c>
      <x:c r="Q200" s="5" t="str">
        <x:v>Компания сообщает об открытии собственного учебного центра и развитии квалификации сотрудников.</x:v>
      </x:c>
      <x:c r="R200" s="5" t="str">
        <x:v>search_index</x:v>
      </x:c>
      <x:c r="S200" s="12" t="n">
        <x:v>46296</x:v>
      </x:c>
      <x:c r="T200" s="5" t="str">
        <x:v>Базовое подтверждение касается преимущественно производственного обучения; отделять его от спроса на бизнес-обучение.</x:v>
      </x:c>
      <x:c r="U20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00" s="5" t="str">
        <x:v>Учебный центр АО «АК Алтыналмас»; АО «АК Алтыналмас»; обучение; тренинг; внешний преподаватель; электронный курс; поставщик; оқыту; training</x:v>
      </x:c>
      <x:c r="W200" s="5" t="str">
        <x:v>Именованная структура с подтверждением; отбор по стране, очереди и типу. Это не оценка вероятности заказа.</x:v>
      </x:c>
      <x:c r="X200" s="5" t="str">
        <x:v>cu_kazakhstan.json:11</x:v>
      </x:c>
    </x:row>
    <x:row r="201" ht="54" customHeight="1">
      <x:c r="A201" s="5" t="str">
        <x:v>CU-0196</x:v>
      </x:c>
      <x:c r="B201" s="5" t="str">
        <x:v>main_200</x:v>
      </x:c>
      <x:c r="C201" s="5" t="str">
        <x:v>Центр оценки и развития персонала железнодорожного транспорта ҚТЖ</x:v>
      </x:c>
      <x:c r="D201" s="5" t="str">
        <x:v>KZ</x:v>
      </x:c>
      <x:c r="E201" s="5" t="str">
        <x:v>company_training_center</x:v>
      </x:c>
      <x:c r="F201" s="5" t="str">
        <x:v>Филиал АО «НК «ҚТЖ»</x:v>
      </x:c>
      <x:c r="G201" s="5" t="str">
        <x:v>Қазақстан темір жолы</x:v>
      </x:c>
      <x:c r="H201" s="5" t="str">
        <x:v>Астана</x:v>
      </x:c>
      <x:c r="I201" s="5" t="str">
        <x:v>Железнодорожный транспорт</x:v>
      </x:c>
      <x:c r="J201" s="5" t="str">
        <x:v>Работники железнодорожного транспорта</x:v>
      </x:c>
      <x:c r="K201" s="5" t="str">
        <x:v>Высокая/условная: методология, обучение специалистов и руководителей, цифровые курсы; не рабочие профессии.</x:v>
      </x:c>
      <x:c r="L201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01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01" s="5" t="str">
        <x:v>Директор/руководитель учебного подразделения; HR/L&amp;D; владелец программы; закупщик услуг</x:v>
      </x:c>
      <x:c r="O201" s="5" t="str">
        <x:v>https://edutransport.railways.kz/</x:v>
      </x:c>
      <x:c r="P201" s="5" t="str">
        <x:v>https://edutransport.railways.kz/</x:v>
      </x:c>
      <x:c r="Q201" s="5" t="str">
        <x:v>Официальный образовательный портал называет центр и содержит онлайн-курсы, расписание, новости и региональные центры.</x:v>
      </x:c>
      <x:c r="R201" s="5" t="str">
        <x:v>content_read</x:v>
      </x:c>
      <x:c r="S201" s="12" t="n">
        <x:v>46296</x:v>
      </x:c>
      <x:c r="T201" s="5" t="str">
        <x:v>Существование образовательной структуры не доказывает открытый заказ; автоматический сбор и процедура допуска поставщиков не проверены.</x:v>
      </x:c>
      <x:c r="U20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01" s="5" t="str">
        <x:v>Центр оценки и развития персонала железнодорожного транспорта ҚТЖ; Филиал АО «НК «ҚТЖ»; обучение; тренинг; внешний преподаватель; электронный курс; поставщик; оқыту; training</x:v>
      </x:c>
      <x:c r="W201" s="5" t="str">
        <x:v>Именованная структура с подтверждением; отбор по стране, очереди и типу. Это не оценка вероятности заказа.</x:v>
      </x:c>
      <x:c r="X201" s="5" t="str">
        <x:v>cu_kazakhstan.json:12</x:v>
      </x:c>
    </x:row>
    <x:row r="202" ht="54" customHeight="1">
      <x:c r="A202" s="5" t="str">
        <x:v>CU-0197</x:v>
      </x:c>
      <x:c r="B202" s="5" t="str">
        <x:v>main_200</x:v>
      </x:c>
      <x:c r="C202" s="5" t="str">
        <x:v>Корпоративный университет Казахтелеком / Дирекция «Академия инфокоммуникационных технологий»</x:v>
      </x:c>
      <x:c r="D202" s="5" t="str">
        <x:v>KZ</x:v>
      </x:c>
      <x:c r="E202" s="5" t="str">
        <x:v>corporate_university</x:v>
      </x:c>
      <x:c r="F202" s="5" t="str">
        <x:v>АО «Казахтелеком»</x:v>
      </x:c>
      <x:c r="G202" s="5" t="str">
        <x:v>Казахтелеком</x:v>
      </x:c>
      <x:c r="H202" s="5" t="str">
        <x:v>Не установлено</x:v>
      </x:c>
      <x:c r="I202" s="5" t="str">
        <x:v>Телекоммуникации</x:v>
      </x:c>
      <x:c r="J202" s="5" t="str">
        <x:v>Сотрудники компании, специалисты и руководители; студенты партнёрских программ</x:v>
      </x:c>
      <x:c r="K202" s="5" t="str">
        <x:v>Высокая: управление, HR, сервис, продажи, цифровое обучение.</x:v>
      </x:c>
      <x:c r="L202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02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02" s="5" t="str">
        <x:v>Директор/руководитель учебного подразделения; HR/L&amp;D; владелец программы; закупщик услуг</x:v>
      </x:c>
      <x:c r="O202" s="5" t="str">
        <x:v>https://telecom.kz/ru/pages/11865/172287</x:v>
      </x:c>
      <x:c r="P202" s="5" t="str">
        <x:v>https://ar2023.telecom.kz/ru/short-profile.html</x:v>
      </x:c>
      <x:c r="Q202" s="5" t="str">
        <x:v>Годовой отчёт называет КУ/Дирекцию академии; отдельные отчёты описывают Центр знаний и сотрудничество с Astana IT University.</x:v>
      </x:c>
      <x:c r="R202" s="5" t="str">
        <x:v>search_index</x:v>
      </x:c>
      <x:c r="S202" s="12" t="n">
        <x:v>46296</x:v>
      </x:c>
      <x:c r="T202" s="5" t="str">
        <x:v>В источниках сосуществуют названия академии, КУ и студенческой площадки на базе AITU. Сверить оргструктуру, не создавать три независимых КУ.</x:v>
      </x:c>
      <x:c r="U20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02" s="5" t="str">
        <x:v>Корпоративный университет Казахтелеком / Дирекция «Академия инфокоммуникационных технологий»; АО «Казахтелеком»; обучение; тренинг; внешний преподаватель; электронный курс; поставщик; оқыту; training</x:v>
      </x:c>
      <x:c r="W202" s="5" t="str">
        <x:v>Именованная структура с подтверждением; отбор по стране, очереди и типу. Это не оценка вероятности заказа.</x:v>
      </x:c>
      <x:c r="X202" s="5" t="str">
        <x:v>cu_kazakhstan.json:13</x:v>
      </x:c>
    </x:row>
    <x:row r="203" ht="54" customHeight="1">
      <x:c r="A203" s="5" t="str">
        <x:v>CU-0198</x:v>
      </x:c>
      <x:c r="B203" s="5" t="str">
        <x:v>main_200</x:v>
      </x:c>
      <x:c r="C203" s="5" t="str">
        <x:v>Учебный центр и направление развития компетенций НТЦ QazaqGaz</x:v>
      </x:c>
      <x:c r="D203" s="5" t="str">
        <x:v>KZ</x:v>
      </x:c>
      <x:c r="E203" s="5" t="str">
        <x:v>company_training_center</x:v>
      </x:c>
      <x:c r="F203" s="5" t="str">
        <x:v>ТОО «QazaqGaz Научно-технический центр»</x:v>
      </x:c>
      <x:c r="G203" s="5" t="str">
        <x:v>QazaqGaz</x:v>
      </x:c>
      <x:c r="H203" s="5" t="str">
        <x:v>Астана</x:v>
      </x:c>
      <x:c r="I203" s="5" t="str">
        <x:v>Газовая отрасль</x:v>
      </x:c>
      <x:c r="J203" s="5" t="str">
        <x:v>Персонал дочерних компаний QazaqGaz</x:v>
      </x:c>
      <x:c r="K203" s="5" t="str">
        <x:v>Высокая: цифровой учебный контент, кадровый резерв, методология.</x:v>
      </x:c>
      <x:c r="L203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03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03" s="5" t="str">
        <x:v>Директор/руководитель учебного подразделения; HR/L&amp;D; владелец программы; закупщик услуг</x:v>
      </x:c>
      <x:c r="O203" s="5" t="str">
        <x:v>https://qgrnd.kz/direction/or/</x:v>
      </x:c>
      <x:c r="P203" s="5" t="str">
        <x:v>https://qgrnd.kz/direction/or/</x:v>
      </x:c>
      <x:c r="Q203" s="5" t="str">
        <x:v>Официально описаны учебный центр, LMS, цифровые курсы и кадровый резерв.</x:v>
      </x:c>
      <x:c r="R203" s="5" t="str">
        <x:v>content_read</x:v>
      </x:c>
      <x:c r="S203" s="12" t="n">
        <x:v>46296</x:v>
      </x:c>
      <x:c r="T203" s="5" t="str">
        <x:v>Существование образовательной структуры не доказывает открытый заказ; автоматический сбор и процедура допуска поставщиков не проверены.</x:v>
      </x:c>
      <x:c r="U20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03" s="5" t="str">
        <x:v>Учебный центр и направление развития компетенций НТЦ QazaqGaz; ТОО «QazaqGaz Научно-технический центр»; обучение; тренинг; внешний преподаватель; электронный курс; поставщик; оқыту; training</x:v>
      </x:c>
      <x:c r="W203" s="5" t="str">
        <x:v>Именованная структура с подтверждением; отбор по стране, очереди и типу. Это не оценка вероятности заказа.</x:v>
      </x:c>
      <x:c r="X203" s="5" t="str">
        <x:v>cu_kazakhstan.json:14</x:v>
      </x:c>
    </x:row>
    <x:row r="204" ht="54" customHeight="1">
      <x:c r="A204" s="5" t="str">
        <x:v>CU-0199</x:v>
      </x:c>
      <x:c r="B204" s="5" t="str">
        <x:v>main_200</x:v>
      </x:c>
      <x:c r="C204" s="5" t="str">
        <x:v>Учебно-курсовой комбинат Интергаз Центральная Азия</x:v>
      </x:c>
      <x:c r="D204" s="5" t="str">
        <x:v>KZ</x:v>
      </x:c>
      <x:c r="E204" s="5" t="str">
        <x:v>company_training_center</x:v>
      </x:c>
      <x:c r="F204" s="5" t="str">
        <x:v>АО «Интергаз Центральная Азия»</x:v>
      </x:c>
      <x:c r="G204" s="5" t="str">
        <x:v>QazaqGaz</x:v>
      </x:c>
      <x:c r="H204" s="5" t="str">
        <x:v>Шымкент</x:v>
      </x:c>
      <x:c r="I204" s="5" t="str">
        <x:v>Газотранспорт</x:v>
      </x:c>
      <x:c r="J204" s="5" t="str">
        <x:v>Газотранспортный персонал, ИТР</x:v>
      </x:c>
      <x:c r="K204" s="5" t="str">
        <x:v>Условная: обучение руководителей и ИТР, наставничество, разработка контента.</x:v>
      </x:c>
      <x:c r="L204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04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04" s="5" t="str">
        <x:v>Директор/руководитель учебного подразделения; HR/L&amp;D; владелец программы; закупщик услуг</x:v>
      </x:c>
      <x:c r="O204" s="5" t="str">
        <x:v>https://intergas.kz/ru/ukk/</x:v>
      </x:c>
      <x:c r="P204" s="5" t="str">
        <x:v>https://intergas.kz/ru/ukk/</x:v>
      </x:c>
      <x:c r="Q204" s="5" t="str">
        <x:v>Официальный сайт выделяет учебно-курсовой комбинат как подразделение компании.</x:v>
      </x:c>
      <x:c r="R204" s="5" t="str">
        <x:v>search_index</x:v>
      </x:c>
      <x:c r="S204" s="12" t="n">
        <x:v>46296</x:v>
      </x:c>
      <x:c r="T204" s="5" t="str">
        <x:v>Производственный профиль; с НТЦ QazaqGaz связать общую группу, но сохранять отдельный закупочный контур.</x:v>
      </x:c>
      <x:c r="U20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04" s="5" t="str">
        <x:v>Учебно-курсовой комбинат Интергаз Центральная Азия; АО «Интергаз Центральная Азия»; обучение; тренинг; внешний преподаватель; электронный курс; поставщик; оқыту; training</x:v>
      </x:c>
      <x:c r="W204" s="5" t="str">
        <x:v>Именованная структура с подтверждением; отбор по стране, очереди и типу. Это не оценка вероятности заказа.</x:v>
      </x:c>
      <x:c r="X204" s="5" t="str">
        <x:v>cu_kazakhstan.json:15</x:v>
      </x:c>
    </x:row>
    <x:row r="205" ht="54" customHeight="1">
      <x:c r="A205" s="5" t="str">
        <x:v>CU-0200</x:v>
      </x:c>
      <x:c r="B205" s="5" t="str">
        <x:v>main_200</x:v>
      </x:c>
      <x:c r="C205" s="5" t="str">
        <x:v>Air Astana Training Centre / Flight Training Centre</x:v>
      </x:c>
      <x:c r="D205" s="5" t="str">
        <x:v>KZ</x:v>
      </x:c>
      <x:c r="E205" s="5" t="str">
        <x:v>company_training_center</x:v>
      </x:c>
      <x:c r="F205" s="5" t="str">
        <x:v>АО «Эйр Астана»</x:v>
      </x:c>
      <x:c r="G205" s="5" t="str">
        <x:v>Air Astana</x:v>
      </x:c>
      <x:c r="H205" s="5" t="str">
        <x:v>Астана</x:v>
      </x:c>
      <x:c r="I205" s="5" t="str">
        <x:v>Авиация</x:v>
      </x:c>
      <x:c r="J205" s="5" t="str">
        <x:v>Лётный персонал и инструкторы</x:v>
      </x:c>
      <x:c r="K205" s="5" t="str">
        <x:v>Условная: подготовка инструкторов, коммуникации, менеджмент и цифровая методология.</x:v>
      </x:c>
      <x:c r="L205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05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05" s="5" t="str">
        <x:v>Директор/руководитель учебного подразделения; HR/L&amp;D; владелец программы; закупщик услуг</x:v>
      </x:c>
      <x:c r="O205" s="5" t="str">
        <x:v>https://ir.airastana.com/en/about-us/company-news/air-astana-commissions-new-flight-training-centre/</x:v>
      </x:c>
      <x:c r="P205" s="5" t="str">
        <x:v>https://ir.airastana.com/en/about-us/company-news/air-astana-commissions-new-flight-training-centre/</x:v>
      </x:c>
      <x:c r="Q205" s="5" t="str">
        <x:v>Официальная новость сообщает о вводе собственного Flight Training Centre.</x:v>
      </x:c>
      <x:c r="R205" s="5" t="str">
        <x:v>search_index</x:v>
      </x:c>
      <x:c r="S205" s="12" t="n">
        <x:v>46296</x:v>
      </x:c>
      <x:c r="T205" s="5" t="str">
        <x:v>Специальная лётная подготовка не профиль МИСБ; не считать её прямым совпадением.</x:v>
      </x:c>
      <x:c r="U20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05" s="5" t="str">
        <x:v>Air Astana Training Centre / Flight Training Centre; АО «Эйр Астана»; обучение; тренинг; внешний преподаватель; электронный курс; поставщик; оқыту; training</x:v>
      </x:c>
      <x:c r="W205" s="5" t="str">
        <x:v>Именованная структура с подтверждением; отбор по стране, очереди и типу. Это не оценка вероятности заказа.</x:v>
      </x:c>
      <x:c r="X205" s="5" t="str">
        <x:v>cu_kazakhstan.json:16</x:v>
      </x:c>
    </x:row>
    <x:row r="206" ht="54" customHeight="1">
      <x:c r="A206" s="5" t="str">
        <x:v>CU-0201</x:v>
      </x:c>
      <x:c r="B206" s="5" t="str">
        <x:v>main_200</x:v>
      </x:c>
      <x:c r="C206" s="5" t="str">
        <x:v>Авиационный учебный центр SCAT</x:v>
      </x:c>
      <x:c r="D206" s="5" t="str">
        <x:v>KZ</x:v>
      </x:c>
      <x:c r="E206" s="5" t="str">
        <x:v>company_training_center</x:v>
      </x:c>
      <x:c r="F206" s="5" t="str">
        <x:v>АО «Авиакомпания SCAT»</x:v>
      </x:c>
      <x:c r="G206" s="5" t="str">
        <x:v>SCAT</x:v>
      </x:c>
      <x:c r="H206" s="5" t="str">
        <x:v>Шымкент</x:v>
      </x:c>
      <x:c r="I206" s="5" t="str">
        <x:v>Авиация</x:v>
      </x:c>
      <x:c r="J206" s="5" t="str">
        <x:v>Авиационные специалисты и инструкторы</x:v>
      </x:c>
      <x:c r="K206" s="5" t="str">
        <x:v>Условная: обучение инструкторов, командные коммуникации, сервис, электронные модули.</x:v>
      </x:c>
      <x:c r="L206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06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06" s="5" t="str">
        <x:v>Директор/руководитель учебного подразделения; HR/L&amp;D; владелец программы; закупщик услуг</x:v>
      </x:c>
      <x:c r="O206" s="5" t="str">
        <x:v>https://www.scat.kz/ru/scat-aviation-training-center/</x:v>
      </x:c>
      <x:c r="P206" s="5" t="str">
        <x:v>https://www.scat.kz/ru/scat-aviation-training-center/</x:v>
      </x:c>
      <x:c r="Q206" s="5" t="str">
        <x:v>Официальная страница АУЦ содержит направления подготовки и сертификат центра.</x:v>
      </x:c>
      <x:c r="R206" s="5" t="str">
        <x:v>search_index</x:v>
      </x:c>
      <x:c r="S206" s="12" t="n">
        <x:v>46296</x:v>
      </x:c>
      <x:c r="T206" s="5" t="str">
        <x:v>Основной продукт — специальная авиационная подготовка; квалификационные допуски МИСБ не подтверждены.</x:v>
      </x:c>
      <x:c r="U20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06" s="5" t="str">
        <x:v>Авиационный учебный центр SCAT; АО «Авиакомпания SCAT»; обучение; тренинг; внешний преподаватель; электронный курс; поставщик; оқыту; training</x:v>
      </x:c>
      <x:c r="W206" s="5" t="str">
        <x:v>Именованная структура с подтверждением; отбор по стране, очереди и типу. Это не оценка вероятности заказа.</x:v>
      </x:c>
      <x:c r="X206" s="5" t="str">
        <x:v>cu_kazakhstan.json:17</x:v>
      </x:c>
    </x:row>
    <x:row r="207" ht="54" customHeight="1">
      <x:c r="A207" s="5" t="str">
        <x:v>CU-0202</x:v>
      </x:c>
      <x:c r="B207" s="5" t="str">
        <x:v>main_200</x:v>
      </x:c>
      <x:c r="C207" s="5" t="str">
        <x:v>Центр профессиональной подготовки Казаэронавигации</x:v>
      </x:c>
      <x:c r="D207" s="5" t="str">
        <x:v>KZ</x:v>
      </x:c>
      <x:c r="E207" s="5" t="str">
        <x:v>company_training_center</x:v>
      </x:c>
      <x:c r="F207" s="5" t="str">
        <x:v>РГП «Казаэронавигация»</x:v>
      </x:c>
      <x:c r="G207" s="5" t="str">
        <x:v>Казаэронавигация</x:v>
      </x:c>
      <x:c r="H207" s="5" t="str">
        <x:v>Алматы</x:v>
      </x:c>
      <x:c r="I207" s="5" t="str">
        <x:v>Аэронавигация</x:v>
      </x:c>
      <x:c r="J207" s="5" t="str">
        <x:v>Авиационные специалисты, инструкторы и методисты</x:v>
      </x:c>
      <x:c r="K207" s="5" t="str">
        <x:v>Условная/высокая: методология, тренеры, проектное управление и коммуникации.</x:v>
      </x:c>
      <x:c r="L207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07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07" s="5" t="str">
        <x:v>Директор/руководитель учебного подразделения; HR/L&amp;D; владелец программы; закупщик услуг</x:v>
      </x:c>
      <x:c r="O207" s="5" t="str">
        <x:v>https://training.ans.kz/</x:v>
      </x:c>
      <x:c r="P207" s="5" t="str">
        <x:v>https://training.ans.kz/ru/about</x:v>
      </x:c>
      <x:c r="Q207" s="5" t="str">
        <x:v>Сайт ЦПП подтверждает собственную базу подготовки персонала предприятия в Алматы.</x:v>
      </x:c>
      <x:c r="R207" s="5" t="str">
        <x:v>search_index</x:v>
      </x:c>
      <x:c r="S207" s="12" t="n">
        <x:v>46296</x:v>
      </x:c>
      <x:c r="T207" s="5" t="str">
        <x:v>Существование образовательной структуры не доказывает открытый заказ; автоматический сбор и процедура допуска поставщиков не проверены.</x:v>
      </x:c>
      <x:c r="U20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07" s="5" t="str">
        <x:v>Центр профессиональной подготовки Казаэронавигации; РГП «Казаэронавигация»; обучение; тренинг; внешний преподаватель; электронный курс; поставщик; оқыту; training</x:v>
      </x:c>
      <x:c r="W207" s="5" t="str">
        <x:v>Именованная структура с подтверждением; отбор по стране, очереди и типу. Это не оценка вероятности заказа.</x:v>
      </x:c>
      <x:c r="X207" s="5" t="str">
        <x:v>cu_kazakhstan.json:18</x:v>
      </x:c>
    </x:row>
    <x:row r="208" ht="54" customHeight="1">
      <x:c r="A208" s="5" t="str">
        <x:v>CU-0203</x:v>
      </x:c>
      <x:c r="B208" s="5" t="str">
        <x:v>main_200</x:v>
      </x:c>
      <x:c r="C208" s="5" t="str">
        <x:v>Airbus Helicopters Training Academy Kazakhstan</x:v>
      </x:c>
      <x:c r="D208" s="5" t="str">
        <x:v>KZ</x:v>
      </x:c>
      <x:c r="E208" s="5" t="str">
        <x:v>corporate_academy</x:v>
      </x:c>
      <x:c r="F208" s="5" t="str">
        <x:v>ТОО «Airbus Helicopters Kazakhstan Engineering»</x:v>
      </x:c>
      <x:c r="G208" s="5" t="str">
        <x:v>Airbus / Kazakhstan Engineering</x:v>
      </x:c>
      <x:c r="H208" s="5" t="str">
        <x:v>Астана</x:v>
      </x:c>
      <x:c r="I208" s="5" t="str">
        <x:v>Авиационное машиностроение</x:v>
      </x:c>
      <x:c r="J208" s="5" t="str">
        <x:v>Пилоты, техники, инструкторы</x:v>
      </x:c>
      <x:c r="K208" s="5" t="str">
        <x:v>Условная: методология и управленческие модули; специальная подготовка за пределами профиля.</x:v>
      </x:c>
      <x:c r="L208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08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08" s="5" t="str">
        <x:v>Директор/руководитель учебного подразделения; HR/L&amp;D; владелец программы; закупщик услуг</x:v>
      </x:c>
      <x:c r="O208" s="5" t="str">
        <x:v>https://www.airbus.com/en/products-services/helicopters/hcare-services/training-flight-operations/airbus-helicopters-training-academy-kazakhstan</x:v>
      </x:c>
      <x:c r="P208" s="5" t="str">
        <x:v>https://www.airbus.com/en/products-services/helicopters/hcare-services/training-flight-operations/airbus-helicopters-training-academy-kazakhstan</x:v>
      </x:c>
      <x:c r="Q208" s="5" t="str">
        <x:v>Airbus подтверждает учебную академию в Казахстане и обучение пилотов/техников.</x:v>
      </x:c>
      <x:c r="R208" s="5" t="str">
        <x:v>search_index</x:v>
      </x:c>
      <x:c r="S208" s="12" t="n">
        <x:v>46296</x:v>
      </x:c>
      <x:c r="T208" s="5" t="str">
        <x:v>Не путать с глобальной академией Airbus или другими странами.</x:v>
      </x:c>
      <x:c r="U20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08" s="5" t="str">
        <x:v>Airbus Helicopters Training Academy Kazakhstan; ТОО «Airbus Helicopters Kazakhstan Engineering»; обучение; тренинг; внешний преподаватель; электронный курс; поставщик; оқыту; training</x:v>
      </x:c>
      <x:c r="W208" s="5" t="str">
        <x:v>Именованная структура с подтверждением; отбор по стране, очереди и типу. Это не оценка вероятности заказа.</x:v>
      </x:c>
      <x:c r="X208" s="5" t="str">
        <x:v>cu_kazakhstan.json:19</x:v>
      </x:c>
    </x:row>
    <x:row r="209" ht="54" customHeight="1">
      <x:c r="A209" s="5" t="str">
        <x:v>CU-0204</x:v>
      </x:c>
      <x:c r="B209" s="5" t="str">
        <x:v>main_200</x:v>
      </x:c>
      <x:c r="C209" s="5" t="str">
        <x:v>Учебный центр КазТрансОйл в Актау</x:v>
      </x:c>
      <x:c r="D209" s="5" t="str">
        <x:v>KZ</x:v>
      </x:c>
      <x:c r="E209" s="5" t="str">
        <x:v>company_training_center</x:v>
      </x:c>
      <x:c r="F209" s="5" t="str">
        <x:v>АО «КазТрансОйл»</x:v>
      </x:c>
      <x:c r="G209" s="5" t="str">
        <x:v>КазМунайГаз</x:v>
      </x:c>
      <x:c r="H209" s="5" t="str">
        <x:v>Актау</x:v>
      </x:c>
      <x:c r="I209" s="5" t="str">
        <x:v>Нефтетранспорт</x:v>
      </x:c>
      <x:c r="J209" s="5" t="str">
        <x:v>Инженерно-технические специалисты и производственный персонал</x:v>
      </x:c>
      <x:c r="K209" s="5" t="str">
        <x:v>Условная: руководители, специалисты, наставники и цифровые курсы.</x:v>
      </x:c>
      <x:c r="L209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09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09" s="5" t="str">
        <x:v>Директор/руководитель учебного подразделения; HR/L&amp;D; владелец программы; закупщик услуг</x:v>
      </x:c>
      <x:c r="O209" s="5" t="str">
        <x:v>https://kaztransoil.kz/ru/</x:v>
      </x:c>
      <x:c r="P209" s="5" t="str">
        <x:v>https://www.kmg.kz/ru/press-center/press-releases/300-17-um/</x:v>
      </x:c>
      <x:c r="Q209" s="5" t="str">
        <x:v>КМГ прямо указывает учебный центр Мангистауского нефтепроводного управления как площадку конкурса.</x:v>
      </x:c>
      <x:c r="R209" s="5" t="str">
        <x:v>search_index</x:v>
      </x:c>
      <x:c r="S209" s="12" t="n">
        <x:v>46296</x:v>
      </x:c>
      <x:c r="T209" s="5" t="str">
        <x:v>Старые отчёты относят центр к филиалу ЦИР, новая новость — к Мангистаускому НПУ; сверить актуальную подчинённость. Не считать эти названия двумя КУ.</x:v>
      </x:c>
      <x:c r="U20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09" s="5" t="str">
        <x:v>Учебный центр КазТрансОйл в Актау; АО «КазТрансОйл»; обучение; тренинг; внешний преподаватель; электронный курс; поставщик; оқыту; training</x:v>
      </x:c>
      <x:c r="W209" s="5" t="str">
        <x:v>Именованная структура с подтверждением; отбор по стране, очереди и типу. Это не оценка вероятности заказа.</x:v>
      </x:c>
      <x:c r="X209" s="5" t="str">
        <x:v>cu_kazakhstan.json:20</x:v>
      </x:c>
    </x:row>
    <x:row r="210" ht="54" customHeight="1">
      <x:c r="A210" s="5" t="str">
        <x:v>CU-0205</x:v>
      </x:c>
      <x:c r="B210" s="5" t="str">
        <x:v>main_200</x:v>
      </x:c>
      <x:c r="C210" s="5" t="str">
        <x:v>Учебный центр KMG Automation</x:v>
      </x:c>
      <x:c r="D210" s="5" t="str">
        <x:v>KZ</x:v>
      </x:c>
      <x:c r="E210" s="5" t="str">
        <x:v>company_training_center</x:v>
      </x:c>
      <x:c r="F210" s="5" t="str">
        <x:v>ТОО «KMG Automation»</x:v>
      </x:c>
      <x:c r="G210" s="5" t="str">
        <x:v>KMG Automation / Schneider Electric Systems</x:v>
      </x:c>
      <x:c r="H210" s="5" t="str">
        <x:v>Атырау</x:v>
      </x:c>
      <x:c r="I210" s="5" t="str">
        <x:v>Промышленная автоматизация</x:v>
      </x:c>
      <x:c r="J210" s="5" t="str">
        <x:v>Инженеры и технические специалисты</x:v>
      </x:c>
      <x:c r="K210" s="5" t="str">
        <x:v>Условная: совместные проекты по цифровому производству и разработке учебных материалов.</x:v>
      </x:c>
      <x:c r="L210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10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10" s="5" t="str">
        <x:v>Директор/руководитель учебного подразделения; HR/L&amp;D; владелец программы; закупщик услуг</x:v>
      </x:c>
      <x:c r="O210" s="5" t="str">
        <x:v>https://www.kmga.kz/</x:v>
      </x:c>
      <x:c r="P210" s="5" t="str">
        <x:v>https://www.kmga.kz/</x:v>
      </x:c>
      <x:c r="Q210" s="5" t="str">
        <x:v>Сайт содержит учебный центр, контакт для записи и каталоги Foxboro/Triconex.</x:v>
      </x:c>
      <x:c r="R210" s="5" t="str">
        <x:v>content_read</x:v>
      </x:c>
      <x:c r="S210" s="12" t="n">
        <x:v>46296</x:v>
      </x:c>
      <x:c r="T210" s="5" t="str">
        <x:v>Преимущественно обучение продуктам; точная текущая структура капитала не проверялась.</x:v>
      </x:c>
      <x:c r="U21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10" s="5" t="str">
        <x:v>Учебный центр KMG Automation; ТОО «KMG Automation»; обучение; тренинг; внешний преподаватель; электронный курс; поставщик; оқыту; training</x:v>
      </x:c>
      <x:c r="W210" s="5" t="str">
        <x:v>Именованная структура с подтверждением; отбор по стране, очереди и типу. Это не оценка вероятности заказа.</x:v>
      </x:c>
      <x:c r="X210" s="5" t="str">
        <x:v>cu_kazakhstan.json:21</x:v>
      </x:c>
    </x:row>
    <x:row r="211" ht="54" customHeight="1">
      <x:c r="A211" s="5" t="str">
        <x:v>CU-0206</x:v>
      </x:c>
      <x:c r="B211" s="5" t="str">
        <x:v>main_200</x:v>
      </x:c>
      <x:c r="C211" s="5" t="str">
        <x:v>Учебный центр ПНХЗ</x:v>
      </x:c>
      <x:c r="D211" s="5" t="str">
        <x:v>KZ</x:v>
      </x:c>
      <x:c r="E211" s="5" t="str">
        <x:v>company_training_center</x:v>
      </x:c>
      <x:c r="F211" s="5" t="str">
        <x:v>ТОО «Павлодарский нефтехимический завод»</x:v>
      </x:c>
      <x:c r="G211" s="5" t="str">
        <x:v>КазМунайГаз</x:v>
      </x:c>
      <x:c r="H211" s="5" t="str">
        <x:v>Павлодар</x:v>
      </x:c>
      <x:c r="I211" s="5" t="str">
        <x:v>Нефтепереработка</x:v>
      </x:c>
      <x:c r="J211" s="5" t="str">
        <x:v>Работники предприятия, специалисты и наставники</x:v>
      </x:c>
      <x:c r="K211" s="5" t="str">
        <x:v>Условная: управление, специалисты, методология и электронные материалы.</x:v>
      </x:c>
      <x:c r="L211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11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11" s="5" t="str">
        <x:v>Директор/руководитель учебного подразделения; HR/L&amp;D; владелец программы; закупщик услуг</x:v>
      </x:c>
      <x:c r="O211" s="5" t="str">
        <x:v>https://www.pnhz.kz/refinery/human_resources_policy/</x:v>
      </x:c>
      <x:c r="P211" s="5" t="str">
        <x:v>https://www.pnhz.kz/refinery/human_resources_policy/</x:v>
      </x:c>
      <x:c r="Q211" s="5" t="str">
        <x:v>Официальная кадровая политика называет учебный центр основной площадкой практической подготовки.</x:v>
      </x:c>
      <x:c r="R211" s="5" t="str">
        <x:v>search_index</x:v>
      </x:c>
      <x:c r="S211" s="12" t="n">
        <x:v>46296</x:v>
      </x:c>
      <x:c r="T211" s="5" t="str">
        <x:v>Большой производственный блок; искать отдельно запросы на руководителей и офисные функции.</x:v>
      </x:c>
      <x:c r="U21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11" s="5" t="str">
        <x:v>Учебный центр ПНХЗ; ТОО «Павлодарский нефтехимический завод»; обучение; тренинг; внешний преподаватель; электронный курс; поставщик; оқыту; training</x:v>
      </x:c>
      <x:c r="W211" s="5" t="str">
        <x:v>Именованная структура с подтверждением; отбор по стране, очереди и типу. Это не оценка вероятности заказа.</x:v>
      </x:c>
      <x:c r="X211" s="5" t="str">
        <x:v>cu_kazakhstan.json:22</x:v>
      </x:c>
    </x:row>
    <x:row r="212" ht="54" customHeight="1">
      <x:c r="A212" s="5" t="str">
        <x:v>CU-0207</x:v>
      </x:c>
      <x:c r="B212" s="5" t="str">
        <x:v>main_200</x:v>
      </x:c>
      <x:c r="C212" s="5" t="str">
        <x:v>Учебный центр Атырауского НПЗ</x:v>
      </x:c>
      <x:c r="D212" s="5" t="str">
        <x:v>KZ</x:v>
      </x:c>
      <x:c r="E212" s="5" t="str">
        <x:v>company_training_center</x:v>
      </x:c>
      <x:c r="F212" s="5" t="str">
        <x:v>ТОО «Атырауский нефтеперерабатывающий завод»</x:v>
      </x:c>
      <x:c r="G212" s="5" t="str">
        <x:v>КазМунайГаз</x:v>
      </x:c>
      <x:c r="H212" s="5" t="str">
        <x:v>Атырау</x:v>
      </x:c>
      <x:c r="I212" s="5" t="str">
        <x:v>Нефтепереработка</x:v>
      </x:c>
      <x:c r="J212" s="5" t="str">
        <x:v>Инженеры, специалисты и производственный персонал</x:v>
      </x:c>
      <x:c r="K212" s="5" t="str">
        <x:v>Условная: обучение специалистов и руководителей, цифровой учебный контент.</x:v>
      </x:c>
      <x:c r="L212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12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12" s="5" t="str">
        <x:v>Директор/руководитель учебного подразделения; HR/L&amp;D; владелец программы; закупщик услуг</x:v>
      </x:c>
      <x:c r="O212" s="5" t="str">
        <x:v>https://www.anpz.kz/social_sphere/training/</x:v>
      </x:c>
      <x:c r="P212" s="5" t="str">
        <x:v>https://anpz.kz/press_center/news/75937/invitation-to-partnership?PAGEN_1=106</x:v>
      </x:c>
      <x:c r="Q212" s="5" t="str">
        <x:v>Официальный архив сообщает о курсах на базе учебного центра АНПЗ; актуальный раздел посвящён обучению.</x:v>
      </x:c>
      <x:c r="R212" s="5" t="str">
        <x:v>search_index</x:v>
      </x:c>
      <x:c r="S212" s="12" t="n">
        <x:v>46296</x:v>
      </x:c>
      <x:c r="T212" s="5" t="str">
        <x:v>Подтверждение собственного центра архивное; перепроверить текущую структуру. Архивная страница — доказательство, не полный сбор новостей.</x:v>
      </x:c>
      <x:c r="U21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12" s="5" t="str">
        <x:v>Учебный центр Атырауского НПЗ; ТОО «Атырауский нефтеперерабатывающий завод»; обучение; тренинг; внешний преподаватель; электронный курс; поставщик; оқыту; training</x:v>
      </x:c>
      <x:c r="W212" s="5" t="str">
        <x:v>Именованная структура с подтверждением; отбор по стране, очереди и типу. Это не оценка вероятности заказа.</x:v>
      </x:c>
      <x:c r="X212" s="5" t="str">
        <x:v>cu_kazakhstan.json:23</x:v>
      </x:c>
    </x:row>
    <x:row r="213" ht="54" customHeight="1">
      <x:c r="A213" s="5" t="str">
        <x:v>CU-0208</x:v>
      </x:c>
      <x:c r="B213" s="5" t="str">
        <x:v>main_200</x:v>
      </x:c>
      <x:c r="C213" s="5" t="str">
        <x:v>Учебный центр Тенгизшевройл</x:v>
      </x:c>
      <x:c r="D213" s="5" t="str">
        <x:v>KZ</x:v>
      </x:c>
      <x:c r="E213" s="5" t="str">
        <x:v>company_training_center</x:v>
      </x:c>
      <x:c r="F213" s="5" t="str">
        <x:v>ТОО «Тенгизшевройл»</x:v>
      </x:c>
      <x:c r="G213" s="5" t="str">
        <x:v>Тенгизшевройл</x:v>
      </x:c>
      <x:c r="H213" s="5" t="str">
        <x:v>Не установлено</x:v>
      </x:c>
      <x:c r="I213" s="5" t="str">
        <x:v>Нефтегаз</x:v>
      </x:c>
      <x:c r="J213" s="5" t="str">
        <x:v>Работники ТШО и подрядных организаций</x:v>
      </x:c>
      <x:c r="K213" s="5" t="str">
        <x:v>Условная: управление подрядчиками, лидерство, культура безопасности и контент.</x:v>
      </x:c>
      <x:c r="L213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13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13" s="5" t="str">
        <x:v>Директор/руководитель учебного подразделения; HR/L&amp;D; владелец программы; закупщик услуг</x:v>
      </x:c>
      <x:c r="O213" s="5" t="str">
        <x:v>https://www.tengizchevroil.com/</x:v>
      </x:c>
      <x:c r="P213" s="5" t="str">
        <x:v>https://kaztransoil.kz/ru/press-centre/novosti/3109-nefteprovodchiki-otmetili-vsemirnyy-den-ohrany-truda</x:v>
      </x:c>
      <x:c r="Q213" s="5" t="str">
        <x:v>КазТрансОйл описывает посещение учебного центра ТШО для работников компании и подрядчиков.</x:v>
      </x:c>
      <x:c r="R213" s="5" t="str">
        <x:v>search_index</x:v>
      </x:c>
      <x:c r="S213" s="12" t="n">
        <x:v>46296</x:v>
      </x:c>
      <x:c r="T213" s="5" t="str">
        <x:v>Прямое доказательство на сайте компании-посетителя от 2022 года; проверить актуальный центр и коммерческий вход.</x:v>
      </x:c>
      <x:c r="U21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13" s="5" t="str">
        <x:v>Учебный центр Тенгизшевройл; ТОО «Тенгизшевройл»; обучение; тренинг; внешний преподаватель; электронный курс; поставщик; оқыту; training</x:v>
      </x:c>
      <x:c r="W213" s="5" t="str">
        <x:v>Именованная структура с подтверждением; отбор по стране, очереди и типу. Это не оценка вероятности заказа.</x:v>
      </x:c>
      <x:c r="X213" s="5" t="str">
        <x:v>cu_kazakhstan.json:24</x:v>
      </x:c>
    </x:row>
    <x:row r="214" ht="54" customHeight="1">
      <x:c r="A214" s="5" t="str">
        <x:v>CU-0209</x:v>
      </x:c>
      <x:c r="B214" s="5" t="str">
        <x:v>main_200</x:v>
      </x:c>
      <x:c r="C214" s="5" t="str">
        <x:v>Учебный центр KPO (Аксай / Aliya Training Centre)</x:v>
      </x:c>
      <x:c r="D214" s="5" t="str">
        <x:v>KZ</x:v>
      </x:c>
      <x:c r="E214" s="5" t="str">
        <x:v>company_training_center</x:v>
      </x:c>
      <x:c r="F214" s="5" t="str">
        <x:v>Karachaganak Petroleum Operating B.V.</x:v>
      </x:c>
      <x:c r="G214" s="5" t="str">
        <x:v>KPO</x:v>
      </x:c>
      <x:c r="H214" s="5" t="str">
        <x:v>Аксай</x:v>
      </x:c>
      <x:c r="I214" s="5" t="str">
        <x:v>Нефтегаз</x:v>
      </x:c>
      <x:c r="J214" s="5" t="str">
        <x:v>Работники и подрядчики KPO</x:v>
      </x:c>
      <x:c r="K214" s="5" t="str">
        <x:v>Условная: менеджмент, компетенции руководителей, обучение тренеров и мультимедиа.</x:v>
      </x:c>
      <x:c r="L214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14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14" s="5" t="str">
        <x:v>Директор/руководитель учебного подразделения; HR/L&amp;D; владелец программы; закупщик услуг</x:v>
      </x:c>
      <x:c r="O214" s="5" t="str">
        <x:v>https://www.kpo.kz/</x:v>
      </x:c>
      <x:c r="P214" s="5" t="str">
        <x:v>https://www.kpo.kz/docs/sustainability_report_2023/en/025-energoeffektivnost.php</x:v>
      </x:c>
      <x:c r="Q214" s="5" t="str">
        <x:v>Отчёт KPO упоминает Aliya Training Centre; официальный архив описывает обучение работников и подрядчиков в Аксае.</x:v>
      </x:c>
      <x:c r="R214" s="5" t="str">
        <x:v>search_index</x:v>
      </x:c>
      <x:c r="S214" s="12" t="n">
        <x:v>46296</x:v>
      </x:c>
      <x:c r="T214" s="5" t="str">
        <x:v>Уточнить соответствие Aliya и исторического центра в Аксае; это одна карточка до проверки, а не искусственные два КУ.</x:v>
      </x:c>
      <x:c r="U21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14" s="5" t="str">
        <x:v>Учебный центр KPO (Аксай / Aliya Training Centre); Karachaganak Petroleum Operating B.V.; обучение; тренинг; внешний преподаватель; электронный курс; поставщик; оқыту; training</x:v>
      </x:c>
      <x:c r="W214" s="5" t="str">
        <x:v>Именованная структура с подтверждением; отбор по стране, очереди и типу. Это не оценка вероятности заказа.</x:v>
      </x:c>
      <x:c r="X214" s="5" t="str">
        <x:v>cu_kazakhstan.json:25</x:v>
      </x:c>
    </x:row>
    <x:row r="215" ht="54" customHeight="1">
      <x:c r="A215" s="5" t="str">
        <x:v>CU-0210</x:v>
      </x:c>
      <x:c r="B215" s="5" t="str">
        <x:v>main_200</x:v>
      </x:c>
      <x:c r="C215" s="5" t="str">
        <x:v>Atyrau Training Centre NCOC</x:v>
      </x:c>
      <x:c r="D215" s="5" t="str">
        <x:v>KZ</x:v>
      </x:c>
      <x:c r="E215" s="5" t="str">
        <x:v>company_training_center</x:v>
      </x:c>
      <x:c r="F215" s="5" t="str">
        <x:v>North Caspian Operating Company N.V.</x:v>
      </x:c>
      <x:c r="G215" s="5" t="str">
        <x:v>NCOC</x:v>
      </x:c>
      <x:c r="H215" s="5" t="str">
        <x:v>Атырау</x:v>
      </x:c>
      <x:c r="I215" s="5" t="str">
        <x:v>Нефтегаз</x:v>
      </x:c>
      <x:c r="J215" s="5" t="str">
        <x:v>Технический и вспомогательный персонал</x:v>
      </x:c>
      <x:c r="K215" s="5" t="str">
        <x:v>Условная: управленческие/функциональные модули, методология обучения.</x:v>
      </x:c>
      <x:c r="L215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15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15" s="5" t="str">
        <x:v>Директор/руководитель учебного подразделения; HR/L&amp;D; владелец программы; закупщик услуг</x:v>
      </x:c>
      <x:c r="O215" s="5" t="str">
        <x:v>https://www.ncoc.kz/public/publications/ncoc/LocalContentBrochureRus.pdf</x:v>
      </x:c>
      <x:c r="P215" s="5" t="str">
        <x:v>https://www.ncoc.kz/en/news/news-799</x:v>
      </x:c>
      <x:c r="Q215" s="5" t="str">
        <x:v>Официальное приглашение NCOC указывает Atyrau Training Center как действующую площадку мероприятия 25 июля 2024 года; профиль обучения описан в корпоративной брошюре.</x:v>
      </x:c>
      <x:c r="R215" s="5" t="str">
        <x:v>search_index</x:v>
      </x:c>
      <x:c r="S215" s="12" t="n">
        <x:v>46296</x:v>
      </x:c>
      <x:c r="T215" s="5" t="str">
        <x:v>Уточнить текущие программы и оператора обучения; наличие площадки не доказывает открытый заказ.</x:v>
      </x:c>
      <x:c r="U21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15" s="5" t="str">
        <x:v>Atyrau Training Centre NCOC; North Caspian Operating Company N.V.; обучение; тренинг; внешний преподаватель; электронный курс; поставщик; оқыту; training</x:v>
      </x:c>
      <x:c r="W215" s="5" t="str">
        <x:v>Именованная структура с подтверждением; отбор по стране, очереди и типу. Это не оценка вероятности заказа.</x:v>
      </x:c>
      <x:c r="X215" s="5" t="str">
        <x:v>cu_kazakhstan.json:26</x:v>
      </x:c>
    </x:row>
    <x:row r="216" ht="54" customHeight="1">
      <x:c r="A216" s="5" t="str">
        <x:v>CU-0211</x:v>
      </x:c>
      <x:c r="B216" s="5" t="str">
        <x:v>reserve</x:v>
      </x:c>
      <x:c r="C216" s="5" t="str">
        <x:v>Halyk Academy — корпоративный образовательный проект</x:v>
      </x:c>
      <x:c r="D216" s="5" t="str">
        <x:v>KZ</x:v>
      </x:c>
      <x:c r="E216" s="5" t="str">
        <x:v>candidate</x:v>
      </x:c>
      <x:c r="F216" s="5" t="str">
        <x:v>Halyk Bank</x:v>
      </x:c>
      <x:c r="G216" s="5" t="str">
        <x:v>Halyk</x:v>
      </x:c>
      <x:c r="H216" s="5" t="str">
        <x:v>Алматы</x:v>
      </x:c>
      <x:c r="I216" s="5" t="str">
        <x:v>Банки / IT</x:v>
      </x:c>
      <x:c r="J216" s="5" t="str">
        <x:v>Студенты, будущие IT-специалисты банка</x:v>
      </x:c>
      <x:c r="K216" s="5" t="str">
        <x:v>Условная: корпоративное IT-обучение, наставники и учебный контент.</x:v>
      </x:c>
      <x:c r="L216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16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16" s="5" t="str">
        <x:v>Директор/руководитель учебного подразделения; HR/L&amp;D; владелец программы; закупщик услуг</x:v>
      </x:c>
      <x:c r="O216" s="5" t="str">
        <x:v>https://official.satbayev.university/ru/information-telecommunication-technologies/csam/laboratoriya-halyk-academy-satbayev-university</x:v>
      </x:c>
      <x:c r="P216" s="5" t="str">
        <x:v>https://official.satbayev.university/ru/information-telecommunication-technologies/csam/laboratoriya-halyk-academy-satbayev-university</x:v>
      </x:c>
      <x:c r="Q216" s="5" t="str">
        <x:v>Университет-партнёр подтверждает лабораторию и образовательный проект Halyk Academy с банковскими IT-экспертами.</x:v>
      </x:c>
      <x:c r="R216" s="5" t="str">
        <x:v>search_index</x:v>
      </x:c>
      <x:c r="S216" s="12" t="n">
        <x:v>46296</x:v>
      </x:c>
      <x:c r="T216" s="5" t="str">
        <x:v>РЕЗЕРВ: отдельный КУ/самостоятельный корпоративный центр обучения персонала не доказан. Это академия-лаборатория для внешнего кадрового резерва, не доказанный внутренний КУ банка. Проверить связь с Halyk Training Center.</x:v>
      </x:c>
      <x:c r="U21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16" s="5" t="str">
        <x:v>Halyk Academy — корпоративный образовательный проект; Halyk Bank; обучение; тренинг; внешний преподаватель; электронный курс; поставщик; оқыту; training</x:v>
      </x:c>
      <x:c r="W216" s="5" t="str">
        <x:v>Требуется уточнение статуса, структуры или самостоятельности; все каналы сохранены.</x:v>
      </x:c>
      <x:c r="X216" s="5" t="str">
        <x:v>cu_kazakhstan.json:27</x:v>
      </x:c>
    </x:row>
    <x:row r="217" ht="54" customHeight="1">
      <x:c r="A217" s="5" t="str">
        <x:v>CU-0212</x:v>
      </x:c>
      <x:c r="B217" s="5" t="str">
        <x:v>main_200</x:v>
      </x:c>
      <x:c r="C217" s="5" t="str">
        <x:v>Freedom Academy</x:v>
      </x:c>
      <x:c r="D217" s="5" t="str">
        <x:v>KZ</x:v>
      </x:c>
      <x:c r="E217" s="5" t="str">
        <x:v>corporate_academy</x:v>
      </x:c>
      <x:c r="F217" s="5" t="str">
        <x:v>Freedom Broker</x:v>
      </x:c>
      <x:c r="G217" s="5" t="str">
        <x:v>Freedom</x:v>
      </x:c>
      <x:c r="H217" s="5" t="str">
        <x:v>Алматы</x:v>
      </x:c>
      <x:c r="I217" s="5" t="str">
        <x:v>Финансы и инвестиции</x:v>
      </x:c>
      <x:c r="J217" s="5" t="str">
        <x:v>Клиенты, инвесторы и корпоративные группы</x:v>
      </x:c>
      <x:c r="K217" s="5" t="str">
        <x:v>Условная/высокая: B2B-модули, финансовая грамотность, партнёрские программы.</x:v>
      </x:c>
      <x:c r="L217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17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17" s="5" t="str">
        <x:v>Директор/руководитель учебного подразделения; HR/L&amp;D; владелец программы; закупщик услуг</x:v>
      </x:c>
      <x:c r="O217" s="5" t="str">
        <x:v>https://freedomacademy.kz/</x:v>
      </x:c>
      <x:c r="P217" s="5" t="str">
        <x:v>https://fbroker.kz/academy</x:v>
      </x:c>
      <x:c r="Q217" s="5" t="str">
        <x:v>Сайт брокера называет Freedom Academy собственным образовательным центром.</x:v>
      </x:c>
      <x:c r="R217" s="5" t="str">
        <x:v>search_index</x:v>
      </x:c>
      <x:c r="S217" s="12" t="n">
        <x:v>46296</x:v>
      </x:c>
      <x:c r="T217" s="5" t="str">
        <x:v>Внешняя клиентская академия; не принимать продажу собственных курсов за запрос на закупку.</x:v>
      </x:c>
      <x:c r="U21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17" s="5" t="str">
        <x:v>Freedom Academy; Freedom Broker; обучение; тренинг; внешний преподаватель; электронный курс; поставщик; оқыту; training</x:v>
      </x:c>
      <x:c r="W217" s="5" t="str">
        <x:v>Именованная структура с подтверждением; отбор по стране, очереди и типу. Это не оценка вероятности заказа.</x:v>
      </x:c>
      <x:c r="X217" s="5" t="str">
        <x:v>cu_kazakhstan.json:28</x:v>
      </x:c>
    </x:row>
    <x:row r="218" ht="54" customHeight="1">
      <x:c r="A218" s="5" t="str">
        <x:v>CU-0213</x:v>
      </x:c>
      <x:c r="B218" s="5" t="str">
        <x:v>reserve</x:v>
      </x:c>
      <x:c r="C218" s="5" t="str">
        <x:v>Kolesa Академия</x:v>
      </x:c>
      <x:c r="D218" s="5" t="str">
        <x:v>KZ</x:v>
      </x:c>
      <x:c r="E218" s="5" t="str">
        <x:v>candidate</x:v>
      </x:c>
      <x:c r="F218" s="5" t="str">
        <x:v>Kolesa Group</x:v>
      </x:c>
      <x:c r="G218" s="5" t="str">
        <x:v>Kolesa Group</x:v>
      </x:c>
      <x:c r="H218" s="5" t="str">
        <x:v>Алматы</x:v>
      </x:c>
      <x:c r="I218" s="5" t="str">
        <x:v>IT / интернет-сервисы</x:v>
      </x:c>
      <x:c r="J218" s="5" t="str">
        <x:v>Начинающие IT-специалисты и кандидаты в команду</x:v>
      </x:c>
      <x:c r="K218" s="5" t="str">
        <x:v>Условная: обучение наставников, продуктовые и управленческие программы, digital-контент.</x:v>
      </x:c>
      <x:c r="L218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18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18" s="5" t="str">
        <x:v>Директор/руководитель учебного подразделения; HR/L&amp;D; владелец программы; закупщик услуг</x:v>
      </x:c>
      <x:c r="O218" s="5" t="str">
        <x:v>https://kolesa.group/kz/education/academy</x:v>
      </x:c>
      <x:c r="P218" s="5" t="str">
        <x:v>https://kolesa.group/kz/education/academy</x:v>
      </x:c>
      <x:c r="Q218" s="5" t="str">
        <x:v>Официальный сайт показывает Kolesa Академию как обучение и стажировки в IT-компании.</x:v>
      </x:c>
      <x:c r="R218" s="5" t="str">
        <x:v>search_index</x:v>
      </x:c>
      <x:c r="S218" s="12" t="n">
        <x:v>46296</x:v>
      </x:c>
      <x:c r="T218" s="5" t="str">
        <x:v>В основном подготовка кадрового входа; закупка внешнего бизнес-обучения отдельно не подтверждена.</x:v>
      </x:c>
      <x:c r="U21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18" s="5" t="str">
        <x:v>Kolesa Академия; Kolesa Group; обучение; тренинг; внешний преподаватель; электронный курс; поставщик; оқыту; training</x:v>
      </x:c>
      <x:c r="W218" s="5" t="str">
        <x:v>Краткая оплачиваемая IT-стажировка, а не доказанная самостоятельная учебная структура. Каналы сохраняются для расширения.</x:v>
      </x:c>
      <x:c r="X218" s="5" t="str">
        <x:v>cu_kazakhstan.json:29</x:v>
      </x:c>
    </x:row>
    <x:row r="219" ht="54" customHeight="1">
      <x:c r="A219" s="5" t="str">
        <x:v>CU-0214</x:v>
      </x:c>
      <x:c r="B219" s="5" t="str">
        <x:v>reserve</x:v>
      </x:c>
      <x:c r="C219" s="5" t="str">
        <x:v>Академия дистрибуции Allur</x:v>
      </x:c>
      <x:c r="D219" s="5" t="str">
        <x:v>KZ</x:v>
      </x:c>
      <x:c r="E219" s="5" t="str">
        <x:v>candidate</x:v>
      </x:c>
      <x:c r="F219" s="5" t="str">
        <x:v>АО «Группа компаний Аллюр»</x:v>
      </x:c>
      <x:c r="G219" s="5" t="str">
        <x:v>Allur</x:v>
      </x:c>
      <x:c r="H219" s="5" t="str">
        <x:v>Не установлено</x:v>
      </x:c>
      <x:c r="I219" s="5" t="str">
        <x:v>Автомобилестроение и дистрибуция</x:v>
      </x:c>
      <x:c r="J219" s="5" t="str">
        <x:v>Сотрудники дистрибуции и кадровый резерв</x:v>
      </x:c>
      <x:c r="K219" s="5" t="str">
        <x:v>Высокая: продажи, сервис, кадровый резерв, менеджмент, электронные курсы.</x:v>
      </x:c>
      <x:c r="L219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19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19" s="5" t="str">
        <x:v>Директор/руководитель учебного подразделения; HR/L&amp;D; владелец программы; закупщик услуг</x:v>
      </x:c>
      <x:c r="O219" s="5" t="str">
        <x:v>https://hh.kz/employer/2374853</x:v>
      </x:c>
      <x:c r="P219" s="5" t="str">
        <x:v>https://hh.kz/employer/2374853</x:v>
      </x:c>
      <x:c r="Q219" s="5" t="str">
        <x:v>Официальная брендированная страница работодателя описывает образовательную платформу Академии дистрибуции и рост до управленца.</x:v>
      </x:c>
      <x:c r="R219" s="5" t="str">
        <x:v>search_index</x:v>
      </x:c>
      <x:c r="S219" s="12" t="n">
        <x:v>46296</x:v>
      </x:c>
      <x:c r="T219" s="5" t="str">
        <x:v>Доказательство — публикация работодателя на HH; внутреннюю LMS и актуальный учебный бренд надо раскрыть.</x:v>
      </x:c>
      <x:c r="U21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19" s="5" t="str">
        <x:v>Академия дистрибуции Allur; АО «Группа компаний Аллюр»; обучение; тренинг; внешний преподаватель; электронный курс; поставщик; оқыту; training</x:v>
      </x:c>
      <x:c r="W219" s="5" t="str">
        <x:v>Доказана образовательная платформа; организационная самостоятельность академии требует уточнения. Каналы сохраняются для расширения.</x:v>
      </x:c>
      <x:c r="X219" s="5" t="str">
        <x:v>cu_kazakhstan.json:30</x:v>
      </x:c>
    </x:row>
    <x:row r="220" ht="54" customHeight="1">
      <x:c r="A220" s="5" t="str">
        <x:v>CU-0215</x:v>
      </x:c>
      <x:c r="B220" s="5" t="str">
        <x:v>main_200</x:v>
      </x:c>
      <x:c r="C220" s="5" t="str">
        <x:v>Корпоративный учебный центр Казпочты</x:v>
      </x:c>
      <x:c r="D220" s="5" t="str">
        <x:v>KZ</x:v>
      </x:c>
      <x:c r="E220" s="5" t="str">
        <x:v>company_training_center</x:v>
      </x:c>
      <x:c r="F220" s="5" t="str">
        <x:v>АО «Казпочта»</x:v>
      </x:c>
      <x:c r="G220" s="5" t="str">
        <x:v>QazPost / Самрук-Қазына</x:v>
      </x:c>
      <x:c r="H220" s="5" t="str">
        <x:v>Не установлено</x:v>
      </x:c>
      <x:c r="I220" s="5" t="str">
        <x:v>Почтовая связь и логистика</x:v>
      </x:c>
      <x:c r="J220" s="5" t="str">
        <x:v>Сотрудники и руководители почтово-финансовой сети</x:v>
      </x:c>
      <x:c r="K220" s="5" t="str">
        <x:v>Высокая: сервис, продажи, HR, правовые темы и цифровой контент.</x:v>
      </x:c>
      <x:c r="L220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20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20" s="5" t="str">
        <x:v>Директор/руководитель учебного подразделения; HR/L&amp;D; владелец программы; закупщик услуг</x:v>
      </x:c>
      <x:c r="O220" s="5" t="str">
        <x:v>https://qazpost.kz/ru</x:v>
      </x:c>
      <x:c r="P220" s="5" t="str">
        <x:v>https://www.gov.kz/memleket/entities/adilet-atr/press/media/details/85334</x:v>
      </x:c>
      <x:c r="Q220" s="5" t="str">
        <x:v>Государственный орган сообщает о встрече в Корпоративном учебном центре Казпочты.</x:v>
      </x:c>
      <x:c r="R220" s="5" t="str">
        <x:v>search_index</x:v>
      </x:c>
      <x:c r="S220" s="12" t="n">
        <x:v>46296</x:v>
      </x:c>
      <x:c r="T220" s="5" t="str">
        <x:v>Доказательство из первичного сообщения участника мероприятия; открытие страницы дало timeout. Найти текущий прямой адрес центра.</x:v>
      </x:c>
      <x:c r="U22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20" s="5" t="str">
        <x:v>Корпоративный учебный центр Казпочты; АО «Казпочта»; обучение; тренинг; внешний преподаватель; электронный курс; поставщик; оқыту; training</x:v>
      </x:c>
      <x:c r="W220" s="5" t="str">
        <x:v>Именованная структура с подтверждением; отбор по стране, очереди и типу. Это не оценка вероятности заказа.</x:v>
      </x:c>
      <x:c r="X220" s="5" t="str">
        <x:v>cu_kazakhstan.json:31</x:v>
      </x:c>
    </x:row>
    <x:row r="221" ht="54" customHeight="1">
      <x:c r="A221" s="5" t="str">
        <x:v>CU-0216</x:v>
      </x:c>
      <x:c r="B221" s="5" t="str">
        <x:v>reserve</x:v>
      </x:c>
      <x:c r="C221" s="5" t="str">
        <x:v>Учебный центр Hyundai Trans Kazakhstan и Satbayev University</x:v>
      </x:c>
      <x:c r="D221" s="5" t="str">
        <x:v>KZ</x:v>
      </x:c>
      <x:c r="E221" s="5" t="str">
        <x:v>candidate</x:v>
      </x:c>
      <x:c r="F221" s="5" t="str">
        <x:v>Hyundai Trans Kazakhstan</x:v>
      </x:c>
      <x:c r="G221" s="5" t="str">
        <x:v>Astana Motors</x:v>
      </x:c>
      <x:c r="H221" s="5" t="str">
        <x:v>Алматы</x:v>
      </x:c>
      <x:c r="I221" s="5" t="str">
        <x:v>Автомобилестроение</x:v>
      </x:c>
      <x:c r="J221" s="5" t="str">
        <x:v>Студенты и будущие инженеры машиностроения</x:v>
      </x:c>
      <x:c r="K221" s="5" t="str">
        <x:v>Условная: преподаватели, наставничество, проекты цифрового обучения.</x:v>
      </x:c>
      <x:c r="L221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21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21" s="5" t="str">
        <x:v>Директор/руководитель учебного подразделения; HR/L&amp;D; владелец программы; закупщик услуг</x:v>
      </x:c>
      <x:c r="O221" s="5" t="str">
        <x:v>https://astana-motors.kz/ru/news/satbayev-university-zhane-hyundai-trans-kazakhstan-mashina-zhasau-salasindagi-kasipkoy-kadrlardi-dayindap-zhatir-444</x:v>
      </x:c>
      <x:c r="P221" s="5" t="str">
        <x:v>https://astana-motors.kz/ru/news/satbayev-university-zhane-hyundai-trans-kazakhstan-mashina-zhasau-salasindagi-kasipkoy-kadrlardi-dayindap-zhatir-444</x:v>
      </x:c>
      <x:c r="Q221" s="5" t="str">
        <x:v>Компания подтверждает открытие учебного центра на заводе совместно с Satbayev University.</x:v>
      </x:c>
      <x:c r="R221" s="5" t="str">
        <x:v>search_index</x:v>
      </x:c>
      <x:c r="S221" s="12" t="n">
        <x:v>46296</x:v>
      </x:c>
      <x:c r="T221" s="5" t="str">
        <x:v>РЕЗЕРВ: отдельный КУ/самостоятельный корпоративный центр обучения персонала не доказан. Совместный заводской центр; преимущественно подготовка студентов, не внутренний управленческий КУ.</x:v>
      </x:c>
      <x:c r="U22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21" s="5" t="str">
        <x:v>Учебный центр Hyundai Trans Kazakhstan и Satbayev University; Hyundai Trans Kazakhstan; обучение; тренинг; внешний преподаватель; электронный курс; поставщик; оқыту; training</x:v>
      </x:c>
      <x:c r="W221" s="5" t="str">
        <x:v>Требуется уточнение статуса, структуры или самостоятельности; все каналы сохранены.</x:v>
      </x:c>
      <x:c r="X221" s="5" t="str">
        <x:v>cu_kazakhstan.json:32</x:v>
      </x:c>
    </x:row>
    <x:row r="222" ht="54" customHeight="1">
      <x:c r="A222" s="5" t="str">
        <x:v>CU-0217</x:v>
      </x:c>
      <x:c r="B222" s="5" t="str">
        <x:v>reserve</x:v>
      </x:c>
      <x:c r="C222" s="5" t="str">
        <x:v>Кентауский политехнический колледж Alageum Electric</x:v>
      </x:c>
      <x:c r="D222" s="5" t="str">
        <x:v>KZ</x:v>
      </x:c>
      <x:c r="E222" s="5" t="str">
        <x:v>candidate</x:v>
      </x:c>
      <x:c r="F222" s="5" t="str">
        <x:v>АО «Кентауский трансформаторный завод»</x:v>
      </x:c>
      <x:c r="G222" s="5" t="str">
        <x:v>Alageum Electric</x:v>
      </x:c>
      <x:c r="H222" s="5" t="str">
        <x:v>Кентау</x:v>
      </x:c>
      <x:c r="I222" s="5" t="str">
        <x:v>Электротехническое машиностроение</x:v>
      </x:c>
      <x:c r="J222" s="5" t="str">
        <x:v>Студенты и кадровый резерв предприятий</x:v>
      </x:c>
      <x:c r="K222" s="5" t="str">
        <x:v>Условная: методология, обучение педагогов и наставников, электронные курсы.</x:v>
      </x:c>
      <x:c r="L222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22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22" s="5" t="str">
        <x:v>Директор/руководитель учебного подразделения; HR/L&amp;D; владелец программы; закупщик услуг</x:v>
      </x:c>
      <x:c r="O222" s="5" t="str">
        <x:v>https://alageum.com/ru/predpriyatiya/ao-ktz</x:v>
      </x:c>
      <x:c r="P222" s="5" t="str">
        <x:v>https://alageum.com/ru/predpriyatiya/ao-ktz</x:v>
      </x:c>
      <x:c r="Q222" s="5" t="str">
        <x:v>Сайт холдинга подтверждает собственный политехнический колледж на базе КТЗ с дуальным обучением.</x:v>
      </x:c>
      <x:c r="R222" s="5" t="str">
        <x:v>search_index</x:v>
      </x:c>
      <x:c r="S222" s="12" t="n">
        <x:v>46296</x:v>
      </x:c>
      <x:c r="T222" s="5" t="str">
        <x:v>РЕЗЕРВ: отдельный КУ/самостоятельный корпоративный центр обучения персонала не доказан. Тип — корпоративный колледж, не КУ; рабочая подготовка не основной профиль МИСБ.</x:v>
      </x:c>
      <x:c r="U22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22" s="5" t="str">
        <x:v>Кентауский политехнический колледж Alageum Electric; АО «Кентауский трансформаторный завод»; обучение; тренинг; внешний преподаватель; электронный курс; поставщик; оқыту; training</x:v>
      </x:c>
      <x:c r="W222" s="5" t="str">
        <x:v>Требуется уточнение статуса, структуры или самостоятельности; все каналы сохранены.</x:v>
      </x:c>
      <x:c r="X222" s="5" t="str">
        <x:v>cu_kazakhstan.json:33</x:v>
      </x:c>
    </x:row>
    <x:row r="223" ht="54" customHeight="1">
      <x:c r="A223" s="5" t="str">
        <x:v>CU-0218</x:v>
      </x:c>
      <x:c r="B223" s="5" t="str">
        <x:v>reserve</x:v>
      </x:c>
      <x:c r="C223" s="5" t="str">
        <x:v>Отдел обучения / корпоративная учебная база Borusan Cat Казахстан</x:v>
      </x:c>
      <x:c r="D223" s="5" t="str">
        <x:v>KZ</x:v>
      </x:c>
      <x:c r="E223" s="5" t="str">
        <x:v>candidate</x:v>
      </x:c>
      <x:c r="F223" s="5" t="str">
        <x:v>ТОО «Борусан Макина Казахстан»</x:v>
      </x:c>
      <x:c r="G223" s="5" t="str">
        <x:v>Borusan</x:v>
      </x:c>
      <x:c r="H223" s="5" t="str">
        <x:v>Караганда</x:v>
      </x:c>
      <x:c r="I223" s="5" t="str">
        <x:v>Промышленная техника и сервис</x:v>
      </x:c>
      <x:c r="J223" s="5" t="str">
        <x:v>Сотрудники сервисной сети, клиенты и операторы</x:v>
      </x:c>
      <x:c r="K223" s="5" t="str">
        <x:v>Условная: наставничество, управление сервисом, развитие тренеров и контент.</x:v>
      </x:c>
      <x:c r="L223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23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23" s="5" t="str">
        <x:v>Директор/руководитель учебного подразделения; HR/L&amp;D; владелец программы; закупщик услуг</x:v>
      </x:c>
      <x:c r="O223" s="5" t="str">
        <x:v>https://www.borusancat.kz/ru/corporate/news/borusan-cat-education</x:v>
      </x:c>
      <x:c r="P223" s="5" t="str">
        <x:v>https://www.borusancat.kz/ru/corporate/news/borusan-cat-education</x:v>
      </x:c>
      <x:c r="Q223" s="5" t="str">
        <x:v>Официальная публикация описывает отдел обучения и тренажёрную базу для собственного персонала.</x:v>
      </x:c>
      <x:c r="R223" s="5" t="str">
        <x:v>search_index</x:v>
      </x:c>
      <x:c r="S223" s="12" t="n">
        <x:v>46296</x:v>
      </x:c>
      <x:c r="T223" s="5" t="str">
        <x:v>Преимущественно техническое/операторское обучение; функциональные заказы квалифицировать отдельно.</x:v>
      </x:c>
      <x:c r="U22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23" s="5" t="str">
        <x:v>Отдел обучения / корпоративная учебная база Borusan Cat Казахстан; ТОО «Борусан Макина Казахстан»; обучение; тренинг; внешний преподаватель; электронный курс; поставщик; оқыту; training</x:v>
      </x:c>
      <x:c r="W223" s="5" t="str">
        <x:v>Доказан отдел обучения и внешние учебные партнеры, но именованный учебный центр не установлен. Каналы сохраняются для расширения.</x:v>
      </x:c>
      <x:c r="X223" s="5" t="str">
        <x:v>cu_kazakhstan.json:34</x:v>
      </x:c>
    </x:row>
    <x:row r="224" ht="54" customHeight="1">
      <x:c r="A224" s="5" t="str">
        <x:v>CU-0219</x:v>
      </x:c>
      <x:c r="B224" s="5" t="str">
        <x:v>main_200</x:v>
      </x:c>
      <x:c r="C224" s="5" t="str">
        <x:v>PwC Академия Казахстан</x:v>
      </x:c>
      <x:c r="D224" s="5" t="str">
        <x:v>KZ</x:v>
      </x:c>
      <x:c r="E224" s="5" t="str">
        <x:v>corporate_academy</x:v>
      </x:c>
      <x:c r="F224" s="5" t="str">
        <x:v>PwC Kazakhstan</x:v>
      </x:c>
      <x:c r="G224" s="5" t="str">
        <x:v>PwC</x:v>
      </x:c>
      <x:c r="H224" s="5" t="str">
        <x:v>Алматы</x:v>
      </x:c>
      <x:c r="I224" s="5" t="str">
        <x:v>Профессиональные услуги</x:v>
      </x:c>
      <x:c r="J224" s="5" t="str">
        <x:v>Специалисты и руководители компаний-клиентов</x:v>
      </x:c>
      <x:c r="K224" s="5" t="str">
        <x:v>Высокая тематическая, партнёрская: финансы, управление, коучинг и внешние эксперты.</x:v>
      </x:c>
      <x:c r="L224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24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24" s="5" t="str">
        <x:v>Директор/руководитель учебного подразделения; HR/L&amp;D; владелец программы; закупщик услуг</x:v>
      </x:c>
      <x:c r="O224" s="5" t="str">
        <x:v>https://www.pwc.com/kz/ru/pwcacademy.html</x:v>
      </x:c>
      <x:c r="P224" s="5" t="str">
        <x:v>https://www.pwc.com/kz/ru/pwcacademy.html</x:v>
      </x:c>
      <x:c r="Q224" s="5" t="str">
        <x:v>Сайт PwC Kazakhstan описывает Академию и комплексные решения корпоративного обучения.</x:v>
      </x:c>
      <x:c r="R224" s="5" t="str">
        <x:v>search_index</x:v>
      </x:c>
      <x:c r="S224" s="12" t="n">
        <x:v>46296</x:v>
      </x:c>
      <x:c r="T224" s="5" t="str">
        <x:v>Коммерческая академия поставщика; потенциальный партнёр/конкурент, не автоматически конечный заказчик.</x:v>
      </x:c>
      <x:c r="U22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24" s="5" t="str">
        <x:v>PwC Академия Казахстан; PwC Kazakhstan; обучение; тренинг; внешний преподаватель; электронный курс; поставщик; оқыту; training</x:v>
      </x:c>
      <x:c r="W224" s="5" t="str">
        <x:v>Именованная структура с подтверждением; отбор по стране, очереди и типу. Это не оценка вероятности заказа.</x:v>
      </x:c>
      <x:c r="X224" s="5" t="str">
        <x:v>cu_kazakhstan.json:35</x:v>
      </x:c>
    </x:row>
    <x:row r="225" ht="54" customHeight="1">
      <x:c r="A225" s="5" t="str">
        <x:v>CU-0220</x:v>
      </x:c>
      <x:c r="B225" s="5" t="str">
        <x:v>main_200</x:v>
      </x:c>
      <x:c r="C225" s="5" t="str">
        <x:v>AIFC Academy — Академия МФЦА</x:v>
      </x:c>
      <x:c r="D225" s="5" t="str">
        <x:v>KZ</x:v>
      </x:c>
      <x:c r="E225" s="5" t="str">
        <x:v>industry_training_center</x:v>
      </x:c>
      <x:c r="F225" s="5" t="str">
        <x:v>Международный финансовый центр «Астана»</x:v>
      </x:c>
      <x:c r="G225" s="5" t="str">
        <x:v>AIFC</x:v>
      </x:c>
      <x:c r="H225" s="5" t="str">
        <x:v>Астана</x:v>
      </x:c>
      <x:c r="I225" s="5" t="str">
        <x:v>Финансовый рынок</x:v>
      </x:c>
      <x:c r="J225" s="5" t="str">
        <x:v>Финансовые и юридические специалисты, руководители</x:v>
      </x:c>
      <x:c r="K225" s="5" t="str">
        <x:v>Высокая: финансы, корпоративное право, проекты, AI, внешние эксперты.</x:v>
      </x:c>
      <x:c r="L225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25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25" s="5" t="str">
        <x:v>Директор/руководитель учебного подразделения; HR/L&amp;D; владелец программы; закупщик услуг</x:v>
      </x:c>
      <x:c r="O225" s="5" t="str">
        <x:v>https://academy.aifc.kz/?lang=ru</x:v>
      </x:c>
      <x:c r="P225" s="5" t="str">
        <x:v>https://academy.aifc.kz/en/o-nas/</x:v>
      </x:c>
      <x:c r="Q225" s="5" t="str">
        <x:v>Официально: образовательный центр МФЦА, преемник Бюро непрерывного профессионального развития.</x:v>
      </x:c>
      <x:c r="R225" s="5" t="str">
        <x:v>search_index</x:v>
      </x:c>
      <x:c r="S225" s="12" t="n">
        <x:v>46296</x:v>
      </x:c>
      <x:c r="T225" s="5" t="str">
        <x:v>Отраслевой корпоративный образовательный центр финансовой инфраструктуры; не внутренний КУ промышленного холдинга.</x:v>
      </x:c>
      <x:c r="U22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25" s="5" t="str">
        <x:v>AIFC Academy — Академия МФЦА; Международный финансовый центр «Астана»; обучение; тренинг; внешний преподаватель; электронный курс; поставщик; оқыту; training</x:v>
      </x:c>
      <x:c r="W225" s="5" t="str">
        <x:v>Именованная структура с подтверждением; отбор по стране, очереди и типу. Это не оценка вероятности заказа.</x:v>
      </x:c>
      <x:c r="X225" s="5" t="str">
        <x:v>cu_kazakhstan.json:36</x:v>
      </x:c>
    </x:row>
    <x:row r="226" ht="54" customHeight="1">
      <x:c r="A226" s="5" t="str">
        <x:v>CU-0221</x:v>
      </x:c>
      <x:c r="B226" s="5" t="str">
        <x:v>reserve</x:v>
      </x:c>
      <x:c r="C226" s="5" t="str">
        <x:v>KASE Academy</x:v>
      </x:c>
      <x:c r="D226" s="5" t="str">
        <x:v>KZ</x:v>
      </x:c>
      <x:c r="E226" s="5" t="str">
        <x:v>candidate</x:v>
      </x:c>
      <x:c r="F226" s="5" t="str">
        <x:v>АО «Казахстанская фондовая биржа»</x:v>
      </x:c>
      <x:c r="G226" s="5" t="str">
        <x:v>KASE</x:v>
      </x:c>
      <x:c r="H226" s="5" t="str">
        <x:v>Алматы</x:v>
      </x:c>
      <x:c r="I226" s="5" t="str">
        <x:v>Финансовый рынок</x:v>
      </x:c>
      <x:c r="J226" s="5" t="str">
        <x:v>Профессиональные участники рынка, инвесторы и бизнес</x:v>
      </x:c>
      <x:c r="K226" s="5" t="str">
        <x:v>Высокая/партнёрская: финансы, риск-менеджмент, AI в бизнесе, вебинары.</x:v>
      </x:c>
      <x:c r="L226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26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26" s="5" t="str">
        <x:v>Директор/руководитель учебного подразделения; HR/L&amp;D; владелец программы; закупщик услуг</x:v>
      </x:c>
      <x:c r="O226" s="5" t="str">
        <x:v>https://kase.kz/ru/investors/kase-academy</x:v>
      </x:c>
      <x:c r="P226" s="5" t="str">
        <x:v>https://kase.kz/ru/investors/kase-academy</x:v>
      </x:c>
      <x:c r="Q226" s="5" t="str">
        <x:v>Официальный сайт биржи подтверждает академию, курсы и образовательную платформу.</x:v>
      </x:c>
      <x:c r="R226" s="5" t="str">
        <x:v>search_index</x:v>
      </x:c>
      <x:c r="S226" s="12" t="n">
        <x:v>46296</x:v>
      </x:c>
      <x:c r="T226" s="5" t="str">
        <x:v>Внешнее просветительское и отраслевое образование; запросы на приглашённых экспертов не равны открытому тендеру.</x:v>
      </x:c>
      <x:c r="U22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26" s="5" t="str">
        <x:v>KASE Academy; АО «Казахстанская фондовая биржа»; обучение; тренинг; внешний преподаватель; электронный курс; поставщик; оқыту; training</x:v>
      </x:c>
      <x:c r="W226" s="5" t="str">
        <x:v>Подтверждена постоянная образовательная инициатива биржи; организационный статус академии требует уточнения. Каналы сохраняются для расширения.</x:v>
      </x:c>
      <x:c r="X226" s="5" t="str">
        <x:v>cu_kazakhstan.json:37</x:v>
      </x:c>
    </x:row>
    <x:row r="227" ht="54" customHeight="1">
      <x:c r="A227" s="5" t="str">
        <x:v>CU-0222</x:v>
      </x:c>
      <x:c r="B227" s="5" t="str">
        <x:v>main_200</x:v>
      </x:c>
      <x:c r="C227" s="5" t="str">
        <x:v>Учебно-методический центр Казфосфат</x:v>
      </x:c>
      <x:c r="D227" s="5" t="str">
        <x:v>KZ</x:v>
      </x:c>
      <x:c r="E227" s="5" t="str">
        <x:v>company_training_center</x:v>
      </x:c>
      <x:c r="F227" s="5" t="str">
        <x:v>ТОО «Казфосфат»</x:v>
      </x:c>
      <x:c r="G227" s="5" t="str">
        <x:v>Казфосфат</x:v>
      </x:c>
      <x:c r="H227" s="5" t="str">
        <x:v>Не установлено</x:v>
      </x:c>
      <x:c r="I227" s="5" t="str">
        <x:v>Химическая промышленность</x:v>
      </x:c>
      <x:c r="J227" s="5" t="str">
        <x:v>Рабочие, специалисты и руководители</x:v>
      </x:c>
      <x:c r="K227" s="5" t="str">
        <x:v>Условная: руководители/специалисты, методология и цифровые материалы.</x:v>
      </x:c>
      <x:c r="L227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27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27" s="5" t="str">
        <x:v>Директор/руководитель учебного подразделения; HR/L&amp;D; владелец программы; закупщик услуг</x:v>
      </x:c>
      <x:c r="O227" s="5" t="str">
        <x:v>https://www.kpp.kz/ru/about/training-and-teaching-activity?id=9</x:v>
      </x:c>
      <x:c r="P227" s="5" t="str">
        <x:v>https://www.kpp.kz/ru/about/training-and-teaching-activity?id=9</x:v>
      </x:c>
      <x:c r="Q227" s="5" t="str">
        <x:v>Компания прямо описывает учебно-методический центр, обучение филиалов и внешнее повышение квалификации специалистов.</x:v>
      </x:c>
      <x:c r="R227" s="5" t="str">
        <x:v>content_read</x:v>
      </x:c>
      <x:c r="S227" s="12" t="n">
        <x:v>46296</x:v>
      </x:c>
      <x:c r="T227" s="5" t="str">
        <x:v>На странице много исторической статистики; текущие объёмы не переносить как актуальные.</x:v>
      </x:c>
      <x:c r="U22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27" s="5" t="str">
        <x:v>Учебно-методический центр Казфосфат; ТОО «Казфосфат»; обучение; тренинг; внешний преподаватель; электронный курс; поставщик; оқыту; training</x:v>
      </x:c>
      <x:c r="W227" s="5" t="str">
        <x:v>Именованная структура с подтверждением; отбор по стране, очереди и типу. Это не оценка вероятности заказа.</x:v>
      </x:c>
      <x:c r="X227" s="5" t="str">
        <x:v>cu_kazakhstan.json:38</x:v>
      </x:c>
    </x:row>
    <x:row r="228" ht="54" customHeight="1">
      <x:c r="A228" s="5" t="str">
        <x:v>CU-0223</x:v>
      </x:c>
      <x:c r="B228" s="5" t="str">
        <x:v>main_200</x:v>
      </x:c>
      <x:c r="C228" s="5" t="str">
        <x:v>Центр подготовки и переподготовки кадров Технологического колледжа корпорации Казахмыс</x:v>
      </x:c>
      <x:c r="D228" s="5" t="str">
        <x:v>KZ</x:v>
      </x:c>
      <x:c r="E228" s="5" t="str">
        <x:v>company_training_center</x:v>
      </x:c>
      <x:c r="F228" s="5" t="str">
        <x:v>ЧУ «Технологический колледж корпорации «Казахмыс»</x:v>
      </x:c>
      <x:c r="G228" s="5" t="str">
        <x:v>Казахмыс</x:v>
      </x:c>
      <x:c r="H228" s="5" t="str">
        <x:v>Сатпаев</x:v>
      </x:c>
      <x:c r="I228" s="5" t="str">
        <x:v>Горно-металлургический комплекс</x:v>
      </x:c>
      <x:c r="J228" s="5" t="str">
        <x:v>Работники производственных предприятий</x:v>
      </x:c>
      <x:c r="K228" s="5" t="str">
        <x:v>Условная: обучение преподавателей/наставников и цифровой контент; рабочие профессии вне основного профиля.</x:v>
      </x:c>
      <x:c r="L228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28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28" s="5" t="str">
        <x:v>Директор/руководитель учебного подразделения; HR/L&amp;D; владелец программы; закупщик услуг</x:v>
      </x:c>
      <x:c r="O228" s="5" t="str">
        <x:v>https://tkksatpaev.edu.kz/tsentr-podgotovki-i-perepodgotovki-kadrov/</x:v>
      </x:c>
      <x:c r="P228" s="5" t="str">
        <x:v>https://tkksatpaev.edu.kz/tsentr-podgotovki-i-perepodgotovki-kadrov/</x:v>
      </x:c>
      <x:c r="Q228" s="5" t="str">
        <x:v>Официальный сайт корпоративного колледжа имеет отдельную страницу центра подготовки и переподготовки.</x:v>
      </x:c>
      <x:c r="R228" s="5" t="str">
        <x:v>search_index</x:v>
      </x:c>
      <x:c r="S228" s="12" t="n">
        <x:v>46296</x:v>
      </x:c>
      <x:c r="T228" s="5" t="str">
        <x:v>Подразделение отдельного корпоративного колледжа; связано с центральным L&amp;D Казахмыс. Не суммировать контакты как независимых покупателей.</x:v>
      </x:c>
      <x:c r="U22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28" s="5" t="str">
        <x:v>Центр подготовки и переподготовки кадров Технологического колледжа корпорации Казахмыс; ЧУ «Технологический колледж корпорации «Казахмыс»; обучение; тренинг; внешний преподаватель; электронный курс; поставщик; оқыту; training</x:v>
      </x:c>
      <x:c r="W228" s="5" t="str">
        <x:v>Именованная структура с подтверждением; отбор по стране, очереди и типу. Это не оценка вероятности заказа.</x:v>
      </x:c>
      <x:c r="X228" s="5" t="str">
        <x:v>cu_kazakhstan.json:39</x:v>
      </x:c>
    </x:row>
    <x:row r="229" ht="54" customHeight="1">
      <x:c r="A229" s="5" t="str">
        <x:v>CU-0224</x:v>
      </x:c>
      <x:c r="B229" s="5" t="str">
        <x:v>main_200</x:v>
      </x:c>
      <x:c r="C229" s="5" t="str">
        <x:v>Центр подготовки и переподготовки кадров Политехнического колледжа корпорации Казахмыс</x:v>
      </x:c>
      <x:c r="D229" s="5" t="str">
        <x:v>KZ</x:v>
      </x:c>
      <x:c r="E229" s="5" t="str">
        <x:v>company_training_center</x:v>
      </x:c>
      <x:c r="F229" s="5" t="str">
        <x:v>ЧУ «Политехнический колледж корпорации «Казахмыс»</x:v>
      </x:c>
      <x:c r="G229" s="5" t="str">
        <x:v>Казахмыс</x:v>
      </x:c>
      <x:c r="H229" s="5" t="str">
        <x:v>Балхаш</x:v>
      </x:c>
      <x:c r="I229" s="5" t="str">
        <x:v>Горно-металлургический комплекс</x:v>
      </x:c>
      <x:c r="J229" s="5" t="str">
        <x:v>Работники компании и студенты дуального обучения</x:v>
      </x:c>
      <x:c r="K229" s="5" t="str">
        <x:v>Условная: методология, наставники, электронное обучение.</x:v>
      </x:c>
      <x:c r="L229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29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29" s="5" t="str">
        <x:v>Директор/руководитель учебного подразделения; HR/L&amp;D; владелец программы; закупщик услуг</x:v>
      </x:c>
      <x:c r="O229" s="5" t="str">
        <x:v>https://ptk-kazakhmys.edu.kz/divisions/</x:v>
      </x:c>
      <x:c r="P229" s="5" t="str">
        <x:v>https://ptk-kazakhmys.edu.kz/about/</x:v>
      </x:c>
      <x:c r="Q229" s="5" t="str">
        <x:v>Официальные страницы подтверждают корпоративный колледж и подразделение подготовки/переподготовки.</x:v>
      </x:c>
      <x:c r="R229" s="5" t="str">
        <x:v>search_index</x:v>
      </x:c>
      <x:c r="S229" s="12" t="n">
        <x:v>46296</x:v>
      </x:c>
      <x:c r="T229" s="5" t="str">
        <x:v>Корпоративный колледж и его учебный центр, не отдельный университет. Не дублировать колледж второй карточкой.</x:v>
      </x:c>
      <x:c r="U22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29" s="5" t="str">
        <x:v>Центр подготовки и переподготовки кадров Политехнического колледжа корпорации Казахмыс; ЧУ «Политехнический колледж корпорации «Казахмыс»; обучение; тренинг; внешний преподаватель; электронный курс; поставщик; оқыту; training</x:v>
      </x:c>
      <x:c r="W229" s="5" t="str">
        <x:v>Именованная структура с подтверждением; отбор по стране, очереди и типу. Это не оценка вероятности заказа.</x:v>
      </x:c>
      <x:c r="X229" s="5" t="str">
        <x:v>cu_kazakhstan.json:40</x:v>
      </x:c>
    </x:row>
    <x:row r="230" ht="54" customHeight="1">
      <x:c r="A230" s="5" t="str">
        <x:v>CU-0225</x:v>
      </x:c>
      <x:c r="B230" s="5" t="str">
        <x:v>main_200</x:v>
      </x:c>
      <x:c r="C230" s="5" t="str">
        <x:v>Forte Academy — Корпоративная академия ForteBank</x:v>
      </x:c>
      <x:c r="D230" s="5" t="str">
        <x:v>KZ</x:v>
      </x:c>
      <x:c r="E230" s="5" t="str">
        <x:v>corporate_academy</x:v>
      </x:c>
      <x:c r="F230" s="5" t="str">
        <x:v>АО «ForteBank»</x:v>
      </x:c>
      <x:c r="G230" s="5" t="str">
        <x:v>ForteBank</x:v>
      </x:c>
      <x:c r="H230" s="5" t="str">
        <x:v>Не установлено</x:v>
      </x:c>
      <x:c r="I230" s="5" t="str">
        <x:v>Банки</x:v>
      </x:c>
      <x:c r="J230" s="5" t="str">
        <x:v>Сотрудники и руководители банка</x:v>
      </x:c>
      <x:c r="K230" s="5" t="str">
        <x:v>Высокая: Excel/аналитика, управление, функциональные компетенции и электронные курсы.</x:v>
      </x:c>
      <x:c r="L230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30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30" s="5" t="str">
        <x:v>Директор/руководитель учебного подразделения; HR/L&amp;D; владелец программы; закупщик услуг</x:v>
      </x:c>
      <x:c r="O230" s="5" t="str">
        <x:v>https://career.forte.kz/ru/humanity</x:v>
      </x:c>
      <x:c r="P230" s="5" t="str">
        <x:v>https://career.forte.kz/ru/humanity</x:v>
      </x:c>
      <x:c r="Q230" s="5" t="str">
        <x:v>Официальный карьерный сайт банка называет Forte Academy корпоративной академией, предлагающей повышение квалификации.</x:v>
      </x:c>
      <x:c r="R230" s="5" t="str">
        <x:v>search_index</x:v>
      </x:c>
      <x:c r="S230" s="12" t="n">
        <x:v>46296</x:v>
      </x:c>
      <x:c r="T230" s="5" t="str">
        <x:v>При открытии HTML часть блока не извлеклась; подтверждение в поисковом индексе официального сайта. Автоматический сбор требует проверки.</x:v>
      </x:c>
      <x:c r="U23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30" s="5" t="str">
        <x:v>Forte Academy — Корпоративная академия ForteBank; АО «ForteBank»; обучение; тренинг; внешний преподаватель; электронный курс; поставщик; оқыту; training</x:v>
      </x:c>
      <x:c r="W230" s="5" t="str">
        <x:v>Именованная структура с подтверждением; отбор по стране, очереди и типу. Это не оценка вероятности заказа.</x:v>
      </x:c>
      <x:c r="X230" s="5" t="str">
        <x:v>cu_kazakhstan.json:41</x:v>
      </x:c>
    </x:row>
    <x:row r="231" ht="54" customHeight="1">
      <x:c r="A231" s="5" t="str">
        <x:v>CU-0226</x:v>
      </x:c>
      <x:c r="B231" s="5" t="str">
        <x:v>reserve</x:v>
      </x:c>
      <x:c r="C231" s="5" t="str">
        <x:v>bcc academy</x:v>
      </x:c>
      <x:c r="D231" s="5" t="str">
        <x:v>KZ</x:v>
      </x:c>
      <x:c r="E231" s="5" t="str">
        <x:v>candidate</x:v>
      </x:c>
      <x:c r="F231" s="5" t="str">
        <x:v>АО «Банк ЦентрКредит»</x:v>
      </x:c>
      <x:c r="G231" s="5" t="str">
        <x:v>Банк ЦентрКредит</x:v>
      </x:c>
      <x:c r="H231" s="5" t="str">
        <x:v>Не установлено</x:v>
      </x:c>
      <x:c r="I231" s="5" t="str">
        <x:v>Банки</x:v>
      </x:c>
      <x:c r="J231" s="5" t="str">
        <x:v>Сотрудники банка и руководители</x:v>
      </x:c>
      <x:c r="K231" s="5" t="str">
        <x:v>Высокая: менеджмент, финансы, клиентский сервис, цифровое обучение.</x:v>
      </x:c>
      <x:c r="L231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31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31" s="5" t="str">
        <x:v>Директор/руководитель учебного подразделения; HR/L&amp;D; владелец программы; закупщик услуг</x:v>
      </x:c>
      <x:c r="O231" s="5" t="str">
        <x:v>https://www.bcc.kz/career/</x:v>
      </x:c>
      <x:c r="P231" s="5" t="str">
        <x:v>https://www.bcc.kz/career/</x:v>
      </x:c>
      <x:c r="Q231" s="5" t="str">
        <x:v>Официальный карьерный сайт прямо указывает bcc academy как систему обучения и развития сотрудников.</x:v>
      </x:c>
      <x:c r="R231" s="5" t="str">
        <x:v>search_index</x:v>
      </x:c>
      <x:c r="S231" s="12" t="n">
        <x:v>46296</x:v>
      </x:c>
      <x:c r="T231" s="5" t="str">
        <x:v>Существование образовательной структуры не доказывает открытый заказ; автоматический сбор и процедура допуска поставщиков не проверены.</x:v>
      </x:c>
      <x:c r="U23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31" s="5" t="str">
        <x:v>bcc academy; АО «Банк ЦентрКредит»; обучение; тренинг; внешний преподаватель; электронный курс; поставщик; оқыту; training</x:v>
      </x:c>
      <x:c r="W231" s="5" t="str">
        <x:v>Подтвержден внутренний бренд развития сотрудников; отдельная учебная единица требует уточнения. Каналы сохраняются для расширения.</x:v>
      </x:c>
      <x:c r="X231" s="5" t="str">
        <x:v>cu_kazakhstan.json:42</x:v>
      </x:c>
    </x:row>
    <x:row r="232" ht="54" customHeight="1">
      <x:c r="A232" s="5" t="str">
        <x:v>CU-0227</x:v>
      </x:c>
      <x:c r="B232" s="5" t="str">
        <x:v>reserve</x:v>
      </x:c>
      <x:c r="C232" s="5" t="str">
        <x:v>Home Credit University Kazakhstan</x:v>
      </x:c>
      <x:c r="D232" s="5" t="str">
        <x:v>KZ</x:v>
      </x:c>
      <x:c r="E232" s="5" t="str">
        <x:v>candidate</x:v>
      </x:c>
      <x:c r="F232" s="5" t="str">
        <x:v>АО «Home Credit Bank»</x:v>
      </x:c>
      <x:c r="G232" s="5" t="str">
        <x:v>Home Credit Bank / ForteBank</x:v>
      </x:c>
      <x:c r="H232" s="5" t="str">
        <x:v>Алматы</x:v>
      </x:c>
      <x:c r="I232" s="5" t="str">
        <x:v>Банки</x:v>
      </x:c>
      <x:c r="J232" s="5" t="str">
        <x:v>Работники банка, кадровый резерв, IT/digital-специалисты</x:v>
      </x:c>
      <x:c r="K232" s="5" t="str">
        <x:v>Высокая: лидерство, продуктовый менеджмент, бизнес-аналитика, разработка курсов.</x:v>
      </x:c>
      <x:c r="L232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32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32" s="5" t="str">
        <x:v>Директор/руководитель учебного подразделения; HR/L&amp;D; владелец программы; закупщик услуг</x:v>
      </x:c>
      <x:c r="O232" s="5" t="str">
        <x:v>https://home.kz/press-center/news/ithub-novosty</x:v>
      </x:c>
      <x:c r="P232" s="5" t="str">
        <x:v>https://home.kz/press-center/news/ithub-novosty</x:v>
      </x:c>
      <x:c r="Q232" s="5" t="str">
        <x:v>Официальная публикация подтверждает выдачу сертификатов Home Credit University в программе HCU IT Hub.</x:v>
      </x:c>
      <x:c r="R232" s="5" t="str">
        <x:v>content_read</x:v>
      </x:c>
      <x:c r="S232" s="12" t="n">
        <x:v>46296</x:v>
      </x:c>
      <x:c r="T232" s="5" t="str">
        <x:v>Событие историческое (в поисковом индексе 2021); дата обновления страницы 2026 не является датой программы. После смены группы проверить текущий бренд и самостоятельность КУ.</x:v>
      </x:c>
      <x:c r="U23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32" s="5" t="str">
        <x:v>Home Credit University Kazakhstan; АО «Home Credit Bank»; обучение; тренинг; внешний преподаватель; электронный курс; поставщик; оқыту; training</x:v>
      </x:c>
      <x:c r="W232" s="5" t="str">
        <x:v>Сертификат / программа HCU IT Hub не доказывает самостоятельный действующий КУ Казахстана. Каналы сохраняются для расширения.</x:v>
      </x:c>
      <x:c r="X232" s="5" t="str">
        <x:v>cu_kazakhstan.json:43</x:v>
      </x:c>
    </x:row>
    <x:row r="233" ht="54" customHeight="1">
      <x:c r="A233" s="5" t="str">
        <x:v>CU-0228</x:v>
      </x:c>
      <x:c r="B233" s="5" t="str">
        <x:v>reserve</x:v>
      </x:c>
      <x:c r="C233" s="5" t="str">
        <x:v>KMGE School — корпоративная программа подготовки специалистов</x:v>
      </x:c>
      <x:c r="D233" s="5" t="str">
        <x:v>KZ</x:v>
      </x:c>
      <x:c r="E233" s="5" t="str">
        <x:v>candidate</x:v>
      </x:c>
      <x:c r="F233" s="5" t="str">
        <x:v>ТОО «КМГ Инжиниринг»</x:v>
      </x:c>
      <x:c r="G233" s="5" t="str">
        <x:v>КазМунайГаз</x:v>
      </x:c>
      <x:c r="H233" s="5" t="str">
        <x:v>Не установлено</x:v>
      </x:c>
      <x:c r="I233" s="5" t="str">
        <x:v>Нефтегазовый инжиниринг</x:v>
      </x:c>
      <x:c r="J233" s="5" t="str">
        <x:v>Студенты старших курсов и будущие узкие специалисты</x:v>
      </x:c>
      <x:c r="K233" s="5" t="str">
        <x:v>Условная: методология и курсы для кадрового входа.</x:v>
      </x:c>
      <x:c r="L233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33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33" s="5" t="str">
        <x:v>Директор/руководитель учебного подразделения; HR/L&amp;D; владелец программы; закупщик услуг</x:v>
      </x:c>
      <x:c r="O233" s="5" t="str">
        <x:v>https://www.kmge.kz/kmge-school/</x:v>
      </x:c>
      <x:c r="P233" s="5" t="str">
        <x:v>https://ar2025.kmg.kz/ru/strategic-report/ensuring-sustainable-development/social-responsibility</x:v>
      </x:c>
      <x:c r="Q233" s="5" t="str">
        <x:v>Официальный отчёт подтверждает длительную программу KMGE School; самостоятельная учебная организация не установлена.</x:v>
      </x:c>
      <x:c r="R233" s="5" t="str">
        <x:v>search_index</x:v>
      </x:c>
      <x:c r="S233" s="12" t="n">
        <x:v>46296</x:v>
      </x:c>
      <x:c r="T233" s="5" t="str">
        <x:v>Программа, не доказанный самостоятельный КУ/учебный центр; не включать в строгий счёт 200 учреждений.</x:v>
      </x:c>
      <x:c r="U23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33" s="5" t="str">
        <x:v>KMGE School — корпоративная программа подготовки специалистов; ТОО «КМГ Инжиниринг»; обучение; тренинг; внешний преподаватель; электронный курс; поставщик; оқыту; training</x:v>
      </x:c>
      <x:c r="W233" s="5" t="str">
        <x:v>Требуется уточнение статуса, структуры или самостоятельности; все каналы сохранены.</x:v>
      </x:c>
      <x:c r="X233" s="5" t="str">
        <x:v>cu_kazakhstan.json:44</x:v>
      </x:c>
    </x:row>
    <x:row r="234" ht="54" customHeight="1">
      <x:c r="A234" s="5" t="str">
        <x:v>CU-0229</x:v>
      </x:c>
      <x:c r="B234" s="5" t="str">
        <x:v>reserve</x:v>
      </x:c>
      <x:c r="C234" s="5" t="str">
        <x:v>Halyk Training Center — исторический корпоративный учебный центр</x:v>
      </x:c>
      <x:c r="D234" s="5" t="str">
        <x:v>KZ</x:v>
      </x:c>
      <x:c r="E234" s="5" t="str">
        <x:v>candidate</x:v>
      </x:c>
      <x:c r="F234" s="5" t="str">
        <x:v>Halyk Bank</x:v>
      </x:c>
      <x:c r="G234" s="5" t="str">
        <x:v>Halyk</x:v>
      </x:c>
      <x:c r="H234" s="5" t="str">
        <x:v>Алматы</x:v>
      </x:c>
      <x:c r="I234" s="5" t="str">
        <x:v>Банки</x:v>
      </x:c>
      <x:c r="J234" s="5" t="str">
        <x:v>Работники Halyk Group</x:v>
      </x:c>
      <x:c r="K234" s="5" t="str">
        <x:v>Высокая потенциальная: продажи, менеджмент, банковские и цифровые компетенции.</x:v>
      </x:c>
      <x:c r="L234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34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34" s="5" t="str">
        <x:v>Директор/руководитель учебного подразделения; HR/L&amp;D; владелец программы; закупщик услуг</x:v>
      </x:c>
      <x:c r="O234" s="5" t="str">
        <x:v>https://halykbank.kz/for-employees</x:v>
      </x:c>
      <x:c r="P234" s="5" t="str">
        <x:v>https://www.pmclub.kz/halykcenter</x:v>
      </x:c>
      <x:c r="Q234" s="5" t="str">
        <x:v>Партнёрский ресурс описывает Halyk Training Center; материал 2009 года, текущий статус центра не подтверждён.</x:v>
      </x:c>
      <x:c r="R234" s="5" t="str">
        <x:v>search_index</x:v>
      </x:c>
      <x:c r="S234" s="12" t="n">
        <x:v>46296</x:v>
      </x:c>
      <x:c r="T234" s="5" t="str">
        <x:v>Историческое вторичное подтверждение. Не объединять автоматически с Halyk Academy, но не считать подтверждённым действующим учреждением.</x:v>
      </x:c>
      <x:c r="U23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34" s="5" t="str">
        <x:v>Halyk Training Center — исторический корпоративный учебный центр; Halyk Bank; обучение; тренинг; внешний преподаватель; электронный курс; поставщик; оқыту; training</x:v>
      </x:c>
      <x:c r="W234" s="5" t="str">
        <x:v>Требуется уточнение статуса, структуры или самостоятельности; все каналы сохранены.</x:v>
      </x:c>
      <x:c r="X234" s="5" t="str">
        <x:v>cu_kazakhstan.json:45</x:v>
      </x:c>
    </x:row>
    <x:row r="235" ht="54" customHeight="1">
      <x:c r="A235" s="5" t="str">
        <x:v>CU-0230</x:v>
      </x:c>
      <x:c r="B235" s="5" t="str">
        <x:v>reserve</x:v>
      </x:c>
      <x:c r="C235" s="5" t="str">
        <x:v>KDIF Academy — отраслевая программа Фонда гарантирования депозитов</x:v>
      </x:c>
      <x:c r="D235" s="5" t="str">
        <x:v>KZ</x:v>
      </x:c>
      <x:c r="E235" s="5" t="str">
        <x:v>candidate</x:v>
      </x:c>
      <x:c r="F235" s="5" t="str">
        <x:v>Казахстанский фонд гарантирования депозитов</x:v>
      </x:c>
      <x:c r="G235" s="5" t="str">
        <x:v>КФГД</x:v>
      </x:c>
      <x:c r="H235" s="5" t="str">
        <x:v>Не установлено</x:v>
      </x:c>
      <x:c r="I235" s="5" t="str">
        <x:v>Финансовая инфраструктура</x:v>
      </x:c>
      <x:c r="J235" s="5" t="str">
        <x:v>Менеджеры отделений, колл-центры, клиентская поддержка банков</x:v>
      </x:c>
      <x:c r="K235" s="5" t="str">
        <x:v>Высокая потенциальная: электронные курсы, сервис, обучение тренеров.</x:v>
      </x:c>
      <x:c r="L235" s="5" t="str">
        <x:v>Гипотезы сигналов: новая программа, набор преподавателей/подрядчиков, запрос на цифровой курс, развитие кадрового резерва; актуальный заказ не установлен.</x:v>
      </x:c>
      <x:c r="M235" s="5" t="str">
        <x:v>Гипотеза: руководитель учебного подразделения → владелец программы → закупки компании; предлагать внешний модуль или разработку учебного контента.</x:v>
      </x:c>
      <x:c r="N235" s="5" t="str">
        <x:v>Директор/руководитель учебного подразделения; HR/L&amp;D; владелец программы; закупщик услуг</x:v>
      </x:c>
      <x:c r="O235" s="5" t="str">
        <x:v>https://kdif.kz/press-tsentr/press-relizy/kdif-academy-x-bcc</x:v>
      </x:c>
      <x:c r="P235" s="5" t="str">
        <x:v>https://kdif.kz/press-tsentr/press-relizy/kdif-academy-x-bcc</x:v>
      </x:c>
      <x:c r="Q235" s="5" t="str">
        <x:v>Официальный релиз описывает запуск KDIF Academy как информационно-разъяснительной программы для банковских работников.</x:v>
      </x:c>
      <x:c r="R235" s="5" t="str">
        <x:v>search_index</x:v>
      </x:c>
      <x:c r="S235" s="12" t="n">
        <x:v>46296</x:v>
      </x:c>
      <x:c r="T235" s="5" t="str">
        <x:v>Подтверждена программа, а не отдельное учреждение/КУ. Резерв для расширения источников; не включать в строгий счёт организаций.</x:v>
      </x:c>
      <x:c r="U23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  <x:c r="V235" s="5" t="str">
        <x:v>KDIF Academy — отраслевая программа Фонда гарантирования депозитов; Казахстанский фонд гарантирования депозитов; обучение; тренинг; внешний преподаватель; электронный курс; поставщик; оқыту; training</x:v>
      </x:c>
      <x:c r="W235" s="5" t="str">
        <x:v>Требуется уточнение статуса, структуры или самостоятельности; все каналы сохранены.</x:v>
      </x:c>
      <x:c r="X235" s="5" t="str">
        <x:v>cu_kazakhstan.json:46</x:v>
      </x:c>
    </x:row>
    <x:row r="236" ht="54" customHeight="1">
      <x:c r="A236" s="5" t="str">
        <x:v>CU-0231</x:v>
      </x:c>
      <x:c r="B236" s="5" t="str">
        <x:v>main_200</x:v>
      </x:c>
      <x:c r="C236" s="5" t="str">
        <x:v>Корпоративный университет Группы «Эталон»</x:v>
      </x:c>
      <x:c r="D236" s="5" t="str">
        <x:v>RU</x:v>
      </x:c>
      <x:c r="E236" s="5" t="str">
        <x:v>corporate_university</x:v>
      </x:c>
      <x:c r="F236" s="5" t="str">
        <x:v>Группа «Эталон»</x:v>
      </x:c>
      <x:c r="G236" s="5" t="str">
        <x:v>Эталон</x:v>
      </x:c>
      <x:c r="H236" s="5" t="str">
        <x:v>Не установлено</x:v>
      </x:c>
      <x:c r="I236" s="5" t="str">
        <x:v>Строительство и девелопмент</x:v>
      </x:c>
      <x:c r="J236" s="5" t="str">
        <x:v>Руководители, специалисты, кадровый резерв и внутренние преподаватели.</x:v>
      </x:c>
      <x:c r="K236" s="5" t="str">
        <x:v>Высокое: управленческое обучение, развитие кадрового резерва, HR, право, финансы, закупки, цифровые курсы и фасилитация.</x:v>
      </x:c>
      <x:c r="L236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36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36" s="5" t="str">
        <x:v>Директор КУ/УЦ, руководитель обучения и развития, методический отдел, HR, закупки услуг.</x:v>
      </x:c>
      <x:c r="O236" s="5" t="str">
        <x:v>https://projects.1prime.ru/vpered/natalia_tanaeva/</x:v>
      </x:c>
      <x:c r="P236" s="5" t="str">
        <x:v>https://projects.1prime.ru/vpered/natalia_tanaeva/</x:v>
      </x:c>
      <x:c r="Q236" s="5" t="str">
        <x:v>Прочитано прямое интервью директора по персоналу Натальи Танаевой: назван собственный КУ и участие внутренних и внешних экспертов. Первичный источник — слова представителя компании в СМИ, не собственный сайт КУ.</x:v>
      </x:c>
      <x:c r="R236" s="5" t="str">
        <x:v>content_read</x:v>
      </x:c>
      <x:c r="S236" s="12" t="n">
        <x:v>46296</x:v>
      </x:c>
      <x:c r="T236" s="5" t="str">
        <x:v>Отдельный сайт и юридическое лицо КУ не установлены. Дата создания/актуальная структура требуют уточнения. Не удалять при низком приоритете, дублях или ошибке доступа.</x:v>
      </x:c>
      <x:c r="U23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36" s="5" t="str">
        <x:v>"Группа «Эталон»"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36" s="5" t="str">
        <x:v>Именованная структура с подтверждением; отбор по стране, очереди и типу. Это не оценка вероятности заказа.</x:v>
      </x:c>
      <x:c r="X236" s="5" t="str">
        <x:v>cu_extra.json:1</x:v>
      </x:c>
    </x:row>
    <x:row r="237" ht="54" customHeight="1">
      <x:c r="A237" s="5" t="str">
        <x:v>CU-0232</x:v>
      </x:c>
      <x:c r="B237" s="5" t="str">
        <x:v>main_200</x:v>
      </x:c>
      <x:c r="C237" s="5" t="str">
        <x:v>Корпоративный учебный центр ГК «А101»</x:v>
      </x:c>
      <x:c r="D237" s="5" t="str">
        <x:v>RU</x:v>
      </x:c>
      <x:c r="E237" s="5" t="str">
        <x:v>company_training_center</x:v>
      </x:c>
      <x:c r="F237" s="5" t="str">
        <x:v>ГК «А101»</x:v>
      </x:c>
      <x:c r="G237" s="5" t="str">
        <x:v>А101</x:v>
      </x:c>
      <x:c r="H237" s="5" t="str">
        <x:v>Москва</x:v>
      </x:c>
      <x:c r="I237" s="5" t="str">
        <x:v>Строительство и девелопмент</x:v>
      </x:c>
      <x:c r="J237" s="5" t="str">
        <x:v>Руководители, специалисты и производственный персонал; долю управленческих программ уточнить.</x:v>
      </x:c>
      <x:c r="K237" s="5" t="str">
        <x:v>Высокое: руководители, коммуникации, личная эффективность, цифровые компетенции, разработка кастомизированных программ.</x:v>
      </x:c>
      <x:c r="L237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37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37" s="5" t="str">
        <x:v>Директор КУ/УЦ, руководитель обучения и развития, методический отдел, HR, закупки услуг.</x:v>
      </x:c>
      <x:c r="O237" s="5" t="str">
        <x:v>https://a101.ru/company/media/news/korporativnoe-obuchenie-v-gk-a101-vyjdet-na-novyj-uroven-so-sberuniversitetom/</x:v>
      </x:c>
      <x:c r="P237" s="5" t="str">
        <x:v>https://a101.ru/company/media/news/korporativnoe-obuchenie-v-gk-a101-vyjdet-na-novyj-uroven-so-sberuniversitetom/</x:v>
      </x:c>
      <x:c r="Q237" s="5" t="str">
        <x:v>Прочитана официальная новость от 21.10.2025: в группе работает собственный корпоративный УЦ; заключено партнёрство по разработке образовательных решений.</x:v>
      </x:c>
      <x:c r="R237" s="5" t="str">
        <x:v>content_read</x:v>
      </x:c>
      <x:c r="S237" s="12" t="n">
        <x:v>46296</x:v>
      </x:c>
      <x:c r="T237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23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37" s="5" t="str">
        <x:v>"ГК «А101»"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37" s="5" t="str">
        <x:v>Именованная структура с подтверждением; отбор по стране, очереди и типу. Это не оценка вероятности заказа.</x:v>
      </x:c>
      <x:c r="X237" s="5" t="str">
        <x:v>cu_extra.json:2</x:v>
      </x:c>
    </x:row>
    <x:row r="238" ht="54" customHeight="1">
      <x:c r="A238" s="5" t="str">
        <x:v>CU-0233</x:v>
      </x:c>
      <x:c r="B238" s="5" t="str">
        <x:v>main_200</x:v>
      </x:c>
      <x:c r="C238" s="5" t="str">
        <x:v>Учебный центр АО «Мосводоканал»</x:v>
      </x:c>
      <x:c r="D238" s="5" t="str">
        <x:v>RU</x:v>
      </x:c>
      <x:c r="E238" s="5" t="str">
        <x:v>company_training_center</x:v>
      </x:c>
      <x:c r="F238" s="5" t="str">
        <x:v>АО «Мосводоканал»</x:v>
      </x:c>
      <x:c r="G238" s="5" t="str">
        <x:v>Мосводоканал</x:v>
      </x:c>
      <x:c r="H238" s="5" t="str">
        <x:v>Москва</x:v>
      </x:c>
      <x:c r="I238" s="5" t="str">
        <x:v>Водоснабжение и ЖКХ</x:v>
      </x:c>
      <x:c r="J238" s="5" t="str">
        <x:v>Руководители, специалисты и производственный персонал; долю управленческих программ уточнить.</x:v>
      </x:c>
      <x:c r="K238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238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38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38" s="5" t="str">
        <x:v>Директор КУ/УЦ, руководитель обучения и развития, методический отдел, HR, закупки услуг.</x:v>
      </x:c>
      <x:c r="O238" s="5" t="str">
        <x:v>https://mosvodokanal.ru/press/news/8824</x:v>
      </x:c>
      <x:c r="P238" s="5" t="str">
        <x:v>https://mosvodokanal.ru/press/news/8824</x:v>
      </x:c>
      <x:c r="Q238" s="5" t="str">
        <x:v>Официальная новость компании подтверждает Учебный центр, руководителя и учебную базу; публикация 2019 года.</x:v>
      </x:c>
      <x:c r="R238" s="5" t="str">
        <x:v>search_index</x:v>
      </x:c>
      <x:c r="S238" s="12" t="n">
        <x:v>46296</x:v>
      </x:c>
      <x:c r="T238" s="5" t="str">
        <x:v>Первичное подтверждение историческое; актуальную структуру и направления управленческого обучения перепроверить. Рабочие профессии сами по себе вне профиля МИСБ. Не удалять при низком приоритете, дублях или ошибке доступа.</x:v>
      </x:c>
      <x:c r="U23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38" s="5" t="str">
        <x:v>"АО «Мосводоканал»"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38" s="5" t="str">
        <x:v>Именованная структура с подтверждением; отбор по стране, очереди и типу. Это не оценка вероятности заказа.</x:v>
      </x:c>
      <x:c r="X238" s="5" t="str">
        <x:v>cu_extra.json:3</x:v>
      </x:c>
    </x:row>
    <x:row r="239" ht="54" customHeight="1">
      <x:c r="A239" s="5" t="str">
        <x:v>CU-0234</x:v>
      </x:c>
      <x:c r="B239" s="5" t="str">
        <x:v>reserve</x:v>
      </x:c>
      <x:c r="C239" s="5" t="str">
        <x:v>Медицинская академия МЕДСИ</x:v>
      </x:c>
      <x:c r="D239" s="5" t="str">
        <x:v>RU</x:v>
      </x:c>
      <x:c r="E239" s="5" t="str">
        <x:v>corporate_academy</x:v>
      </x:c>
      <x:c r="F239" s="5" t="str">
        <x:v>АО «Группа компаний «Медси»</x:v>
      </x:c>
      <x:c r="G239" s="5" t="str">
        <x:v>МЕДСИ</x:v>
      </x:c>
      <x:c r="H239" s="5" t="str">
        <x:v>Москва</x:v>
      </x:c>
      <x:c r="I239" s="5" t="str">
        <x:v>Медицина</x:v>
      </x:c>
      <x:c r="J239" s="5" t="str">
        <x:v>Руководители, специалисты, кадровый резерв и внутренние преподаватели.</x:v>
      </x:c>
      <x:c r="K239" s="5" t="str">
        <x:v>Условное/среднее: управление медицинскими организациями, сервис, HR, право, цифровые курсы и методика преподавания. Клинические специальности требуют отдельной медицинской экспертизы.</x:v>
      </x:c>
      <x:c r="L239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39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39" s="5" t="str">
        <x:v>Директор КУ/УЦ, руководитель обучения и развития, методический отдел, HR, закупки услуг.</x:v>
      </x:c>
      <x:c r="O239" s="5" t="str">
        <x:v>https://medsi.ru/academy/</x:v>
      </x:c>
      <x:c r="P239" s="5" t="str">
        <x:v>https://medsi.ru/academy/</x:v>
      </x:c>
      <x:c r="Q239" s="5" t="str">
        <x:v>Официальная страница Академии описывает ДПО, дистанционные программы, мастер-классы и выездные циклы.</x:v>
      </x:c>
      <x:c r="R239" s="5" t="str">
        <x:v>content_read</x:v>
      </x:c>
      <x:c r="S239" s="12" t="n">
        <x:v>46296</x:v>
      </x:c>
      <x:c r="T239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23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39" s="5" t="str">
        <x:v>"АО «Группа компаний «Медси»"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39" s="5" t="str">
        <x:v>Повторное исследование той же Медицинской академии МЕДСИ; сохранены дополнительные доказательства и каналы.</x:v>
      </x:c>
      <x:c r="X239" s="5" t="str">
        <x:v>cu_extra.json:4</x:v>
      </x:c>
    </x:row>
    <x:row r="240" ht="54" customHeight="1">
      <x:c r="A240" s="5" t="str">
        <x:v>CU-0235</x:v>
      </x:c>
      <x:c r="B240" s="5" t="str">
        <x:v>main_200</x:v>
      </x:c>
      <x:c r="C240" s="5" t="str">
        <x:v>Корпоративный учебный центр «СМ-Клиника»</x:v>
      </x:c>
      <x:c r="D240" s="5" t="str">
        <x:v>RU</x:v>
      </x:c>
      <x:c r="E240" s="5" t="str">
        <x:v>company_training_center</x:v>
      </x:c>
      <x:c r="F240" s="5" t="str">
        <x:v>Медицинский холдинг «СМ-Клиника»</x:v>
      </x:c>
      <x:c r="G240" s="5" t="str">
        <x:v>СМ-Клиника</x:v>
      </x:c>
      <x:c r="H240" s="5" t="str">
        <x:v>Москва</x:v>
      </x:c>
      <x:c r="I240" s="5" t="str">
        <x:v>Медицина</x:v>
      </x:c>
      <x:c r="J240" s="5" t="str">
        <x:v>Руководители, специалисты и производственный персонал; долю управленческих программ уточнить.</x:v>
      </x:c>
      <x:c r="K240" s="5" t="str">
        <x:v>Среднее: сервис, коммуникации с пациентами, управление клиникой, HR и электронный контент; клиническое ДПО отдельно.</x:v>
      </x:c>
      <x:c r="L240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40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40" s="5" t="str">
        <x:v>Директор КУ/УЦ, руководитель обучения и развития, методический отдел, HR, закупки услуг.</x:v>
      </x:c>
      <x:c r="O240" s="5" t="str">
        <x:v>https://sm.org.ru/preimushchestva/obuchenie</x:v>
      </x:c>
      <x:c r="P240" s="5" t="str">
        <x:v>https://sm.org.ru/preimushchestva/obuchenie</x:v>
      </x:c>
      <x:c r="Q240" s="5" t="str">
        <x:v>Официальный карьерный ресурс сети прямо подтверждает Корпоративный учебный центр в Москве и обучение сотрудников из регионов.</x:v>
      </x:c>
      <x:c r="R240" s="5" t="str">
        <x:v>content_read</x:v>
      </x:c>
      <x:c r="S240" s="12" t="n">
        <x:v>46296</x:v>
      </x:c>
      <x:c r="T240" s="5" t="str">
        <x:v>Региональный портал «СМ-Клиника Северо-Запад» может относиться к отдельной структуре; не увеличивать счётчик без проверки самостоятельности. Не удалять при низком приоритете, дублях или ошибке доступа.</x:v>
      </x:c>
      <x:c r="U24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40" s="5" t="str">
        <x:v>"Медицинский холдинг «СМ-Клиника»"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40" s="5" t="str">
        <x:v>Именованная структура с подтверждением; отбор по стране, очереди и типу. Это не оценка вероятности заказа.</x:v>
      </x:c>
      <x:c r="X240" s="5" t="str">
        <x:v>cu_extra.json:5</x:v>
      </x:c>
    </x:row>
    <x:row r="241" ht="54" customHeight="1">
      <x:c r="A241" s="5" t="str">
        <x:v>CU-0236</x:v>
      </x:c>
      <x:c r="B241" s="5" t="str">
        <x:v>reserve</x:v>
      </x:c>
      <x:c r="C241" s="5" t="str">
        <x:v>Высшая медицинская школа (учебный центр ИНВИТРО)</x:v>
      </x:c>
      <x:c r="D241" s="5" t="str">
        <x:v>RU</x:v>
      </x:c>
      <x:c r="E241" s="5" t="str">
        <x:v>company_training_center</x:v>
      </x:c>
      <x:c r="F241" s="5" t="str">
        <x:v>Группа ИНВИТРО</x:v>
      </x:c>
      <x:c r="G241" s="5" t="str">
        <x:v>ИНВИТРО</x:v>
      </x:c>
      <x:c r="H241" s="5" t="str">
        <x:v>Москва</x:v>
      </x:c>
      <x:c r="I241" s="5" t="str">
        <x:v>Медицина</x:v>
      </x:c>
      <x:c r="J241" s="5" t="str">
        <x:v>Руководители, специалисты и производственный персонал; долю управленческих программ уточнить.</x:v>
      </x:c>
      <x:c r="K241" s="5" t="str">
        <x:v>Высокое по бизнес-направлениям: переговоры, HR, клиентский сервис, бюджетирование, продажи, управление временем, электронное обучение.</x:v>
      </x:c>
      <x:c r="L241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41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41" s="5" t="str">
        <x:v>Директор КУ/УЦ, руководитель обучения и развития, методический отдел, HR, закупки услуг.</x:v>
      </x:c>
      <x:c r="O241" s="5" t="str">
        <x:v>https://www.invitro.ru/zhukovka/about/news/13171/</x:v>
      </x:c>
      <x:c r="P241" s="5" t="str">
        <x:v>https://www.invitro.ru/zhukovka/about/news/13171/</x:v>
      </x:c>
      <x:c r="Q241" s="5" t="str">
        <x:v>Официальная новость ИНВИТРО называет ВМШ своим учебным центром и перечисляет в том числе управленческие тренинги.</x:v>
      </x:c>
      <x:c r="R241" s="5" t="str">
        <x:v>search_index</x:v>
      </x:c>
      <x:c r="S241" s="12" t="n">
        <x:v>46296</x:v>
      </x:c>
      <x:c r="T241" s="5" t="str">
        <x:v>Публикация о создании/лицензии историческая. Актуальную принадлежность ВМШ и собственный сайт проверить; филиальные URL ИНВИТРО не считать разными учебными центрами. Не удалять при низком приоритете, дублях или ошибке доступа.</x:v>
      </x:c>
      <x:c r="U241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41" s="5" t="str">
        <x:v>"Группа ИНВИТРО"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41" s="5" t="str">
        <x:v>Повторное исследование Высшей медицинской школы / ИНВИТРО; актуальная принадлежность требует проверки.</x:v>
      </x:c>
      <x:c r="X241" s="5" t="str">
        <x:v>cu_extra.json:6</x:v>
      </x:c>
    </x:row>
    <x:row r="242" ht="54" customHeight="1">
      <x:c r="A242" s="5" t="str">
        <x:v>CU-0237</x:v>
      </x:c>
      <x:c r="B242" s="5" t="str">
        <x:v>reserve</x:v>
      </x:c>
      <x:c r="C242" s="5" t="str">
        <x:v>Учебный центр Гемотест</x:v>
      </x:c>
      <x:c r="D242" s="5" t="str">
        <x:v>RU</x:v>
      </x:c>
      <x:c r="E242" s="5" t="str">
        <x:v>candidate</x:v>
      </x:c>
      <x:c r="F242" s="5" t="str">
        <x:v>Лаборатория «Гемотест»</x:v>
      </x:c>
      <x:c r="G242" s="5" t="str">
        <x:v>Гемотест</x:v>
      </x:c>
      <x:c r="H242" s="5" t="str">
        <x:v>Не установлено</x:v>
      </x:c>
      <x:c r="I242" s="5" t="str">
        <x:v>Медицина</x:v>
      </x:c>
      <x:c r="J242" s="5" t="str">
        <x:v>Сотрудники/партнёры сети; точный состав аудитории закрытого портала уточнить.</x:v>
      </x:c>
      <x:c r="K242" s="5" t="str">
        <x:v>Среднее: цифровые курсы, адаптация, клиентский сервис, обучение франчайзи, руководителей и администраторов; состав текущих программ не раскрыт.</x:v>
      </x:c>
      <x:c r="L242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42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42" s="5" t="str">
        <x:v>Директор КУ/УЦ, руководитель обучения и развития, методический отдел, HR, закупки услуг.</x:v>
      </x:c>
      <x:c r="O242" s="5" t="str">
        <x:v>https://teachbase.gemotest.ru/login/briliant</x:v>
      </x:c>
      <x:c r="P242" s="5" t="str">
        <x:v>https://teachbase.gemotest.ru/login/briliant</x:v>
      </x:c>
      <x:c r="Q242" s="5" t="str">
        <x:v>Прочитана страница с заголовком «Учебный центр Гемотест» на собственном поддомене компании; доступна форма входа.</x:v>
      </x:c>
      <x:c r="R242" s="5" t="str">
        <x:v>content_read</x:v>
      </x:c>
      <x:c r="S242" s="12" t="n">
        <x:v>46296</x:v>
      </x:c>
      <x:c r="T242" s="5" t="str">
        <x:v>Подтверждён именованный учебный портал, не отдельное юридическое лицо или лицензия. Содержимое LMS закрыто; не делать вывод о наличии открытых заказов. Не удалять при низком приоритете, дублях или ошибке доступа.</x:v>
      </x:c>
      <x:c r="U242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42" s="5" t="str">
        <x:v>"Лаборатория «Гемотест»"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42" s="5" t="str">
        <x:v>Доказана именованная учебная платформа. Организационная учебная единица пока не установлена; сохранить для поиска программ и заказчика.</x:v>
      </x:c>
      <x:c r="X242" s="5" t="str">
        <x:v>cu_extra.json:7</x:v>
      </x:c>
    </x:row>
    <x:row r="243" ht="54" customHeight="1">
      <x:c r="A243" s="5" t="str">
        <x:v>CU-0238</x:v>
      </x:c>
      <x:c r="B243" s="5" t="str">
        <x:v>reserve</x:v>
      </x:c>
      <x:c r="C243" s="5" t="str">
        <x:v>«Мать и дитя» — Учебный центр</x:v>
      </x:c>
      <x:c r="D243" s="5" t="str">
        <x:v>RU</x:v>
      </x:c>
      <x:c r="E243" s="5" t="str">
        <x:v>candidate</x:v>
      </x:c>
      <x:c r="F243" s="5" t="str">
        <x:v>Группа компаний «Мать и дитя»</x:v>
      </x:c>
      <x:c r="G243" s="5" t="str">
        <x:v>Мать и дитя</x:v>
      </x:c>
      <x:c r="H243" s="5" t="str">
        <x:v>Не установлено</x:v>
      </x:c>
      <x:c r="I243" s="5" t="str">
        <x:v>Медицина</x:v>
      </x:c>
      <x:c r="J243" s="5" t="str">
        <x:v>Медицинский и немедицинский персонал группы; конкретные направления уточнить.</x:v>
      </x:c>
      <x:c r="K243" s="5" t="str">
        <x:v>Высокое для цифровых учебных материалов, адаптации, менеджмента, сервиса и корпоративных функций; клинические программы отдельно.</x:v>
      </x:c>
      <x:c r="L243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43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43" s="5" t="str">
        <x:v>Директор КУ/УЦ, руководитель обучения и развития, методический отдел, HR, закупки услуг.</x:v>
      </x:c>
      <x:c r="O243" s="5" t="str">
        <x:v>https://www.mcclinics.ru/upload/news_files/%D0%93%D0%BE%D0%B4%D0%BE%D0%B2%D0%BE%D0%B9%20%D0%BE%D1%82%D1%87%D0%B5%D1%82%202025_%D1%84%D0%B8%D0%BD%D0%B0%D0%BB.pdf</x:v>
      </x:c>
      <x:c r="P243" s="5" t="str">
        <x:v>https://www.mcclinics.ru/upload/news_files/%D0%93%D0%BE%D0%B4%D0%BE%D0%B2%D0%BE%D0%B9%20%D0%BE%D1%82%D1%87%D0%B5%D1%82%202025_%D1%84%D0%B8%D0%BD%D0%B0%D0%BB.pdf</x:v>
      </x:c>
      <x:c r="Q243" s="5" t="str">
        <x:v>В официальном годовом отчёте за 2025 год указаны запуск корпоративной платформы дистанционного обучения и зарегистрированное название «Мать и дитя учебный центр».</x:v>
      </x:c>
      <x:c r="R243" s="5" t="str">
        <x:v>search_index</x:v>
      </x:c>
      <x:c r="S243" s="12" t="n">
        <x:v>46296</x:v>
      </x:c>
      <x:c r="T243" s="5" t="str">
        <x:v>Подтверждено название корпоративной учебной платформы, отдельное юридическое лицо и публичный URL LMS не установлены. Не удалять при низком приоритете, дублях или ошибке доступа.</x:v>
      </x:c>
      <x:c r="U243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43" s="5" t="str">
        <x:v>"Группа компаний «Мать и дитя»"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43" s="5" t="str">
        <x:v>Доказана именованная учебная платформа. Организационная учебная единица пока не установлена; сохранить для поиска программ и заказчика.</x:v>
      </x:c>
      <x:c r="X243" s="5" t="str">
        <x:v>cu_extra.json:8</x:v>
      </x:c>
    </x:row>
    <x:row r="244" ht="54" customHeight="1">
      <x:c r="A244" s="5" t="str">
        <x:v>CU-0239</x:v>
      </x:c>
      <x:c r="B244" s="5" t="str">
        <x:v>main_200</x:v>
      </x:c>
      <x:c r="C244" s="5" t="str">
        <x:v>Учебный центр ПАО «МОЭК»</x:v>
      </x:c>
      <x:c r="D244" s="5" t="str">
        <x:v>RU</x:v>
      </x:c>
      <x:c r="E244" s="5" t="str">
        <x:v>company_training_center</x:v>
      </x:c>
      <x:c r="F244" s="5" t="str">
        <x:v>ПАО «МОЭК»</x:v>
      </x:c>
      <x:c r="G244" s="5" t="str">
        <x:v>Газпром</x:v>
      </x:c>
      <x:c r="H244" s="5" t="str">
        <x:v>Москва</x:v>
      </x:c>
      <x:c r="I244" s="5" t="str">
        <x:v>Теплоснабжение и ЖКХ</x:v>
      </x:c>
      <x:c r="J244" s="5" t="str">
        <x:v>Руководители, специалисты и производственный персонал; долю управленческих программ уточнить.</x:v>
      </x:c>
      <x:c r="K244" s="5" t="str">
        <x:v>Высокое для административно-управленческого персонала, методического сопровождения и цифрового обучения; техническое обучение отдельно.</x:v>
      </x:c>
      <x:c r="L244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44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44" s="5" t="str">
        <x:v>Директор КУ/УЦ, руководитель обучения и развития, методический отдел, HR, закупки услуг.</x:v>
      </x:c>
      <x:c r="O244" s="5" t="str">
        <x:v>https://www.moek.ru/career/uchebnyj-tsentr/</x:v>
      </x:c>
      <x:c r="P244" s="5" t="str">
        <x:v>https://www.moek.ru/career/uchebnyj-tsentr/</x:v>
      </x:c>
      <x:c r="Q244" s="5" t="str">
        <x:v>Официальная страница подтверждает УЦ и обучение производственного и административно-управленческого персонала.</x:v>
      </x:c>
      <x:c r="R244" s="5" t="str">
        <x:v>content_read</x:v>
      </x:c>
      <x:c r="S244" s="12" t="n">
        <x:v>46296</x:v>
      </x:c>
      <x:c r="T244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244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44" s="5" t="str">
        <x:v>"ПАО «МОЭК»"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44" s="5" t="str">
        <x:v>Именованная структура с подтверждением; отбор по стране, очереди и типу. Это не оценка вероятности заказа.</x:v>
      </x:c>
      <x:c r="X244" s="5" t="str">
        <x:v>cu_extra.json:9</x:v>
      </x:c>
    </x:row>
    <x:row r="245" ht="54" customHeight="1">
      <x:c r="A245" s="5" t="str">
        <x:v>CU-0240</x:v>
      </x:c>
      <x:c r="B245" s="5" t="str">
        <x:v>main_200</x:v>
      </x:c>
      <x:c r="C245" s="5" t="str">
        <x:v>Учебный центр МОСГАЗ</x:v>
      </x:c>
      <x:c r="D245" s="5" t="str">
        <x:v>RU</x:v>
      </x:c>
      <x:c r="E245" s="5" t="str">
        <x:v>company_training_center</x:v>
      </x:c>
      <x:c r="F245" s="5" t="str">
        <x:v>АО «МОСГАЗ»</x:v>
      </x:c>
      <x:c r="G245" s="5" t="str">
        <x:v>МОСГАЗ</x:v>
      </x:c>
      <x:c r="H245" s="5" t="str">
        <x:v>Москва</x:v>
      </x:c>
      <x:c r="I245" s="5" t="str">
        <x:v>Газоснабжение и ЖКХ</x:v>
      </x:c>
      <x:c r="J245" s="5" t="str">
        <x:v>Руководители, специалисты и производственный персонал; долю управленческих программ уточнить.</x:v>
      </x:c>
      <x:c r="K245" s="5" t="str">
        <x:v>Условное: программы руководителей и специалистов, наставничество, подготовка преподавателей и электронные учебные материалы; рабочие квалификации вне основного профиля МИСБ.</x:v>
      </x:c>
      <x:c r="L245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45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45" s="5" t="str">
        <x:v>Директор КУ/УЦ, руководитель обучения и развития, методический отдел, HR, закупки услуг.</x:v>
      </x:c>
      <x:c r="O245" s="5" t="str">
        <x:v>https://edu.mos-gaz.ru/about/common</x:v>
      </x:c>
      <x:c r="P245" s="5" t="str">
        <x:v>https://edu.mos-gaz.ru/about/common</x:v>
      </x:c>
      <x:c r="Q245" s="5" t="str">
        <x:v>Прочитана официальная страница самостоятельного АНО ДПО «УЦ МОСГАЗ», осуществляющего профессиональную подготовку и ДПО.</x:v>
      </x:c>
      <x:c r="R245" s="5" t="str">
        <x:v>content_read</x:v>
      </x:c>
      <x:c r="S245" s="12" t="n">
        <x:v>46296</x:v>
      </x:c>
      <x:c r="T245" s="5" t="str">
        <x:v>Существование структуры не доказывает открытый заказ; собственная экспертиза может снижать потребность во внешнем провайдере. Не удалять при низком приоритете, дублях или ошибке доступа.</x:v>
      </x:c>
      <x:c r="U245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45" s="5" t="str">
        <x:v>"АО «МОСГАЗ»"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45" s="5" t="str">
        <x:v>Именованная структура с подтверждением; отбор по стране, очереди и типу. Это не оценка вероятности заказа.</x:v>
      </x:c>
      <x:c r="X245" s="5" t="str">
        <x:v>cu_extra.json:10</x:v>
      </x:c>
    </x:row>
    <x:row r="246" ht="54" customHeight="1">
      <x:c r="A246" s="5" t="str">
        <x:v>CU-0241</x:v>
      </x:c>
      <x:c r="B246" s="5" t="str">
        <x:v>reserve</x:v>
      </x:c>
      <x:c r="C246" s="5" t="str">
        <x:v>Учебный центр «ЛАНЦЕТЪ» при Институте пластической хирургии и косметологии</x:v>
      </x:c>
      <x:c r="D246" s="5" t="str">
        <x:v>RU</x:v>
      </x:c>
      <x:c r="E246" s="5" t="str">
        <x:v>company_training_center</x:v>
      </x:c>
      <x:c r="F246" s="5" t="str">
        <x:v>АО «Институт пластической хирургии и косметологии»</x:v>
      </x:c>
      <x:c r="G246" s="5" t="str">
        <x:v>ИПХиК</x:v>
      </x:c>
      <x:c r="H246" s="5" t="str">
        <x:v>Москва</x:v>
      </x:c>
      <x:c r="I246" s="5" t="str">
        <x:v>Медицина</x:v>
      </x:c>
      <x:c r="J246" s="5" t="str">
        <x:v>Руководители, специалисты и производственный персонал; долю управленческих программ уточнить.</x:v>
      </x:c>
      <x:c r="K246" s="5" t="str">
        <x:v>Условное: бизнес-навыки врачей и руководителей, сервис, право, HR, методика и видеокурсы; клиническое образование не входит в базовый профиль МИСБ.</x:v>
      </x:c>
      <x:c r="L246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46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46" s="5" t="str">
        <x:v>Директор КУ/УЦ, руководитель обучения и развития, методический отдел, HR, закупки услуг.</x:v>
      </x:c>
      <x:c r="O246" s="5" t="str">
        <x:v>https://edulancet.com/</x:v>
      </x:c>
      <x:c r="P246" s="5" t="str">
        <x:v>https://edulancet.com/</x:v>
      </x:c>
      <x:c r="Q246" s="5" t="str">
        <x:v>Официальный сайт сообщает о создании УЦ при поддержке АО ИПХиК, образовательной лицензии и программах ДПО.</x:v>
      </x:c>
      <x:c r="R246" s="5" t="str">
        <x:v>content_read</x:v>
      </x:c>
      <x:c r="S246" s="12" t="n">
        <x:v>46296</x:v>
      </x:c>
      <x:c r="T246" s="5" t="str">
        <x:v>Учреждение оказывает обучение на внешнем рынке; для МИСБ это возможный партнёр/генподрядчик, а не автоматически покупатель. Состав учредителей юридически отдельно не проверялся. Не удалять при низком приоритете, дублях или ошибке доступа.</x:v>
      </x:c>
      <x:c r="U24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46" s="5" t="str">
        <x:v>"АО «Институт пластической хирургии и косметологии»"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46" s="5" t="str">
        <x:v>Дополнительная подтвержденная структура сверх основной выборки; продолжать мониторинг.</x:v>
      </x:c>
      <x:c r="X246" s="5" t="str">
        <x:v>cu_extra.json:11</x:v>
      </x:c>
    </x:row>
    <x:row r="247" ht="54" customHeight="1">
      <x:c r="A247" s="5" t="str">
        <x:v>CU-0242</x:v>
      </x:c>
      <x:c r="B247" s="5" t="str">
        <x:v>main_200</x:v>
      </x:c>
      <x:c r="C247" s="5" t="str">
        <x:v>Учебный центр лабораторной службы «Хеликс»</x:v>
      </x:c>
      <x:c r="D247" s="5" t="str">
        <x:v>RU</x:v>
      </x:c>
      <x:c r="E247" s="5" t="str">
        <x:v>company_training_center</x:v>
      </x:c>
      <x:c r="F247" s="5" t="str">
        <x:v>Лабораторная служба «Хеликс»</x:v>
      </x:c>
      <x:c r="G247" s="5" t="str">
        <x:v>Хеликс</x:v>
      </x:c>
      <x:c r="H247" s="5" t="str">
        <x:v>Не установлено</x:v>
      </x:c>
      <x:c r="I247" s="5" t="str">
        <x:v>Медицина</x:v>
      </x:c>
      <x:c r="J247" s="5" t="str">
        <x:v>Руководители, специалисты и производственный персонал; долю управленческих программ уточнить.</x:v>
      </x:c>
      <x:c r="K247" s="5" t="str">
        <x:v>Высокое для обучения франчайзи, управления центром, клиентских коммуникаций, адаптации и цифрового контента.</x:v>
      </x:c>
      <x:c r="L247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47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47" s="5" t="str">
        <x:v>Директор КУ/УЦ, руководитель обучения и развития, методический отдел, HR, закупки услуг.</x:v>
      </x:c>
      <x:c r="O247" s="5" t="str">
        <x:v>https://expertnw.com/obshchestvo/pravila-igry-v-epokhu-hr/</x:v>
      </x:c>
      <x:c r="P247" s="5" t="str">
        <x:v>https://expertnw.com/obshchestvo/pravila-igry-v-epokhu-hr/</x:v>
      </x:c>
      <x:c r="Q247" s="5" t="str">
        <x:v>Прямая речь руководителя УЦ Хеликс Веры Логуновой в деловом СМИ подтверждает собственный центр для сотрудников и франчайзи; первичное свидетельство представителя, не сайт компании.</x:v>
      </x:c>
      <x:c r="R247" s="5" t="str">
        <x:v>search_index</x:v>
      </x:c>
      <x:c r="S247" s="12" t="n">
        <x:v>46296</x:v>
      </x:c>
      <x:c r="T247" s="5" t="str">
        <x:v>Историческое интервью; актуального руководителя и организационную структуру уточнить. Telegram-канал найден по внешним ссылкам, официальная обратная ссылка пока не установлена. Не удалять при низком приоритете, дублях или ошибке доступа.</x:v>
      </x:c>
      <x:c r="U24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  <x:c r="V247" s="5" t="str">
        <x:v>"Лабораторная служба «Хеликс»"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47" s="5" t="str">
        <x:v>Именованная структура с подтверждением; отбор по стране, очереди и типу. Это не оценка вероятности заказа.</x:v>
      </x:c>
      <x:c r="X247" s="5" t="str">
        <x:v>cu_extra.json:12</x:v>
      </x:c>
    </x:row>
    <x:row r="248" ht="54" customHeight="1">
      <x:c r="A248" s="5" t="str">
        <x:v>CU-0243</x:v>
      </x:c>
      <x:c r="B248" s="5" t="str">
        <x:v>reserve</x:v>
      </x:c>
      <x:c r="C248" s="5" t="str">
        <x:v>Академия Группы «Черкизово» — кандидат на подтверждение действующего канала</x:v>
      </x:c>
      <x:c r="D248" s="5" t="str">
        <x:v>RU</x:v>
      </x:c>
      <x:c r="E248" s="5" t="str">
        <x:v>candidate</x:v>
      </x:c>
      <x:c r="F248" s="5" t="str">
        <x:v>Группа «Черкизово»</x:v>
      </x:c>
      <x:c r="G248" s="5" t="str">
        <x:v>Черкизово</x:v>
      </x:c>
      <x:c r="H248" s="5" t="str">
        <x:v>Не установлено</x:v>
      </x:c>
      <x:c r="I248" s="5" t="str">
        <x:v>АПК и пищевая промышленность</x:v>
      </x:c>
      <x:c r="J248" s="5" t="str">
        <x:v>Руководители, специалисты, кадровый резерв и внутренние преподаватели.</x:v>
      </x:c>
      <x:c r="K248" s="5" t="str">
        <x:v>Предположительно высокое: функциональные школы, менеджмент, наставничество и электронное обучение; профиль требуется подтвердить.</x:v>
      </x:c>
      <x:c r="L248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48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48" s="5" t="str">
        <x:v>Директор КУ/УЦ, руководитель обучения и развития, методический отдел, HR, закупки услуг.</x:v>
      </x:c>
      <x:c r="O248" s="5" t="str">
        <x:v>https://id.hse.ru/data/2025/06/30/1992802910/%D0%BA%D0%BE%D1%80%D0%BF_%D1%83%D0%BD_2024_%D1%81%D0%B0%D0%B9%D1%82.pdf</x:v>
      </x:c>
      <x:c r="P248" s="5" t="str">
        <x:v>https://id.hse.ru/data/2025/06/30/1992802910/%D0%BA%D0%BE%D1%80%D0%BF_%D1%83%D0%BD_2024_%D1%81%D0%B0%D0%B9%D1%82.pdf</x:v>
      </x:c>
      <x:c r="Q248" s="5" t="str">
        <x:v>Название присутствует в оглавлении издания ВШЭ о корпоративных университетах, профиль начинается на странице 314; полный PDF не прочитан из-за ограничения размера.</x:v>
      </x:c>
      <x:c r="R248" s="5" t="str">
        <x:v>candidate</x:v>
      </x:c>
      <x:c r="S248" s="12" t="n">
        <x:v>46296</x:v>
      </x:c>
      <x:c r="T248" s="5" t="str">
        <x:v>Первичное подтверждение на сайте самой компании пока не найдено. Страницу профиля ВШЭ и корпоративную ссылку нужно изучить; не включать в число строго подтверждённых структур. Не удалять при низком приоритете, дублях или ошибке доступа.</x:v>
      </x:c>
      <x:c r="U248" s="5" t="str">
        <x:v>Подтвердить существование/актуальный статус и самостоятельную образовательную структуру по первичному источнику; найти действующий канал или преемника. Сохранить исторический след независимо от результата.</x:v>
      </x:c>
      <x:c r="V248" s="5" t="str">
        <x:v>"Группа «Черкизово»"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48" s="5" t="str">
        <x:v>Требуется уточнение статуса, структуры или самостоятельности; все каналы сохранены.</x:v>
      </x:c>
      <x:c r="X248" s="5" t="str">
        <x:v>cu_extra.json:13</x:v>
      </x:c>
    </x:row>
    <x:row r="249" ht="54" customHeight="1">
      <x:c r="A249" s="5" t="str">
        <x:v>CU-0244</x:v>
      </x:c>
      <x:c r="B249" s="5" t="str">
        <x:v>reserve</x:v>
      </x:c>
      <x:c r="C249" s="5" t="str">
        <x:v>Водная академия Водоканала Санкт-Петербурга — исторический след</x:v>
      </x:c>
      <x:c r="D249" s="5" t="str">
        <x:v>RU</x:v>
      </x:c>
      <x:c r="E249" s="5" t="str">
        <x:v>candidate</x:v>
      </x:c>
      <x:c r="F249" s="5" t="str">
        <x:v>ГУП «Водоканал Санкт-Петербурга»</x:v>
      </x:c>
      <x:c r="G249" s="5" t="str">
        <x:v>Водоканал Санкт-Петербурга</x:v>
      </x:c>
      <x:c r="H249" s="5" t="str">
        <x:v>Санкт-Петербург</x:v>
      </x:c>
      <x:c r="I249" s="5" t="str">
        <x:v>Водоснабжение и ЖКХ</x:v>
      </x:c>
      <x:c r="J249" s="5" t="str">
        <x:v>Руководители, специалисты, кадровый резерв и внутренние преподаватели.</x:v>
      </x:c>
      <x:c r="K249" s="5" t="str">
        <x:v>Условное: отраслевые семинары по праву, экономике и управлению водоканалами; сначала установить действующего преемника.</x:v>
      </x:c>
      <x:c r="L249" s="5" t="str">
        <x:v>Гипотезы для мониторинга: новые программы; обновление каталога; набор экспертов; обучение наставников; вакансии методистов; электронные курсы; публикации о подрядчиках и закупках. Текущий заказ не установлен.</x:v>
      </x:c>
      <x:c r="M249" s="5" t="str">
        <x:v>Руководитель образовательной структуры / L&amp;D → ответственное за программу подразделение → закупки юридического лица; также партнёрское или субподрядное участие в учебных проектах.</x:v>
      </x:c>
      <x:c r="N249" s="5" t="str">
        <x:v>Директор КУ/УЦ, руководитель обучения и развития, методический отдел, HR, закупки услуг.</x:v>
      </x:c>
      <x:c r="O249" s="5" t="str">
        <x:v>https://www.gov.spb.ru/gov/otrasl/ingen/news/89137/</x:v>
      </x:c>
      <x:c r="P249" s="5" t="str">
        <x:v>https://www.gov.spb.ru/gov/otrasl/ingen/news/89137/</x:v>
      </x:c>
      <x:c r="Q249" s="5" t="str">
        <x:v>Официальная публикация администрации Санкт-Петербурга 2016 года подтверждает Водную академию на базе информационно-образовательного центра Водоканала.</x:v>
      </x:c>
      <x:c r="R249" s="5" t="str">
        <x:v>candidate</x:v>
      </x:c>
      <x:c r="S249" s="12" t="n">
        <x:v>46296</x:v>
      </x:c>
      <x:c r="T249" s="5" t="str">
        <x:v>Найден вторичный реестровый след прекращения деятельности в декабре 2024 года (https://egrul.org/7842031130). Требуется сверка актуального юридического статуса и преемника; не считать действующим КУ до проверки. Не удалять при низком приоритете, дублях или ошибке доступа.</x:v>
      </x:c>
      <x:c r="U249" s="5" t="str">
        <x:v>Подтвердить существование/актуальный статус и самостоятельную образовательную структуру по первичному источнику; найти действующий канал или преемника. Сохранить исторический след независимо от результата.</x:v>
      </x:c>
      <x:c r="V249" s="5" t="str">
        <x:v>"ГУП «Водоканал Санкт-Петербурга»" (обучение OR семинар OR тренинг OR наставничество OR "электронный курс" OR "внешний преподаватель" OR "разработка программ" OR "стратегическая сессия")</x:v>
      </x:c>
      <x:c r="W249" s="5" t="str">
        <x:v>Требуется уточнение статуса, структуры или самостоятельности; все каналы сохранены.</x:v>
      </x:c>
      <x:c r="X249" s="5" t="str">
        <x:v>cu_extra.json:14</x:v>
      </x:c>
    </x:row>
    <x:row r="250" ht="54" customHeight="1">
      <x:c r="A250" s="5" t="str">
        <x:v>CU-0245</x:v>
      </x:c>
      <x:c r="B250" s="5" t="str">
        <x:v>main_200</x:v>
      </x:c>
      <x:c r="C250" s="5" t="str">
        <x:v>Эн+ Университет</x:v>
      </x:c>
      <x:c r="D250" s="5" t="str">
        <x:v>RU</x:v>
      </x:c>
      <x:c r="E250" s="5" t="str">
        <x:v>corporate_university</x:v>
      </x:c>
      <x:c r="F250" s="5" t="str">
        <x:v>МКООО «ЭН+ ХОЛДИНГ»</x:v>
      </x:c>
      <x:c r="G250" s="5" t="str">
        <x:v>Эн+</x:v>
      </x:c>
      <x:c r="H250" s="5" t="str">
        <x:v>Иркутск</x:v>
      </x:c>
      <x:c r="I250" s="5" t="str">
        <x:v>Энергетика и промышленность</x:v>
      </x:c>
      <x:c r="J250" s="5" t="str">
        <x:v>Руководители и специалисты группы, сотрудники энергетики и промышленности; внешние корпоративные клиенты по доступным программам</x:v>
      </x:c>
      <x:c r="K250" s="5" t="str">
        <x:v>Управление; кадровый резерв; HR и оценка персонала; цифровые навыки; электронное обучение; корпоративные программы; энергоэффективность</x:v>
      </x:c>
      <x:c r="L250" s="5" t="str">
        <x:v>Гипотезы для мониторинга: новые программы для руководителей и специалистов; набор потока; разработка электронных курсов; приглашение внешних экспертов; запрос партнёрства; закупка обучения; кадровые изменения в команде обучения. Наличие структуры не является открытым заказом.</x:v>
      </x:c>
      <x:c r="M250" s="5" t="str">
        <x:v>Уточнить у руководителя университета/учебного центра и владельца программы потребность в внешних преподавателях, разработке контента или совместных программах. Проверить порядок отбора провайдеров; рассматривать субподряд и партнёрство наряду с прямой закупкой.</x:v>
      </x:c>
      <x:c r="N250" s="5" t="str">
        <x:v>Руководитель университета/учебного центра; руководитель обучения и развития; руководитель корпоративных программ; методолог; HRD; закупщик образовательных услуг</x:v>
      </x:c>
      <x:c r="O250" s="5" t="str">
        <x:v>https://univer.enplus.ru/about/information/basic-information/</x:v>
      </x:c>
      <x:c r="P250" s="5" t="str">
        <x:v>https://univer.enplus.ru/about/information/basic-information/</x:v>
      </x:c>
      <x:c r="Q250" s="5" t="str">
        <x:v>Прочитаны официальные основные сведения: АНО ДПО «ЭН+ УНИВЕРСИТЕТ», учредитель МКООО «ЭН+ ХОЛДИНГ», адрес в Иркутске и отдельный филиал в Черемхово. Меню включает корпоративные программы развития, тренинги, оценку персонала и разработку электронных курсов.</x:v>
      </x:c>
      <x:c r="R250" s="5" t="str">
        <x:v>content_read</x:v>
      </x:c>
      <x:c r="S250" s="12" t="n">
        <x:v>46296</x:v>
      </x:c>
      <x:c r="T250" s="5" t="str">
        <x:v>Не объединять с КУ РУСАЛ только из-за принадлежности к группе; это отдельно названная АНО ДПО. Филиал в Черемхово не посчитан отдельным университетом. Различные домены и образовательные порталы сохранять как алиасы/каналы после проверки. Подтверждено существование структуры, а не открытая закупка или допуск МИСБ.</x:v>
      </x:c>
      <x:c r="U250" s="5" t="str">
        <x:v>Найти свежую программу, ответственного за её реализацию и подтверждённый маршрут для внешних провайдеров; сохранять новые новости, программы, контакты и закупочные страницы отдельными каналами. Квалифицировать конкретную потребность перед передачей лида.</x:v>
      </x:c>
      <x:c r="V250" s="5" t="str">
        <x:v>Эн+ Университет; Эн+ Холдинг; En+ University; enplus-univer; корпоративные программы; внешние эксперты; электронный курс; управленческий резерв; закупка обучения</x:v>
      </x:c>
      <x:c r="W250" s="5" t="str">
        <x:v>Именованная структура с подтверждением; отбор по стране, очереди и типу. Это не оценка вероятности заказа.</x:v>
      </x:c>
      <x:c r="X250" s="5" t="str">
        <x:v>cu_additional_industry.json:1</x:v>
      </x:c>
    </x:row>
    <x:row r="251" ht="54" customHeight="1">
      <x:c r="A251" s="5" t="str">
        <x:v>CU-0246</x:v>
      </x:c>
      <x:c r="B251" s="5" t="str">
        <x:v>main_200</x:v>
      </x:c>
      <x:c r="C251" s="5" t="str">
        <x:v>МИТТУ — корпоративный учебный центр ПАО «КАМАЗ»</x:v>
      </x:c>
      <x:c r="D251" s="5" t="str">
        <x:v>RU</x:v>
      </x:c>
      <x:c r="E251" s="5" t="str">
        <x:v>company_training_center</x:v>
      </x:c>
      <x:c r="F251" s="5" t="str">
        <x:v>ПАО «КАМАЗ»</x:v>
      </x:c>
      <x:c r="G251" s="5" t="str">
        <x:v>КАМАЗ</x:v>
      </x:c>
      <x:c r="H251" s="5" t="str">
        <x:v>Набережные Челны</x:v>
      </x:c>
      <x:c r="I251" s="5" t="str">
        <x:v>Автомобилестроение и машиностроение</x:v>
      </x:c>
      <x:c r="J251" s="5" t="str">
        <x:v>Руководители и специалисты предприятий; сотрудники КАМАЗа, дилеров и поставщиков; специалисты производства, качества и сервиса</x:v>
      </x:c>
      <x:c r="K251" s="5" t="str">
        <x:v>Менеджмент; экономика и финансы; управление качеством и производительностью; бизнес-процессы; продажи и клиентский сервис; внедрение ИИ; подготовка внешних учебных модулей</x:v>
      </x:c>
      <x:c r="L251" s="5" t="str">
        <x:v>Гипотезы для мониторинга: новые программы для руководителей и специалистов; набор потока; разработка электронных курсов; приглашение внешних экспертов; запрос партнёрства; закупка обучения; кадровые изменения в команде обучения. Наличие структуры не является открытым заказом.</x:v>
      </x:c>
      <x:c r="M251" s="5" t="str">
        <x:v>Уточнить у руководителя университета/учебного центра и владельца программы потребность в внешних преподавателях, разработке контента или совместных программах. Проверить порядок отбора провайдеров; рассматривать субподряд и партнёрство наряду с прямой закупкой.</x:v>
      </x:c>
      <x:c r="N251" s="5" t="str">
        <x:v>Руководитель университета/учебного центра; руководитель обучения и развития; руководитель корпоративных программ; методолог; HRD; закупщик образовательных услуг</x:v>
      </x:c>
      <x:c r="O251" s="5" t="str">
        <x:v>https://www.mittu.ru/</x:v>
      </x:c>
      <x:c r="P251" s="5" t="str">
        <x:v>https://www.mittu.ru/sveden/common</x:v>
      </x:c>
      <x:c r="Q251" s="5" t="str">
        <x:v>На главной МИТТУ назван учебным центром КАМАЗа и описаны управленческие программы, финансы, качество и консультации. Основные сведения подтверждают отдельное ЧОУ ДПО, учреждённое ПАО «КАМАЗ». Корпоративная газета КАМАЗа отдельно упоминает совместную работу КУ и МИТТУ; МИТТУ не обозначается вторым названием КУ.</x:v>
      </x:c>
      <x:c r="R251" s="5" t="str">
        <x:v>content_read</x:v>
      </x:c>
      <x:c r="S251" s="12" t="n">
        <x:v>46296</x:v>
      </x:c>
      <x:c r="T251" s="5" t="str">
        <x:v>МИТТУ — отдельный лицензированный учебный центр; КУ КАМАЗ из основного набора — другая именная структура. Старое название РИПТиБ хранить как алиас. Возможна конкуренция с МИСБ за внешних клиентов: в первую очередь проверять субподряд, дополнительные модули и экспертизу. Наличие программ и контактов не подтверждает текущий заказ.</x:v>
      </x:c>
      <x:c r="U251" s="5" t="str">
        <x:v>Найти свежую программу, ответственного за её реализацию и подтверждённый маршрут для внешних провайдеров; сохранять новые новости, программы, контакты и закупочные страницы отдельными каналами. Квалифицировать конкретную потребность перед передачей лида.</x:v>
      </x:c>
      <x:c r="V251" s="5" t="str">
        <x:v>МИТТУ; Международный институт техники технологий и управления; РИПТиБ; КАМАЗ учебный центр; менеджмент экономика финансы; преподаватель; партнёр; разработка программ; внешний эксперт</x:v>
      </x:c>
      <x:c r="W251" s="5" t="str">
        <x:v>Именованная структура с подтверждением; отбор по стране, очереди и типу. Это не оценка вероятности заказа.</x:v>
      </x:c>
      <x:c r="X251" s="5" t="str">
        <x:v>cu_additional_industry.json:2</x:v>
      </x:c>
    </x:row>
    <x:row r="252" ht="65.25" customHeight="1">
      <x:c r="A252" s="5" t="str">
        <x:v>CU-0247</x:v>
      </x:c>
      <x:c r="B252" s="5" t="str">
        <x:v>main_200</x:v>
      </x:c>
      <x:c r="C252" s="5" t="str">
        <x:v>Университет Группы «АВТОВАЗ»</x:v>
      </x:c>
      <x:c r="D252" s="5" t="str">
        <x:v>RU</x:v>
      </x:c>
      <x:c r="E252" s="5" t="str">
        <x:v>corporate_university</x:v>
      </x:c>
      <x:c r="F252" s="5" t="str">
        <x:v>АО «АВТОВАЗ»</x:v>
      </x:c>
      <x:c r="G252" s="5" t="str">
        <x:v>АВТОВАЗ</x:v>
      </x:c>
      <x:c r="H252" s="5" t="str">
        <x:v>Тольятти</x:v>
      </x:c>
      <x:c r="I252" s="5" t="str">
        <x:v>Автомобилестроение</x:v>
      </x:c>
      <x:c r="J252" s="5" t="str">
        <x:v>Руководители, специалисты и рабочие АВТОВАЗа, дочерних обществ и других предприятий; конкретный состав потока проверять по программе</x:v>
      </x:c>
      <x:c r="K252" s="5" t="str">
        <x:v>Управление персоналом; управленческий резерв; управление качеством; цифровые и дистанционные программы; наставничество; экономика производства; обучение руководителей</x:v>
      </x:c>
      <x:c r="L252" s="5" t="str">
        <x:v>Гипотезы для мониторинга: новые программы для руководителей и специалистов; набор потока; разработка электронных курсов; приглашение внешних экспертов; запрос партнёрства; закупка обучения; кадровые изменения в команде обучения. Наличие структуры не является открытым заказом.</x:v>
      </x:c>
      <x:c r="M252" s="5" t="str">
        <x:v>Уточнить у руководителя университета/учебного центра и владельца программы потребность в внешних преподавателях, разработке контента или совместных программах. Проверить порядок отбора провайдеров; рассматривать субподряд и партнёрство наряду с прямой закупкой.</x:v>
      </x:c>
      <x:c r="N252" s="5" t="str">
        <x:v>Руководитель университета/учебного центра; руководитель обучения и развития; руководитель корпоративных программ; методолог; HRD; закупщик образовательных услуг</x:v>
      </x:c>
      <x:c r="O252" s="5" t="str">
        <x:v>https://cu-avtovaz.ru/</x:v>
      </x:c>
      <x:c r="P252" s="5" t="str">
        <x:v>https://cu-avtovaz.ru/</x:v>
      </x:c>
      <x:c r="Q252" s="5" t="str">
        <x:v>Главная страница была прочитана: приглашение на профессиональное обучение работников АВТОВАЗа, дочерних обществ и других предприятий; перечислены управление персоналом, управление качеством, дистанционное обучение и другие направления. Сайт прямо использует термин «корпоративный университет».</x:v>
      </x:c>
      <x:c r="R252" s="5" t="str">
        <x:v>content_read</x:v>
      </x:c>
      <x:c r="S252" s="12" t="n">
        <x:v>46296</x:v>
      </x:c>
      <x:c r="T252" s="5" t="str">
        <x:v>При повторной попытке сайт вернул 503, хотя ранее содержание было прочитано: учитывать перебои доступа. LADA Академия отдельно названа центром компетенций дилеров; пока её организационная самостоятельность от университета не установлена, хранить её в резерве/связанном кластере и не увеличивать строгий счёт. Подтверждено существование университета, а не открытая закупка.</x:v>
      </x:c>
      <x:c r="U252" s="5" t="str">
        <x:v>Найти свежую программу, ответственного за её реализацию и подтверждённый маршрут для внешних провайдеров; сохранять новые новости, программы, контакты и закупочные страницы отдельными каналами. Квалифицировать конкретную потребность перед передачей лида.</x:v>
      </x:c>
      <x:c r="V252" s="5" t="str">
        <x:v>Университет Группы АВТОВАЗ; корпоративный университет АВТОВАЗ; cu-avtovaz; обучение руководителей; управление персоналом; управление качеством; внешний тренер; электронный курс; закупка обучения</x:v>
      </x:c>
      <x:c r="W252" s="5" t="str">
        <x:v>Именованная структура с подтверждением; отбор по стране, очереди и типу. Это не оценка вероятности заказа.</x:v>
      </x:c>
      <x:c r="X252" s="5" t="str">
        <x:v>cu_additional_industry.json:3</x:v>
      </x:c>
    </x:row>
  </x:sheetData>
  <x:pageMargins left="0.7" right="0.7" top="0.75" bottom="0.75" header="0.3" footer="0.3"/>
  <x:tableParts count="1">
    <x:tablePart xmlns:r="http://schemas.openxmlformats.org/officeDocument/2006/relationships" r:id="R6a3bcebdf52a4ac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5600004196167" hidden="0" customWidth="1"/>
    <x:col min="2" max="2" width="38.88999938964844" hidden="0" customWidth="1"/>
    <x:col min="3" max="3" width="12.220000267028809" hidden="0" customWidth="1"/>
    <x:col min="4" max="4" width="25.559999465942383" hidden="0" customWidth="1"/>
    <x:col min="5" max="5" width="57.779998779296875" hidden="0" customWidth="1"/>
    <x:col min="6" max="6" width="44.439998626708984" hidden="0" customWidth="1"/>
    <x:col min="7" max="7" width="58.88999938964844" hidden="0" customWidth="1"/>
    <x:col min="8" max="8" width="15.5600004196167" hidden="0" customWidth="1"/>
    <x:col min="9" max="9" width="55.5600013732910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1" customHeight="1">
      <x:c r="A2" s="3" t="str">
        <x:v>47 дополнительных записей — сохранять и развивать</x:v>
      </x:c>
      <x:c r="B2" s="2"/>
      <x:c r="C2" s="2"/>
      <x:c r="D2" s="2"/>
      <x:c r="E2" s="2"/>
      <x:c r="F2" s="2"/>
      <x:c r="G2" s="2"/>
      <x:c r="H2" s="2"/>
      <x:c r="I2" s="2"/>
    </x:row>
    <x:row r="3" ht="19.5" customHeight="1">
      <x:c r="A3" s="4" t="str">
        <x:v>Включает структуры сверх основных 200, кандидатов и повторные исследовательские записи. Причина видна в каждой строке.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1.5" customHeight="1">
      <x:c r="A5" s="9" t="str">
        <x:v>КУ ID</x:v>
      </x:c>
      <x:c r="B5" s="9" t="str">
        <x:v>Структура</x:v>
      </x:c>
      <x:c r="C5" s="9" t="str">
        <x:v>Страна</x:v>
      </x:c>
      <x:c r="D5" s="9" t="str">
        <x:v>Тип</x:v>
      </x:c>
      <x:c r="E5" s="9" t="str">
        <x:v>Причина резерва</x:v>
      </x:c>
      <x:c r="F5" s="9" t="str">
        <x:v>Основной URL</x:v>
      </x:c>
      <x:c r="G5" s="9" t="str">
        <x:v>Основание</x:v>
      </x:c>
      <x:c r="H5" s="9" t="str">
        <x:v>Проверка</x:v>
      </x:c>
      <x:c r="I5" s="9" t="str">
        <x:v>Следующий шаг</x:v>
      </x:c>
    </x:row>
    <x:row r="6" ht="42.75" customHeight="1">
      <x:c r="A6" s="5" t="str">
        <x:v>CU-0018</x:v>
      </x:c>
      <x:c r="B6" s="5" t="str">
        <x:v>Учебный центр АО «РН-Няганьнефтегаз»</x:v>
      </x:c>
      <x:c r="C6" s="5" t="str">
        <x:v>Россия</x:v>
      </x:c>
      <x:c r="D6" s="5" t="str">
        <x:v>Учебный центр компании</x:v>
      </x:c>
      <x:c r="E6" s="5" t="str">
        <x:v>Дополнительная подтвержденная структура сверх основной выборки; продолжать мониторинг.</x:v>
      </x:c>
      <x:c r="F6" s="5" t="str">
        <x:v>https://uc-nng.ru/</x:v>
      </x:c>
      <x:c r="G6" s="5" t="str">
        <x:v>Официальный сайт центра описывает обучение персонала общества; организационная структура относит УЦ к блоку персонала.</x:v>
      </x:c>
      <x:c r="H6" s="5" t="str">
        <x:v>search_index</x:v>
      </x:c>
      <x:c r="I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7" ht="42.75" customHeight="1">
      <x:c r="A7" s="5" t="str">
        <x:v>CU-0039</x:v>
      </x:c>
      <x:c r="B7" s="5" t="str">
        <x:v>Учебный центр ЛАРН АО «Транснефть — Подводсервис»</x:v>
      </x:c>
      <x:c r="C7" s="5" t="str">
        <x:v>Россия</x:v>
      </x:c>
      <x:c r="D7" s="5" t="str">
        <x:v>Учебный центр компании</x:v>
      </x:c>
      <x:c r="E7" s="5" t="str">
        <x:v>Дополнительная подтвержденная структура сверх основной выборки; продолжать мониторинг.</x:v>
      </x:c>
      <x:c r="F7" s="5" t="str">
        <x:v>https://tps.transneft.ru/customers/center/</x:v>
      </x:c>
      <x:c r="G7" s="5" t="str">
        <x:v>Прочитан официальный корпоративный каталог: центр ЛАРН назван отдельной образовательной структурой в Нижнем Новгороде.</x:v>
      </x:c>
      <x:c r="H7" s="5" t="str">
        <x:v>content_read</x:v>
      </x:c>
      <x:c r="I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8" ht="42.75" customHeight="1">
      <x:c r="A8" s="5" t="str">
        <x:v>CU-0051</x:v>
      </x:c>
      <x:c r="B8" s="5" t="str">
        <x:v>Учебный центр Челябинского металлургического комбината</x:v>
      </x:c>
      <x:c r="C8" s="5" t="str">
        <x:v>Россия</x:v>
      </x:c>
      <x:c r="D8" s="5" t="str">
        <x:v>Учебный центр компании</x:v>
      </x:c>
      <x:c r="E8" s="5" t="str">
        <x:v>Дополнительная подтвержденная структура сверх основной выборки; продолжать мониторинг.</x:v>
      </x:c>
      <x:c r="F8" s="5" t="str">
        <x:v>https://mechel.ru/sector/steel/chelyabinskiy-metallurgicheskiy-kombinat/professionalnaya_podgotovka/</x:v>
      </x:c>
      <x:c r="G8" s="5" t="str">
        <x:v>Официальная страница ЧМК указывает учебный центр, программы и телефон для обращения.</x:v>
      </x:c>
      <x:c r="H8" s="5" t="str">
        <x:v>search_index</x:v>
      </x:c>
      <x:c r="I8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</x:row>
    <x:row r="9" ht="42.75" customHeight="1">
      <x:c r="A9" s="5" t="str">
        <x:v>CU-0052</x:v>
      </x:c>
      <x:c r="B9" s="5" t="str">
        <x:v>Учебный центр Ижстали</x:v>
      </x:c>
      <x:c r="C9" s="5" t="str">
        <x:v>Россия</x:v>
      </x:c>
      <x:c r="D9" s="5" t="str">
        <x:v>Учебный центр компании</x:v>
      </x:c>
      <x:c r="E9" s="5" t="str">
        <x:v>Дополнительная подтвержденная структура сверх основной выборки; продолжать мониторинг.</x:v>
      </x:c>
      <x:c r="F9" s="5" t="str">
        <x:v>https://mechel.ru/sector/steel/izhstal/professionalnaya_podgotovka/</x:v>
      </x:c>
      <x:c r="G9" s="5" t="str">
        <x:v>Официальная страница называет учебный центр предприятия и публикует сведения об образовательной деятельности.</x:v>
      </x:c>
      <x:c r="H9" s="5" t="str">
        <x:v>search_index</x:v>
      </x:c>
      <x:c r="I9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</x:row>
    <x:row r="10" ht="42.75" customHeight="1">
      <x:c r="A10" s="5" t="str">
        <x:v>CU-0059</x:v>
      </x:c>
      <x:c r="B10" s="5" t="str">
        <x:v>Учебный центр СЗФК</x:v>
      </x:c>
      <x:c r="C10" s="5" t="str">
        <x:v>Россия</x:v>
      </x:c>
      <x:c r="D10" s="5" t="str">
        <x:v>Учебный центр компании</x:v>
      </x:c>
      <x:c r="E10" s="5" t="str">
        <x:v>Дополнительная подтвержденная структура сверх основной выборки; продолжать мониторинг.</x:v>
      </x:c>
      <x:c r="F10" s="5" t="str">
        <x:v>https://www.szfk.ru/career/learning-centers/</x:v>
      </x:c>
      <x:c r="G10" s="5" t="str">
        <x:v>На собственном сайте компании есть раздел учебного центра со сведениями об образовании и руководстве.</x:v>
      </x:c>
      <x:c r="H10" s="5" t="str">
        <x:v>search_index</x:v>
      </x:c>
      <x:c r="I10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</x:row>
    <x:row r="11" ht="42.75" customHeight="1">
      <x:c r="A11" s="5" t="str">
        <x:v>CU-0064</x:v>
      </x:c>
      <x:c r="B11" s="5" t="str">
        <x:v>LADA Академия</x:v>
      </x:c>
      <x:c r="C11" s="5" t="str">
        <x:v>Россия</x:v>
      </x:c>
      <x:c r="D11" s="5" t="str">
        <x:v>Корпоративная академия</x:v>
      </x:c>
      <x:c r="E11" s="5" t="str">
        <x:v>LADA Академия и КУ Группы АВТОВАЗ требуют проверки организационной границы. До уточнения дополнительную структуру не считать; оба набора каналов сохранить.</x:v>
      </x:c>
      <x:c r="F11" s="5" t="str">
        <x:v>https://www.lada.ru/education/</x:v>
      </x:c>
      <x:c r="G11" s="5" t="str">
        <x:v>Официальный сайт дистанционного обучения содержит название LADA Академия и адреса в Тольятти и Москве.</x:v>
      </x:c>
      <x:c r="H11" s="5" t="str">
        <x:v>search_index</x:v>
      </x:c>
      <x:c r="I11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</x:row>
    <x:row r="12" ht="42.75" customHeight="1">
      <x:c r="A12" s="5" t="str">
        <x:v>CU-0070</x:v>
      </x:c>
      <x:c r="B12" s="5" t="str">
        <x:v>Учебный центр Ростсельмаш</x:v>
      </x:c>
      <x:c r="C12" s="5" t="str">
        <x:v>Россия</x:v>
      </x:c>
      <x:c r="D12" s="5" t="str">
        <x:v>Учебный центр компании</x:v>
      </x:c>
      <x:c r="E12" s="5" t="str">
        <x:v>Дополнительная подтвержденная структура сверх основной выборки; продолжать мониторинг.</x:v>
      </x:c>
      <x:c r="F12" s="5" t="str">
        <x:v>https://careers.rostselmash.com/programs/</x:v>
      </x:c>
      <x:c r="G12" s="5" t="str">
        <x:v>Карьерный сайт подтверждает учебный центр компании, работающий на её учебной и материальной базе.</x:v>
      </x:c>
      <x:c r="H12" s="5" t="str">
        <x:v>search_index</x:v>
      </x:c>
      <x:c r="I12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</x:row>
    <x:row r="13" ht="42.75" customHeight="1">
      <x:c r="A13" s="5" t="str">
        <x:v>CU-0074</x:v>
      </x:c>
      <x:c r="B13" s="5" t="str">
        <x:v>Образовательный центр Сегежского ЦБК</x:v>
      </x:c>
      <x:c r="C13" s="5" t="str">
        <x:v>Россия</x:v>
      </x:c>
      <x:c r="D13" s="5" t="str">
        <x:v>Учебный центр компании</x:v>
      </x:c>
      <x:c r="E13" s="5" t="str">
        <x:v>Дополнительная подтвержденная структура сверх основной выборки; продолжать мониторинг.</x:v>
      </x:c>
      <x:c r="F13" s="5" t="str">
        <x:v>https://segezha-group.com/about/factory/scbk-educational-center/</x:v>
      </x:c>
      <x:c r="G13" s="5" t="str">
        <x:v>Официальная страница центра раскрывает обучение при подразделении подбора и развития персонала комбината.</x:v>
      </x:c>
      <x:c r="H13" s="5" t="str">
        <x:v>search_index</x:v>
      </x:c>
      <x:c r="I13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</x:row>
    <x:row r="14" ht="42.75" customHeight="1">
      <x:c r="A14" s="5" t="str">
        <x:v>CU-0080</x:v>
      </x:c>
      <x:c r="B14" s="5" t="str">
        <x:v>Учебный центр ПАО «Дорогобуж»</x:v>
      </x:c>
      <x:c r="C14" s="5" t="str">
        <x:v>Россия</x:v>
      </x:c>
      <x:c r="D14" s="5" t="str">
        <x:v>Учебный центр компании</x:v>
      </x:c>
      <x:c r="E14" s="5" t="str">
        <x:v>Дополнительная подтвержденная структура сверх основной выборки; продолжать мониторинг.</x:v>
      </x:c>
      <x:c r="F14" s="5" t="str">
        <x:v>https://www.acron.ru/sustainability/learning_centers/</x:v>
      </x:c>
      <x:c r="G14" s="5" t="str">
        <x:v>На общей официальной странице отдельно раскрыт Учебный центр ПАО «Дорогобуж» и контактные сведения.</x:v>
      </x:c>
      <x:c r="H14" s="5" t="str">
        <x:v>content_read</x:v>
      </x:c>
      <x:c r="I14" s="5" t="str">
        <x:v>Проверить свежие новости и портфель программ; найти контакты ответственного за внешних провайдеров, закупочный канал и формы партнёрства. Сохранить найденные дочерние маршруты отдельными каналами; выяснить действующий статус структуры.</x:v>
      </x:c>
    </x:row>
    <x:row r="15" ht="42.75" customHeight="1">
      <x:c r="A15" s="5" t="str">
        <x:v>CU-0082</x:v>
      </x:c>
      <x:c r="B15" s="5" t="str">
        <x:v>ВТБ Образование</x:v>
      </x:c>
      <x:c r="C15" s="5" t="str">
        <x:v>Россия</x:v>
      </x:c>
      <x:c r="D15" s="5" t="str">
        <x:v>Кандидат / не установлено</x:v>
      </x:c>
      <x:c r="E15" s="5" t="str">
        <x:v>Подтверждено образовательное направление / платформа банка; самостоятельная учебная единица пока не установлена. Полезный источник сохранён в резерве.</x:v>
      </x:c>
      <x:c r="F15" s="5" t="str">
        <x:v>https://learn.vtb.ru/</x:v>
      </x:c>
      <x:c r="G15" s="5" t="str">
        <x:v>Банк называет ВТБ Образование стратегическим направлением образовательных инициатив; программы с университетами и экспертами.</x:v>
      </x:c>
      <x:c r="H15" s="5" t="str">
        <x:v>search_index</x:v>
      </x:c>
      <x:c r="I15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</x:row>
    <x:row r="16" ht="42.75" customHeight="1">
      <x:c r="A16" s="5" t="str">
        <x:v>CU-0089</x:v>
      </x:c>
      <x:c r="B16" s="5" t="str">
        <x:v>Корпоративный университет Росгосстраха</x:v>
      </x:c>
      <x:c r="C16" s="5" t="str">
        <x:v>Россия</x:v>
      </x:c>
      <x:c r="D16" s="5" t="str">
        <x:v>Корпоративный университет</x:v>
      </x:c>
      <x:c r="E16" s="5" t="str">
        <x:v>Дополнительная подтвержденная структура сверх основной выборки; продолжать мониторинг.</x:v>
      </x:c>
      <x:c r="F16" s="5" t="str">
        <x:v>https://my.rgs.ru/media/all_insurance/sbotnik_kaliningrad.pdf</x:v>
      </x:c>
      <x:c r="G16" s="5" t="str">
        <x:v>Корпоративный документ описывает КУ, бизнес-школу и систему дистанционного обучения Росгосстраха.</x:v>
      </x:c>
      <x:c r="H16" s="5" t="str">
        <x:v>search_index</x:v>
      </x:c>
      <x:c r="I16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</x:row>
    <x:row r="17" ht="42.75" customHeight="1">
      <x:c r="A17" s="5" t="str">
        <x:v>CU-0101</x:v>
      </x:c>
      <x:c r="B17" s="5" t="str">
        <x:v>Корпоративный университет IBS</x:v>
      </x:c>
      <x:c r="C17" s="5" t="str">
        <x:v>Россия</x:v>
      </x:c>
      <x:c r="D17" s="5" t="str">
        <x:v>Корпоративный университет</x:v>
      </x:c>
      <x:c r="E17" s="5" t="str">
        <x:v>Дополнительная подтвержденная структура сверх основной выборки; продолжать мониторинг.</x:v>
      </x:c>
      <x:c r="F17" s="5" t="str">
        <x:v>https://ibs.ru/media/ibs-integriruet-svoi-obrazovatelnye-struktury-v-korporativnyy-universitet/</x:v>
      </x:c>
      <x:c r="G17" s="5" t="str">
        <x:v>Официальная публикация об объединении образовательных структур IBS в корпоративный университет.</x:v>
      </x:c>
      <x:c r="H17" s="5" t="str">
        <x:v>search_index</x:v>
      </x:c>
      <x:c r="I17" s="5" t="str">
        <x:v>Открыть первичное подтверждение, установить текущую структуру и официальный раздел закупок; отдельно обнаружить новости, программы, экспертные заявки, контакты и LMS. Записать ограничения доступа и дату следующей проверки.</x:v>
      </x:c>
    </x:row>
    <x:row r="18" ht="31.5" customHeight="1">
      <x:c r="A18" s="5" t="str">
        <x:v>CU-0121</x:v>
      </x:c>
      <x:c r="B18" s="5" t="str">
        <x:v>Управление развития функции обучения Т-Банка</x:v>
      </x:c>
      <x:c r="C18" s="5" t="str">
        <x:v>Россия</x:v>
      </x:c>
      <x:c r="D18" s="5" t="str">
        <x:v>Кандидат / не установлено</x:v>
      </x:c>
      <x:c r="E18" s="5" t="str">
        <x:v>Требуется уточнение статуса, структуры или самостоятельности; все каналы сохранены.</x:v>
      </x:c>
      <x:c r="F18" s="5" t="str">
        <x:v>https://rutube.ru/video/363426e9f42348c0d1d8e4388de851f7/</x:v>
      </x:c>
      <x:c r="G18" s="5" t="str">
        <x:v>Первичный видеоматериал организатора встречи 18.06.2025 посвящён управлению обучения операционных подразделений Т-Банка.</x:v>
      </x:c>
      <x:c r="H18" s="5" t="str">
        <x:v>candidate</x:v>
      </x:c>
      <x:c r="I18" s="5" t="str">
        <x:v>Найти официальное подтверждение конкретного КУ/УЦ/академии сотрудников Т-Банка; пока не включать в число подтверждённых образовательных структур.</x:v>
      </x:c>
    </x:row>
    <x:row r="19" ht="42.75" customHeight="1">
      <x:c r="A19" s="5" t="str">
        <x:v>CU-0126</x:v>
      </x:c>
      <x:c r="B19" s="5" t="str">
        <x:v>S7 Training</x:v>
      </x:c>
      <x:c r="C19" s="5" t="str">
        <x:v>Россия</x:v>
      </x:c>
      <x:c r="D19" s="5" t="str">
        <x:v>Учебный центр компании</x:v>
      </x:c>
      <x:c r="E19" s="5" t="str">
        <x:v>Дополнительная подтвержденная структура сверх основной выборки; продолжать мониторинг.</x:v>
      </x:c>
      <x:c r="F19" s="5" t="str">
        <x:v>https://www.s7training.ru/</x:v>
      </x:c>
      <x:c r="G19" s="5" t="str">
        <x:v>Официальные сведения: АНО ДПО «С 7 Тренинг» создан как авиационный учебный центр авиакомпании «Сибирь».</x:v>
      </x:c>
      <x:c r="H19" s="5" t="str">
        <x:v>content_read</x:v>
      </x:c>
      <x:c r="I19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20" ht="42.75" customHeight="1">
      <x:c r="A20" s="5" t="str">
        <x:v>CU-0130</x:v>
      </x:c>
      <x:c r="B20" s="5" t="str">
        <x:v>Авиационный учебный центр «ЮТэйр-Вертолетные услуги»</x:v>
      </x:c>
      <x:c r="C20" s="5" t="str">
        <x:v>Россия</x:v>
      </x:c>
      <x:c r="D20" s="5" t="str">
        <x:v>Учебный центр компании</x:v>
      </x:c>
      <x:c r="E20" s="5" t="str">
        <x:v>Дополнительная подтвержденная структура сверх основной выборки; продолжать мониторинг.</x:v>
      </x:c>
      <x:c r="F20" s="5" t="str">
        <x:v>https://heli.utair.ru/aviationtrainingcenter</x:v>
      </x:c>
      <x:c r="G20" s="5" t="str">
        <x:v>Официальная страница учебного центра заявляет профессиональное обучение и дополнительное профессиональное образование.</x:v>
      </x:c>
      <x:c r="H20" s="5" t="str">
        <x:v>search_index</x:v>
      </x:c>
      <x:c r="I20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21" ht="42.75" customHeight="1">
      <x:c r="A21" s="5" t="str">
        <x:v>CU-0132</x:v>
      </x:c>
      <x:c r="B21" s="5" t="str">
        <x:v>Авиационный учебный центр аэропорта Толмачёво</x:v>
      </x:c>
      <x:c r="C21" s="5" t="str">
        <x:v>Россия</x:v>
      </x:c>
      <x:c r="D21" s="5" t="str">
        <x:v>Учебный центр компании</x:v>
      </x:c>
      <x:c r="E21" s="5" t="str">
        <x:v>Дополнительная подтвержденная структура сверх основной выборки; продолжать мониторинг.</x:v>
      </x:c>
      <x:c r="F21" s="5" t="str">
        <x:v>https://auc.tolmachevo.ru/</x:v>
      </x:c>
      <x:c r="G21" s="5" t="str">
        <x:v>Официальный сайт учебного центра аэропорта содержит программы и описание электронной образовательной среды.</x:v>
      </x:c>
      <x:c r="H21" s="5" t="str">
        <x:v>search_index</x:v>
      </x:c>
      <x:c r="I21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22" ht="42.75" customHeight="1">
      <x:c r="A22" s="5" t="str">
        <x:v>CU-0139</x:v>
      </x:c>
      <x:c r="B22" s="5" t="str">
        <x:v>Академия КНАУФ — Россия</x:v>
      </x:c>
      <x:c r="C22" s="5" t="str">
        <x:v>Россия</x:v>
      </x:c>
      <x:c r="D22" s="5" t="str">
        <x:v>Корпоративная академия</x:v>
      </x:c>
      <x:c r="E22" s="5" t="str">
        <x:v>Дополнительная подтвержденная структура сверх основной выборки; продолжать мониторинг.</x:v>
      </x:c>
      <x:c r="F22" s="5" t="str">
        <x:v>https://www.knauf.ru/service/academy/</x:v>
      </x:c>
      <x:c r="G22" s="5" t="str">
        <x:v>Официальная академия предлагает очное, вебинарное и дистанционное обучение; есть программы для инженеров технического надзора и бригадиров.</x:v>
      </x:c>
      <x:c r="H22" s="5" t="str">
        <x:v>search_index</x:v>
      </x:c>
      <x:c r="I22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23" ht="42.75" customHeight="1">
      <x:c r="A23" s="5" t="str">
        <x:v>CU-0142</x:v>
      </x:c>
      <x:c r="B23" s="5" t="str">
        <x:v>Академия Мираторг</x:v>
      </x:c>
      <x:c r="C23" s="5" t="str">
        <x:v>Россия</x:v>
      </x:c>
      <x:c r="D23" s="5" t="str">
        <x:v>Корпоративная академия</x:v>
      </x:c>
      <x:c r="E23" s="5" t="str">
        <x:v>Дополнительная подтвержденная структура сверх основной выборки; продолжать мониторинг.</x:v>
      </x:c>
      <x:c r="F23" s="5" t="str">
        <x:v>https://miratorg.ru/academy/</x:v>
      </x:c>
      <x:c r="G23" s="5" t="str">
        <x:v>Официальный сайт описывает разветвлённый корпоративный учебный центр. Действующий каталог ориентирован преимущественно на профессиональную подготовку и обязательное обучение.</x:v>
      </x:c>
      <x:c r="H23" s="5" t="str">
        <x:v>content_read</x:v>
      </x:c>
      <x:c r="I23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24" ht="42.75" customHeight="1">
      <x:c r="A24" s="5" t="str">
        <x:v>CU-0153</x:v>
      </x:c>
      <x:c r="B24" s="5" t="str">
        <x:v>Морской учебно-тренажерный центр «СКФ Новошип Тренинг»</x:v>
      </x:c>
      <x:c r="C24" s="5" t="str">
        <x:v>Россия</x:v>
      </x:c>
      <x:c r="D24" s="5" t="str">
        <x:v>Учебный центр компании</x:v>
      </x:c>
      <x:c r="E24" s="5" t="str">
        <x:v>Дополнительная подтвержденная структура сверх основной выборки; продолжать мониторинг.</x:v>
      </x:c>
      <x:c r="F24" s="5" t="str">
        <x:v>https://www.sovcomflot.ru/career/trainingcentre/</x:v>
      </x:c>
      <x:c r="G24" s="5" t="str">
        <x:v>Официальная страница группы отдельно перечисляет ЧУ ДПО «Морской учебно-тренажерный центр «СКФ Новошип Тренинг» в Новороссийске и петербургский центр. Это самостоятельная учебная структура, а не второе название КУ СКФ.</x:v>
      </x:c>
      <x:c r="H24" s="5" t="str">
        <x:v>content_read</x:v>
      </x:c>
      <x:c r="I24" s="5" t="str">
        <x:v>Импортировать как источник; подтвердить текущий контакт владельца образовательной программы; обнаружить дочерние разделы, новости и официальный закупочный маршрут. Сохранять слабые сигналы до ранжирования.</x:v>
      </x:c>
    </x:row>
    <x:row r="25" ht="42.75" customHeight="1">
      <x:c r="A25" s="5" t="str">
        <x:v>CU-0163</x:v>
      </x:c>
      <x:c r="B25" s="5" t="str">
        <x:v>Учебный центр РУП «Могилевэнерго»</x:v>
      </x:c>
      <x:c r="C25" s="5" t="str">
        <x:v>Беларусь</x:v>
      </x:c>
      <x:c r="D25" s="5" t="str">
        <x:v>Кандидат / не установлено</x:v>
      </x:c>
      <x:c r="E25" s="5" t="str">
        <x:v>Учебный центр указан отраслевым партнером; требуется актуальное прямое подтверждение структуры.</x:v>
      </x:c>
      <x:c r="F25" s="5" t="str">
        <x:v>https://mogilev.energo.by/</x:v>
      </x:c>
      <x:c r="G25" s="5" t="str">
        <x:v>Страница отраслевого партнера перечисляет учебный центр среди филиалов Могилевэнерго. Прямой сайт предприятия и раздел закупок прочитаны; актуальная отдельная страница центра пока не установлена.</x:v>
      </x:c>
      <x:c r="H25" s="5" t="str">
        <x:v>search_index</x:v>
      </x:c>
      <x:c r="I25" s="5" t="str">
        <x:v>Перепроверить актуальное организационное подчинение и действующий самостоятельный учебный центр.</x:v>
      </x:c>
    </x:row>
    <x:row r="26" ht="42.75" customHeight="1">
      <x:c r="A26" s="5" t="str">
        <x:v>CU-0168</x:v>
      </x:c>
      <x:c r="B26" s="5" t="str">
        <x:v>Учебный центр Itransition</x:v>
      </x:c>
      <x:c r="C26" s="5" t="str">
        <x:v>Беларусь</x:v>
      </x:c>
      <x:c r="D26" s="5" t="str">
        <x:v>Кандидат / не установлено</x:v>
      </x:c>
      <x:c r="E26" s="5" t="str">
        <x:v>Собственный training center подтвержден, но действующая белорусская география пока не установлена.</x:v>
      </x:c>
      <x:c r="F26" s="5" t="str">
        <x:v>https://www.itransition.com/careers/training</x:v>
      </x:c>
      <x:c r="G26" s="5" t="str">
        <x:v>Корпоративная страница описывает собственный training center, обучение под руководством специалистов компании, наставников и практические проекты. Региональный доступ и текущий набор в Беларуси нужно уточнять.</x:v>
      </x:c>
      <x:c r="H26" s="5" t="str">
        <x:v>content_read</x:v>
      </x:c>
      <x:c r="I26" s="5" t="str">
        <x:v>Проверить текущую белорусскую географию центра и потребность в нетехнических модулях.</x:v>
      </x:c>
    </x:row>
    <x:row r="27" ht="31.5" customHeight="1">
      <x:c r="A27" s="5" t="str">
        <x:v>CU-0172</x:v>
      </x:c>
      <x:c r="B27" s="5" t="str">
        <x:v>Центр по работе с персоналом ОАО «Белагропромбанк»</x:v>
      </x:c>
      <x:c r="C27" s="5" t="str">
        <x:v>Беларусь</x:v>
      </x:c>
      <x:c r="D27" s="5" t="str">
        <x:v>Кандидат / не установлено</x:v>
      </x:c>
      <x:c r="E27" s="5" t="str">
        <x:v>Официально подтвержден HR-центр с бизнес-тренерами и внешними провайдерами, но отдельная учебная структура не установлена. Источник заказов сохраняется в резерве.</x:v>
      </x:c>
      <x:c r="F27" s="5" t="str">
        <x:v>https://www.belapb.by/about/karera-v-banke/razvitie-personala/</x:v>
      </x:c>
      <x:c r="G27" s="5" t="str">
        <x:v>Официальная страница развития персонала описывает центр, обучение собственными бизнес-тренерами и привлечение внешних преподавателей и экспертов.</x:v>
      </x:c>
      <x:c r="H27" s="5" t="str">
        <x:v>search_index</x:v>
      </x:c>
      <x:c r="I27" s="5" t="str">
        <x:v>Определить текущий календарь программ и процедуру отбора внешних экспертов.</x:v>
      </x:c>
    </x:row>
    <x:row r="28" ht="42.75" customHeight="1">
      <x:c r="A28" s="5" t="str">
        <x:v>CU-0180</x:v>
      </x:c>
      <x:c r="B28" s="5" t="str">
        <x:v>Учебно-практический центр МАЗ-БНТУ</x:v>
      </x:c>
      <x:c r="C28" s="5" t="str">
        <x:v>Беларусь</x:v>
      </x:c>
      <x:c r="D28" s="5" t="str">
        <x:v>Кандидат / не установлено</x:v>
      </x:c>
      <x:c r="E28" s="5" t="str">
        <x:v>Требуется уточнение статуса, структуры или самостоятельности; все каналы сохранены.</x:v>
      </x:c>
      <x:c r="F28" s="5" t="str">
        <x:v>https://maz.by/media/news/2022/04/18/vladimir-semashko-posetil-maz</x:v>
      </x:c>
      <x:c r="G28" s="5" t="str">
        <x:v>Официальная новость МАЗ подтверждает именованный учебно-практический центр. Не установлено, является ли он самостоятельным корпоративным обучающим подразделением или совместной университетской площадкой.</x:v>
      </x:c>
      <x:c r="H28" s="5" t="str">
        <x:v>candidate</x:v>
      </x:c>
      <x:c r="I28" s="5" t="str">
        <x:v>Проверить учредительную принадлежность, постоянную команду, программу взрослых сотрудников и актуальное состояние; при подтверждении перенести в основной реестр.</x:v>
      </x:c>
    </x:row>
    <x:row r="29" ht="31.5" customHeight="1">
      <x:c r="A29" s="5" t="str">
        <x:v>CU-0181</x:v>
      </x:c>
      <x:c r="B29" s="5" t="str">
        <x:v>Учебный центр Нафтан — кандидат</x:v>
      </x:c>
      <x:c r="C29" s="5" t="str">
        <x:v>Беларусь</x:v>
      </x:c>
      <x:c r="D29" s="5" t="str">
        <x:v>Кандидат / не установлено</x:v>
      </x:c>
      <x:c r="E29" s="5" t="str">
        <x:v>Требуется уточнение статуса, структуры или самостоятельности; все каналы сохранены.</x:v>
      </x:c>
      <x:c r="F29" s="5" t="str">
        <x:v>https://gazeta.naftan.by/mastera-svoego-dela</x:v>
      </x:c>
      <x:c r="G29" s="5" t="str">
        <x:v>Индекс корпоративной газеты упоминает учебный центр и полигон предприятия, но полный контекст и принадлежность центра не прочитаны.</x:v>
      </x:c>
      <x:c r="H29" s="5" t="str">
        <x:v>candidate</x:v>
      </x:c>
      <x:c r="I29" s="5" t="str">
        <x:v>Прочитать публикацию полностью, установить какое предприятие владеет упомянутым центром; не считать подтвержденным центром Нафтана по сниппету.</x:v>
      </x:c>
    </x:row>
    <x:row r="30" ht="31.5" customHeight="1">
      <x:c r="A30" s="5" t="str">
        <x:v>CU-0182</x:v>
      </x:c>
      <x:c r="B30" s="5" t="str">
        <x:v>Учебный центр Минсктранс — исторический кандидат</x:v>
      </x:c>
      <x:c r="C30" s="5" t="str">
        <x:v>Беларусь</x:v>
      </x:c>
      <x:c r="D30" s="5" t="str">
        <x:v>Кандидат / не установлено</x:v>
      </x:c>
      <x:c r="E30" s="5" t="str">
        <x:v>Требуется уточнение статуса, структуры или самостоятельности; все каналы сохранены.</x:v>
      </x:c>
      <x:c r="F30" s="5" t="str">
        <x:v>https://minsktrans.by/wp-content/uploads/2020/11/vypusk-833.pdf</x:v>
      </x:c>
      <x:c r="G30" s="5" t="str">
        <x:v>Корпоративное издание содержит историческое упоминание собственного учебного центра; текущий статус не подтвержден.</x:v>
      </x:c>
      <x:c r="H30" s="5" t="str">
        <x:v>candidate</x:v>
      </x:c>
      <x:c r="I30" s="5" t="str">
        <x:v>Проверить, сохранился ли центр как подразделение и не передано ли обучение внешнему колледжу.</x:v>
      </x:c>
    </x:row>
    <x:row r="31" ht="31.5" customHeight="1">
      <x:c r="A31" s="5" t="str">
        <x:v>CU-0183</x:v>
      </x:c>
      <x:c r="B31" s="5" t="str">
        <x:v>LeverX Learning Hub — Беларусь требует подтверждения</x:v>
      </x:c>
      <x:c r="C31" s="5" t="str">
        <x:v>Беларусь</x:v>
      </x:c>
      <x:c r="D31" s="5" t="str">
        <x:v>Кандидат / не установлено</x:v>
      </x:c>
      <x:c r="E31" s="5" t="str">
        <x:v>Требуется уточнение статуса, структуры или самостоятельности; все каналы сохранены.</x:v>
      </x:c>
      <x:c r="F31" s="5" t="str">
        <x:v>https://career.leverx.com/courses</x:v>
      </x:c>
      <x:c r="G31" s="5" t="str">
        <x:v>Корпоративные учебные курсы и learning hub найдены, но действующая белорусская принадлежность центра и локальный заказчик не подтверждены.</x:v>
      </x:c>
      <x:c r="H31" s="5" t="str">
        <x:v>candidate</x:v>
      </x:c>
      <x:c r="I31" s="5" t="str">
        <x:v>Проверить текущие города обучения, локальное юридическое лицо и структуру learning hub; не считать международный бренд отдельным КУ Беларуси автоматически.</x:v>
      </x:c>
    </x:row>
    <x:row r="32" ht="31.5" customHeight="1">
      <x:c r="A32" s="5" t="str">
        <x:v>CU-0184</x:v>
      </x:c>
      <x:c r="B32" s="5" t="str">
        <x:v>Andersen Trainee — программа, структура не подтверждена</x:v>
      </x:c>
      <x:c r="C32" s="5" t="str">
        <x:v>Беларусь</x:v>
      </x:c>
      <x:c r="D32" s="5" t="str">
        <x:v>Кандидат / не установлено</x:v>
      </x:c>
      <x:c r="E32" s="5" t="str">
        <x:v>Требуется уточнение статуса, структуры или самостоятельности; все каналы сохранены.</x:v>
      </x:c>
      <x:c r="F32" s="5" t="str">
        <x:v>https://people.andersenlab.com/trainee/courses</x:v>
      </x:c>
      <x:c r="G32" s="5" t="str">
        <x:v>Корпоративные учебные программы с белорусскими городами найдены, но самостоятельный центр/академия не доказан.</x:v>
      </x:c>
      <x:c r="H32" s="5" t="str">
        <x:v>candidate</x:v>
      </x:c>
      <x:c r="I32" s="5" t="str">
        <x:v>Искать именованное учебное подразделение, постоянную команду и бюджет обучения; пока сохранять как источник сигналов о корпоративном обучении.</x:v>
      </x:c>
    </x:row>
    <x:row r="33" ht="42.75" customHeight="1">
      <x:c r="A33" s="5" t="str">
        <x:v>CU-0194</x:v>
      </x:c>
      <x:c r="B33" s="5" t="str">
        <x:v>Отдел обучения и развития персонала Казахмыс (система корпоративного обучения)</x:v>
      </x:c>
      <x:c r="C33" s="5" t="str">
        <x:v>Казахстан</x:v>
      </x:c>
      <x:c r="D33" s="5" t="str">
        <x:v>Кандидат / не установлено</x:v>
      </x:c>
      <x:c r="E33" s="5" t="str">
        <x:v>Требуется уточнение статуса, структуры или самостоятельности; все каналы сохранены.</x:v>
      </x:c>
      <x:c r="F33" s="5" t="str">
        <x:v>https://www.kazakhmys.kz/ru</x:v>
      </x:c>
      <x:c r="G33" s="5" t="str">
        <x:v>Обзор ERG описывает именно отдел обучения и развития Казахмыс, а не самостоятельный университет.</x:v>
      </x:c>
      <x:c r="H33" s="5" t="str">
        <x:v>content_read</x:v>
      </x:c>
      <x:c r="I3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4" ht="42.75" customHeight="1">
      <x:c r="A34" s="5" t="str">
        <x:v>CU-0211</x:v>
      </x:c>
      <x:c r="B34" s="5" t="str">
        <x:v>Halyk Academy — корпоративный образовательный проект</x:v>
      </x:c>
      <x:c r="C34" s="5" t="str">
        <x:v>Казахстан</x:v>
      </x:c>
      <x:c r="D34" s="5" t="str">
        <x:v>Кандидат / не установлено</x:v>
      </x:c>
      <x:c r="E34" s="5" t="str">
        <x:v>Требуется уточнение статуса, структуры или самостоятельности; все каналы сохранены.</x:v>
      </x:c>
      <x:c r="F34" s="5" t="str">
        <x:v>https://official.satbayev.university/ru/information-telecommunication-technologies/csam/laboratoriya-halyk-academy-satbayev-university</x:v>
      </x:c>
      <x:c r="G34" s="5" t="str">
        <x:v>Университет-партнёр подтверждает лабораторию и образовательный проект Halyk Academy с банковскими IT-экспертами.</x:v>
      </x:c>
      <x:c r="H34" s="5" t="str">
        <x:v>search_index</x:v>
      </x:c>
      <x:c r="I3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5" ht="42.75" customHeight="1">
      <x:c r="A35" s="5" t="str">
        <x:v>CU-0213</x:v>
      </x:c>
      <x:c r="B35" s="5" t="str">
        <x:v>Kolesa Академия</x:v>
      </x:c>
      <x:c r="C35" s="5" t="str">
        <x:v>Казахстан</x:v>
      </x:c>
      <x:c r="D35" s="5" t="str">
        <x:v>Кандидат / не установлено</x:v>
      </x:c>
      <x:c r="E35" s="5" t="str">
        <x:v>Краткая оплачиваемая IT-стажировка, а не доказанная самостоятельная учебная структура. Каналы сохраняются для расширения.</x:v>
      </x:c>
      <x:c r="F35" s="5" t="str">
        <x:v>https://kolesa.group/kz/education/academy</x:v>
      </x:c>
      <x:c r="G35" s="5" t="str">
        <x:v>Официальный сайт показывает Kolesa Академию как обучение и стажировки в IT-компании.</x:v>
      </x:c>
      <x:c r="H35" s="5" t="str">
        <x:v>search_index</x:v>
      </x:c>
      <x:c r="I3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6" ht="42.75" customHeight="1">
      <x:c r="A36" s="5" t="str">
        <x:v>CU-0214</x:v>
      </x:c>
      <x:c r="B36" s="5" t="str">
        <x:v>Академия дистрибуции Allur</x:v>
      </x:c>
      <x:c r="C36" s="5" t="str">
        <x:v>Казахстан</x:v>
      </x:c>
      <x:c r="D36" s="5" t="str">
        <x:v>Кандидат / не установлено</x:v>
      </x:c>
      <x:c r="E36" s="5" t="str">
        <x:v>Доказана образовательная платформа; организационная самостоятельность академии требует уточнения. Каналы сохраняются для расширения.</x:v>
      </x:c>
      <x:c r="F36" s="5" t="str">
        <x:v>https://hh.kz/employer/2374853</x:v>
      </x:c>
      <x:c r="G36" s="5" t="str">
        <x:v>Официальная брендированная страница работодателя описывает образовательную платформу Академии дистрибуции и рост до управленца.</x:v>
      </x:c>
      <x:c r="H36" s="5" t="str">
        <x:v>search_index</x:v>
      </x:c>
      <x:c r="I36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7" ht="42.75" customHeight="1">
      <x:c r="A37" s="5" t="str">
        <x:v>CU-0216</x:v>
      </x:c>
      <x:c r="B37" s="5" t="str">
        <x:v>Учебный центр Hyundai Trans Kazakhstan и Satbayev University</x:v>
      </x:c>
      <x:c r="C37" s="5" t="str">
        <x:v>Казахстан</x:v>
      </x:c>
      <x:c r="D37" s="5" t="str">
        <x:v>Кандидат / не установлено</x:v>
      </x:c>
      <x:c r="E37" s="5" t="str">
        <x:v>Требуется уточнение статуса, структуры или самостоятельности; все каналы сохранены.</x:v>
      </x:c>
      <x:c r="F37" s="5" t="str">
        <x:v>https://astana-motors.kz/ru/news/satbayev-university-zhane-hyundai-trans-kazakhstan-mashina-zhasau-salasindagi-kasipkoy-kadrlardi-dayindap-zhatir-444</x:v>
      </x:c>
      <x:c r="G37" s="5" t="str">
        <x:v>Компания подтверждает открытие учебного центра на заводе совместно с Satbayev University.</x:v>
      </x:c>
      <x:c r="H37" s="5" t="str">
        <x:v>search_index</x:v>
      </x:c>
      <x:c r="I37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8" ht="42.75" customHeight="1">
      <x:c r="A38" s="5" t="str">
        <x:v>CU-0217</x:v>
      </x:c>
      <x:c r="B38" s="5" t="str">
        <x:v>Кентауский политехнический колледж Alageum Electric</x:v>
      </x:c>
      <x:c r="C38" s="5" t="str">
        <x:v>Казахстан</x:v>
      </x:c>
      <x:c r="D38" s="5" t="str">
        <x:v>Кандидат / не установлено</x:v>
      </x:c>
      <x:c r="E38" s="5" t="str">
        <x:v>Требуется уточнение статуса, структуры или самостоятельности; все каналы сохранены.</x:v>
      </x:c>
      <x:c r="F38" s="5" t="str">
        <x:v>https://alageum.com/ru/predpriyatiya/ao-ktz</x:v>
      </x:c>
      <x:c r="G38" s="5" t="str">
        <x:v>Сайт холдинга подтверждает собственный политехнический колледж на базе КТЗ с дуальным обучением.</x:v>
      </x:c>
      <x:c r="H38" s="5" t="str">
        <x:v>search_index</x:v>
      </x:c>
      <x:c r="I38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39" ht="42.75" customHeight="1">
      <x:c r="A39" s="5" t="str">
        <x:v>CU-0218</x:v>
      </x:c>
      <x:c r="B39" s="5" t="str">
        <x:v>Отдел обучения / корпоративная учебная база Borusan Cat Казахстан</x:v>
      </x:c>
      <x:c r="C39" s="5" t="str">
        <x:v>Казахстан</x:v>
      </x:c>
      <x:c r="D39" s="5" t="str">
        <x:v>Кандидат / не установлено</x:v>
      </x:c>
      <x:c r="E39" s="5" t="str">
        <x:v>Доказан отдел обучения и внешние учебные партнеры, но именованный учебный центр не установлен. Каналы сохраняются для расширения.</x:v>
      </x:c>
      <x:c r="F39" s="5" t="str">
        <x:v>https://www.borusancat.kz/ru/corporate/news/borusan-cat-education</x:v>
      </x:c>
      <x:c r="G39" s="5" t="str">
        <x:v>Официальная публикация описывает отдел обучения и тренажёрную базу для собственного персонала.</x:v>
      </x:c>
      <x:c r="H39" s="5" t="str">
        <x:v>search_index</x:v>
      </x:c>
      <x:c r="I39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0" ht="42.75" customHeight="1">
      <x:c r="A40" s="5" t="str">
        <x:v>CU-0221</x:v>
      </x:c>
      <x:c r="B40" s="5" t="str">
        <x:v>KASE Academy</x:v>
      </x:c>
      <x:c r="C40" s="5" t="str">
        <x:v>Казахстан</x:v>
      </x:c>
      <x:c r="D40" s="5" t="str">
        <x:v>Кандидат / не установлено</x:v>
      </x:c>
      <x:c r="E40" s="5" t="str">
        <x:v>Подтверждена постоянная образовательная инициатива биржи; организационный статус академии требует уточнения. Каналы сохраняются для расширения.</x:v>
      </x:c>
      <x:c r="F40" s="5" t="str">
        <x:v>https://kase.kz/ru/investors/kase-academy</x:v>
      </x:c>
      <x:c r="G40" s="5" t="str">
        <x:v>Официальный сайт биржи подтверждает академию, курсы и образовательную платформу.</x:v>
      </x:c>
      <x:c r="H40" s="5" t="str">
        <x:v>search_index</x:v>
      </x:c>
      <x:c r="I40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1" ht="42.75" customHeight="1">
      <x:c r="A41" s="5" t="str">
        <x:v>CU-0226</x:v>
      </x:c>
      <x:c r="B41" s="5" t="str">
        <x:v>bcc academy</x:v>
      </x:c>
      <x:c r="C41" s="5" t="str">
        <x:v>Казахстан</x:v>
      </x:c>
      <x:c r="D41" s="5" t="str">
        <x:v>Кандидат / не установлено</x:v>
      </x:c>
      <x:c r="E41" s="5" t="str">
        <x:v>Подтвержден внутренний бренд развития сотрудников; отдельная учебная единица требует уточнения. Каналы сохраняются для расширения.</x:v>
      </x:c>
      <x:c r="F41" s="5" t="str">
        <x:v>https://www.bcc.kz/career/</x:v>
      </x:c>
      <x:c r="G41" s="5" t="str">
        <x:v>Официальный карьерный сайт прямо указывает bcc academy как систему обучения и развития сотрудников.</x:v>
      </x:c>
      <x:c r="H41" s="5" t="str">
        <x:v>search_index</x:v>
      </x:c>
      <x:c r="I41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2" ht="42.75" customHeight="1">
      <x:c r="A42" s="5" t="str">
        <x:v>CU-0227</x:v>
      </x:c>
      <x:c r="B42" s="5" t="str">
        <x:v>Home Credit University Kazakhstan</x:v>
      </x:c>
      <x:c r="C42" s="5" t="str">
        <x:v>Казахстан</x:v>
      </x:c>
      <x:c r="D42" s="5" t="str">
        <x:v>Кандидат / не установлено</x:v>
      </x:c>
      <x:c r="E42" s="5" t="str">
        <x:v>Сертификат / программа HCU IT Hub не доказывает самостоятельный действующий КУ Казахстана. Каналы сохраняются для расширения.</x:v>
      </x:c>
      <x:c r="F42" s="5" t="str">
        <x:v>https://home.kz/press-center/news/ithub-novosty</x:v>
      </x:c>
      <x:c r="G42" s="5" t="str">
        <x:v>Официальная публикация подтверждает выдачу сертификатов Home Credit University в программе HCU IT Hub.</x:v>
      </x:c>
      <x:c r="H42" s="5" t="str">
        <x:v>content_read</x:v>
      </x:c>
      <x:c r="I42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3" ht="42.75" customHeight="1">
      <x:c r="A43" s="5" t="str">
        <x:v>CU-0228</x:v>
      </x:c>
      <x:c r="B43" s="5" t="str">
        <x:v>KMGE School — корпоративная программа подготовки специалистов</x:v>
      </x:c>
      <x:c r="C43" s="5" t="str">
        <x:v>Казахстан</x:v>
      </x:c>
      <x:c r="D43" s="5" t="str">
        <x:v>Кандидат / не установлено</x:v>
      </x:c>
      <x:c r="E43" s="5" t="str">
        <x:v>Требуется уточнение статуса, структуры или самостоятельности; все каналы сохранены.</x:v>
      </x:c>
      <x:c r="F43" s="5" t="str">
        <x:v>https://www.kmge.kz/kmge-school/</x:v>
      </x:c>
      <x:c r="G43" s="5" t="str">
        <x:v>Официальный отчёт подтверждает длительную программу KMGE School; самостоятельная учебная организация не установлена.</x:v>
      </x:c>
      <x:c r="H43" s="5" t="str">
        <x:v>search_index</x:v>
      </x:c>
      <x:c r="I43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4" ht="42.75" customHeight="1">
      <x:c r="A44" s="5" t="str">
        <x:v>CU-0229</x:v>
      </x:c>
      <x:c r="B44" s="5" t="str">
        <x:v>Halyk Training Center — исторический корпоративный учебный центр</x:v>
      </x:c>
      <x:c r="C44" s="5" t="str">
        <x:v>Казахстан</x:v>
      </x:c>
      <x:c r="D44" s="5" t="str">
        <x:v>Кандидат / не установлено</x:v>
      </x:c>
      <x:c r="E44" s="5" t="str">
        <x:v>Требуется уточнение статуса, структуры или самостоятельности; все каналы сохранены.</x:v>
      </x:c>
      <x:c r="F44" s="5" t="str">
        <x:v>https://halykbank.kz/for-employees</x:v>
      </x:c>
      <x:c r="G44" s="5" t="str">
        <x:v>Партнёрский ресурс описывает Halyk Training Center; материал 2009 года, текущий статус центра не подтверждён.</x:v>
      </x:c>
      <x:c r="H44" s="5" t="str">
        <x:v>search_index</x:v>
      </x:c>
      <x:c r="I44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5" ht="42.75" customHeight="1">
      <x:c r="A45" s="5" t="str">
        <x:v>CU-0230</x:v>
      </x:c>
      <x:c r="B45" s="5" t="str">
        <x:v>KDIF Academy — отраслевая программа Фонда гарантирования депозитов</x:v>
      </x:c>
      <x:c r="C45" s="5" t="str">
        <x:v>Казахстан</x:v>
      </x:c>
      <x:c r="D45" s="5" t="str">
        <x:v>Кандидат / не установлено</x:v>
      </x:c>
      <x:c r="E45" s="5" t="str">
        <x:v>Требуется уточнение статуса, структуры или самостоятельности; все каналы сохранены.</x:v>
      </x:c>
      <x:c r="F45" s="5" t="str">
        <x:v>https://kdif.kz/press-tsentr/press-relizy/kdif-academy-x-bcc</x:v>
      </x:c>
      <x:c r="G45" s="5" t="str">
        <x:v>Официальный релиз описывает запуск KDIF Academy как информационно-разъяснительной программы для банковских работников.</x:v>
      </x:c>
      <x:c r="H45" s="5" t="str">
        <x:v>search_index</x:v>
      </x:c>
      <x:c r="I45" s="5" t="str">
        <x:v>Проверить актуальную структуру подразделения; раскрыть программы, новости, контакты и связанные закупочные страницы; сохранить дополнительные адреса отдельными каналами, затем установить владельца потребности.</x:v>
      </x:c>
    </x:row>
    <x:row r="46" ht="42.75" customHeight="1">
      <x:c r="A46" s="5" t="str">
        <x:v>CU-0234</x:v>
      </x:c>
      <x:c r="B46" s="5" t="str">
        <x:v>Медицинская академия МЕДСИ</x:v>
      </x:c>
      <x:c r="C46" s="5" t="str">
        <x:v>Россия</x:v>
      </x:c>
      <x:c r="D46" s="5" t="str">
        <x:v>Корпоративная академия</x:v>
      </x:c>
      <x:c r="E46" s="5" t="str">
        <x:v>Повторное исследование той же Медицинской академии МЕДСИ; сохранены дополнительные доказательства и каналы.</x:v>
      </x:c>
      <x:c r="F46" s="5" t="str">
        <x:v>https://medsi.ru/academy/</x:v>
      </x:c>
      <x:c r="G46" s="5" t="str">
        <x:v>Официальная страница Академии описывает ДПО, дистанционные программы, мастер-классы и выездные циклы.</x:v>
      </x:c>
      <x:c r="H46" s="5" t="str">
        <x:v>content_read</x:v>
      </x:c>
      <x:c r="I46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47" ht="42.75" customHeight="1">
      <x:c r="A47" s="5" t="str">
        <x:v>CU-0236</x:v>
      </x:c>
      <x:c r="B47" s="5" t="str">
        <x:v>Высшая медицинская школа (учебный центр ИНВИТРО)</x:v>
      </x:c>
      <x:c r="C47" s="5" t="str">
        <x:v>Россия</x:v>
      </x:c>
      <x:c r="D47" s="5" t="str">
        <x:v>Учебный центр компании</x:v>
      </x:c>
      <x:c r="E47" s="5" t="str">
        <x:v>Повторное исследование Высшей медицинской школы / ИНВИТРО; актуальная принадлежность требует проверки.</x:v>
      </x:c>
      <x:c r="F47" s="5" t="str">
        <x:v>https://www.invitro.ru/zhukovka/about/news/13171/</x:v>
      </x:c>
      <x:c r="G47" s="5" t="str">
        <x:v>Официальная новость ИНВИТРО называет ВМШ своим учебным центром и перечисляет в том числе управленческие тренинги.</x:v>
      </x:c>
      <x:c r="H47" s="5" t="str">
        <x:v>search_index</x:v>
      </x:c>
      <x:c r="I47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48" ht="42.75" customHeight="1">
      <x:c r="A48" s="5" t="str">
        <x:v>CU-0237</x:v>
      </x:c>
      <x:c r="B48" s="5" t="str">
        <x:v>Учебный центр Гемотест</x:v>
      </x:c>
      <x:c r="C48" s="5" t="str">
        <x:v>Россия</x:v>
      </x:c>
      <x:c r="D48" s="5" t="str">
        <x:v>Кандидат / не установлено</x:v>
      </x:c>
      <x:c r="E48" s="5" t="str">
        <x:v>Доказана именованная учебная платформа. Организационная учебная единица пока не установлена; сохранить для поиска программ и заказчика.</x:v>
      </x:c>
      <x:c r="F48" s="5" t="str">
        <x:v>https://teachbase.gemotest.ru/login/briliant</x:v>
      </x:c>
      <x:c r="G48" s="5" t="str">
        <x:v>Прочитана страница с заголовком «Учебный центр Гемотест» на собственном поддомене компании; доступна форма входа.</x:v>
      </x:c>
      <x:c r="H48" s="5" t="str">
        <x:v>content_read</x:v>
      </x:c>
      <x:c r="I48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49" ht="42.75" customHeight="1">
      <x:c r="A49" s="5" t="str">
        <x:v>CU-0238</x:v>
      </x:c>
      <x:c r="B49" s="5" t="str">
        <x:v>«Мать и дитя» — Учебный центр</x:v>
      </x:c>
      <x:c r="C49" s="5" t="str">
        <x:v>Россия</x:v>
      </x:c>
      <x:c r="D49" s="5" t="str">
        <x:v>Кандидат / не установлено</x:v>
      </x:c>
      <x:c r="E49" s="5" t="str">
        <x:v>Доказана именованная учебная платформа. Организационная учебная единица пока не установлена; сохранить для поиска программ и заказчика.</x:v>
      </x:c>
      <x:c r="F49" s="5" t="str">
        <x:v>https://www.mcclinics.ru/upload/news_files/%D0%93%D0%BE%D0%B4%D0%BE%D0%B2%D0%BE%D0%B9%20%D0%BE%D1%82%D1%87%D0%B5%D1%82%202025_%D1%84%D0%B8%D0%BD%D0%B0%D0%BB.pdf</x:v>
      </x:c>
      <x:c r="G49" s="5" t="str">
        <x:v>В официальном годовом отчёте за 2025 год указаны запуск корпоративной платформы дистанционного обучения и зарегистрированное название «Мать и дитя учебный центр».</x:v>
      </x:c>
      <x:c r="H49" s="5" t="str">
        <x:v>search_index</x:v>
      </x:c>
      <x:c r="I49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50" ht="42.75" customHeight="1">
      <x:c r="A50" s="5" t="str">
        <x:v>CU-0241</x:v>
      </x:c>
      <x:c r="B50" s="5" t="str">
        <x:v>Учебный центр «ЛАНЦЕТЪ» при Институте пластической хирургии и косметологии</x:v>
      </x:c>
      <x:c r="C50" s="5" t="str">
        <x:v>Россия</x:v>
      </x:c>
      <x:c r="D50" s="5" t="str">
        <x:v>Учебный центр компании</x:v>
      </x:c>
      <x:c r="E50" s="5" t="str">
        <x:v>Дополнительная подтвержденная структура сверх основной выборки; продолжать мониторинг.</x:v>
      </x:c>
      <x:c r="F50" s="5" t="str">
        <x:v>https://edulancet.com/</x:v>
      </x:c>
      <x:c r="G50" s="5" t="str">
        <x:v>Официальный сайт сообщает о создании УЦ при поддержке АО ИПХиК, образовательной лицензии и программах ДПО.</x:v>
      </x:c>
      <x:c r="H50" s="5" t="str">
        <x:v>content_read</x:v>
      </x:c>
      <x:c r="I50" s="5" t="str">
        <x:v>Уточнить актуального владельца программы, публичные контакты и закупочное юрлицо; найти рубрики новостей/программ, официальные соцсети и правила привлечения внешних провайдеров. Сохранить все найденные каналы.</x:v>
      </x:c>
    </x:row>
    <x:row r="51" ht="42.75" customHeight="1">
      <x:c r="A51" s="5" t="str">
        <x:v>CU-0243</x:v>
      </x:c>
      <x:c r="B51" s="5" t="str">
        <x:v>Академия Группы «Черкизово» — кандидат на подтверждение действующего канала</x:v>
      </x:c>
      <x:c r="C51" s="5" t="str">
        <x:v>Россия</x:v>
      </x:c>
      <x:c r="D51" s="5" t="str">
        <x:v>Кандидат / не установлено</x:v>
      </x:c>
      <x:c r="E51" s="5" t="str">
        <x:v>Требуется уточнение статуса, структуры или самостоятельности; все каналы сохранены.</x:v>
      </x:c>
      <x:c r="F51" s="5" t="str">
        <x:v>https://id.hse.ru/data/2025/06/30/1992802910/%D0%BA%D0%BE%D1%80%D0%BF_%D1%83%D0%BD_2024_%D1%81%D0%B0%D0%B9%D1%82.pdf</x:v>
      </x:c>
      <x:c r="G51" s="5" t="str">
        <x:v>Название присутствует в оглавлении издания ВШЭ о корпоративных университетах, профиль начинается на странице 314; полный PDF не прочитан из-за ограничения размера.</x:v>
      </x:c>
      <x:c r="H51" s="5" t="str">
        <x:v>candidate</x:v>
      </x:c>
      <x:c r="I51" s="5" t="str">
        <x:v>Подтвердить существование/актуальный статус и самостоятельную образовательную структуру по первичному источнику; найти действующий канал или преемника. Сохранить исторический след независимо от результата.</x:v>
      </x:c>
    </x:row>
    <x:row r="52" ht="42.75" customHeight="1">
      <x:c r="A52" s="5" t="str">
        <x:v>CU-0244</x:v>
      </x:c>
      <x:c r="B52" s="5" t="str">
        <x:v>Водная академия Водоканала Санкт-Петербурга — исторический след</x:v>
      </x:c>
      <x:c r="C52" s="5" t="str">
        <x:v>Россия</x:v>
      </x:c>
      <x:c r="D52" s="5" t="str">
        <x:v>Кандидат / не установлено</x:v>
      </x:c>
      <x:c r="E52" s="5" t="str">
        <x:v>Требуется уточнение статуса, структуры или самостоятельности; все каналы сохранены.</x:v>
      </x:c>
      <x:c r="F52" s="5" t="str">
        <x:v>https://www.gov.spb.ru/gov/otrasl/ingen/news/89137/</x:v>
      </x:c>
      <x:c r="G52" s="5" t="str">
        <x:v>Официальная публикация администрации Санкт-Петербурга 2016 года подтверждает Водную академию на базе информационно-образовательного центра Водоканала.</x:v>
      </x:c>
      <x:c r="H52" s="5" t="str">
        <x:v>candidate</x:v>
      </x:c>
      <x:c r="I52" s="5" t="str">
        <x:v>Подтвердить существование/актуальный статус и самостоятельную образовательную структуру по первичному источнику; найти действующий канал или преемника. Сохранить исторический след независимо от результата.</x:v>
      </x:c>
    </x:row>
  </x:sheetData>
  <x:pageMargins left="0.7" right="0.7" top="0.75" bottom="0.75" header="0.3" footer="0.3"/>
  <x:tableParts count="1">
    <x:tablePart xmlns:r="http://schemas.openxmlformats.org/officeDocument/2006/relationships" r:id="R609dc0fdac404d8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.4399995803833" hidden="0" customWidth="1"/>
    <x:col min="2" max="2" width="15.5600004196167" hidden="0" customWidth="1"/>
    <x:col min="3" max="3" width="15.5600004196167" hidden="0" customWidth="1"/>
    <x:col min="4" max="4" width="36.66999816894531" hidden="0" customWidth="1"/>
    <x:col min="5" max="5" width="77.77999877929688" hidden="0" customWidth="1"/>
    <x:col min="6" max="6" width="30" hidden="0" customWidth="1"/>
  </x:cols>
  <x:sheetData>
    <x:row r="1">
      <x:c r="A1" s="2"/>
      <x:c r="B1" s="2"/>
      <x:c r="C1" s="2"/>
      <x:c r="D1" s="2"/>
      <x:c r="E1" s="2"/>
      <x:c r="F1" s="2"/>
    </x:row>
    <x:row r="2" ht="21" customHeight="1">
      <x:c r="A2" s="3" t="str">
        <x:v>Совпадающие маршруты и связи с прежним реестром</x:v>
      </x:c>
      <x:c r="B2" s="2"/>
      <x:c r="C2" s="2"/>
      <x:c r="D2" s="2"/>
      <x:c r="E2" s="2"/>
      <x:c r="F2" s="2"/>
    </x:row>
    <x:row r="3" ht="19.5" customHeight="1">
      <x:c r="A3" s="4" t="str">
        <x:v>Это обнаруженные связи, не полный аудит идентичности. Все записи сохранены. MISB-ID относятся к прежнему общему реестру.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1.5" customHeight="1">
      <x:c r="A5" s="9" t="str">
        <x:v>Связь ID</x:v>
      </x:c>
      <x:c r="B5" s="9" t="str">
        <x:v>От ID</x:v>
      </x:c>
      <x:c r="C5" s="9" t="str">
        <x:v>К ID</x:v>
      </x:c>
      <x:c r="D5" s="9" t="str">
        <x:v>Тип</x:v>
      </x:c>
      <x:c r="E5" s="9" t="str">
        <x:v>Основание</x:v>
      </x:c>
      <x:c r="F5" s="9" t="str">
        <x:v>Действие</x:v>
      </x:c>
    </x:row>
    <x:row r="6" ht="25.5" customHeight="1">
      <x:c r="A6" s="5" t="str">
        <x:v>CU-REL-0001</x:v>
      </x:c>
      <x:c r="B6" s="5" t="str">
        <x:v>CU-SRC-0004</x:v>
      </x:c>
      <x:c r="C6" s="5" t="str">
        <x:v>CU-SRC-0007</x:v>
      </x:c>
      <x:c r="D6" s="5" t="str">
        <x:v>same_normalized_url</x:v>
      </x:c>
      <x:c r="E6" s="5" t="str">
        <x:v>Совпадение нормализованного URL; разные связи и роли сохраняются.</x:v>
      </x:c>
      <x:c r="F6" s="5" t="str">
        <x:v>keep_both</x:v>
      </x:c>
    </x:row>
    <x:row r="7" ht="25.5" customHeight="1">
      <x:c r="A7" s="5" t="str">
        <x:v>CU-REL-0002</x:v>
      </x:c>
      <x:c r="B7" s="5" t="str">
        <x:v>CU-SRC-0004</x:v>
      </x:c>
      <x:c r="C7" s="5" t="str">
        <x:v>CU-SRC-0011</x:v>
      </x:c>
      <x:c r="D7" s="5" t="str">
        <x:v>same_normalized_url</x:v>
      </x:c>
      <x:c r="E7" s="5" t="str">
        <x:v>Совпадение нормализованного URL; разные связи и роли сохраняются.</x:v>
      </x:c>
      <x:c r="F7" s="5" t="str">
        <x:v>keep_both</x:v>
      </x:c>
    </x:row>
    <x:row r="8" ht="25.5" customHeight="1">
      <x:c r="A8" s="5" t="str">
        <x:v>CU-REL-0003</x:v>
      </x:c>
      <x:c r="B8" s="5" t="str">
        <x:v>CU-SRC-0004</x:v>
      </x:c>
      <x:c r="C8" s="5" t="str">
        <x:v>CU-SRC-0013</x:v>
      </x:c>
      <x:c r="D8" s="5" t="str">
        <x:v>same_normalized_url</x:v>
      </x:c>
      <x:c r="E8" s="5" t="str">
        <x:v>Совпадение нормализованного URL; разные связи и роли сохраняются.</x:v>
      </x:c>
      <x:c r="F8" s="5" t="str">
        <x:v>keep_both</x:v>
      </x:c>
    </x:row>
    <x:row r="9" ht="25.5" customHeight="1">
      <x:c r="A9" s="5" t="str">
        <x:v>CU-REL-0004</x:v>
      </x:c>
      <x:c r="B9" s="5" t="str">
        <x:v>CU-SRC-0004</x:v>
      </x:c>
      <x:c r="C9" s="5" t="str">
        <x:v>CU-SRC-0015</x:v>
      </x:c>
      <x:c r="D9" s="5" t="str">
        <x:v>same_normalized_url</x:v>
      </x:c>
      <x:c r="E9" s="5" t="str">
        <x:v>Совпадение нормализованного URL; разные связи и роли сохраняются.</x:v>
      </x:c>
      <x:c r="F9" s="5" t="str">
        <x:v>keep_both</x:v>
      </x:c>
    </x:row>
    <x:row r="10" ht="25.5" customHeight="1">
      <x:c r="A10" s="5" t="str">
        <x:v>CU-REL-0005</x:v>
      </x:c>
      <x:c r="B10" s="5" t="str">
        <x:v>CU-SRC-0004</x:v>
      </x:c>
      <x:c r="C10" s="5" t="str">
        <x:v>CU-SRC-0018</x:v>
      </x:c>
      <x:c r="D10" s="5" t="str">
        <x:v>same_normalized_url</x:v>
      </x:c>
      <x:c r="E10" s="5" t="str">
        <x:v>Совпадение нормализованного URL; разные связи и роли сохраняются.</x:v>
      </x:c>
      <x:c r="F10" s="5" t="str">
        <x:v>keep_both</x:v>
      </x:c>
    </x:row>
    <x:row r="11" ht="25.5" customHeight="1">
      <x:c r="A11" s="5" t="str">
        <x:v>CU-REL-0006</x:v>
      </x:c>
      <x:c r="B11" s="5" t="str">
        <x:v>CU-SRC-0004</x:v>
      </x:c>
      <x:c r="C11" s="5" t="str">
        <x:v>CU-SRC-0020</x:v>
      </x:c>
      <x:c r="D11" s="5" t="str">
        <x:v>same_normalized_url</x:v>
      </x:c>
      <x:c r="E11" s="5" t="str">
        <x:v>Совпадение нормализованного URL; разные связи и роли сохраняются.</x:v>
      </x:c>
      <x:c r="F11" s="5" t="str">
        <x:v>keep_both</x:v>
      </x:c>
    </x:row>
    <x:row r="12" ht="25.5" customHeight="1">
      <x:c r="A12" s="5" t="str">
        <x:v>CU-REL-0007</x:v>
      </x:c>
      <x:c r="B12" s="5" t="str">
        <x:v>CU-SRC-0004</x:v>
      </x:c>
      <x:c r="C12" s="5" t="str">
        <x:v>CU-SRC-0022</x:v>
      </x:c>
      <x:c r="D12" s="5" t="str">
        <x:v>same_normalized_url</x:v>
      </x:c>
      <x:c r="E12" s="5" t="str">
        <x:v>Совпадение нормализованного URL; разные связи и роли сохраняются.</x:v>
      </x:c>
      <x:c r="F12" s="5" t="str">
        <x:v>keep_both</x:v>
      </x:c>
    </x:row>
    <x:row r="13" ht="25.5" customHeight="1">
      <x:c r="A13" s="5" t="str">
        <x:v>CU-REL-0008</x:v>
      </x:c>
      <x:c r="B13" s="5" t="str">
        <x:v>CU-SRC-0004</x:v>
      </x:c>
      <x:c r="C13" s="5" t="str">
        <x:v>CU-SRC-0024</x:v>
      </x:c>
      <x:c r="D13" s="5" t="str">
        <x:v>same_normalized_url</x:v>
      </x:c>
      <x:c r="E13" s="5" t="str">
        <x:v>Совпадение нормализованного URL; разные связи и роли сохраняются.</x:v>
      </x:c>
      <x:c r="F13" s="5" t="str">
        <x:v>keep_both</x:v>
      </x:c>
    </x:row>
    <x:row r="14" ht="25.5" customHeight="1">
      <x:c r="A14" s="5" t="str">
        <x:v>CU-REL-0009</x:v>
      </x:c>
      <x:c r="B14" s="5" t="str">
        <x:v>CU-SRC-0004</x:v>
      </x:c>
      <x:c r="C14" s="5" t="str">
        <x:v>CU-SRC-0026</x:v>
      </x:c>
      <x:c r="D14" s="5" t="str">
        <x:v>same_normalized_url</x:v>
      </x:c>
      <x:c r="E14" s="5" t="str">
        <x:v>Совпадение нормализованного URL; разные связи и роли сохраняются.</x:v>
      </x:c>
      <x:c r="F14" s="5" t="str">
        <x:v>keep_both</x:v>
      </x:c>
    </x:row>
    <x:row r="15" ht="25.5" customHeight="1">
      <x:c r="A15" s="5" t="str">
        <x:v>CU-REL-0010</x:v>
      </x:c>
      <x:c r="B15" s="5" t="str">
        <x:v>CU-SRC-0004</x:v>
      </x:c>
      <x:c r="C15" s="5" t="str">
        <x:v>CU-SRC-0028</x:v>
      </x:c>
      <x:c r="D15" s="5" t="str">
        <x:v>same_normalized_url</x:v>
      </x:c>
      <x:c r="E15" s="5" t="str">
        <x:v>Совпадение нормализованного URL; разные связи и роли сохраняются.</x:v>
      </x:c>
      <x:c r="F15" s="5" t="str">
        <x:v>keep_both</x:v>
      </x:c>
    </x:row>
    <x:row r="16" ht="25.5" customHeight="1">
      <x:c r="A16" s="5" t="str">
        <x:v>CU-REL-0011</x:v>
      </x:c>
      <x:c r="B16" s="5" t="str">
        <x:v>CU-SRC-0004</x:v>
      </x:c>
      <x:c r="C16" s="5" t="str">
        <x:v>CU-SRC-0031</x:v>
      </x:c>
      <x:c r="D16" s="5" t="str">
        <x:v>same_normalized_url</x:v>
      </x:c>
      <x:c r="E16" s="5" t="str">
        <x:v>Совпадение нормализованного URL; разные связи и роли сохраняются.</x:v>
      </x:c>
      <x:c r="F16" s="5" t="str">
        <x:v>keep_both</x:v>
      </x:c>
    </x:row>
    <x:row r="17" ht="25.5" customHeight="1">
      <x:c r="A17" s="5" t="str">
        <x:v>CU-REL-0012</x:v>
      </x:c>
      <x:c r="B17" s="5" t="str">
        <x:v>CU-SRC-0043</x:v>
      </x:c>
      <x:c r="C17" s="5" t="str">
        <x:v>CU-SRC-0047</x:v>
      </x:c>
      <x:c r="D17" s="5" t="str">
        <x:v>same_normalized_url</x:v>
      </x:c>
      <x:c r="E17" s="5" t="str">
        <x:v>Совпадение нормализованного URL; разные связи и роли сохраняются.</x:v>
      </x:c>
      <x:c r="F17" s="5" t="str">
        <x:v>keep_both</x:v>
      </x:c>
    </x:row>
    <x:row r="18" ht="25.5" customHeight="1">
      <x:c r="A18" s="5" t="str">
        <x:v>CU-REL-0013</x:v>
      </x:c>
      <x:c r="B18" s="5" t="str">
        <x:v>CU-SRC-0066</x:v>
      </x:c>
      <x:c r="C18" s="5" t="str">
        <x:v>CU-SRC-0068</x:v>
      </x:c>
      <x:c r="D18" s="5" t="str">
        <x:v>same_normalized_url</x:v>
      </x:c>
      <x:c r="E18" s="5" t="str">
        <x:v>Совпадение нормализованного URL; разные связи и роли сохраняются.</x:v>
      </x:c>
      <x:c r="F18" s="5" t="str">
        <x:v>keep_both</x:v>
      </x:c>
    </x:row>
    <x:row r="19" ht="25.5" customHeight="1">
      <x:c r="A19" s="5" t="str">
        <x:v>CU-REL-0014</x:v>
      </x:c>
      <x:c r="B19" s="5" t="str">
        <x:v>CU-SRC-0066</x:v>
      </x:c>
      <x:c r="C19" s="5" t="str">
        <x:v>CU-SRC-0070</x:v>
      </x:c>
      <x:c r="D19" s="5" t="str">
        <x:v>same_normalized_url</x:v>
      </x:c>
      <x:c r="E19" s="5" t="str">
        <x:v>Совпадение нормализованного URL; разные связи и роли сохраняются.</x:v>
      </x:c>
      <x:c r="F19" s="5" t="str">
        <x:v>keep_both</x:v>
      </x:c>
    </x:row>
    <x:row r="20" ht="25.5" customHeight="1">
      <x:c r="A20" s="5" t="str">
        <x:v>CU-REL-0015</x:v>
      </x:c>
      <x:c r="B20" s="5" t="str">
        <x:v>CU-SRC-0066</x:v>
      </x:c>
      <x:c r="C20" s="5" t="str">
        <x:v>CU-SRC-0072</x:v>
      </x:c>
      <x:c r="D20" s="5" t="str">
        <x:v>same_normalized_url</x:v>
      </x:c>
      <x:c r="E20" s="5" t="str">
        <x:v>Совпадение нормализованного URL; разные связи и роли сохраняются.</x:v>
      </x:c>
      <x:c r="F20" s="5" t="str">
        <x:v>keep_both</x:v>
      </x:c>
    </x:row>
    <x:row r="21" ht="25.5" customHeight="1">
      <x:c r="A21" s="5" t="str">
        <x:v>CU-REL-0016</x:v>
      </x:c>
      <x:c r="B21" s="5" t="str">
        <x:v>CU-SRC-0066</x:v>
      </x:c>
      <x:c r="C21" s="5" t="str">
        <x:v>CU-SRC-0074</x:v>
      </x:c>
      <x:c r="D21" s="5" t="str">
        <x:v>same_normalized_url</x:v>
      </x:c>
      <x:c r="E21" s="5" t="str">
        <x:v>Совпадение нормализованного URL; разные связи и роли сохраняются.</x:v>
      </x:c>
      <x:c r="F21" s="5" t="str">
        <x:v>keep_both</x:v>
      </x:c>
    </x:row>
    <x:row r="22" ht="25.5" customHeight="1">
      <x:c r="A22" s="5" t="str">
        <x:v>CU-REL-0017</x:v>
      </x:c>
      <x:c r="B22" s="5" t="str">
        <x:v>CU-SRC-0066</x:v>
      </x:c>
      <x:c r="C22" s="5" t="str">
        <x:v>CU-SRC-0076</x:v>
      </x:c>
      <x:c r="D22" s="5" t="str">
        <x:v>same_normalized_url</x:v>
      </x:c>
      <x:c r="E22" s="5" t="str">
        <x:v>Совпадение нормализованного URL; разные связи и роли сохраняются.</x:v>
      </x:c>
      <x:c r="F22" s="5" t="str">
        <x:v>keep_both</x:v>
      </x:c>
    </x:row>
    <x:row r="23" ht="25.5" customHeight="1">
      <x:c r="A23" s="5" t="str">
        <x:v>CU-REL-0018</x:v>
      </x:c>
      <x:c r="B23" s="5" t="str">
        <x:v>CU-SRC-0066</x:v>
      </x:c>
      <x:c r="C23" s="5" t="str">
        <x:v>CU-SRC-0078</x:v>
      </x:c>
      <x:c r="D23" s="5" t="str">
        <x:v>same_normalized_url</x:v>
      </x:c>
      <x:c r="E23" s="5" t="str">
        <x:v>Совпадение нормализованного URL; разные связи и роли сохраняются.</x:v>
      </x:c>
      <x:c r="F23" s="5" t="str">
        <x:v>keep_both</x:v>
      </x:c>
    </x:row>
    <x:row r="24" ht="25.5" customHeight="1">
      <x:c r="A24" s="5" t="str">
        <x:v>CU-REL-0019</x:v>
      </x:c>
      <x:c r="B24" s="5" t="str">
        <x:v>CU-SRC-0066</x:v>
      </x:c>
      <x:c r="C24" s="5" t="str">
        <x:v>CU-SRC-0080</x:v>
      </x:c>
      <x:c r="D24" s="5" t="str">
        <x:v>same_normalized_url</x:v>
      </x:c>
      <x:c r="E24" s="5" t="str">
        <x:v>Совпадение нормализованного URL; разные связи и роли сохраняются.</x:v>
      </x:c>
      <x:c r="F24" s="5" t="str">
        <x:v>keep_both</x:v>
      </x:c>
    </x:row>
    <x:row r="25" ht="25.5" customHeight="1">
      <x:c r="A25" s="5" t="str">
        <x:v>CU-REL-0020</x:v>
      </x:c>
      <x:c r="B25" s="5" t="str">
        <x:v>CU-SRC-0066</x:v>
      </x:c>
      <x:c r="C25" s="5" t="str">
        <x:v>CU-SRC-0082</x:v>
      </x:c>
      <x:c r="D25" s="5" t="str">
        <x:v>same_normalized_url</x:v>
      </x:c>
      <x:c r="E25" s="5" t="str">
        <x:v>Совпадение нормализованного URL; разные связи и роли сохраняются.</x:v>
      </x:c>
      <x:c r="F25" s="5" t="str">
        <x:v>keep_both</x:v>
      </x:c>
    </x:row>
    <x:row r="26" ht="25.5" customHeight="1">
      <x:c r="A26" s="5" t="str">
        <x:v>CU-REL-0021</x:v>
      </x:c>
      <x:c r="B26" s="5" t="str">
        <x:v>CU-SRC-0066</x:v>
      </x:c>
      <x:c r="C26" s="5" t="str">
        <x:v>CU-SRC-0084</x:v>
      </x:c>
      <x:c r="D26" s="5" t="str">
        <x:v>same_normalized_url</x:v>
      </x:c>
      <x:c r="E26" s="5" t="str">
        <x:v>Совпадение нормализованного URL; разные связи и роли сохраняются.</x:v>
      </x:c>
      <x:c r="F26" s="5" t="str">
        <x:v>keep_both</x:v>
      </x:c>
    </x:row>
    <x:row r="27" ht="25.5" customHeight="1">
      <x:c r="A27" s="5" t="str">
        <x:v>CU-REL-0022</x:v>
      </x:c>
      <x:c r="B27" s="5" t="str">
        <x:v>CU-SRC-0004</x:v>
      </x:c>
      <x:c r="C27" s="5" t="str">
        <x:v>CU-SRC-0098</x:v>
      </x:c>
      <x:c r="D27" s="5" t="str">
        <x:v>same_normalized_url</x:v>
      </x:c>
      <x:c r="E27" s="5" t="str">
        <x:v>Совпадение нормализованного URL; разные связи и роли сохраняются.</x:v>
      </x:c>
      <x:c r="F27" s="5" t="str">
        <x:v>keep_both</x:v>
      </x:c>
    </x:row>
    <x:row r="28" ht="25.5" customHeight="1">
      <x:c r="A28" s="5" t="str">
        <x:v>CU-REL-0023</x:v>
      </x:c>
      <x:c r="B28" s="5" t="str">
        <x:v>CU-SRC-0134</x:v>
      </x:c>
      <x:c r="C28" s="5" t="str">
        <x:v>CU-SRC-0136</x:v>
      </x:c>
      <x:c r="D28" s="5" t="str">
        <x:v>same_normalized_url</x:v>
      </x:c>
      <x:c r="E28" s="5" t="str">
        <x:v>Совпадение нормализованного URL; разные связи и роли сохраняются.</x:v>
      </x:c>
      <x:c r="F28" s="5" t="str">
        <x:v>keep_both</x:v>
      </x:c>
    </x:row>
    <x:row r="29" ht="25.5" customHeight="1">
      <x:c r="A29" s="5" t="str">
        <x:v>CU-REL-0024</x:v>
      </x:c>
      <x:c r="B29" s="5" t="str">
        <x:v>CU-SRC-0133</x:v>
      </x:c>
      <x:c r="C29" s="5" t="str">
        <x:v>CU-SRC-0173</x:v>
      </x:c>
      <x:c r="D29" s="5" t="str">
        <x:v>same_normalized_url</x:v>
      </x:c>
      <x:c r="E29" s="5" t="str">
        <x:v>Совпадение нормализованного URL; разные связи и роли сохраняются.</x:v>
      </x:c>
      <x:c r="F29" s="5" t="str">
        <x:v>keep_both</x:v>
      </x:c>
    </x:row>
    <x:row r="30" ht="25.5" customHeight="1">
      <x:c r="A30" s="5" t="str">
        <x:v>CU-REL-0025</x:v>
      </x:c>
      <x:c r="B30" s="5" t="str">
        <x:v>CU-SRC-0134</x:v>
      </x:c>
      <x:c r="C30" s="5" t="str">
        <x:v>CU-SRC-0174</x:v>
      </x:c>
      <x:c r="D30" s="5" t="str">
        <x:v>same_normalized_url</x:v>
      </x:c>
      <x:c r="E30" s="5" t="str">
        <x:v>Совпадение нормализованного URL; разные связи и роли сохраняются.</x:v>
      </x:c>
      <x:c r="F30" s="5" t="str">
        <x:v>keep_both</x:v>
      </x:c>
    </x:row>
    <x:row r="31" ht="25.5" customHeight="1">
      <x:c r="A31" s="5" t="str">
        <x:v>CU-REL-0026</x:v>
      </x:c>
      <x:c r="B31" s="5" t="str">
        <x:v>CU-SRC-0367</x:v>
      </x:c>
      <x:c r="C31" s="5" t="str">
        <x:v>CU-SRC-0369</x:v>
      </x:c>
      <x:c r="D31" s="5" t="str">
        <x:v>same_normalized_url</x:v>
      </x:c>
      <x:c r="E31" s="5" t="str">
        <x:v>Совпадение нормализованного URL; разные связи и роли сохраняются.</x:v>
      </x:c>
      <x:c r="F31" s="5" t="str">
        <x:v>keep_both</x:v>
      </x:c>
    </x:row>
    <x:row r="32" ht="25.5" customHeight="1">
      <x:c r="A32" s="5" t="str">
        <x:v>CU-REL-0027</x:v>
      </x:c>
      <x:c r="B32" s="5" t="str">
        <x:v>CU-SRC-0372</x:v>
      </x:c>
      <x:c r="C32" s="5" t="str">
        <x:v>CU-SRC-0373</x:v>
      </x:c>
      <x:c r="D32" s="5" t="str">
        <x:v>same_normalized_url</x:v>
      </x:c>
      <x:c r="E32" s="5" t="str">
        <x:v>Совпадение нормализованного URL; разные связи и роли сохраняются.</x:v>
      </x:c>
      <x:c r="F32" s="5" t="str">
        <x:v>keep_both</x:v>
      </x:c>
    </x:row>
    <x:row r="33" ht="25.5" customHeight="1">
      <x:c r="A33" s="5" t="str">
        <x:v>CU-REL-0028</x:v>
      </x:c>
      <x:c r="B33" s="5" t="str">
        <x:v>CU-SRC-0415</x:v>
      </x:c>
      <x:c r="C33" s="5" t="str">
        <x:v>CU-SRC-0443</x:v>
      </x:c>
      <x:c r="D33" s="5" t="str">
        <x:v>same_normalized_url</x:v>
      </x:c>
      <x:c r="E33" s="5" t="str">
        <x:v>Совпадение нормализованного URL; разные связи и роли сохраняются.</x:v>
      </x:c>
      <x:c r="F33" s="5" t="str">
        <x:v>keep_both</x:v>
      </x:c>
    </x:row>
    <x:row r="34" ht="25.5" customHeight="1">
      <x:c r="A34" s="5" t="str">
        <x:v>CU-REL-0029</x:v>
      </x:c>
      <x:c r="B34" s="5" t="str">
        <x:v>CU-SRC-0284</x:v>
      </x:c>
      <x:c r="C34" s="5" t="str">
        <x:v>CU-SRC-0451</x:v>
      </x:c>
      <x:c r="D34" s="5" t="str">
        <x:v>same_normalized_url</x:v>
      </x:c>
      <x:c r="E34" s="5" t="str">
        <x:v>Совпадение нормализованного URL; разные связи и роли сохраняются.</x:v>
      </x:c>
      <x:c r="F34" s="5" t="str">
        <x:v>keep_both</x:v>
      </x:c>
    </x:row>
    <x:row r="35" ht="25.5" customHeight="1">
      <x:c r="A35" s="5" t="str">
        <x:v>CU-REL-0030</x:v>
      </x:c>
      <x:c r="B35" s="5" t="str">
        <x:v>CU-SRC-0004</x:v>
      </x:c>
      <x:c r="C35" s="5" t="str">
        <x:v>CU-SRC-0463</x:v>
      </x:c>
      <x:c r="D35" s="5" t="str">
        <x:v>same_normalized_url</x:v>
      </x:c>
      <x:c r="E35" s="5" t="str">
        <x:v>Совпадение нормализованного URL; разные связи и роли сохраняются.</x:v>
      </x:c>
      <x:c r="F35" s="5" t="str">
        <x:v>keep_both</x:v>
      </x:c>
    </x:row>
    <x:row r="36" ht="25.5" customHeight="1">
      <x:c r="A36" s="5" t="str">
        <x:v>CU-REL-0031</x:v>
      </x:c>
      <x:c r="B36" s="5" t="str">
        <x:v>CU-0234</x:v>
      </x:c>
      <x:c r="C36" s="5" t="str">
        <x:v>CU-0144</x:v>
      </x:c>
      <x:c r="D36" s="5" t="str">
        <x:v>same_institution_research_duplicate</x:v>
      </x:c>
      <x:c r="E36" s="5" t="str">
        <x:v>Повторное исследование той же Медицинской академии МЕДСИ; сохранены дополнительные доказательства и каналы.</x:v>
      </x:c>
      <x:c r="F36" s="5" t="str">
        <x:v>retain_record_link_identity</x:v>
      </x:c>
    </x:row>
    <x:row r="37" ht="25.5" customHeight="1">
      <x:c r="A37" s="5" t="str">
        <x:v>CU-REL-0032</x:v>
      </x:c>
      <x:c r="B37" s="5" t="str">
        <x:v>CU-0236</x:v>
      </x:c>
      <x:c r="C37" s="5" t="str">
        <x:v>CU-0145</x:v>
      </x:c>
      <x:c r="D37" s="5" t="str">
        <x:v>same_institution_research_duplicate</x:v>
      </x:c>
      <x:c r="E37" s="5" t="str">
        <x:v>Повторное исследование Высшей медицинской школы / ИНВИТРО; актуальная принадлежность требует проверки.</x:v>
      </x:c>
      <x:c r="F37" s="5" t="str">
        <x:v>retain_record_link_identity</x:v>
      </x:c>
    </x:row>
    <x:row r="38" ht="25.5" customHeight="1">
      <x:c r="A38" s="5" t="str">
        <x:v>CU-REL-0033</x:v>
      </x:c>
      <x:c r="B38" s="5" t="str">
        <x:v>CU-SRC-0001</x:v>
      </x:c>
      <x:c r="C38" s="5" t="str">
        <x:v>MISB-254</x:v>
      </x:c>
      <x:c r="D38" s="5" t="str">
        <x:v>same_url_existing_misb_registry</x:v>
      </x:c>
      <x:c r="E38" s="5" t="str">
        <x:v>Точное совпадение нормализованного URL с реестром v3; семантические совпадения ещё искать.</x:v>
      </x:c>
      <x:c r="F38" s="5" t="str">
        <x:v>reconcile_without_overwriting</x:v>
      </x:c>
    </x:row>
    <x:row r="39" ht="25.5" customHeight="1">
      <x:c r="A39" s="5" t="str">
        <x:v>CU-REL-0034</x:v>
      </x:c>
      <x:c r="B39" s="5" t="str">
        <x:v>CU-SRC-0004</x:v>
      </x:c>
      <x:c r="C39" s="5" t="str">
        <x:v>MISB-045</x:v>
      </x:c>
      <x:c r="D39" s="5" t="str">
        <x:v>same_url_existing_misb_registry</x:v>
      </x:c>
      <x:c r="E39" s="5" t="str">
        <x:v>Точное совпадение нормализованного URL с реестром v3; семантические совпадения ещё искать.</x:v>
      </x:c>
      <x:c r="F39" s="5" t="str">
        <x:v>reconcile_without_overwriting</x:v>
      </x:c>
    </x:row>
    <x:row r="40" ht="25.5" customHeight="1">
      <x:c r="A40" s="5" t="str">
        <x:v>CU-REL-0035</x:v>
      </x:c>
      <x:c r="B40" s="5" t="str">
        <x:v>CU-SRC-0007</x:v>
      </x:c>
      <x:c r="C40" s="5" t="str">
        <x:v>MISB-045</x:v>
      </x:c>
      <x:c r="D40" s="5" t="str">
        <x:v>same_url_existing_misb_registry</x:v>
      </x:c>
      <x:c r="E40" s="5" t="str">
        <x:v>Точное совпадение нормализованного URL с реестром v3; семантические совпадения ещё искать.</x:v>
      </x:c>
      <x:c r="F40" s="5" t="str">
        <x:v>reconcile_without_overwriting</x:v>
      </x:c>
    </x:row>
    <x:row r="41" ht="25.5" customHeight="1">
      <x:c r="A41" s="5" t="str">
        <x:v>CU-REL-0036</x:v>
      </x:c>
      <x:c r="B41" s="5" t="str">
        <x:v>CU-SRC-0011</x:v>
      </x:c>
      <x:c r="C41" s="5" t="str">
        <x:v>MISB-045</x:v>
      </x:c>
      <x:c r="D41" s="5" t="str">
        <x:v>same_url_existing_misb_registry</x:v>
      </x:c>
      <x:c r="E41" s="5" t="str">
        <x:v>Точное совпадение нормализованного URL с реестром v3; семантические совпадения ещё искать.</x:v>
      </x:c>
      <x:c r="F41" s="5" t="str">
        <x:v>reconcile_without_overwriting</x:v>
      </x:c>
    </x:row>
    <x:row r="42" ht="25.5" customHeight="1">
      <x:c r="A42" s="5" t="str">
        <x:v>CU-REL-0037</x:v>
      </x:c>
      <x:c r="B42" s="5" t="str">
        <x:v>CU-SRC-0013</x:v>
      </x:c>
      <x:c r="C42" s="5" t="str">
        <x:v>MISB-045</x:v>
      </x:c>
      <x:c r="D42" s="5" t="str">
        <x:v>same_url_existing_misb_registry</x:v>
      </x:c>
      <x:c r="E42" s="5" t="str">
        <x:v>Точное совпадение нормализованного URL с реестром v3; семантические совпадения ещё искать.</x:v>
      </x:c>
      <x:c r="F42" s="5" t="str">
        <x:v>reconcile_without_overwriting</x:v>
      </x:c>
    </x:row>
    <x:row r="43" ht="25.5" customHeight="1">
      <x:c r="A43" s="5" t="str">
        <x:v>CU-REL-0038</x:v>
      </x:c>
      <x:c r="B43" s="5" t="str">
        <x:v>CU-SRC-0015</x:v>
      </x:c>
      <x:c r="C43" s="5" t="str">
        <x:v>MISB-045</x:v>
      </x:c>
      <x:c r="D43" s="5" t="str">
        <x:v>same_url_existing_misb_registry</x:v>
      </x:c>
      <x:c r="E43" s="5" t="str">
        <x:v>Точное совпадение нормализованного URL с реестром v3; семантические совпадения ещё искать.</x:v>
      </x:c>
      <x:c r="F43" s="5" t="str">
        <x:v>reconcile_without_overwriting</x:v>
      </x:c>
    </x:row>
    <x:row r="44" ht="25.5" customHeight="1">
      <x:c r="A44" s="5" t="str">
        <x:v>CU-REL-0039</x:v>
      </x:c>
      <x:c r="B44" s="5" t="str">
        <x:v>CU-SRC-0018</x:v>
      </x:c>
      <x:c r="C44" s="5" t="str">
        <x:v>MISB-045</x:v>
      </x:c>
      <x:c r="D44" s="5" t="str">
        <x:v>same_url_existing_misb_registry</x:v>
      </x:c>
      <x:c r="E44" s="5" t="str">
        <x:v>Точное совпадение нормализованного URL с реестром v3; семантические совпадения ещё искать.</x:v>
      </x:c>
      <x:c r="F44" s="5" t="str">
        <x:v>reconcile_without_overwriting</x:v>
      </x:c>
    </x:row>
    <x:row r="45" ht="25.5" customHeight="1">
      <x:c r="A45" s="5" t="str">
        <x:v>CU-REL-0040</x:v>
      </x:c>
      <x:c r="B45" s="5" t="str">
        <x:v>CU-SRC-0020</x:v>
      </x:c>
      <x:c r="C45" s="5" t="str">
        <x:v>MISB-045</x:v>
      </x:c>
      <x:c r="D45" s="5" t="str">
        <x:v>same_url_existing_misb_registry</x:v>
      </x:c>
      <x:c r="E45" s="5" t="str">
        <x:v>Точное совпадение нормализованного URL с реестром v3; семантические совпадения ещё искать.</x:v>
      </x:c>
      <x:c r="F45" s="5" t="str">
        <x:v>reconcile_without_overwriting</x:v>
      </x:c>
    </x:row>
    <x:row r="46" ht="25.5" customHeight="1">
      <x:c r="A46" s="5" t="str">
        <x:v>CU-REL-0041</x:v>
      </x:c>
      <x:c r="B46" s="5" t="str">
        <x:v>CU-SRC-0022</x:v>
      </x:c>
      <x:c r="C46" s="5" t="str">
        <x:v>MISB-045</x:v>
      </x:c>
      <x:c r="D46" s="5" t="str">
        <x:v>same_url_existing_misb_registry</x:v>
      </x:c>
      <x:c r="E46" s="5" t="str">
        <x:v>Точное совпадение нормализованного URL с реестром v3; семантические совпадения ещё искать.</x:v>
      </x:c>
      <x:c r="F46" s="5" t="str">
        <x:v>reconcile_without_overwriting</x:v>
      </x:c>
    </x:row>
    <x:row r="47" ht="25.5" customHeight="1">
      <x:c r="A47" s="5" t="str">
        <x:v>CU-REL-0042</x:v>
      </x:c>
      <x:c r="B47" s="5" t="str">
        <x:v>CU-SRC-0024</x:v>
      </x:c>
      <x:c r="C47" s="5" t="str">
        <x:v>MISB-045</x:v>
      </x:c>
      <x:c r="D47" s="5" t="str">
        <x:v>same_url_existing_misb_registry</x:v>
      </x:c>
      <x:c r="E47" s="5" t="str">
        <x:v>Точное совпадение нормализованного URL с реестром v3; семантические совпадения ещё искать.</x:v>
      </x:c>
      <x:c r="F47" s="5" t="str">
        <x:v>reconcile_without_overwriting</x:v>
      </x:c>
    </x:row>
    <x:row r="48" ht="25.5" customHeight="1">
      <x:c r="A48" s="5" t="str">
        <x:v>CU-REL-0043</x:v>
      </x:c>
      <x:c r="B48" s="5" t="str">
        <x:v>CU-SRC-0026</x:v>
      </x:c>
      <x:c r="C48" s="5" t="str">
        <x:v>MISB-045</x:v>
      </x:c>
      <x:c r="D48" s="5" t="str">
        <x:v>same_url_existing_misb_registry</x:v>
      </x:c>
      <x:c r="E48" s="5" t="str">
        <x:v>Точное совпадение нормализованного URL с реестром v3; семантические совпадения ещё искать.</x:v>
      </x:c>
      <x:c r="F48" s="5" t="str">
        <x:v>reconcile_without_overwriting</x:v>
      </x:c>
    </x:row>
    <x:row r="49" ht="25.5" customHeight="1">
      <x:c r="A49" s="5" t="str">
        <x:v>CU-REL-0044</x:v>
      </x:c>
      <x:c r="B49" s="5" t="str">
        <x:v>CU-SRC-0028</x:v>
      </x:c>
      <x:c r="C49" s="5" t="str">
        <x:v>MISB-045</x:v>
      </x:c>
      <x:c r="D49" s="5" t="str">
        <x:v>same_url_existing_misb_registry</x:v>
      </x:c>
      <x:c r="E49" s="5" t="str">
        <x:v>Точное совпадение нормализованного URL с реестром v3; семантические совпадения ещё искать.</x:v>
      </x:c>
      <x:c r="F49" s="5" t="str">
        <x:v>reconcile_without_overwriting</x:v>
      </x:c>
    </x:row>
    <x:row r="50" ht="25.5" customHeight="1">
      <x:c r="A50" s="5" t="str">
        <x:v>CU-REL-0045</x:v>
      </x:c>
      <x:c r="B50" s="5" t="str">
        <x:v>CU-SRC-0031</x:v>
      </x:c>
      <x:c r="C50" s="5" t="str">
        <x:v>MISB-045</x:v>
      </x:c>
      <x:c r="D50" s="5" t="str">
        <x:v>same_url_existing_misb_registry</x:v>
      </x:c>
      <x:c r="E50" s="5" t="str">
        <x:v>Точное совпадение нормализованного URL с реестром v3; семантические совпадения ещё искать.</x:v>
      </x:c>
      <x:c r="F50" s="5" t="str">
        <x:v>reconcile_without_overwriting</x:v>
      </x:c>
    </x:row>
    <x:row r="51" ht="25.5" customHeight="1">
      <x:c r="A51" s="5" t="str">
        <x:v>CU-REL-0046</x:v>
      </x:c>
      <x:c r="B51" s="5" t="str">
        <x:v>CU-SRC-0048</x:v>
      </x:c>
      <x:c r="C51" s="5" t="str">
        <x:v>MISB-256</x:v>
      </x:c>
      <x:c r="D51" s="5" t="str">
        <x:v>same_url_existing_misb_registry</x:v>
      </x:c>
      <x:c r="E51" s="5" t="str">
        <x:v>Точное совпадение нормализованного URL с реестром v3; семантические совпадения ещё искать.</x:v>
      </x:c>
      <x:c r="F51" s="5" t="str">
        <x:v>reconcile_without_overwriting</x:v>
      </x:c>
    </x:row>
    <x:row r="52" ht="25.5" customHeight="1">
      <x:c r="A52" s="5" t="str">
        <x:v>CU-REL-0047</x:v>
      </x:c>
      <x:c r="B52" s="5" t="str">
        <x:v>CU-SRC-0059</x:v>
      </x:c>
      <x:c r="C52" s="5" t="str">
        <x:v>MISB-255</x:v>
      </x:c>
      <x:c r="D52" s="5" t="str">
        <x:v>same_url_existing_misb_registry</x:v>
      </x:c>
      <x:c r="E52" s="5" t="str">
        <x:v>Точное совпадение нормализованного URL с реестром v3; семантические совпадения ещё искать.</x:v>
      </x:c>
      <x:c r="F52" s="5" t="str">
        <x:v>reconcile_without_overwriting</x:v>
      </x:c>
    </x:row>
    <x:row r="53" ht="25.5" customHeight="1">
      <x:c r="A53" s="5" t="str">
        <x:v>CU-REL-0048</x:v>
      </x:c>
      <x:c r="B53" s="5" t="str">
        <x:v>CU-SRC-0098</x:v>
      </x:c>
      <x:c r="C53" s="5" t="str">
        <x:v>MISB-045</x:v>
      </x:c>
      <x:c r="D53" s="5" t="str">
        <x:v>same_url_existing_misb_registry</x:v>
      </x:c>
      <x:c r="E53" s="5" t="str">
        <x:v>Точное совпадение нормализованного URL с реестром v3; семантические совпадения ещё искать.</x:v>
      </x:c>
      <x:c r="F53" s="5" t="str">
        <x:v>reconcile_without_overwriting</x:v>
      </x:c>
    </x:row>
    <x:row r="54" ht="25.5" customHeight="1">
      <x:c r="A54" s="5" t="str">
        <x:v>CU-REL-0049</x:v>
      </x:c>
      <x:c r="B54" s="5" t="str">
        <x:v>CU-SRC-0103</x:v>
      </x:c>
      <x:c r="C54" s="5" t="str">
        <x:v>MISB-325</x:v>
      </x:c>
      <x:c r="D54" s="5" t="str">
        <x:v>same_url_existing_misb_registry</x:v>
      </x:c>
      <x:c r="E54" s="5" t="str">
        <x:v>Точное совпадение нормализованного URL с реестром v3; семантические совпадения ещё искать.</x:v>
      </x:c>
      <x:c r="F54" s="5" t="str">
        <x:v>reconcile_without_overwriting</x:v>
      </x:c>
    </x:row>
    <x:row r="55" ht="25.5" customHeight="1">
      <x:c r="A55" s="5" t="str">
        <x:v>CU-REL-0050</x:v>
      </x:c>
      <x:c r="B55" s="5" t="str">
        <x:v>CU-SRC-0125</x:v>
      </x:c>
      <x:c r="C55" s="5" t="str">
        <x:v>MISB-118</x:v>
      </x:c>
      <x:c r="D55" s="5" t="str">
        <x:v>same_url_existing_misb_registry</x:v>
      </x:c>
      <x:c r="E55" s="5" t="str">
        <x:v>Точное совпадение нормализованного URL с реестром v3; семантические совпадения ещё искать.</x:v>
      </x:c>
      <x:c r="F55" s="5" t="str">
        <x:v>reconcile_without_overwriting</x:v>
      </x:c>
    </x:row>
    <x:row r="56" ht="25.5" customHeight="1">
      <x:c r="A56" s="5" t="str">
        <x:v>CU-REL-0051</x:v>
      </x:c>
      <x:c r="B56" s="5" t="str">
        <x:v>CU-SRC-0175</x:v>
      </x:c>
      <x:c r="C56" s="5" t="str">
        <x:v>MISB-326</x:v>
      </x:c>
      <x:c r="D56" s="5" t="str">
        <x:v>same_url_existing_misb_registry</x:v>
      </x:c>
      <x:c r="E56" s="5" t="str">
        <x:v>Точное совпадение нормализованного URL с реестром v3; семантические совпадения ещё искать.</x:v>
      </x:c>
      <x:c r="F56" s="5" t="str">
        <x:v>reconcile_without_overwriting</x:v>
      </x:c>
    </x:row>
    <x:row r="57" ht="25.5" customHeight="1">
      <x:c r="A57" s="5" t="str">
        <x:v>CU-REL-0052</x:v>
      </x:c>
      <x:c r="B57" s="5" t="str">
        <x:v>CU-SRC-0202</x:v>
      </x:c>
      <x:c r="C57" s="5" t="str">
        <x:v>MISB-296</x:v>
      </x:c>
      <x:c r="D57" s="5" t="str">
        <x:v>same_url_existing_misb_registry</x:v>
      </x:c>
      <x:c r="E57" s="5" t="str">
        <x:v>Точное совпадение нормализованного URL с реестром v3; семантические совпадения ещё искать.</x:v>
      </x:c>
      <x:c r="F57" s="5" t="str">
        <x:v>reconcile_without_overwriting</x:v>
      </x:c>
    </x:row>
    <x:row r="58" ht="25.5" customHeight="1">
      <x:c r="A58" s="5" t="str">
        <x:v>CU-REL-0053</x:v>
      </x:c>
      <x:c r="B58" s="5" t="str">
        <x:v>CU-SRC-0203</x:v>
      </x:c>
      <x:c r="C58" s="5" t="str">
        <x:v>MISB-297</x:v>
      </x:c>
      <x:c r="D58" s="5" t="str">
        <x:v>same_url_existing_misb_registry</x:v>
      </x:c>
      <x:c r="E58" s="5" t="str">
        <x:v>Точное совпадение нормализованного URL с реестром v3; семантические совпадения ещё искать.</x:v>
      </x:c>
      <x:c r="F58" s="5" t="str">
        <x:v>reconcile_without_overwriting</x:v>
      </x:c>
    </x:row>
    <x:row r="59" ht="25.5" customHeight="1">
      <x:c r="A59" s="5" t="str">
        <x:v>CU-REL-0054</x:v>
      </x:c>
      <x:c r="B59" s="5" t="str">
        <x:v>CU-SRC-0246</x:v>
      </x:c>
      <x:c r="C59" s="5" t="str">
        <x:v>MISB-253</x:v>
      </x:c>
      <x:c r="D59" s="5" t="str">
        <x:v>same_url_existing_misb_registry</x:v>
      </x:c>
      <x:c r="E59" s="5" t="str">
        <x:v>Точное совпадение нормализованного URL с реестром v3; семантические совпадения ещё искать.</x:v>
      </x:c>
      <x:c r="F59" s="5" t="str">
        <x:v>reconcile_without_overwriting</x:v>
      </x:c>
    </x:row>
    <x:row r="60" ht="25.5" customHeight="1">
      <x:c r="A60" s="5" t="str">
        <x:v>CU-REL-0055</x:v>
      </x:c>
      <x:c r="B60" s="5" t="str">
        <x:v>CU-SRC-0362</x:v>
      </x:c>
      <x:c r="C60" s="5" t="str">
        <x:v>MISB-436</x:v>
      </x:c>
      <x:c r="D60" s="5" t="str">
        <x:v>same_url_existing_misb_registry</x:v>
      </x:c>
      <x:c r="E60" s="5" t="str">
        <x:v>Точное совпадение нормализованного URL с реестром v3; семантические совпадения ещё искать.</x:v>
      </x:c>
      <x:c r="F60" s="5" t="str">
        <x:v>reconcile_without_overwriting</x:v>
      </x:c>
    </x:row>
    <x:row r="61" ht="25.5" customHeight="1">
      <x:c r="A61" s="5" t="str">
        <x:v>CU-REL-0056</x:v>
      </x:c>
      <x:c r="B61" s="5" t="str">
        <x:v>CU-SRC-0463</x:v>
      </x:c>
      <x:c r="C61" s="5" t="str">
        <x:v>MISB-045</x:v>
      </x:c>
      <x:c r="D61" s="5" t="str">
        <x:v>same_url_existing_misb_registry</x:v>
      </x:c>
      <x:c r="E61" s="5" t="str">
        <x:v>Точное совпадение нормализованного URL с реестром v3; семантические совпадения ещё искать.</x:v>
      </x:c>
      <x:c r="F61" s="5" t="str">
        <x:v>reconcile_without_overwriting</x:v>
      </x:c>
    </x:row>
  </x:sheetData>
  <x:pageMargins left="0.7" right="0.7" top="0.75" bottom="0.75" header="0.3" footer="0.3"/>
  <x:tableParts count="1">
    <x:tablePart xmlns:r="http://schemas.openxmlformats.org/officeDocument/2006/relationships" r:id="R500d5110a8cd41e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890000343322754" hidden="0" customWidth="1"/>
    <x:col min="2" max="2" width="31.110000610351562" hidden="0" customWidth="1"/>
    <x:col min="3" max="3" width="73.33000183105469" hidden="0" customWidth="1"/>
    <x:col min="4" max="4" width="37.779998779296875" hidden="0" customWidth="1"/>
    <x:col min="5" max="5" width="38.88999938964844" hidden="0" customWidth="1"/>
    <x:col min="6" max="6" width="54.439998626708984" hidden="0" customWidth="1"/>
  </x:cols>
  <x:sheetData>
    <x:row r="1">
      <x:c r="A1" s="2"/>
      <x:c r="B1" s="2"/>
      <x:c r="C1" s="2"/>
      <x:c r="D1" s="2"/>
      <x:c r="E1" s="2"/>
      <x:c r="F1" s="2"/>
    </x:row>
    <x:row r="2" ht="21" customHeight="1">
      <x:c r="A2" s="3" t="str">
        <x:v>Словарь специализации МИСБ из общего классификатора</x:v>
      </x:c>
      <x:c r="B2" s="2"/>
      <x:c r="C2" s="2"/>
      <x:c r="D2" s="2"/>
      <x:c r="E2" s="2"/>
      <x:c r="F2" s="2"/>
    </x:row>
    <x:row r="3" ht="19.5" customHeight="1">
      <x:c r="A3" s="4" t="str">
        <x:v>Профиль: https://mmbi.ru/ · 01.10.2026. Ядро и смежные гипотезы различаются; применимость для BY/KZ проверять отдельно.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1.5" customHeight="1">
      <x:c r="A5" s="9" t="str">
        <x:v>Код</x:v>
      </x:c>
      <x:c r="B5" s="9" t="str">
        <x:v>Тема</x:v>
      </x:c>
      <x:c r="C5" s="9" t="str">
        <x:v>Слова и варианты</x:v>
      </x:c>
      <x:c r="D5" s="9" t="str">
        <x:v>Роль покупателя</x:v>
      </x:c>
      <x:c r="E5" s="9" t="str">
        <x:v>Основание / роль</x:v>
      </x:c>
      <x:c r="F5" s="9" t="str">
        <x:v>Правило</x:v>
      </x:c>
    </x:row>
    <x:row r="6" ht="25.5" customHeight="1">
      <x:c r="A6" s="5" t="str">
        <x:v>S01</x:v>
      </x:c>
      <x:c r="B6" s="5" t="str">
        <x:v>Корпоративные семинары</x:v>
      </x:c>
      <x:c r="C6" s="5" t="str">
        <x:v>корпоративное обучение; семинар; практикум; повышение квалификации; ДПО; обучение специалистов</x:v>
      </x:c>
      <x:c r="D6" s="5" t="str">
        <x:v>руководители; специалисты; сотрудники подразделения</x:v>
      </x:c>
      <x:c r="E6" s="5" t="str">
        <x:v>Базовое ядро сайта МИСБ</x:v>
      </x:c>
      <x:c r="F6" s="5" t="str">
        <x:v>Не требовать наличия слова «обучение»: искать и предмет + аудиторию.</x:v>
      </x:c>
    </x:row>
    <x:row r="7" ht="31.5" customHeight="1">
      <x:c r="A7" s="5" t="str">
        <x:v>S02</x:v>
      </x:c>
      <x:c r="B7" s="5" t="str">
        <x:v>HR и трудовое право</x:v>
      </x:c>
      <x:c r="C7" s="5" t="str">
        <x:v>управление персоналом; трудовое законодательство; кадровое делопроизводство; КДП; оплата труда; нормирование; мотивация</x:v>
      </x:c>
      <x:c r="D7" s="5" t="str">
        <x:v>HRD; кадровая служба; руководитель персонала</x:v>
      </x:c>
      <x:c r="E7" s="5" t="str">
        <x:v>Ядро</x:v>
      </x:c>
      <x:c r="F7" s="5" t="str">
        <x:v>Вакансия кадровика сама по себе не заказ.</x:v>
      </x:c>
    </x:row>
    <x:row r="8" ht="31.5" customHeight="1">
      <x:c r="A8" s="5" t="str">
        <x:v>S03</x:v>
      </x:c>
      <x:c r="B8" s="5" t="str">
        <x:v>Налоги</x:v>
      </x:c>
      <x:c r="C8" s="5" t="str">
        <x:v>налогообложение; налоговые риски; налоговый контроль; налоговый мониторинг; НДС; трансфертное ценообразование</x:v>
      </x:c>
      <x:c r="D8" s="5" t="str">
        <x:v>налоговая служба; главный бухгалтер; CFO</x:v>
      </x:c>
      <x:c r="E8" s="5" t="str">
        <x:v>Ядро</x:v>
      </x:c>
      <x:c r="F8" s="5" t="str">
        <x:v>Событие изменения правил связывать с конкретной компанией.</x:v>
      </x:c>
    </x:row>
    <x:row r="9" ht="25.5" customHeight="1">
      <x:c r="A9" s="5" t="str">
        <x:v>S04</x:v>
      </x:c>
      <x:c r="B9" s="5" t="str">
        <x:v>Учет и отчетность</x:v>
      </x:c>
      <x:c r="C9" s="5" t="str">
        <x:v>бухгалтерский учет; РСБУ; МСФО; отчетность; консолидация; учетная политика; ФСБУ</x:v>
      </x:c>
      <x:c r="D9" s="5" t="str">
        <x:v>главный бухгалтер; финансовая дирекция</x:v>
      </x:c>
      <x:c r="E9" s="5" t="str">
        <x:v>Ядро</x:v>
      </x:c>
      <x:c r="F9" s="5" t="str">
        <x:v>Отделять обучение от ведения учета на аутсорсинге.</x:v>
      </x:c>
    </x:row>
    <x:row r="10" ht="25.5" customHeight="1">
      <x:c r="A10" s="5" t="str">
        <x:v>S05</x:v>
      </x:c>
      <x:c r="B10" s="5" t="str">
        <x:v>Правовое обеспечение</x:v>
      </x:c>
      <x:c r="C10" s="5" t="str">
        <x:v>договорная работа; корпоративное право; правовые риски; претензионная работа; юридическая служба</x:v>
      </x:c>
      <x:c r="D10" s="5" t="str">
        <x:v>юридический директор; корпоративный юрист</x:v>
      </x:c>
      <x:c r="E10" s="5" t="str">
        <x:v>Ядро</x:v>
      </x:c>
      <x:c r="F10" s="5" t="str">
        <x:v>Иск о взыскании не равен потребности в обучении.</x:v>
      </x:c>
    </x:row>
    <x:row r="11" ht="25.5" customHeight="1">
      <x:c r="A11" s="5" t="str">
        <x:v>S06</x:v>
      </x:c>
      <x:c r="B11" s="5" t="str">
        <x:v>Закупки и контрактование</x:v>
      </x:c>
      <x:c r="C11" s="5" t="str">
        <x:v>закупки; контрактование; контрактная служба; 223-ФЗ; 44-ФЗ; управление поставщиками; тендерный комитет</x:v>
      </x:c>
      <x:c r="D11" s="5" t="str">
        <x:v>CPO; закупки; контрактный управляющий</x:v>
      </x:c>
      <x:c r="E11" s="5" t="str">
        <x:v>Ядро</x:v>
      </x:c>
      <x:c r="F11" s="5" t="str">
        <x:v>Закупка учебных товаров не является заказом образовательной услуги.</x:v>
      </x:c>
    </x:row>
    <x:row r="12" ht="31.5" customHeight="1">
      <x:c r="A12" s="5" t="str">
        <x:v>S07</x:v>
      </x:c>
      <x:c r="B12" s="5" t="str">
        <x:v>МТО и логистика</x:v>
      </x:c>
      <x:c r="C12" s="5" t="str">
        <x:v>материально-техническое обеспечение; МТО; управление запасами; снабжение; цепочки поставок; складская логистика</x:v>
      </x:c>
      <x:c r="D12" s="5" t="str">
        <x:v>директор МТО; снабжение; логистика</x:v>
      </x:c>
      <x:c r="E12" s="5" t="str">
        <x:v>Ядро</x:v>
      </x:c>
      <x:c r="F12" s="5" t="str">
        <x:v>Инструктаж складских рабочих исключать только при ясной аудитории всего лота.</x:v>
      </x:c>
    </x:row>
    <x:row r="13" ht="25.5" customHeight="1">
      <x:c r="A13" s="5" t="str">
        <x:v>S08</x:v>
      </x:c>
      <x:c r="B13" s="5" t="str">
        <x:v>Финансовый менеджмент</x:v>
      </x:c>
      <x:c r="C13" s="5" t="str">
        <x:v>бюджетирование; управленческий учет; финансовое планирование; управление издержками; себестоимость</x:v>
      </x:c>
      <x:c r="D13" s="5" t="str">
        <x:v>CFO; экономисты; финансовая служба</x:v>
      </x:c>
      <x:c r="E13" s="5" t="str">
        <x:v>Ядро</x:v>
      </x:c>
      <x:c r="F13" s="5" t="str">
        <x:v>Различать заказ на консалтинг и учебный модуль внутри него.</x:v>
      </x:c>
    </x:row>
    <x:row r="14" ht="25.5" customHeight="1">
      <x:c r="A14" s="5" t="str">
        <x:v>S09</x:v>
      </x:c>
      <x:c r="B14" s="5" t="str">
        <x:v>Казначейство</x:v>
      </x:c>
      <x:c r="C14" s="5" t="str">
        <x:v>корпоративное казначейство; денежные потоки; ликвидность; платежный календарь; cash management</x:v>
      </x:c>
      <x:c r="D14" s="5" t="str">
        <x:v>казначей; финансовый директор</x:v>
      </x:c>
      <x:c r="E14" s="5" t="str">
        <x:v>Ядро</x:v>
      </x:c>
      <x:c r="F14" s="5" t="str">
        <x:v>Искать форумы казначеев и централизацию финансовой функции.</x:v>
      </x:c>
    </x:row>
    <x:row r="15" ht="25.5" customHeight="1">
      <x:c r="A15" s="5" t="str">
        <x:v>S10</x:v>
      </x:c>
      <x:c r="B15" s="5" t="str">
        <x:v>Аудит и контроллинг</x:v>
      </x:c>
      <x:c r="C15" s="5" t="str">
        <x:v>внутренний аудит; контроллинг; внутренний контроль; риск-менеджмент; комплаенс</x:v>
      </x:c>
      <x:c r="D15" s="5" t="str">
        <x:v>внутренний аудитор; контроллер; риск-директор</x:v>
      </x:c>
      <x:c r="E15" s="5" t="str">
        <x:v>Ядро</x:v>
      </x:c>
      <x:c r="F15" s="5" t="str">
        <x:v>Отчет аудита дает тему, но не подтверждение закупки.</x:v>
      </x:c>
    </x:row>
    <x:row r="16" ht="25.5" customHeight="1">
      <x:c r="A16" s="5" t="str">
        <x:v>S11</x:v>
      </x:c>
      <x:c r="B16" s="5" t="str">
        <x:v>Корпоративное управление</x:v>
      </x:c>
      <x:c r="C16" s="5" t="str">
        <x:v>совет директоров; корпоративный секретарь; корпоративное управление; дочерние общества</x:v>
      </x:c>
      <x:c r="D16" s="5" t="str">
        <x:v>корпоративный секретарь; юрдепартамент</x:v>
      </x:c>
      <x:c r="E16" s="5" t="str">
        <x:v>Ядро</x:v>
      </x:c>
      <x:c r="F16" s="5" t="str">
        <x:v>Реорганизацию компании связывать с изменением процессов.</x:v>
      </x:c>
    </x:row>
    <x:row r="17" ht="25.5" customHeight="1">
      <x:c r="A17" s="5" t="str">
        <x:v>S12</x:v>
      </x:c>
      <x:c r="B17" s="5" t="str">
        <x:v>Имущество и земля</x:v>
      </x:c>
      <x:c r="C17" s="5" t="str">
        <x:v>земельно-имущественные отношения; земельные участки; сервитут; имущественный комплекс; недвижимость</x:v>
      </x:c>
      <x:c r="D17" s="5" t="str">
        <x:v>имущественный блок; юристы; капстрой</x:v>
      </x:c>
      <x:c r="E17" s="5" t="str">
        <x:v>Ядро</x:v>
      </x:c>
      <x:c r="F17" s="5" t="str">
        <x:v>Продажа земельного участка сама по себе не учебная потребность.</x:v>
      </x:c>
    </x:row>
    <x:row r="18" ht="31.5" customHeight="1">
      <x:c r="A18" s="5" t="str">
        <x:v>S13</x:v>
      </x:c>
      <x:c r="B18" s="5" t="str">
        <x:v>Экология и недра</x:v>
      </x:c>
      <x:c r="C18" s="5" t="str">
        <x:v>экология; недропользование; экологическое право; КЭР; ПЭК; ОВОС; экологическая отчетность</x:v>
      </x:c>
      <x:c r="D18" s="5" t="str">
        <x:v>экологическая служба; недропользователь</x:v>
      </x:c>
      <x:c r="E18" s="5" t="str">
        <x:v>Ядро</x:v>
      </x:c>
      <x:c r="F18" s="5" t="str">
        <x:v>Проверять предмет: управленческий семинар или обязательная техническая аттестация.</x:v>
      </x:c>
    </x:row>
    <x:row r="19" ht="31.5" customHeight="1">
      <x:c r="A19" s="5" t="str">
        <x:v>S14</x:v>
      </x:c>
      <x:c r="B19" s="5" t="str">
        <x:v>Капитальное строительство</x:v>
      </x:c>
      <x:c r="C19" s="5" t="str">
        <x:v>капитальное строительство; служба заказчика; управление строительством; сметная стоимость; строительные контракты</x:v>
      </x:c>
      <x:c r="D19" s="5" t="str">
        <x:v>директор капстроя; проектный офис; служба заказчика</x:v>
      </x:c>
      <x:c r="E19" s="5" t="str">
        <x:v>Ядро</x:v>
      </x:c>
      <x:c r="F19" s="5" t="str">
        <x:v>Исключать выполнение строительных работ, сохранять обучение команды проекта.</x:v>
      </x:c>
    </x:row>
    <x:row r="20" ht="25.5" customHeight="1">
      <x:c r="A20" s="5" t="str">
        <x:v>S15</x:v>
      </x:c>
      <x:c r="B20" s="5" t="str">
        <x:v>Энергетика и ТЭК</x:v>
      </x:c>
      <x:c r="C20" s="5" t="str">
        <x:v>электроэнергетика; нефтегаз; тарифообразование; энергорынок; нефтепереработка; энергосбыт</x:v>
      </x:c>
      <x:c r="D20" s="5" t="str">
        <x:v>профильная служба энергетической/нефтегазовой компании</x:v>
      </x:c>
      <x:c r="E20" s="5" t="str">
        <x:v>Ядро</x:v>
      </x:c>
      <x:c r="F20" s="5" t="str">
        <x:v>Название отрасли без учебной задачи недостаточно.</x:v>
      </x:c>
    </x:row>
    <x:row r="21" ht="25.5" customHeight="1">
      <x:c r="A21" s="5" t="str">
        <x:v>S16</x:v>
      </x:c>
      <x:c r="B21" s="5" t="str">
        <x:v>Делопроизводство</x:v>
      </x:c>
      <x:c r="C21" s="5" t="str">
        <x:v>делопроизводство; документооборот; архив; документационное обеспечение; электронный документ; ЭДО</x:v>
      </x:c>
      <x:c r="D21" s="5" t="str">
        <x:v>служба ДОУ; архив; административный блок</x:v>
      </x:c>
      <x:c r="E21" s="5" t="str">
        <x:v>Ядро</x:v>
      </x:c>
      <x:c r="F21" s="5" t="str">
        <x:v>Поставка системы ЭДО и обучение пользователей — разные предметы.</x:v>
      </x:c>
    </x:row>
    <x:row r="22" ht="31.5" customHeight="1">
      <x:c r="A22" s="5" t="str">
        <x:v>S17</x:v>
      </x:c>
      <x:c r="B22" s="5" t="str">
        <x:v>Электронные курсы</x:v>
      </x:c>
      <x:c r="C22" s="5" t="str">
        <x:v>электронное обучение; дистанционное обучение; интерактивный курс; видеокурс; e-learning; SCORM; microlearning</x:v>
      </x:c>
      <x:c r="D22" s="5" t="str">
        <x:v>L&amp;D; корпоративный университет; владелец LMS</x:v>
      </x:c>
      <x:c r="E22" s="5" t="str">
        <x:v>Расширение из согласованного профиля пользователя</x:v>
      </x:c>
      <x:c r="F22" s="5" t="str">
        <x:v>Нужна проверка производственных возможностей МИСБ/партнера.</x:v>
      </x:c>
    </x:row>
    <x:row r="23" ht="25.5" customHeight="1">
      <x:c r="A23" s="5" t="str">
        <x:v>S18</x:v>
      </x:c>
      <x:c r="B23" s="5" t="str">
        <x:v>Методология и контент</x:v>
      </x:c>
      <x:c r="C23" s="5" t="str">
        <x:v>методолог; учебные материалы; сценарий курса; instructional design; разработка программы; база знаний</x:v>
      </x:c>
      <x:c r="D23" s="5" t="str">
        <x:v>руководитель обучения; внутренний заказчик</x:v>
      </x:c>
      <x:c r="E23" s="5" t="str">
        <x:v>Расширение</x:v>
      </x:c>
      <x:c r="F23" s="5" t="str">
        <x:v>Штатная вакансия методолога — I, проектный заказ внешнему исполнителю — D.</x:v>
      </x:c>
    </x:row>
    <x:row r="24" ht="25.5" customHeight="1">
      <x:c r="A24" s="5" t="str">
        <x:v>S19</x:v>
      </x:c>
      <x:c r="B24" s="5" t="str">
        <x:v>Стратегические сессии</x:v>
      </x:c>
      <x:c r="C24" s="5" t="str">
        <x:v>стратегическая сессия; стратсессия; фасилитация; бизнес-сессия; сессия планирования; командная сессия</x:v>
      </x:c>
      <x:c r="D24" s="5" t="str">
        <x:v>гендиректор; директор стратегии; HRD</x:v>
      </x:c>
      <x:c r="E24" s="5" t="str">
        <x:v>Расширение</x:v>
      </x:c>
      <x:c r="F24" s="5" t="str">
        <x:v>Развлекательный тимбилдинг исключен; рабочая управленческая сессия допустима.</x:v>
      </x:c>
    </x:row>
    <x:row r="25" ht="31.5" customHeight="1">
      <x:c r="A25" s="5" t="str">
        <x:v>S20</x:v>
      </x:c>
      <x:c r="B25" s="5" t="str">
        <x:v>Управленческое развитие</x:v>
      </x:c>
      <x:c r="C25" s="5" t="str">
        <x:v>школа руководителей; кадровый резерв; лидерство; управленческие навыки; внутренние тренеры; train the trainer</x:v>
      </x:c>
      <x:c r="D25" s="5" t="str">
        <x:v>HRD; L&amp;D; руководитель корпоративной академии</x:v>
      </x:c>
      <x:c r="E25" s="5" t="str">
        <x:v>Расширение</x:v>
      </x:c>
      <x:c r="F25" s="5" t="str">
        <x:v>Проверить аудиторию, бюджет и запрос на внешнего провайдера.</x:v>
      </x:c>
    </x:row>
    <x:row r="26" ht="31.5" customHeight="1">
      <x:c r="A26" s="5" t="str">
        <x:v>S21</x:v>
      </x:c>
      <x:c r="B26" s="5" t="str">
        <x:v>Бережливое производство</x:v>
      </x:c>
      <x:c r="C26" s="5" t="str">
        <x:v>бережливое производство; lean; повышение производительности; операционная эффективность; улучшение процессов</x:v>
      </x:c>
      <x:c r="D26" s="5" t="str">
        <x:v>руководители функций; офис трансформации</x:v>
      </x:c>
      <x:c r="E26" s="5" t="str">
        <x:v>Расширение</x:v>
      </x:c>
      <x:c r="F26" s="5" t="str">
        <x:v>Без обучения рабочих профессиям.</x:v>
      </x:c>
    </x:row>
    <x:row r="27" ht="25.5" customHeight="1">
      <x:c r="A27" s="5" t="str">
        <x:v>S22</x:v>
      </x:c>
      <x:c r="B27" s="5" t="str">
        <x:v>Деловые мероприятия</x:v>
      </x:c>
      <x:c r="C27" s="5" t="str">
        <x:v>семинар-совещание; конференция; форум; отраслевой круглый стол; деловая игра; мастер-класс</x:v>
      </x:c>
      <x:c r="D27" s="5" t="str">
        <x:v>организатор деловой программы; HR; профильная служба</x:v>
      </x:c>
      <x:c r="E27" s="5" t="str">
        <x:v>Ядро форматов</x:v>
      </x:c>
      <x:c r="F27" s="5" t="str">
        <x:v>Праздники, артисты и развлечения исключены.</x:v>
      </x:c>
    </x:row>
    <x:row r="28" ht="31.5" customHeight="1">
      <x:c r="A28" s="5" t="str">
        <x:v>Q01</x:v>
      </x:c>
      <x:c r="B28" s="5" t="str">
        <x:v>Намерение купить</x:v>
      </x:c>
      <x:c r="C28" s="5" t="str">
        <x:v>ищем тренера; нужен спикер; подберите программу; запрос предложения; стоимость обучения; ищем провайдера; приглашение к сотрудничеству</x:v>
      </x:c>
      <x:c r="D28" s="5" t="str">
        <x:v>Автор со стороны покупателя/генподрядчика</x:v>
      </x:c>
      <x:c r="E28" s="5" t="str">
        <x:v>Маркеры спроса</x:v>
      </x:c>
      <x:c r="F28" s="5" t="str">
        <x:v>Проверять, кто пишет: заказчик, продавец курса или посредник.</x:v>
      </x:c>
    </x:row>
    <x:row r="29" ht="31.5" customHeight="1">
      <x:c r="A29" s="5" t="str">
        <x:v>Q02</x:v>
      </x:c>
      <x:c r="B29" s="5" t="str">
        <x:v>Ранний сигнал</x:v>
      </x:c>
      <x:c r="C29" s="5" t="str">
        <x:v>план обучения; бюджет обучения; кадровый резерв; запуск академии; переход на новый регламент; централизация функций</x:v>
      </x:c>
      <x:c r="D29" s="5" t="str">
        <x:v>Компания и владелец функции известны</x:v>
      </x:c>
      <x:c r="E29" s="5" t="str">
        <x:v>Маркеры гипотезы</x:v>
      </x:c>
      <x:c r="F29" s="5" t="str">
        <x:v>Подтверждать намерение покупать отдельно.</x:v>
      </x:c>
    </x:row>
    <x:row r="30" ht="31.5" customHeight="1">
      <x:c r="A30" s="5" t="str">
        <x:v>Q03</x:v>
      </x:c>
      <x:c r="B30" s="5" t="str">
        <x:v>Скрытые названия обучения</x:v>
      </x:c>
      <x:c r="C30" s="5" t="str">
        <x:v>информационно-консультационные услуги; учебно-методическое сопровождение; организация участия; передача знаний; обмен опытом; консультационный семинар</x:v>
      </x:c>
      <x:c r="D30" s="5" t="str">
        <x:v>Специалисты и руководители компаний</x:v>
      </x:c>
      <x:c r="E30" s="5" t="str">
        <x:v>Дополнительный широкий поиск</x:v>
      </x:c>
      <x:c r="F30" s="5" t="str">
        <x:v>Проверять ТЗ: самостоятельный консалтинг вне профиля; учебный модуль внутри проекта допустим.</x:v>
      </x:c>
    </x:row>
    <x:row r="31" ht="31.5" customHeight="1">
      <x:c r="A31" s="5" t="str">
        <x:v>X01</x:v>
      </x:c>
      <x:c r="B31" s="5" t="str">
        <x:v>Товары</x:v>
      </x:c>
      <x:c r="C31" s="5" t="str">
        <x:v>учебники; учебная мебель; оборудование; поставка; тренажер; стенд</x:v>
      </x:c>
      <x:c r="D31" s="5" t="str">
        <x:v>Предмет всего лота</x:v>
      </x:c>
      <x:c r="E31" s="5" t="str">
        <x:v>Мягкая метка после сохранения</x:v>
      </x:c>
      <x:c r="F31" s="5" t="str">
        <x:v>Сохранить материал; понизить рейтинг только после смыслового разбора. Смешанные и неполные записи — review.</x:v>
      </x:c>
    </x:row>
    <x:row r="32" ht="31.5" customHeight="1">
      <x:c r="A32" s="5" t="str">
        <x:v>X02</x:v>
      </x:c>
      <x:c r="B32" s="5" t="str">
        <x:v>Рабочие профессии</x:v>
      </x:c>
      <x:c r="C32" s="5" t="str">
        <x:v>сварщик; стропальщик; машинист; рабочая профессия; удостоверение рабочего</x:v>
      </x:c>
      <x:c r="D32" s="5" t="str">
        <x:v>Рабочие как целевая аудитория всего заказа</x:v>
      </x:c>
      <x:c r="E32" s="5" t="str">
        <x:v>Мягкая метка после сохранения</x:v>
      </x:c>
      <x:c r="F32" s="5" t="str">
        <x:v>Сохранить материал; понизить рейтинг только после смыслового разбора. Смешанные и неполные записи — review.</x:v>
      </x:c>
    </x:row>
    <x:row r="33" ht="31.5" customHeight="1">
      <x:c r="A33" s="5" t="str">
        <x:v>X03</x:v>
      </x:c>
      <x:c r="B33" s="5" t="str">
        <x:v>Праздники и B2C</x:v>
      </x:c>
      <x:c r="C33" s="5" t="str">
        <x:v>корпоративный праздник; ведущий праздника; концерт; детский праздник; репетитор; ЕГЭ; обучение детей</x:v>
      </x:c>
      <x:c r="D33" s="5" t="str">
        <x:v>Нет корпоративной образовательной задачи</x:v>
      </x:c>
      <x:c r="E33" s="5" t="str">
        <x:v>Мягкая метка после сохранения</x:v>
      </x:c>
      <x:c r="F33" s="5" t="str">
        <x:v>Сохранить материал; понизить рейтинг только после смыслового разбора. Смешанные и неполные записи — review.</x:v>
      </x:c>
    </x:row>
    <x:row r="34" ht="31.5" customHeight="1">
      <x:c r="A34" s="5" t="str">
        <x:v>X04</x:v>
      </x:c>
      <x:c r="B34" s="5" t="str">
        <x:v>Самореклама и бартер</x:v>
      </x:c>
      <x:c r="C34" s="5" t="str">
        <x:v>приглашаем на наш курс; скидка на обучение; спикер оплачивает участие; инфопартнерство; бесплатное выступление</x:v>
      </x:c>
      <x:c r="D34" s="5" t="str">
        <x:v>Продавец обучения/организатор</x:v>
      </x:c>
      <x:c r="E34" s="5" t="str">
        <x:v>Мягкая метка после сохранения</x:v>
      </x:c>
      <x:c r="F34" s="5" t="str">
        <x:v>Сохранить материал; понизить рейтинг только после смыслового разбора. Смешанные и неполные записи — review.</x:v>
      </x:c>
    </x:row>
    <x:row r="35" ht="31.5" customHeight="1">
      <x:c r="A35" s="5" t="str">
        <x:v>Q04</x:v>
      </x:c>
      <x:c r="B35" s="5" t="str">
        <x:v>Запросы без слова обучение</x:v>
      </x:c>
      <x:c r="C35" s="5" t="str">
        <x:v>повышение компетенций; развитие компетенций; передача опыта; практическая сессия; разбор кейсов; обмен лучшими практиками</x:v>
      </x:c>
      <x:c r="D35" s="5" t="str">
        <x:v>Специалисты и руководители</x:v>
      </x:c>
      <x:c r="E35" s="5" t="str">
        <x:v>Широкий recall</x:v>
      </x:c>
      <x:c r="F35" s="5" t="str">
        <x:v>Каждый маркер может отдельно привести кандидата.</x:v>
      </x:c>
    </x:row>
    <x:row r="36" ht="31.5" customHeight="1">
      <x:c r="A36" s="5" t="str">
        <x:v>Q05</x:v>
      </x:c>
      <x:c r="B36" s="5" t="str">
        <x:v>Предварительный спрос</x:v>
      </x:c>
      <x:c r="C36" s="5" t="str">
        <x:v>сбор потребности; предварительный отбор; RFI; RFP; RFQ; запрос КП; маркетинговое исследование; запрос ценовой информации</x:v>
      </x:c>
      <x:c r="D36" s="5" t="str">
        <x:v>Закупщик или функция</x:v>
      </x:c>
      <x:c r="E36" s="5" t="str">
        <x:v>Ранний этап</x:v>
      </x:c>
      <x:c r="F36" s="5" t="str">
        <x:v>Не ждать окончательного извещения конкурса.</x:v>
      </x:c>
    </x:row>
    <x:row r="37" ht="31.5" customHeight="1">
      <x:c r="A37" s="5" t="str">
        <x:v>Q06</x:v>
      </x:c>
      <x:c r="B37" s="5" t="str">
        <x:v>Поиск исполнителя</x:v>
      </x:c>
      <x:c r="C37" s="5" t="str">
        <x:v>посоветуйте тренера; ищем провайдера; порекомендуйте эксперта; нужен методолог; подберите спикера; ищем замену</x:v>
      </x:c>
      <x:c r="D37" s="5" t="str">
        <x:v>Заказчик/организатор/посредник</x:v>
      </x:c>
      <x:c r="E37" s="5" t="str">
        <x:v>Прямое намерение</x:v>
      </x:c>
      <x:c r="F37" s="5" t="str">
        <x:v>Сохранять неформальные вопросы и комментарии.</x:v>
      </x:c>
    </x:row>
    <x:row r="38" ht="25.5" customHeight="1">
      <x:c r="A38" s="5" t="str">
        <x:v>Q07</x:v>
      </x:c>
      <x:c r="B38" s="5" t="str">
        <x:v>Цифровые продукты</x:v>
      </x:c>
      <x:c r="C38" s="5" t="str">
        <x:v>лонгрид; скринкаст; симулятор; диалоговый тренажер; тестирование знаний; учебное видео; xAPI; SCORM; Moodle</x:v>
      </x:c>
      <x:c r="D38" s="5" t="str">
        <x:v>L&amp;D и корпоративная академия</x:v>
      </x:c>
      <x:c r="E38" s="5" t="str">
        <x:v>Расширение</x:v>
      </x:c>
      <x:c r="F38" s="5" t="str">
        <x:v>Не исключать программный проект, если внутри есть учебный контент.</x:v>
      </x:c>
    </x:row>
    <x:row r="39" ht="25.5" customHeight="1">
      <x:c r="A39" s="5" t="str">
        <x:v>Q08</x:v>
      </x:c>
      <x:c r="B39" s="5" t="str">
        <x:v>Управленческие форматы</x:v>
      </x:c>
      <x:c r="C39" s="5" t="str">
        <x:v>воркшоп; workshop; бизнес-игра; деловая игра; модерация; фасилитация; экспертная сессия; практикум</x:v>
      </x:c>
      <x:c r="D39" s="5" t="str">
        <x:v>Менеджмент и профессиональные функции</x:v>
      </x:c>
      <x:c r="E39" s="5" t="str">
        <x:v>Расширение</x:v>
      </x:c>
      <x:c r="F39" s="5" t="str">
        <x:v>Рабочая сессия и развлекательное событие разделяются после сбора.</x:v>
      </x:c>
    </x:row>
    <x:row r="40" ht="31.5" customHeight="1">
      <x:c r="A40" s="5" t="str">
        <x:v>Q09</x:v>
      </x:c>
      <x:c r="B40" s="5" t="str">
        <x:v>Английские объявления</x:v>
      </x:c>
      <x:c r="C40" s="5" t="str">
        <x:v>corporate training; capacity building; professional development; training provider; facilitator; trainer; learning content</x:v>
      </x:c>
      <x:c r="D40" s="5" t="str">
        <x:v>Компании и организаторы СНГ</x:v>
      </x:c>
      <x:c r="E40" s="5" t="str">
        <x:v>Поисковые варианты</x:v>
      </x:c>
      <x:c r="F40" s="5" t="str">
        <x:v>Английская публикация может относиться к русскоязычной группе.</x:v>
      </x:c>
    </x:row>
    <x:row r="41" ht="25.5" customHeight="1">
      <x:c r="A41" s="5" t="str">
        <x:v>Q10</x:v>
      </x:c>
      <x:c r="B41" s="5" t="str">
        <x:v>Казахстан: варианты поиска</x:v>
      </x:c>
      <x:c r="C41" s="5" t="str">
        <x:v>оқыту; біліктілікті арттыру; семинар; тренинг; персоналды оқыту; оқу қызметтері</x:v>
      </x:c>
      <x:c r="D41" s="5" t="str">
        <x:v>Организации Казахстана</x:v>
      </x:c>
      <x:c r="E41" s="5" t="str">
        <x:v>Кандидатный словарь</x:v>
      </x:c>
      <x:c r="F41" s="5" t="str">
        <x:v>Термины уточнять по фактическим объявлениям и морфологии.</x:v>
      </x:c>
    </x:row>
    <x:row r="42" ht="25.5" customHeight="1">
      <x:c r="A42" s="5" t="str">
        <x:v>Q11</x:v>
      </x:c>
      <x:c r="B42" s="5" t="str">
        <x:v>Беларусь: варианты поиска</x:v>
      </x:c>
      <x:c r="C42" s="5" t="str">
        <x:v>навучанне; павышэнне кваліфікацыі; семінар; адукацыйныя паслугі</x:v>
      </x:c>
      <x:c r="D42" s="5" t="str">
        <x:v>Организации Беларуси</x:v>
      </x:c>
      <x:c r="E42" s="5" t="str">
        <x:v>Кандидатный словарь</x:v>
      </x:c>
      <x:c r="F42" s="5" t="str">
        <x:v>Русские и белорусские запросы выполнять отдельно.</x:v>
      </x:c>
    </x:row>
    <x:row r="43" ht="25.5" customHeight="1">
      <x:c r="A43" s="5" t="str">
        <x:v>Q12</x:v>
      </x:c>
      <x:c r="B43" s="5" t="str">
        <x:v>Кыргызстан: варианты поиска</x:v>
      </x:c>
      <x:c r="C43" s="5" t="str">
        <x:v>окутуу; квалификацияны жогорулатуу; тренинг; семинар; билим берүү кызматтары</x:v>
      </x:c>
      <x:c r="D43" s="5" t="str">
        <x:v>Организации Кыргызстана</x:v>
      </x:c>
      <x:c r="E43" s="5" t="str">
        <x:v>Кандидатный словарь</x:v>
      </x:c>
      <x:c r="F43" s="5" t="str">
        <x:v>Местный язык дополняет русскоязычные запросы.</x:v>
      </x:c>
    </x:row>
    <x:row r="44" ht="31.5" customHeight="1">
      <x:c r="A44" s="5" t="str">
        <x:v>Q13</x:v>
      </x:c>
      <x:c r="B44" s="5" t="str">
        <x:v>Уровень слушателей</x:v>
      </x:c>
      <x:c r="C44" s="5" t="str">
        <x:v>руководители; специалисты; управленческий состав; кадровый резерв; линейные менеджеры; эксперты; функциональные службы</x:v>
      </x:c>
      <x:c r="D44" s="5" t="str">
        <x:v>Аудитория</x:v>
      </x:c>
      <x:c r="E44" s="5" t="str">
        <x:v>Положительные признаки</x:v>
      </x:c>
      <x:c r="F44" s="5" t="str">
        <x:v>Отсутствие таких слов не означает неподходящий заказ.</x:v>
      </x:c>
    </x:row>
    <x:row r="45" ht="25.5" customHeight="1">
      <x:c r="A45" s="5" t="str">
        <x:v>Q14</x:v>
      </x:c>
      <x:c r="B45" s="5" t="str">
        <x:v>Владельцы задач</x:v>
      </x:c>
      <x:c r="C45" s="5" t="str">
        <x:v>HRD; L&amp;D; T&amp;D; C&amp;B; CFO; CPO; корпоративный университет; учебный центр; директор по персоналу</x:v>
      </x:c>
      <x:c r="D45" s="5" t="str">
        <x:v>Роли</x:v>
      </x:c>
      <x:c r="E45" s="5" t="str">
        <x:v>Маршрут к покупателю</x:v>
      </x:c>
      <x:c r="F45" s="5" t="str">
        <x:v>Не требовать раскрытой должности для сохранения материала.</x:v>
      </x:c>
    </x:row>
    <x:row r="46" ht="31.5" customHeight="1">
      <x:c r="A46" s="5" t="str">
        <x:v>Q15</x:v>
      </x:c>
      <x:c r="B46" s="5" t="str">
        <x:v>Повторное окно</x:v>
      </x:c>
      <x:c r="C46" s="5" t="str">
        <x:v>перенос; продление; повторная процедура; несостоявшаяся; замена спикера; дополнительный набор; следующий модуль</x:v>
      </x:c>
      <x:c r="D46" s="5" t="str">
        <x:v>Срок/стадия</x:v>
      </x:c>
      <x:c r="E46" s="5" t="str">
        <x:v>Усиление сигнала</x:v>
      </x:c>
      <x:c r="F46" s="5" t="str">
        <x:v>Хранить изменения и историю той же возможности.</x:v>
      </x:c>
    </x:row>
    <x:row r="47" ht="25.5" customHeight="1">
      <x:c r="A47" s="5" t="str">
        <x:v>S23</x:v>
      </x:c>
      <x:c r="B47" s="5" t="str">
        <x:v>Корпоративная этика</x:v>
      </x:c>
      <x:c r="C47" s="5" t="str">
        <x:v>корпоративная этика; кодекс этики; этические дилеммы; конфликт интересов</x:v>
      </x:c>
      <x:c r="D47" s="5" t="str">
        <x:v>HR; комплаенс; юридическая служба</x:v>
      </x:c>
      <x:c r="E47" s="5" t="str">
        <x:v>Профиль подтвержден планом МИСБ</x:v>
      </x:c>
      <x:c r="F47" s="5" t="str">
        <x:v>Поиск программы, видеокурса, кейсов и тестирования; не только семинара.</x:v>
      </x:c>
    </x:row>
    <x:row r="48" ht="25.5" customHeight="1">
      <x:c r="A48" s="5" t="str">
        <x:v>S24</x:v>
      </x:c>
      <x:c r="B48" s="5" t="str">
        <x:v>Антикоррупционное обучение</x:v>
      </x:c>
      <x:c r="C48" s="5" t="str">
        <x:v>противодействие коррупции; антикоррупционный комплаенс; коррупционные риски</x:v>
      </x:c>
      <x:c r="D48" s="5" t="str">
        <x:v>комплаенс; безопасность; юристы</x:v>
      </x:c>
      <x:c r="E48" s="5" t="str">
        <x:v>Профиль подтвержден планом МИСБ</x:v>
      </x:c>
      <x:c r="F48" s="5" t="str">
        <x:v>Смешанный лот с аудитом или ПО сохранять и выделять учебную часть.</x:v>
      </x:c>
    </x:row>
    <x:row r="49" ht="25.5" customHeight="1">
      <x:c r="A49" s="5" t="str">
        <x:v>S25</x:v>
      </x:c>
      <x:c r="B49" s="5" t="str">
        <x:v>Персональные данные</x:v>
      </x:c>
      <x:c r="C49" s="5" t="str">
        <x:v>персональные данные; защита данных; согласия; privacy; 152-ФЗ</x:v>
      </x:c>
      <x:c r="D49" s="5" t="str">
        <x:v>HR; юристы; ответственный за ПДн</x:v>
      </x:c>
      <x:c r="E49" s="5" t="str">
        <x:v>Профиль подтвержден планом МИСБ</x:v>
      </x:c>
      <x:c r="F49" s="5" t="str">
        <x:v>Отделять обучение от внедрения системы, сохраняя оба сигнала.</x:v>
      </x:c>
    </x:row>
    <x:row r="50" ht="25.5" customHeight="1">
      <x:c r="A50" s="5" t="str">
        <x:v>S26</x:v>
      </x:c>
      <x:c r="B50" s="5" t="str">
        <x:v>Цифровая безопасность сотрудников</x:v>
      </x:c>
      <x:c r="C50" s="5" t="str">
        <x:v>кибергигиена; информационная безопасность; фишинг; security awareness</x:v>
      </x:c>
      <x:c r="D50" s="5" t="str">
        <x:v>HR; ИБ; комплаенс</x:v>
      </x:c>
      <x:c r="E50" s="5" t="str">
        <x:v>Смежная гипотеза; подтвердить эксперта</x:v>
      </x:c>
      <x:c r="F50" s="5" t="str">
        <x:v>Искать учебный контент и тренажеры для сотрудников, а не только оборудование.</x:v>
      </x:c>
    </x:row>
    <x:row r="51" ht="25.5" customHeight="1">
      <x:c r="A51" s="5" t="str">
        <x:v>S27</x:v>
      </x:c>
      <x:c r="B51" s="5" t="str">
        <x:v>Адаптация и ввод в должность</x:v>
      </x:c>
      <x:c r="C51" s="5" t="str">
        <x:v>адаптация персонала; онбординг; onboarding; welcome course; вводный курс</x:v>
      </x:c>
      <x:c r="D51" s="5" t="str">
        <x:v>HR; L&amp;D; корпоративный университет</x:v>
      </x:c>
      <x:c r="E51" s="5" t="str">
        <x:v>Развитие предложения; уточнить ресурсы</x:v>
      </x:c>
      <x:c r="F51" s="5" t="str">
        <x:v>Потребность может называться пакетом адаптации или цифровым путеводителем.</x:v>
      </x:c>
    </x:row>
    <x:row r="52" ht="25.5" customHeight="1">
      <x:c r="A52" s="5" t="str">
        <x:v>S28</x:v>
      </x:c>
      <x:c r="B52" s="5" t="str">
        <x:v>Наставничество и внутренние тренеры</x:v>
      </x:c>
      <x:c r="C52" s="5" t="str">
        <x:v>наставничество; внутренние тренеры; train the trainer; TTT; школа наставников</x:v>
      </x:c>
      <x:c r="D52" s="5" t="str">
        <x:v>L&amp;D; руководители функций</x:v>
      </x:c>
      <x:c r="E52" s="5" t="str">
        <x:v>Развитие предложения; уточнить ресурсы</x:v>
      </x:c>
      <x:c r="F52" s="5" t="str">
        <x:v>Проверить аудиторию: руководители и специалисты либо рабочие профессии.</x:v>
      </x:c>
    </x:row>
    <x:row r="53" ht="31.5" customHeight="1">
      <x:c r="A53" s="5" t="str">
        <x:v>S29</x:v>
      </x:c>
      <x:c r="B53" s="5" t="str">
        <x:v>Базы знаний и регламенты</x:v>
      </x:c>
      <x:c r="C53" s="5" t="str">
        <x:v>база знаний; knowledge management; инструкции; регламенты; SOP; обучение процессам</x:v>
      </x:c>
      <x:c r="D53" s="5" t="str">
        <x:v>операционная дирекция; ОЦО; L&amp;D</x:v>
      </x:c>
      <x:c r="E53" s="5" t="str">
        <x:v>Методология и учебная часть; уточнить ресурсы</x:v>
      </x:c>
      <x:c r="F53" s="5" t="str">
        <x:v>Сохранять запрос без слова обучение; выделять сценарии, инструкции, проверку усвоения.</x:v>
      </x:c>
    </x:row>
    <x:row r="54" ht="25.5" customHeight="1">
      <x:c r="A54" s="5" t="str">
        <x:v>S30</x:v>
      </x:c>
      <x:c r="B54" s="5" t="str">
        <x:v>Цифровые навыки и аналитика</x:v>
      </x:c>
      <x:c r="C54" s="5" t="str">
        <x:v>Excel; Word; цифровые компетенции; анализ данных; Power BI; аналитика</x:v>
      </x:c>
      <x:c r="D54" s="5" t="str">
        <x:v>руководители и специалисты всех служб</x:v>
      </x:c>
      <x:c r="E54" s="5" t="str">
        <x:v>Excel/Word подтверждены планом; остальное уточнить</x:v>
      </x:c>
      <x:c r="F54" s="5" t="str">
        <x:v>Поиск задач автоматизации отчетности может привести к учебной потребности.</x:v>
      </x:c>
    </x:row>
    <x:row r="55" ht="25.5" customHeight="1">
      <x:c r="A55" s="5" t="str">
        <x:v>S31</x:v>
      </x:c>
      <x:c r="B55" s="5" t="str">
        <x:v>Воинский учет и бронирование</x:v>
      </x:c>
      <x:c r="C55" s="5" t="str">
        <x:v>воинский учет; бронирование граждан; кадровый учет; мобилизационная подготовка</x:v>
      </x:c>
      <x:c r="D55" s="5" t="str">
        <x:v>HR; кадровая служба; ответственный за учет</x:v>
      </x:c>
      <x:c r="E55" s="5" t="str">
        <x:v>Профиль подтвержден планом МИСБ</x:v>
      </x:c>
      <x:c r="F55" s="5" t="str">
        <x:v>Формулировки и применимость требований проверять на дату запроса.</x:v>
      </x:c>
    </x:row>
    <x:row r="56" ht="25.5" customHeight="1">
      <x:c r="A56" s="5" t="str">
        <x:v>S32</x:v>
      </x:c>
      <x:c r="B56" s="5" t="str">
        <x:v>Оценка компетенций и кадровый резерв</x:v>
      </x:c>
      <x:c r="C56" s="5" t="str">
        <x:v>модель компетенций; оценка компетенций; кадровый резерв; assessment; ИПР</x:v>
      </x:c>
      <x:c r="D56" s="5" t="str">
        <x:v>HR; L&amp;D; руководители</x:v>
      </x:c>
      <x:c r="E56" s="5" t="str">
        <x:v>Резерв подтвержден планом; диагностику уточнить</x:v>
      </x:c>
      <x:c r="F56" s="5" t="str">
        <x:v>Сохранять комплексные программы: диагностика, обучение, сопровождение ИПР.</x:v>
      </x:c>
    </x:row>
  </x:sheetData>
  <x:pageMargins left="0.7" right="0.7" top="0.75" bottom="0.75" header="0.3" footer="0.3"/>
  <x:tableParts count="1">
    <x:tablePart xmlns:r="http://schemas.openxmlformats.org/officeDocument/2006/relationships" r:id="R5c180f989a584f2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890000343322754" hidden="0" customWidth="1"/>
    <x:col min="2" max="2" width="28.889999389648438" hidden="0" customWidth="1"/>
    <x:col min="3" max="3" width="125.55999755859375" hidden="0" customWidth="1"/>
  </x:cols>
  <x:sheetData>
    <x:row r="1">
      <x:c r="A1" s="2"/>
      <x:c r="B1" s="2"/>
      <x:c r="C1" s="2"/>
    </x:row>
    <x:row r="2" ht="21" customHeight="1">
      <x:c r="A2" s="3" t="str">
        <x:v>Полнота источников и общий бюджет</x:v>
      </x:c>
      <x:c r="B2" s="2"/>
      <x:c r="C2" s="2"/>
    </x:row>
    <x:row r="3" ht="19.5" customHeight="1">
      <x:c r="A3" s="4" t="str">
        <x:v>Лимит 10 000 ₽/месяц относится ко всему мониторингу МИСБ. У модуля КУ нет отдельного дополнительного бюджета.</x:v>
      </x:c>
      <x:c r="B3" s="2"/>
      <x:c r="C3" s="2"/>
    </x:row>
    <x:row r="4">
      <x:c r="A4" s="2"/>
      <x:c r="B4" s="2"/>
      <x:c r="C4" s="2"/>
    </x:row>
    <x:row r="5" ht="31.5" customHeight="1">
      <x:c r="A5" s="9" t="str">
        <x:v>Код</x:v>
      </x:c>
      <x:c r="B5" s="9" t="str">
        <x:v>Принцип</x:v>
      </x:c>
      <x:c r="C5" s="9" t="str">
        <x:v>Правило</x:v>
      </x:c>
    </x:row>
    <x:row r="6" ht="25.5" customHeight="1">
      <x:c r="A6" s="5" t="str">
        <x:v>R01</x:v>
      </x:c>
      <x:c r="B6" s="5" t="str">
        <x:v>Единица учета</x:v>
      </x:c>
      <x:c r="C6" s="5" t="str">
        <x:v>КУ, корпоративная академия или именованный учебный центр компании / отрасли. Обычные вузы, только отдел HR, продукт или абстрактная сеть не входят в основные 200.</x:v>
      </x:c>
    </x:row>
    <x:row r="7" ht="31.5" customHeight="1">
      <x:c r="A7" s="5" t="str">
        <x:v>R02</x:v>
      </x:c>
      <x:c r="B7" s="5" t="str">
        <x:v>Честное название</x:v>
      </x:c>
      <x:c r="C7" s="5" t="str">
        <x:v>Поле institution_type различает университет, академию, центр компании и отраслевой центр. Основные 200 — широкая карта корпоративных учебных структур, не 200 организаций с буквальным названием «КУ».</x:v>
      </x:c>
    </x:row>
    <x:row r="8" ht="25.5" customHeight="1">
      <x:c r="A8" s="5" t="str">
        <x:v>R03</x:v>
      </x:c>
      <x:c r="B8" s="5" t="str">
        <x:v>Полнота</x:v>
      </x:c>
      <x:c r="C8" s="5" t="str">
        <x:v>Регистрировать все найденные адреса сразу. Низкое соответствие МИСБ, дубли и неопределенность не основание для удаления.</x:v>
      </x:c>
    </x:row>
    <x:row r="9" ht="25.5" customHeight="1">
      <x:c r="A9" s="5" t="str">
        <x:v>R04</x:v>
      </x:c>
      <x:c r="B9" s="5" t="str">
        <x:v>Идентичность</x:v>
      </x:c>
      <x:c r="C9" s="5" t="str">
        <x:v>Прежнее имя, новый бренд, кампус и языковой вариант связывать с одной структурой. Отдельный центр дочерней компании допускается при явном подтверждении.</x:v>
      </x:c>
    </x:row>
    <x:row r="10" ht="25.5" customHeight="1">
      <x:c r="A10" s="5" t="str">
        <x:v>R05</x:v>
      </x:c>
      <x:c r="B10" s="5" t="str">
        <x:v>Доказательства</x:v>
      </x:c>
      <x:c r="C10" s="5" t="str">
        <x:v>Хранить URL, краткий смысл, дату проверки и поверхность: content_read, search_index, candidate. Это не подтверждение работы автоматического сборщика.</x:v>
      </x:c>
    </x:row>
    <x:row r="11" ht="25.5" customHeight="1">
      <x:c r="A11" s="5" t="str">
        <x:v>R06</x:v>
      </x:c>
      <x:c r="B11" s="5" t="str">
        <x:v>Спрос отдельно</x:v>
      </x:c>
      <x:c r="C11" s="5" t="str">
        <x:v>Существование КУ, публикация программы и приглашение в пул провайдеров не равны оплаченному заказу. Наблюдение и коммерческую гипотезу хранить раздельно.</x:v>
      </x:c>
    </x:row>
    <x:row r="12" ht="25.5" customHeight="1">
      <x:c r="A12" s="5" t="str">
        <x:v>R07</x:v>
      </x:c>
      <x:c r="B12" s="5" t="str">
        <x:v>Покупатель и продавец</x:v>
      </x:c>
      <x:c r="C12" s="5" t="str">
        <x:v>КУ может покупать обучение, продавать его внешним клиентам и выступать партнером. Роль устанавливать по событию, не по слову «университет».</x:v>
      </x:c>
    </x:row>
    <x:row r="13" ht="25.5" customHeight="1">
      <x:c r="A13" s="5" t="str">
        <x:v>R08</x:v>
      </x:c>
      <x:c r="B13" s="5" t="str">
        <x:v>Порядок обработки</x:v>
      </x:c>
      <x:c r="C13" s="5" t="str">
        <x:v>Сохранить сырье и происхождение → извлечь все сигналы → оценить соответствие → уточнить покупателя. Не фильтровать исходные источники до сохранения.</x:v>
      </x:c>
    </x:row>
    <x:row r="14" ht="25.5" customHeight="1">
      <x:c r="A14" s="5" t="str">
        <x:v>R09</x:v>
      </x:c>
      <x:c r="B14" s="5" t="str">
        <x:v>Дубли</x:v>
      </x:c>
      <x:c r="C14" s="5" t="str">
        <x:v>Хранить все source_id и связи. Для экономии допускается один физический сбор совпадающего URL с раздачей результата всем связанным организациям.</x:v>
      </x:c>
    </x:row>
    <x:row r="15" ht="25.5" customHeight="1">
      <x:c r="A15" s="5" t="str">
        <x:v>R10</x:v>
      </x:c>
      <x:c r="B15" s="5" t="str">
        <x:v>Слияние с проектом</x:v>
      </x:c>
      <x:c r="C15" s="5" t="str">
        <x:v>Новые ID имеют префикс CU. Сопоставить с действующими MISB-ID, но не перезаписывать рабочие статусы, адреса, контакты и доказательства пустыми значениями из пакета.</x:v>
      </x:c>
    </x:row>
    <x:row r="16" ht="25.5" customHeight="1">
      <x:c r="A16" s="5" t="str">
        <x:v>R11</x:v>
      </x:c>
      <x:c r="B16" s="5" t="str">
        <x:v>Доступ</x:v>
      </x:c>
      <x:c r="C16" s="5" t="str">
        <x:v>Не заявлять API, RSS, разрешение на сбор или полноту архива без проверки. Закрытый LMS сохранить; использовать публичный маршрут или согласованный доступ.</x:v>
      </x:c>
    </x:row>
    <x:row r="17" ht="25.5" customHeight="1">
      <x:c r="A17" s="5" t="str">
        <x:v>R12</x:v>
      </x:c>
      <x:c r="B17" s="5" t="str">
        <x:v>Тематическая пригодность</x:v>
      </x:c>
      <x:c r="C17" s="5" t="str">
        <x:v>Учебные услуги для руководителей и специалистов — ядро. Узкое обучение рабочим профессиям или технологии вендора — условное соответствие. Не терять смешанные программы.</x:v>
      </x:c>
    </x:row>
    <x:row r="18" ht="25.5" customHeight="1">
      <x:c r="A18" s="5" t="str">
        <x:v>R13</x:v>
      </x:c>
      <x:c r="B18" s="5" t="str">
        <x:v>Юрисдикции</x:v>
      </x:c>
      <x:c r="C18" s="5" t="str">
        <x:v>Для BY/KZ отдельно подтверждать применимость правовых, налоговых и закупочных тем, язык, формат и местных экспертов. Не переносить российские нормы автоматически.</x:v>
      </x:c>
    </x:row>
    <x:row r="19" ht="25.5" customHeight="1">
      <x:c r="A19" s="5" t="str">
        <x:v>R14</x:v>
      </x:c>
      <x:c r="B19" s="5" t="str">
        <x:v>Бюджет</x:v>
      </x:c>
      <x:c r="C19" s="5" t="str">
        <x:v>10 000 ₽ в месяц — общий лимит мониторинга МИСБ вместе с прежними источниками. Модуль КУ не получает дополнительный бюджет. Цены доступа неизвестны до проверки.</x:v>
      </x:c>
    </x:row>
    <x:row r="20" ht="25.5" customHeight="1">
      <x:c r="A20" s="5" t="str">
        <x:v>R15</x:v>
      </x:c>
      <x:c r="B20" s="5" t="str">
        <x:v>Ротация</x:v>
      </x:c>
      <x:c r="C20" s="5" t="str">
        <x:v>Приоритет влияет на очередь, а не включение. Начальная настройка: 20% слотов для новых, редких и давно не проверенных источников; учитывать возраст очереди.</x:v>
      </x:c>
    </x:row>
    <x:row r="21" ht="25.5" customHeight="1">
      <x:c r="A21" s="5" t="str">
        <x:v>R16</x:v>
      </x:c>
      <x:c r="B21" s="5" t="str">
        <x:v>Пауза</x:v>
      </x:c>
      <x:c r="C21" s="5" t="str">
        <x:v>При блокировке, исчерпании бюджета или ошибке хранить причину, состояние и следующий срок. Не заменять неизвестное нулем и не удалять строку.</x:v>
      </x:c>
    </x:row>
    <x:row r="22" ht="25.5" customHeight="1">
      <x:c r="A22" s="5" t="str">
        <x:v>R17</x:v>
      </x:c>
      <x:c r="B22" s="5" t="str">
        <x:v>Контакты</x:v>
      </x:c>
      <x:c r="C22" s="5" t="str">
        <x:v>Искать публичные деловые роли и каналы. Не угадывать контакты; сообщения и заявки без отдельного разрешения не отправлять.</x:v>
      </x:c>
    </x:row>
    <x:row r="23" ht="25.5" customHeight="1">
      <x:c r="A23" s="5" t="str">
        <x:v>R18</x:v>
      </x:c>
      <x:c r="B23" s="5" t="str">
        <x:v>Версии</x:v>
      </x:c>
      <x:c r="C23" s="5" t="str">
        <x:v>Источник и наблюдение неизменяемо связаны с временем получения. Новый файл или имя не затирает прошлое; спорные значения хранить с происхождением.</x:v>
      </x:c>
    </x:row>
    <x:row r="24" ht="25.5" customHeight="1">
      <x:c r="A24" s="5" t="str">
        <x:v>R19</x:v>
      </x:c>
      <x:c r="B24" s="5" t="str">
        <x:v>Покрытие</x:v>
      </x:c>
      <x:c r="C24" s="5" t="str">
        <x:v>Подсчет известных адресов не является долей охвата рынка. В листе пробелов 0 означает пока не найдено.</x:v>
      </x:c>
    </x:row>
    <x:row r="25" ht="25.5" customHeight="1">
      <x:c r="A25" s="5" t="str">
        <x:v>R20</x:v>
      </x:c>
      <x:c r="B25" s="5" t="str">
        <x:v>Резерв</x:v>
      </x:c>
      <x:c r="C25" s="5" t="str">
        <x:v>Все записи сверх основной выборки и кандидаты сохраняются в резерве и участвуют в последующем расширении. Не ограничивать проект первыми 200.</x:v>
      </x:c>
    </x:row>
    <x:row r="26" ht="25.5" customHeight="1">
      <x:c r="A26" s="5" t="str">
        <x:v>R21</x:v>
      </x:c>
      <x:c r="B26" s="5" t="str">
        <x:v>Запросы</x:v>
      </x:c>
      <x:c r="C26" s="5" t="str">
        <x:v>Поисковые шаблоны не являются источниками и не считались выполненными. OR и другие операторы адаптировать к площадке.</x:v>
      </x:c>
    </x:row>
    <x:row r="27" ht="25.5" customHeight="1">
      <x:c r="A27" s="5" t="str">
        <x:v>R22</x:v>
      </x:c>
      <x:c r="B27" s="5" t="str">
        <x:v>Текущее состояние</x:v>
      </x:c>
      <x:c r="C27" s="5" t="str">
        <x:v>Дата исследования не равна дате события. Старое доказательство не дает уверенности в актуальном статусе структуры.</x:v>
      </x:c>
    </x:row>
    <x:row r="28" ht="25.5" customHeight="1">
      <x:c r="A28" s="5" t="str">
        <x:v>R23</x:v>
      </x:c>
      <x:c r="B28" s="5" t="str">
        <x:v>Сигналы без бюджета</x:v>
      </x:c>
      <x:c r="C28" s="5" t="str">
        <x:v>Отсутствие цены, срока, имени закупщика или прямого слова «обучение» не удаляет наблюдение; статус review сохраняет шанс уточнения.</x:v>
      </x:c>
    </x:row>
    <x:row r="29" ht="25.5" customHeight="1">
      <x:c r="A29" s="5" t="str">
        <x:v>R24</x:v>
      </x:c>
      <x:c r="B29" s="5" t="str">
        <x:v>Возврат результата</x:v>
      </x:c>
      <x:c r="C29" s="5" t="str">
        <x:v>При расширении возвращать новые организации, новые каналы старых организаций, изменения статусов, неразрешенные пробелы и покрытие по странам / типам отдельными счетчиками.</x:v>
      </x:c>
    </x:row>
    <x:row r="30" ht="31.5" customHeight="1">
      <x:c r="A30" s="5" t="str">
        <x:v>R25</x:v>
      </x:c>
      <x:c r="B30" s="5" t="str">
        <x:v>Расширение запроса</x:v>
      </x:c>
      <x:c r="C30" s="5" t="str">
        <x:v>Не ограничивать поиск точным юридическим наименованием. Использовать бренд, компанию, группу, варианты написания и запрос без кавычек; нулевой результат одного запроса ничего не исключает.</x:v>
      </x:c>
    </x:row>
    <x:row r="34" ht="31.5" customHeight="1">
      <x:c r="A34" s="9" t="str">
        <x:v>Лимит, ₽</x:v>
      </x:c>
      <x:c r="B34" s="9" t="str">
        <x:v>Статья</x:v>
      </x:c>
      <x:c r="C34" s="9" t="str">
        <x:v>Примечание</x:v>
      </x:c>
    </x:row>
    <x:row r="35" ht="25.5" customHeight="1">
      <x:c r="A35" s="15" t="n">
        <x:v>1500</x:v>
      </x:c>
      <x:c r="B35" s="5" t="str">
        <x:v>Инфраструктура</x:v>
      </x:c>
      <x:c r="C35" s="5" t="str">
        <x:v>Переиспользовать действующий проект.</x:v>
      </x:c>
    </x:row>
    <x:row r="36" ht="25.5" customHeight="1">
      <x:c r="A36" s="15" t="n">
        <x:v>400</x:v>
      </x:c>
      <x:c r="B36" s="5" t="str">
        <x:v>Хранение и копии</x:v>
      </x:c>
      <x:c r="C36" s="5" t="str">
        <x:v>Разделять одинаковые бинарные объекты по хешу; происхождение сохранять.</x:v>
      </x:c>
    </x:row>
    <x:row r="37" ht="25.5" customHeight="1">
      <x:c r="A37" s="15" t="n">
        <x:v>2500</x:v>
      </x:c>
      <x:c r="B37" s="5" t="str">
        <x:v>LLM / OCR</x:v>
      </x:c>
      <x:c r="C37" s="5" t="str">
        <x:v>Глубокую обработку откладывать раньше регистрации новых адресов.</x:v>
      </x:c>
    </x:row>
    <x:row r="38" ht="25.5" customHeight="1">
      <x:c r="A38" s="15" t="n">
        <x:v>3000</x:v>
      </x:c>
      <x:c r="B38" s="5" t="str">
        <x:v>Опциональный доступ</x:v>
      </x:c>
      <x:c r="C38" s="5" t="str">
        <x:v>Лимит, не проверенный тариф; учитывать авансовый платеж в фактическом месяце.</x:v>
      </x:c>
    </x:row>
    <x:row r="39" ht="25.5" customHeight="1">
      <x:c r="A39" s="15" t="n">
        <x:v>2600</x:v>
      </x:c>
      <x:c r="B39" s="5" t="str">
        <x:v>Резерв</x:v>
      </x:c>
      <x:c r="C39" s="5" t="str">
        <x:v>Не расходовать автоматически.</x:v>
      </x:c>
    </x:row>
    <x:row r="40">
      <x:c r="A40" s="14"/>
      <x:c r="B40" s="2"/>
      <x:c r="C40" s="2"/>
    </x:row>
    <x:row r="41" ht="27" customHeight="1">
      <x:c r="A41" s="18" t="n">
        <x:f>SUM(A35:A39)</x:f>
        <x:v>10000</x:v>
      </x:c>
      <x:c r="B41" s="19" t="str">
        <x:v>Итого</x:v>
      </x:c>
      <x:c r="C41" s="19" t="str">
        <x:v>Фактические расходы неизвестны. Часы команды не оценены. Покупки в этой работе не выполнялись.</x:v>
      </x:c>
    </x:row>
  </x:sheetData>
  <x:pageMargins left="0.7" right="0.7" top="0.75" bottom="0.75" header="0.3" footer="0.3"/>
  <x:tableParts count="2">
    <x:tablePart xmlns:r="http://schemas.openxmlformats.org/officeDocument/2006/relationships" r:id="R17bdb576d63c48ae"/>
    <x:tablePart xmlns:r="http://schemas.openxmlformats.org/officeDocument/2006/relationships" r:id="R5fa00b4c355f41ed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890000343322754" hidden="0" customWidth="1"/>
    <x:col min="2" max="2" width="30" hidden="0" customWidth="1"/>
    <x:col min="3" max="3" width="48.88999938964844" hidden="0" customWidth="1"/>
    <x:col min="4" max="4" width="97.77999877929688" hidden="0" customWidth="1"/>
  </x:cols>
  <x:sheetData>
    <x:row r="1">
      <x:c r="A1" s="2"/>
      <x:c r="B1" s="2"/>
      <x:c r="C1" s="2"/>
      <x:c r="D1" s="2"/>
    </x:row>
    <x:row r="2" ht="21" customHeight="1">
      <x:c r="A2" s="3" t="str">
        <x:v>24 проверки для импорта, расширения и будущего сбора</x:v>
      </x:c>
      <x:c r="B2" s="2"/>
      <x:c r="C2" s="2"/>
      <x:c r="D2" s="2"/>
    </x:row>
    <x:row r="3" ht="19.5" customHeight="1">
      <x:c r="A3" s="4" t="str">
        <x:v>Проверки работы реестра выполнены отдельно. Сценарии живых адаптеров ниже — задания для проекта, не отчет об их запуске.</x:v>
      </x:c>
      <x:c r="B3" s="2"/>
      <x:c r="C3" s="2"/>
      <x:c r="D3" s="2"/>
    </x:row>
    <x:row r="4">
      <x:c r="A4" s="2"/>
      <x:c r="B4" s="2"/>
      <x:c r="C4" s="2"/>
      <x:c r="D4" s="2"/>
    </x:row>
    <x:row r="5" ht="31.5" customHeight="1">
      <x:c r="A5" s="9" t="str">
        <x:v>ID</x:v>
      </x:c>
      <x:c r="B5" s="9" t="str">
        <x:v>Проверка</x:v>
      </x:c>
      <x:c r="C5" s="9" t="str">
        <x:v>Условие</x:v>
      </x:c>
      <x:c r="D5" s="9" t="str">
        <x:v>Критерий</x:v>
      </x:c>
    </x:row>
    <x:row r="6" ht="25.5" customHeight="1">
      <x:c r="A6" s="5" t="str">
        <x:v>T01</x:v>
      </x:c>
      <x:c r="B6" s="5" t="str">
        <x:v>Основные 200</x:v>
      </x:c>
      <x:c r="C6" s="5" t="str">
        <x:v>Открыть основной реестр</x:v>
      </x:c>
      <x:c r="D6" s="5" t="str">
        <x:v>Ровно 200 разных institution_id; каждый имеет имя, страну, тип и доказательство.</x:v>
      </x:c>
    </x:row>
    <x:row r="7" ht="25.5" customHeight="1">
      <x:c r="A7" s="5" t="str">
        <x:v>T02</x:v>
      </x:c>
      <x:c r="B7" s="5" t="str">
        <x:v>Три страны</x:v>
      </x:c>
      <x:c r="C7" s="5" t="str">
        <x:v>Сверить разрезы</x:v>
      </x:c>
      <x:c r="D7" s="5" t="str">
        <x:v>RU, BY и KZ присутствуют; сумма стран совпадает с основным реестром.</x:v>
      </x:c>
    </x:row>
    <x:row r="8" ht="25.5" customHeight="1">
      <x:c r="A8" s="5" t="str">
        <x:v>T03</x:v>
      </x:c>
      <x:c r="B8" s="5" t="str">
        <x:v>Разные типы</x:v>
      </x:c>
      <x:c r="C8" s="5" t="str">
        <x:v>Сверить типы</x:v>
      </x:c>
      <x:c r="D8" s="5" t="str">
        <x:v>КУ, академии и центры явно разделены; название «200 КУ» не подменяет фактический состав.</x:v>
      </x:c>
    </x:row>
    <x:row r="9" ht="25.5" customHeight="1">
      <x:c r="A9" s="5" t="str">
        <x:v>T04</x:v>
      </x:c>
      <x:c r="B9" s="5" t="str">
        <x:v>Дочерние центры</x:v>
      </x:c>
      <x:c r="C9" s="5" t="str">
        <x:v>Встретились одинаковые группы</x:v>
      </x:c>
      <x:c r="D9" s="5" t="str">
        <x:v>Разные центры имеют собственные доказательства; сеть и кампусы не увеличивают итог.</x:v>
      </x:c>
    </x:row>
    <x:row r="10" ht="25.5" customHeight="1">
      <x:c r="A10" s="5" t="str">
        <x:v>T05</x:v>
      </x:c>
      <x:c r="B10" s="5" t="str">
        <x:v>Ребрендинг</x:v>
      </x:c>
      <x:c r="C10" s="5" t="str">
        <x:v>Найден старый и новый университет</x:v>
      </x:c>
      <x:c r="D10" s="5" t="str">
        <x:v>Одна сущность, обе версии имени и все URL сохранены.</x:v>
      </x:c>
    </x:row>
    <x:row r="11" ht="25.5" customHeight="1">
      <x:c r="A11" s="5" t="str">
        <x:v>T06</x:v>
      </x:c>
      <x:c r="B11" s="5" t="str">
        <x:v>Отдел обучения</x:v>
      </x:c>
      <x:c r="C11" s="5" t="str">
        <x:v>Найден только отдел HR</x:v>
      </x:c>
      <x:c r="D11" s="5" t="str">
        <x:v>Резерв / кандидат; не входит в подтвержденные 200 без именованной учебной структуры.</x:v>
      </x:c>
    </x:row>
    <x:row r="12" ht="25.5" customHeight="1">
      <x:c r="A12" s="5" t="str">
        <x:v>T07</x:v>
      </x:c>
      <x:c r="B12" s="5" t="str">
        <x:v>Дубли источника</x:v>
      </x:c>
      <x:c r="C12" s="5" t="str">
        <x:v>Две структуры используют один URL</x:v>
      </x:c>
      <x:c r="D12" s="5" t="str">
        <x:v>Обе связи сохранены, физический сбор можно объединить; ничего не удалено.</x:v>
      </x:c>
    </x:row>
    <x:row r="13" ht="25.5" customHeight="1">
      <x:c r="A13" s="5" t="str">
        <x:v>T08</x:v>
      </x:c>
      <x:c r="B13" s="5" t="str">
        <x:v>Нет покупателя</x:v>
      </x:c>
      <x:c r="C13" s="5" t="str">
        <x:v>КУ продает курсы</x:v>
      </x:c>
      <x:c r="D13" s="5" t="str">
        <x:v>Партнерская гипотеза; не создавать подтвержденный лид без спроса.</x:v>
      </x:c>
    </x:row>
    <x:row r="14" ht="25.5" customHeight="1">
      <x:c r="A14" s="5" t="str">
        <x:v>T09</x:v>
      </x:c>
      <x:c r="B14" s="5" t="str">
        <x:v>Старый отчет</x:v>
      </x:c>
      <x:c r="C14" s="5" t="str">
        <x:v>Доказательство за прежний год</x:v>
      </x:c>
      <x:c r="D14" s="5" t="str">
        <x:v>Хранить год и проверять актуальность; checked_at не заменяет published_at.</x:v>
      </x:c>
    </x:row>
    <x:row r="15" ht="25.5" customHeight="1">
      <x:c r="A15" s="5" t="str">
        <x:v>T10</x:v>
      </x:c>
      <x:c r="B15" s="5" t="str">
        <x:v>Закрытая LMS</x:v>
      </x:c>
      <x:c r="C15" s="5" t="str">
        <x:v>Вход требует авторизации</x:v>
      </x:c>
      <x:c r="D15" s="5" t="str">
        <x:v>Публичные каналы сохранены; blocked_access и следующий шаг вместо удаления.</x:v>
      </x:c>
    </x:row>
    <x:row r="16" ht="25.5" customHeight="1">
      <x:c r="A16" s="5" t="str">
        <x:v>T11</x:v>
      </x:c>
      <x:c r="B16" s="5" t="str">
        <x:v>Поисковый сниппет</x:v>
      </x:c>
      <x:c r="C16" s="5" t="str">
        <x:v>Содержимое не прочитано</x:v>
      </x:c>
      <x:c r="D16" s="5" t="str">
        <x:v>search_index; не content_read, не operational.</x:v>
      </x:c>
    </x:row>
    <x:row r="17" ht="25.5" customHeight="1">
      <x:c r="A17" s="5" t="str">
        <x:v>T12</x:v>
      </x:c>
      <x:c r="B17" s="5" t="str">
        <x:v>Смешанная программа</x:v>
      </x:c>
      <x:c r="C17" s="5" t="str">
        <x:v>В техническом лоте есть обучение руководителей</x:v>
      </x:c>
      <x:c r="D17" s="5" t="str">
        <x:v>Сохранить весь лот и выделить подходящий модуль.</x:v>
      </x:c>
    </x:row>
    <x:row r="18" ht="25.5" customHeight="1">
      <x:c r="A18" s="5" t="str">
        <x:v>T13</x:v>
      </x:c>
      <x:c r="B18" s="5" t="str">
        <x:v>BY/KZ</x:v>
      </x:c>
      <x:c r="C18" s="5" t="str">
        <x:v>Тема содержит российский закон</x:v>
      </x:c>
      <x:c r="D18" s="5" t="str">
        <x:v>Требуется предметная адаптация; не автоматический релевантный лид.</x:v>
      </x:c>
    </x:row>
    <x:row r="19" ht="25.5" customHeight="1">
      <x:c r="A19" s="5" t="str">
        <x:v>T14</x:v>
      </x:c>
      <x:c r="B19" s="5" t="str">
        <x:v>Пустой канал</x:v>
      </x:c>
      <x:c r="C19" s="5" t="str">
        <x:v>В новости пока нет спроса</x:v>
      </x:c>
      <x:c r="D19" s="5" t="str">
        <x:v>empty_success только с доказательством фактической проверки и областью охвата.</x:v>
      </x:c>
    </x:row>
    <x:row r="20" ht="25.5" customHeight="1">
      <x:c r="A20" s="5" t="str">
        <x:v>T15</x:v>
      </x:c>
      <x:c r="B20" s="5" t="str">
        <x:v>Ложный operational</x:v>
      </x:c>
      <x:c r="C20" s="5" t="str">
        <x:v>Статус поставлен без примера</x:v>
      </x:c>
      <x:c r="D20" s="5" t="str">
        <x:v>Рабочий лист показывает недостающие дату / пример / охват / следующий срок.</x:v>
      </x:c>
    </x:row>
    <x:row r="21" ht="25.5" customHeight="1">
      <x:c r="A21" s="5" t="str">
        <x:v>T16</x:v>
      </x:c>
      <x:c r="B21" s="5" t="str">
        <x:v>Бюджет исчерпан</x:v>
      </x:c>
      <x:c r="C21" s="5" t="str">
        <x:v>Общий расход достигает 10 000 ₽</x:v>
      </x:c>
      <x:c r="D21" s="5" t="str">
        <x:v>postponed_budget; сохраняются очередь и адреса, дополнительный лимит не создается.</x:v>
      </x:c>
    </x:row>
    <x:row r="22" ht="25.5" customHeight="1">
      <x:c r="A22" s="5" t="str">
        <x:v>T17</x:v>
      </x:c>
      <x:c r="B22" s="5" t="str">
        <x:v>Импорт в живой проект</x:v>
      </x:c>
      <x:c r="C22" s="5" t="str">
        <x:v>В проекте уже есть рабочий адаптер</x:v>
      </x:c>
      <x:c r="D22" s="5" t="str">
        <x:v>Пакет not_checked_here не затирает подтвержденное operational.</x:v>
      </x:c>
    </x:row>
    <x:row r="23" ht="25.5" customHeight="1">
      <x:c r="A23" s="5" t="str">
        <x:v>T18</x:v>
      </x:c>
      <x:c r="B23" s="5" t="str">
        <x:v>Связность</x:v>
      </x:c>
      <x:c r="C23" s="5" t="str">
        <x:v>Импортированы JSONL</x:v>
      </x:c>
      <x:c r="D23" s="5" t="str">
        <x:v>Все institution_id в sources и queries разрешаются; каждый источник имеет задание.</x:v>
      </x:c>
    </x:row>
    <x:row r="24" ht="25.5" customHeight="1">
      <x:c r="A24" s="5" t="str">
        <x:v>T19</x:v>
      </x:c>
      <x:c r="B24" s="5" t="str">
        <x:v>Источники и шаблоны</x:v>
      </x:c>
      <x:c r="C24" s="5" t="str">
        <x:v>Добавлены 800 запросов</x:v>
      </x:c>
      <x:c r="D24" s="5" t="str">
        <x:v>Они учитываются как запросы not_run, не как найденные каналы.</x:v>
      </x:c>
    </x:row>
    <x:row r="25" ht="25.5" customHeight="1">
      <x:c r="A25" s="5" t="str">
        <x:v>T20</x:v>
      </x:c>
      <x:c r="B25" s="5" t="str">
        <x:v>Сохранность исследования</x:v>
      </x:c>
      <x:c r="C25" s="5" t="str">
        <x:v>Выбраны 200 из большего числа</x:v>
      </x:c>
      <x:c r="D25" s="5" t="str">
        <x:v>Все исходные записи и каналы доступны; остаток находится в резерве.</x:v>
      </x:c>
    </x:row>
    <x:row r="26" ht="25.5" customHeight="1">
      <x:c r="A26" s="5" t="str">
        <x:v>T21</x:v>
      </x:c>
      <x:c r="B26" s="5" t="str">
        <x:v>Редкий источник</x:v>
      </x:c>
      <x:c r="C26" s="5" t="str">
        <x:v>Низкий приоритет долго не проверялся</x:v>
      </x:c>
      <x:c r="D26" s="5" t="str">
        <x:v>Aging и ротация возвращают его в очередь; пропуск виден.</x:v>
      </x:c>
    </x:row>
    <x:row r="27" ht="25.5" customHeight="1">
      <x:c r="A27" s="5" t="str">
        <x:v>T22</x:v>
      </x:c>
      <x:c r="B27" s="5" t="str">
        <x:v>Новый источник</x:v>
      </x:c>
      <x:c r="C27" s="5" t="str">
        <x:v>Claude нашел новый домен</x:v>
      </x:c>
      <x:c r="D27" s="5" t="str">
        <x:v>Новый source_id, URL, происхождение, дата, тип и задача; не произвольная замена старого.</x:v>
      </x:c>
    </x:row>
    <x:row r="28" ht="25.5" customHeight="1">
      <x:c r="A28" s="5" t="str">
        <x:v>T23</x:v>
      </x:c>
      <x:c r="B28" s="5" t="str">
        <x:v>Обновление файлов</x:v>
      </x:c>
      <x:c r="C28" s="5" t="str">
        <x:v>Человек изменил XLSX</x:v>
      </x:c>
      <x:c r="D28" s="5" t="str">
        <x:v>Правки переносятся по ID; JSONL не считается автоматически обновленным.</x:v>
      </x:c>
    </x:row>
    <x:row r="29" ht="25.5" customHeight="1">
      <x:c r="A29" s="5" t="str">
        <x:v>T24</x:v>
      </x:c>
      <x:c r="B29" s="5" t="str">
        <x:v>Коммуникации</x:v>
      </x:c>
      <x:c r="C29" s="5" t="str">
        <x:v>Найдена форма поставщика</x:v>
      </x:c>
      <x:c r="D29" s="5" t="str">
        <x:v>Подготовить следующий шаг, без автоматической отправки заявки.</x:v>
      </x:c>
    </x:row>
  </x:sheetData>
  <x:pageMargins left="0.7" right="0.7" top="0.75" bottom="0.75" header="0.3" footer="0.3"/>
  <x:tableParts count="1">
    <x:tablePart xmlns:r="http://schemas.openxmlformats.org/officeDocument/2006/relationships" r:id="R9f90482ad5cb45b2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890000343322754" hidden="0" customWidth="1"/>
    <x:col min="2" max="2" width="31.110000610351562" hidden="0" customWidth="1"/>
    <x:col min="3" max="3" width="123.33000183105469" hidden="0" customWidth="1"/>
  </x:cols>
  <x:sheetData>
    <x:row r="1">
      <x:c r="A1" s="2"/>
      <x:c r="B1" s="2"/>
      <x:c r="C1" s="2"/>
    </x:row>
    <x:row r="2" ht="21" customHeight="1">
      <x:c r="A2" s="3" t="str">
        <x:v>Инструкция для Claude</x:v>
      </x:c>
      <x:c r="B2" s="2"/>
      <x:c r="C2" s="2"/>
    </x:row>
    <x:row r="3" ht="19.5" customHeight="1">
      <x:c r="A3" s="4" t="str">
        <x:v>Передать XLSX и ZIP. Начать с README_CLAUDE.txt; JSONL содержит полные данные и устойчивые идентификаторы.</x:v>
      </x:c>
      <x:c r="B3" s="2"/>
      <x:c r="C3" s="2"/>
    </x:row>
    <x:row r="4">
      <x:c r="A4" s="2"/>
      <x:c r="B4" s="2"/>
      <x:c r="C4" s="2"/>
    </x:row>
    <x:row r="5" ht="31.5" customHeight="1">
      <x:c r="A5" s="9" t="str">
        <x:v>Шаг</x:v>
      </x:c>
      <x:c r="B5" s="9" t="str">
        <x:v>Действие</x:v>
      </x:c>
      <x:c r="C5" s="9" t="str">
        <x:v>Инструкция</x:v>
      </x:c>
    </x:row>
    <x:row r="6" ht="25.5" customHeight="1">
      <x:c r="A6" s="5" t="str">
        <x:v>1</x:v>
      </x:c>
      <x:c r="B6" s="5" t="str">
        <x:v>Прочитать пакет</x:v>
      </x:c>
      <x:c r="C6" s="5" t="str">
        <x:v>Начать с README_CLAUDE.txt и manifest.json. Основная выборка — 200; весь institutions.jsonl включая резерв продолжает участвовать в поиске.</x:v>
      </x:c>
    </x:row>
    <x:row r="7" ht="25.5" customHeight="1">
      <x:c r="A7" s="5" t="str">
        <x:v>2</x:v>
      </x:c>
      <x:c r="B7" s="5" t="str">
        <x:v>Сопоставить проект</x:v>
      </x:c>
      <x:c r="C7" s="5" t="str">
        <x:v>Сначала инвентаризировать существующие организации, MISB-ID, сборщики, расходы и доступы. Существующие рабочие статусы не сбрасывать.</x:v>
      </x:c>
    </x:row>
    <x:row r="8" ht="25.5" customHeight="1">
      <x:c r="A8" s="5" t="str">
        <x:v>3</x:v>
      </x:c>
      <x:c r="B8" s="5" t="str">
        <x:v>Импортировать без потерь</x:v>
      </x:c>
      <x:c r="C8" s="5" t="str">
        <x:v>Использовать institution_id, source_id и relationship_id. Все исходные записи есть в raw_research_records.jsonl; сохранены резерв и дубли маршрутов.</x:v>
      </x:c>
    </x:row>
    <x:row r="9" ht="25.5" customHeight="1">
      <x:c r="A9" s="5" t="str">
        <x:v>4</x:v>
      </x:c>
      <x:c r="B9" s="5" t="str">
        <x:v>Проверить идентичность</x:v>
      </x:c>
      <x:c r="C9" s="5" t="str">
        <x:v>Отделить старые названия и кампусы от самостоятельных центров; candidate не считать подтвержденной организацией. Типы не унифицировать в «КУ».</x:v>
      </x:c>
    </x:row>
    <x:row r="10" ht="25.5" customHeight="1">
      <x:c r="A10" s="5" t="str">
        <x:v>5</x:v>
      </x:c>
      <x:c r="B10" s="5" t="str">
        <x:v>Подключать источники</x:v>
      </x:c>
      <x:c r="C10" s="5" t="str">
        <x:v>По каждому каналу выполнить первый фактический тест, зафиксировать способ, доступ, пример, охват, пагинацию, ошибки и следующую попытку. Не заявлять готовый API без проверки.</x:v>
      </x:c>
    </x:row>
    <x:row r="11" ht="25.5" customHeight="1">
      <x:c r="A11" s="5" t="str">
        <x:v>6</x:v>
      </x:c>
      <x:c r="B11" s="5" t="str">
        <x:v>Искать сигналы</x:v>
      </x:c>
      <x:c r="C11" s="5" t="str">
        <x:v>Сначала сохранять публикации и вложения, затем выделять спрос и гипотезы. Разделять покупателя, партнера, продавца обучения и справочный адрес.</x:v>
      </x:c>
    </x:row>
    <x:row r="12" ht="25.5" customHeight="1">
      <x:c r="A12" s="5" t="str">
        <x:v>7</x:v>
      </x:c>
      <x:c r="B12" s="5" t="str">
        <x:v>Расширять</x:v>
      </x:c>
      <x:c r="C12" s="5" t="str">
        <x:v>Использовать queries и discovery_recipes, связанные компании, экспертов, прежних подрядчиков и местные языки. Каждый новый адрес сохранять, даже если похожий уже есть.</x:v>
      </x:c>
    </x:row>
    <x:row r="13" ht="25.5" customHeight="1">
      <x:c r="A13" s="5" t="str">
        <x:v>8</x:v>
      </x:c>
      <x:c r="B13" s="5" t="str">
        <x:v>Не пропускать</x:v>
      </x:c>
      <x:c r="C13" s="5" t="str">
        <x:v>Проверять пробелы, редкие отрасли, кандидатов, недоступные страницы и давние попытки. Ноль в матрице — задача поиска, не отсутствие канала.</x:v>
      </x:c>
    </x:row>
    <x:row r="14" ht="25.5" customHeight="1">
      <x:c r="A14" s="5" t="str">
        <x:v>9</x:v>
      </x:c>
      <x:c r="B14" s="5" t="str">
        <x:v>Управлять затратами</x:v>
      </x:c>
      <x:c r="C14" s="5" t="str">
        <x:v>Общий месячный предел 10 000 ₽ вместе с прежним реестром. Фактические расходы неизвестны; до платных вызовов оценить общий остаток.</x:v>
      </x:c>
    </x:row>
    <x:row r="15" ht="25.5" customHeight="1">
      <x:c r="A15" s="5" t="str">
        <x:v>10</x:v>
      </x:c>
      <x:c r="B15" s="5" t="str">
        <x:v>Возвращать результаты</x:v>
      </x:c>
      <x:c r="C15" s="5" t="str">
        <x:v>Показывать организации / каналы / наблюдения / квалифицированные возможности отдельными числами. Отчитываться о пропусках, блокировках и цене. XLSX и JSONL синхронизировать по ID.</x:v>
      </x:c>
    </x:row>
    <x:row r="18">
      <x:c r="A18" t="str">
        <x:v>Типы: corporate_university / corporate_academy / company_training_center / industry_training_center / candidate.</x:v>
      </x:c>
    </x:row>
    <x:row r="20">
      <x:c r="A20" t="str">
        <x:v>Проверка: content_read — прочитано основание; search_index — индекс / ссылка; candidate — требуется подтверждение.</x:v>
      </x:c>
    </x:row>
    <x:row r="22">
      <x:c r="A22" t="str">
        <x:v>Изменения XLSX не обновляют JSONL автоматически. Сверять по ID и фиксировать версию.</x:v>
      </x:c>
    </x:row>
    <x:row r="24">
      <x:c r="A24" t="str">
        <x:v>Развитие и подключение выполняются в действующем проекте; сам этот документ не запускает мониторинг.</x:v>
      </x:c>
    </x:row>
  </x:sheetData>
  <x:pageMargins left="0.7" right="0.7" top="0.75" bottom="0.75" header="0.3" footer="0.3"/>
  <x:tableParts count="1">
    <x:tablePart xmlns:r="http://schemas.openxmlformats.org/officeDocument/2006/relationships" r:id="R957b2760b5a14f01"/>
  </x:tableParts>
</x:worksheet>
</file>