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3a6794b73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3a74aeeb12ab4f33"/>
    <x:sheet xmlns:r="http://schemas.openxmlformats.org/officeDocument/2006/relationships" name="Действия 37" sheetId="2" r:id="R1fd05a262b0a4266"/>
    <x:sheet xmlns:r="http://schemas.openxmlformats.org/officeDocument/2006/relationships" name="Все потребности" sheetId="3" r:id="R4184b5b369604352"/>
    <x:sheet xmlns:r="http://schemas.openxmlformats.org/officeDocument/2006/relationships" name="Покупатели" sheetId="4" r:id="Rc812f9179c6f4e97"/>
    <x:sheet xmlns:r="http://schemas.openxmlformats.org/officeDocument/2006/relationships" name="Предложения МИСБ" sheetId="5" r:id="R59515d8d70e94fa5"/>
    <x:sheet xmlns:r="http://schemas.openxmlformats.org/officeDocument/2006/relationships" name="Проверки" sheetId="6" r:id="Rab43a815ce2e4218"/>
    <x:sheet xmlns:r="http://schemas.openxmlformats.org/officeDocument/2006/relationships" name="Пробы источников" sheetId="7" r:id="R91541b7d4f5840ad"/>
    <x:sheet xmlns:r="http://schemas.openxmlformats.org/officeDocument/2006/relationships" name="Поверхности" sheetId="8" r:id="R5b204f293c47470a"/>
    <x:sheet xmlns:r="http://schemas.openxmlformats.org/officeDocument/2006/relationships" name="Эффективность" sheetId="9" r:id="R4bc84f5637eb4e9d"/>
    <x:sheet xmlns:r="http://schemas.openxmlformats.org/officeDocument/2006/relationships" name="Обратная связь" sheetId="10" r:id="Ra328e13d95d04bd9"/>
    <x:sheet xmlns:r="http://schemas.openxmlformats.org/officeDocument/2006/relationships" name="Поиск" sheetId="11" r:id="R3b115ab016e648fb"/>
    <x:sheet xmlns:r="http://schemas.openxmlformats.org/officeDocument/2006/relationships" name="Пилот 14 дней" sheetId="12" r:id="Rff8bda5ed3ac4674"/>
    <x:sheet xmlns:r="http://schemas.openxmlformats.org/officeDocument/2006/relationships" name="Бюджет" sheetId="13" r:id="R9cc6139c04e249be"/>
    <x:sheet xmlns:r="http://schemas.openxmlformats.org/officeDocument/2006/relationships" name="Claude" sheetId="14" r:id="R8d913cb0c1e8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%"/>
    <x:numFmt numFmtId="202" formatCode="#,##0"/>
  </x:numFmts>
  <x:fonts count="9">
    <x:font>
      <x:sz val="11"/>
      <x:name val="Carlito"/>
    </x:font>
    <x:font>
      <x:sz val="10"/>
      <x:color rgb="FF233449"/>
      <x:name val="Arial"/>
    </x:font>
    <x:font>
      <x:b/>
      <x:sz val="16"/>
      <x:color rgb="FF203C58"/>
      <x:name val="Arial"/>
    </x:font>
    <x:font>
      <x:sz val="10"/>
      <x:color rgb="FF66768A"/>
      <x:name val="Arial"/>
    </x:font>
    <x:font>
      <x:b/>
      <x:sz val="10"/>
      <x:color rgb="FFFFFFFF"/>
      <x:name val="Arial"/>
    </x:font>
    <x:font>
      <x:b/>
      <x:sz val="16"/>
      <x:color rgb="FF233449"/>
      <x:name val="Arial"/>
    </x:font>
    <x:font>
      <x:sz val="11"/>
      <x:color rgb="FF233449"/>
      <x:name val="Arial"/>
    </x:font>
    <x:font>
      <x:b/>
      <x:sz val="18"/>
      <x:color rgb="FF203C58"/>
      <x:name val="Arial"/>
    </x:font>
    <x:font>
      <x:b/>
      <x:sz val="11"/>
      <x:color rgb="FF23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C58"/>
      </x:patternFill>
    </x:fill>
    <x:fill>
      <x:patternFill patternType="solid">
        <x:fgColor rgb="FFFFF1C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4c28ba3d14a8a" /><Relationship Type="http://schemas.openxmlformats.org/officeDocument/2006/relationships/theme" Target="/xl/theme/theme1.xml" Id="R1b4dc770a7c84297" /><Relationship Type="http://schemas.openxmlformats.org/officeDocument/2006/relationships/sharedStrings" Target="/xl/sharedStrings.xml" Id="Ree953036790547ee" /><Relationship Type="http://schemas.openxmlformats.org/officeDocument/2006/relationships/worksheet" Target="/xl/worksheets/sheet1.xml" Id="R3a74aeeb12ab4f33" /><Relationship Type="http://schemas.openxmlformats.org/officeDocument/2006/relationships/worksheet" Target="/xl/worksheets/sheet2.xml" Id="R1fd05a262b0a4266" /><Relationship Type="http://schemas.openxmlformats.org/officeDocument/2006/relationships/worksheet" Target="/xl/worksheets/sheet3.xml" Id="R4184b5b369604352" /><Relationship Type="http://schemas.openxmlformats.org/officeDocument/2006/relationships/worksheet" Target="/xl/worksheets/sheet4.xml" Id="Rc812f9179c6f4e97" /><Relationship Type="http://schemas.openxmlformats.org/officeDocument/2006/relationships/worksheet" Target="/xl/worksheets/sheet5.xml" Id="R59515d8d70e94fa5" /><Relationship Type="http://schemas.openxmlformats.org/officeDocument/2006/relationships/worksheet" Target="/xl/worksheets/sheet6.xml" Id="Rab43a815ce2e4218" /><Relationship Type="http://schemas.openxmlformats.org/officeDocument/2006/relationships/worksheet" Target="/xl/worksheets/sheet7.xml" Id="R91541b7d4f5840ad" /><Relationship Type="http://schemas.openxmlformats.org/officeDocument/2006/relationships/worksheet" Target="/xl/worksheets/sheet8.xml" Id="R5b204f293c47470a" /><Relationship Type="http://schemas.openxmlformats.org/officeDocument/2006/relationships/worksheet" Target="/xl/worksheets/sheet9.xml" Id="R4bc84f5637eb4e9d" /><Relationship Type="http://schemas.openxmlformats.org/officeDocument/2006/relationships/worksheet" Target="/xl/worksheets/sheet10.xml" Id="Ra328e13d95d04bd9" /><Relationship Type="http://schemas.openxmlformats.org/officeDocument/2006/relationships/worksheet" Target="/xl/worksheets/sheet11.xml" Id="R3b115ab016e648fb" /><Relationship Type="http://schemas.openxmlformats.org/officeDocument/2006/relationships/worksheet" Target="/xl/worksheets/sheet12.xml" Id="Rff8bda5ed3ac4674" /><Relationship Type="http://schemas.openxmlformats.org/officeDocument/2006/relationships/worksheet" Target="/xl/worksheets/sheet13.xml" Id="R9cc6139c04e249be" /><Relationship Type="http://schemas.openxmlformats.org/officeDocument/2006/relationships/worksheet" Target="/xl/worksheets/sheet14.xml" Id="R8d913cb0c1e84639" /></Relationships>
</file>

<file path=xl/tables/table1.xml><?xml version="1.0" encoding="utf-8"?>
<x:table xmlns:x="http://schemas.openxmlformats.org/spreadsheetml/2006/main" id="1" name="Actions" displayName="Actions" ref="A5:O42" headerRowCount="1" totalsRowCount="0" totalsRowShown="0">
  <x:tableColumns count="15">
    <x:tableColumn id="1" name="Потребность ID"/>
    <x:tableColumn id="2" name="Тема"/>
    <x:tableColumn id="3" name="Очередь"/>
    <x:tableColumn id="4" name="Следующее действие"/>
    <x:tableColumn id="5" name="Намерение купить"/>
    <x:tableColumn id="6" name="Профиль МИСБ"/>
    <x:tableColumn id="7" name="Сроки"/>
    <x:tableColumn id="8" name="Доступ к покупателю"/>
    <x:tableColumn id="9" name="Свидетельство"/>
    <x:tableColumn id="10" name="Срок предложения"/>
    <x:tableColumn id="11" name="Конец события"/>
    <x:tableColumn id="12" name="Предложение — гипотеза"/>
    <x:tableColumn id="13" name="Что спросить"/>
    <x:tableColumn id="14" name="Контактный маршрут"/>
    <x:tableColumn id="15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Needs" displayName="AllNeeds" ref="A5:L196" headerRowCount="1" totalsRowCount="0" totalsRowShown="0">
  <x:tableColumns count="12">
    <x:tableColumn id="1" name="ID"/>
    <x:tableColumn id="2" name="Тема"/>
    <x:tableColumn id="3" name="Покупатель ID"/>
    <x:tableColumn id="4" name="Очередь"/>
    <x:tableColumn id="5" name="Тип намерения"/>
    <x:tableColumn id="6" name="Профиль"/>
    <x:tableColumn id="7" name="Публикация — ранее"/>
    <x:tableColumn id="8" name="Дата события — текст"/>
    <x:tableColumn id="9" name="Срок"/>
    <x:tableColumn id="10" name="Проверка v6"/>
    <x:tableColumn id="11" name="Примечание"/>
    <x:tableColumn id="12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yers" displayName="Buyers" ref="A5:G179" headerRowCount="1" totalsRowCount="0" totalsRowShown="0">
  <x:tableColumns count="7">
    <x:tableColumn id="1" name="Покупатель ID"/>
    <x:tableColumn id="2" name="Название — исходное"/>
    <x:tableColumn id="3" name="Идентификация"/>
    <x:tableColumn id="4" name="Потребности ID"/>
    <x:tableColumn id="5" name="Публичные контакты"/>
    <x:tableColumn id="6" name="Задача разрешения"/>
    <x:tableColumn id="7" name="Источник контакта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ffers" displayName="Offers" ref="A5:F24" headerRowCount="1" totalsRowCount="0" totalsRowShown="0">
  <x:tableColumns count="6">
    <x:tableColumn id="1" name="Код v6"/>
    <x:tableColumn id="2" name="Тема — кратко"/>
    <x:tableColumn id="3" name="Код каталога"/>
    <x:tableColumn id="4" name="Аудитория"/>
    <x:tableColumn id="5" name="Готовность исполнить"/>
    <x:tableColumn id="6" name="Официальный источни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ecks" displayName="Checks" ref="A5:H42" headerRowCount="1" totalsRowCount="0" totalsRowShown="0">
  <x:tableColumns count="8">
    <x:tableColumn id="1" name="Проверка ID"/>
    <x:tableColumn id="2" name="Потребность ID"/>
    <x:tableColumn id="3" name="Результат чтения"/>
    <x:tableColumn id="4" name="Примечание"/>
    <x:tableColumn id="5" name="Попыток"/>
    <x:tableColumn id="6" name="Дата проверки"/>
    <x:tableColumn id="7" name="URL"/>
    <x:tableColumn id="8" name="Дополнительное свидетельство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bes" displayName="Probes" ref="A5:E17" headerRowCount="1" totalsRowCount="0" totalsRowShown="0">
  <x:tableColumns count="5">
    <x:tableColumn id="1" name="Источник ID"/>
    <x:tableColumn id="2" name="Результат"/>
    <x:tableColumn id="3" name="Что обнаружено / ограничение"/>
    <x:tableColumn id="4" name="URL"/>
    <x:tableColumn id="5" name="Дат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rfaces" displayName="Surfaces" ref="A5:H203" headerRowCount="1" totalsRowCount="0" totalsRowShown="0">
  <x:tableColumns count="8">
    <x:tableColumn id="1" name="Источник ID"/>
    <x:tableColumn id="2" name="Название"/>
    <x:tableColumn id="3" name="Поверхность"/>
    <x:tableColumn id="4" name="Состояние доступа"/>
    <x:tableColumn id="5" name="Охват 14 дней"/>
    <x:tableColumn id="6" name="Входной URL"/>
    <x:tableColumn id="7" name="Точный URL"/>
    <x:tableColumn id="8" name="Следующее действ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rformance" displayName="Performance" ref="A5:N141" headerRowCount="1" totalsRowCount="0" totalsRowShown="0">
  <x:tableColumns count="14">
    <x:tableColumn id="1" name="Источник ID"/>
    <x:tableColumn id="2" name="Название"/>
    <x:tableColumn id="3" name="В пилоте"/>
    <x:tableColumn id="4" name="Исторических наблюдений"/>
    <x:tableColumn id="5" name="Новых наблюдений"/>
    <x:tableColumn id="6" name="Уникальных возможностей"/>
    <x:tableColumn id="7" name="Квалифицированных"/>
    <x:tableColumn id="8" name="Подтверждений покупателя"/>
    <x:tableColumn id="9" name="Заказов"/>
    <x:tableColumn id="10" name="Расход, ₽"/>
    <x:tableColumn id="11" name="Время, мин"/>
    <x:tableColumn id="12" name="₽ / квалифицированную"/>
    <x:tableColumn id="13" name="Мин / квалифицированную"/>
    <x:tableColumn id="14" name="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eedback" displayName="Feedback" ref="A5:M196" headerRowCount="1" totalsRowCount="0" totalsRowShown="0">
  <x:tableColumns count="13">
    <x:tableColumn id="1" name="Потребность ID"/>
    <x:tableColumn id="2" name="Ответственный"/>
    <x:tableColumn id="3" name="Стадия"/>
    <x:tableColumn id="4" name="Тема подходит"/>
    <x:tableColumn id="5" name="Можем исполнить"/>
    <x:tableColumn id="6" name="Запрос открыт"/>
    <x:tableColumn id="7" name="Покупатель достижим"/>
    <x:tableColumn id="8" name="Доказательств достаточно"/>
    <x:tableColumn id="9" name="Квалифицирована"/>
    <x:tableColumn id="10" name="Покупатель подтвердил"/>
    <x:tableColumn id="11" name="Дата / доказательство"/>
    <x:tableColumn id="12" name="Причина потери"/>
    <x:tableColumn id="13" name="Следующий шаг / дата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ueries" displayName="Queries" ref="A5:G149" headerRowCount="1" totalsRowCount="0" totalsRowShown="0">
  <x:tableColumns count="7">
    <x:tableColumn id="1" name="Запрос ID"/>
    <x:tableColumn id="2" name="Страна"/>
    <x:tableColumn id="3" name="Роль"/>
    <x:tableColumn id="4" name="Тип сигнала"/>
    <x:tableColumn id="5" name="Запрос"/>
    <x:tableColumn id="6" name="Окно, дней"/>
    <x:tableColumn id="7" name="Стату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ilot" displayName="Pilot" ref="A5:E20" headerRowCount="1" totalsRowCount="0" totalsRowShown="0">
  <x:tableColumns count="5">
    <x:tableColumn id="1" name="День"/>
    <x:tableColumn id="2" name="Задача"/>
    <x:tableColumn id="3" name="Критерий выполнения"/>
    <x:tableColumn id="4" name="Статус"/>
    <x:tableColumn id="5" name="Ответственный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uide" displayName="Guide" ref="A5:B14" headerRowCount="1" totalsRowCount="0" totalsRowShown="0">
  <x:tableColumns count="2">
    <x:tableColumn id="1" name="Раздел"/>
    <x:tableColumn id="2" name="Инструкц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43e2d541e542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8c4babdf154e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75d68825e642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f2de1d986c4b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110d9f593b4e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4f291ea9d04a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79ae1a56154d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57466993f74f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27e9d26909c48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ac648a31d3a43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0b5f0d51cca4c8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e46d9e4f9b1f46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33000183105469" hidden="0" customWidth="1"/>
    <x:col min="2" max="2" width="18.889999389648438" hidden="0" customWidth="1"/>
    <x:col min="3" max="3" width="4.440000057220459" hidden="0" customWidth="1"/>
    <x:col min="4" max="4" width="73.33000183105469" hidden="0" customWidth="1"/>
    <x:col min="5" max="5" width="11.109999656677246" hidden="0" customWidth="1"/>
  </x:cols>
  <x:sheetData>
    <x:row r="1">
      <x:c r="A1" s="21"/>
      <x:c r="B1" s="21"/>
      <x:c r="C1" s="21"/>
      <x:c r="D1" s="21"/>
      <x:c r="E1" s="21"/>
    </x:row>
    <x:row r="2" ht="28.5" customHeight="1">
      <x:c r="A2" s="22" t="str">
        <x:v>МИСБ • возможности и сигналы v6</x:v>
      </x:c>
      <x:c r="B2" s="21"/>
      <x:c r="C2" s="21"/>
      <x:c r="D2" s="21"/>
      <x:c r="E2" s="21"/>
    </x:row>
    <x:row r="3">
      <x:c r="A3" s="21" t="str">
        <x:v>Срез 01.10.2026 • полная история v5 сохранена в ZIP</x:v>
      </x:c>
      <x:c r="B3" s="21"/>
      <x:c r="C3" s="21"/>
      <x:c r="D3" s="21"/>
      <x:c r="E3" s="21"/>
    </x:row>
    <x:row r="4">
      <x:c r="A4" s="21"/>
      <x:c r="B4" s="21"/>
      <x:c r="C4" s="21"/>
      <x:c r="D4" s="21"/>
      <x:c r="E4" s="21"/>
    </x:row>
    <x:row r="5">
      <x:c r="A5" s="21"/>
      <x:c r="B5" s="21"/>
      <x:c r="C5" s="21"/>
      <x:c r="D5" s="21"/>
      <x:c r="E5" s="21"/>
    </x:row>
    <x:row r="6" ht="42.75" customHeight="1">
      <x:c r="A6" s="21" t="str">
        <x:v>Сохранено потребностей</x:v>
      </x:c>
      <x:c r="B6" s="21" t="n">
        <x:f>COUNTA('Все потребности'!A6:A196)</x:f>
        <x:v>191</x:v>
      </x:c>
      <x:c r="C6" s="21"/>
      <x:c r="D6" s="24" t="str">
        <x:v>Что использовать первым</x:v>
      </x:c>
      <x:c r="E6" s="21"/>
    </x:row>
    <x:row r="7" ht="42.75" customHeight="1">
      <x:c r="A7" s="21" t="str">
        <x:v>Записей покупателей</x:v>
      </x:c>
      <x:c r="B7" s="21" t="n">
        <x:f>COUNTA('Покупатели'!A6:A179)</x:f>
        <x:v>174</x:v>
      </x:c>
      <x:c r="C7" s="21"/>
      <x:c r="D7" s="23" t="str">
        <x:v>37 карточек получили актуальные исследовательские очереди и следующие действия.</x:v>
      </x:c>
      <x:c r="E7" s="21"/>
    </x:row>
    <x:row r="8" ht="42.75" customHeight="1">
      <x:c r="A8" s="21" t="str">
        <x:v>Карточек повторно проверено</x:v>
      </x:c>
      <x:c r="B8" s="21" t="n">
        <x:f>COUNTA('Действия 37'!A6:A42)</x:f>
        <x:v>37</x:v>
      </x:c>
      <x:c r="C8" s="21"/>
      <x:c r="D8" s="23" t="str">
        <x:v>19 семейств предложений помогают сопоставить запрос с каталогом МИСБ.</x:v>
      </x:c>
      <x:c r="E8" s="21"/>
    </x:row>
    <x:row r="9" ht="42.75" customHeight="1">
      <x:c r="A9" s="21" t="str">
        <x:v>Прочитано описаний / кратких анонсов</x:v>
      </x:c>
      <x:c r="B9" s="21" t="n">
        <x:v>25</x:v>
      </x:c>
      <x:c r="C9" s="21"/>
      <x:c r="D9" s="23" t="str">
        <x:v>198 задач по поверхностям: ленты, комментарии, вложения, партнерские страницы, авторы, первоисточники.</x:v>
      </x:c>
      <x:c r="E9" s="21"/>
    </x:row>
    <x:row r="10" ht="42.75" customHeight="1">
      <x:c r="A10" s="21" t="str">
        <x:v>Ошибок чтения после повтора</x:v>
      </x:c>
      <x:c r="B10" s="21" t="n">
        <x:v>11</x:v>
      </x:c>
      <x:c r="C10" s="21"/>
      <x:c r="D10" s="23" t="str">
        <x:v>136 карточек эффективности разделяют прежние находки и будущие результаты пилота.</x:v>
      </x:c>
      <x:c r="E10" s="21"/>
    </x:row>
    <x:row r="11" ht="42.75" customHeight="1">
      <x:c r="A11" s="21" t="str">
        <x:v>Общая страница вместо заказа</x:v>
      </x:c>
      <x:c r="B11" s="21" t="n">
        <x:v>1</x:v>
      </x:c>
      <x:c r="C11" s="21"/>
      <x:c r="D11" s="23" t="str">
        <x:v>144 поисковых шаблона и 864 цели охвата еще требуют исполнения.</x:v>
      </x:c>
      <x:c r="E11" s="21"/>
    </x:row>
    <x:row r="12" ht="42.75" customHeight="1">
      <x:c r="A12" s="21" t="str">
        <x:v>Проб источников</x:v>
      </x:c>
      <x:c r="B12" s="21" t="n">
        <x:v>12</x:v>
      </x:c>
      <x:c r="C12" s="21"/>
      <x:c r="D12" s="23" t="str">
        <x:v>КУ Приморья: вероятно завершенная программа; Private Banking: конфликт дат.</x:v>
      </x:c>
      <x:c r="E12" s="21"/>
    </x:row>
    <x:row r="13" ht="42.75" customHeight="1">
      <x:c r="A13" s="21" t="str">
        <x:v>Маршрутов в предлагаемом пилоте</x:v>
      </x:c>
      <x:c r="B13" s="21" t="n">
        <x:f>COUNTIF('Эффективность'!C6:C141,"Да")</x:f>
        <x:v>33</x:v>
      </x:c>
      <x:c r="C13" s="21"/>
      <x:c r="D13" s="23" t="str">
        <x:v>Пилот подготовлен. Дата старта, расписание и фактический бюджет не заданы.</x:v>
      </x:c>
      <x:c r="E13" s="21"/>
    </x:row>
    <x:row r="14" ht="25.5" customHeight="1">
      <x:c r="A14" s="21" t="str">
        <x:v>Новых подтверждений покупателей</x:v>
      </x:c>
      <x:c r="B14" s="21" t="n">
        <x:v>0</x:v>
      </x:c>
      <x:c r="C14" s="21"/>
      <x:c r="D14" s="21"/>
      <x:c r="E14" s="21"/>
    </x:row>
    <x:row r="15" ht="25.5" customHeight="1">
      <x:c r="A15" s="21" t="str">
        <x:v>Результат «10x»</x:v>
      </x:c>
      <x:c r="B15" s="21" t="str">
        <x:v>Не измерен</x:v>
      </x:c>
      <x:c r="C15" s="21"/>
      <x:c r="D15" s="21"/>
      <x:c r="E15" s="21"/>
    </x:row>
    <x:row r="16">
      <x:c r="A16" s="21"/>
      <x:c r="B16" s="21"/>
      <x:c r="C16" s="21"/>
      <x:c r="D16" s="21"/>
      <x:c r="E16" s="21"/>
    </x:row>
    <x:row r="17">
      <x:c r="A17" s="21"/>
      <x:c r="B17" s="21"/>
      <x:c r="C17" s="21"/>
      <x:c r="D17" s="21"/>
      <x:c r="E17" s="21"/>
    </x:row>
    <x:row r="18" ht="23.25" customHeight="1">
      <x:c r="A18" s="21" t="str">
        <x:v>Сохранено 316 файлов v5; старые статусы и дубли остаются доступными.</x:v>
      </x:c>
      <x:c r="B18" s="21"/>
      <x:c r="C18" s="21"/>
      <x:c r="D18" s="21"/>
      <x:c r="E18" s="21"/>
    </x:row>
    <x:row r="19" ht="23.25" customHeight="1">
      <x:c r="A19" s="21"/>
      <x:c r="B19" s="21"/>
      <x:c r="C19" s="21"/>
      <x:c r="D19" s="21"/>
      <x:c r="E19" s="21"/>
    </x:row>
    <x:row r="20" ht="23.25" customHeight="1">
      <x:c r="A20" s="21" t="str">
        <x:v>Все карточки требуют человеческой проверки перед коммерческим предложением.</x:v>
      </x:c>
      <x:c r="B20" s="21"/>
      <x:c r="C20" s="21"/>
      <x:c r="D20" s="21"/>
      <x:c r="E20" s="21"/>
    </x:row>
    <x:row r="21" ht="23.25" customHeight="1">
      <x:c r="A21" s="21"/>
      <x:c r="B21" s="21"/>
      <x:c r="C21" s="21"/>
      <x:c r="D21" s="21"/>
      <x:c r="E21" s="21"/>
    </x:row>
    <x:row r="22" ht="23.25" customHeight="1">
      <x:c r="A22" s="21" t="str">
        <x:v>Широкий каталог — в v5/. Эта книга предназначена для действий и оценки результатов.</x:v>
      </x:c>
      <x:c r="B22" s="21"/>
      <x:c r="C22" s="21"/>
      <x:c r="D22" s="21"/>
      <x:c r="E22" s="21"/>
    </x:row>
    <x:row r="23" ht="23.25" customHeight="1">
      <x:c r="A23" s="21"/>
      <x:c r="B23" s="21"/>
      <x:c r="C23" s="21"/>
      <x:c r="D23" s="21"/>
      <x:c r="E23" s="21"/>
    </x:row>
    <x:row r="24" ht="23.25" customHeight="1">
      <x:c r="A24" s="21" t="str">
        <x:v>Бюджет: общий предел 10 000 ₽/месяц, а не отдельный бюджет на каждый канал.</x:v>
      </x:c>
      <x:c r="B24" s="21"/>
      <x:c r="C24" s="21"/>
      <x:c r="D24" s="21"/>
      <x:c r="E24" s="21"/>
    </x:row>
    <x:row r="25">
      <x:c r="A25" s="21"/>
      <x:c r="B25" s="21"/>
      <x:c r="C25" s="21"/>
      <x:c r="D25" s="21"/>
      <x:c r="E25" s="21"/>
    </x:row>
    <x:row r="26">
      <x:c r="A26" s="21"/>
      <x:c r="B26" s="21"/>
      <x:c r="C26" s="21"/>
      <x:c r="D26" s="21"/>
      <x:c r="E26" s="2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.890000343322754" hidden="0" customWidth="1"/>
    <x:col min="2" max="2" width="37.779998779296875" hidden="0" customWidth="1"/>
    <x:col min="3" max="3" width="22.780000686645508" hidden="0" customWidth="1"/>
    <x:col min="4" max="4" width="48.88999938964844" hidden="0" customWidth="1"/>
    <x:col min="5" max="5" width="23.889999389648438" hidden="0" customWidth="1"/>
    <x:col min="6" max="6" width="17.219999313354492" hidden="0" customWidth="1"/>
    <x:col min="7" max="7" width="22.780000686645508" hidden="0" customWidth="1"/>
    <x:col min="8" max="8" width="26.110000610351562" hidden="0" customWidth="1"/>
    <x:col min="9" max="9" width="27.219999313354492" hidden="0" customWidth="1"/>
    <x:col min="10" max="10" width="16.670000076293945" hidden="0" customWidth="1"/>
    <x:col min="11" max="11" width="16.670000076293945" hidden="0" customWidth="1"/>
    <x:col min="12" max="12" width="46.66999816894531" hidden="0" customWidth="1"/>
    <x:col min="13" max="13" width="44.439998626708984" hidden="0" customWidth="1"/>
    <x:col min="14" max="14" width="44.439998626708984" hidden="0" customWidth="1"/>
    <x:col min="15" max="15" width="55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37 повторно проверенных карточек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.5" customHeight="1">
      <x:c r="A3" s="4" t="str">
        <x:v>Ни одна карточка еще не подтверждена покупателем. Следующее действие учитывает ограничения и сроки.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3.75" customHeight="1">
      <x:c r="A5" s="7" t="str">
        <x:v>Потребность ID</x:v>
      </x:c>
      <x:c r="B5" s="7" t="str">
        <x:v>Тема</x:v>
      </x:c>
      <x:c r="C5" s="7" t="str">
        <x:v>Очередь</x:v>
      </x:c>
      <x:c r="D5" s="7" t="str">
        <x:v>Следующее действие</x:v>
      </x:c>
      <x:c r="E5" s="7" t="str">
        <x:v>Намерение купить</x:v>
      </x:c>
      <x:c r="F5" s="7" t="str">
        <x:v>Профиль МИСБ</x:v>
      </x:c>
      <x:c r="G5" s="7" t="str">
        <x:v>Сроки</x:v>
      </x:c>
      <x:c r="H5" s="7" t="str">
        <x:v>Доступ к покупателю</x:v>
      </x:c>
      <x:c r="I5" s="7" t="str">
        <x:v>Свидетельство</x:v>
      </x:c>
      <x:c r="J5" s="7" t="str">
        <x:v>Срок предложения</x:v>
      </x:c>
      <x:c r="K5" s="7" t="str">
        <x:v>Конец события</x:v>
      </x:c>
      <x:c r="L5" s="7" t="str">
        <x:v>Предложение — гипотеза</x:v>
      </x:c>
      <x:c r="M5" s="7" t="str">
        <x:v>Что спросить</x:v>
      </x:c>
      <x:c r="N5" s="7" t="str">
        <x:v>Контактный маршрут</x:v>
      </x:c>
      <x:c r="O5" s="7" t="str">
        <x:v>URL</x:v>
      </x:c>
    </x:row>
    <x:row r="6" ht="34.5" customHeight="1">
      <x:c r="A6" s="8" t="str">
        <x:v>FD-N008</x:v>
      </x:c>
      <x:c r="B6" s="8" t="str">
        <x:v>Private Banking: обучение работе с клиентами</x:v>
      </x:c>
      <x:c r="C6" s="8" t="str">
        <x:v>Срочно проверить слот</x:v>
      </x:c>
      <x:c r="D6" s="8" t="str">
        <x:v>Сначала проверить свободный слот и доступность профильного эксперта; не обещать проведение до подтверждения.</x:v>
      </x:c>
      <x:c r="E6" s="8" t="str">
        <x:v>explicit_training_request</x:v>
      </x:c>
      <x:c r="F6" s="8" t="str">
        <x:v>adjacent</x:v>
      </x:c>
      <x:c r="G6" s="8" t="str">
        <x:v>date_conflict_urgent</x:v>
      </x:c>
      <x:c r="H6" s="8" t="str">
        <x:v>platform_reply_route_unverified</x:v>
      </x:c>
      <x:c r="I6" s="8" t="str">
        <x:v>request_body_read</x:v>
      </x:c>
      <x:c r="J6" s="8" t="str">
        <x:v>2026-10-18</x:v>
      </x:c>
      <x:c r="K6" s="8" t="str">
        <x:v>2026-10-02</x:v>
      </x:c>
      <x:c r="L6" s="8" t="str">
        <x:v>Практикум обслуживания состоятельных клиентов при наличии профильного эксперта</x:v>
      </x:c>
      <x:c r="M6" s="8" t="str">
        <x:v>Сохранилась ли потребность на 2 октября? Возможен перенос? Какой профиль клиентов?</x:v>
      </x:c>
      <x:c r="N6" s="8" t="str">
        <x:v>Кнопка «Откликнуться» на карточке; доступ к контакту уточнить в аккаунте площадки.</x:v>
      </x:c>
      <x:c r="O6" s="8" t="str">
        <x:v>https://hrtime.ru/proekt/trening-taktika-i-strategiia-raboty-s-private-banking-klientami-174313/</x:v>
      </x:c>
    </x:row>
    <x:row r="7" ht="34.5" customHeight="1">
      <x:c r="A7" s="8" t="str">
        <x:v>FD-N021</x:v>
      </x:c>
      <x:c r="B7" s="8" t="str">
        <x:v>№2637 — эксперт по качеству и ОТК</x:v>
      </x:c>
      <x:c r="C7" s="8" t="str">
        <x:v>Срочно проверить слот</x:v>
      </x:c>
      <x:c r="D7" s="8" t="str">
        <x:v>Уточнить остаточный слот; при закрытии сохранить организатора для следующих программ.</x:v>
      </x:c>
      <x:c r="E7" s="8" t="str">
        <x:v>paid_or_unspecified_expert_call</x:v>
      </x:c>
      <x:c r="F7" s="8" t="str">
        <x:v>core</x:v>
      </x:c>
      <x:c r="G7" s="8" t="str">
        <x:v>event_in_progress</x:v>
      </x:c>
      <x:c r="H7" s="8" t="str">
        <x:v>platform_restricted</x:v>
      </x:c>
      <x:c r="I7" s="8" t="str">
        <x:v>public_teaser_restricted</x:v>
      </x:c>
      <x:c r="J7" s="8"/>
      <x:c r="K7" s="8" t="str">
        <x:v>2026-10-02</x:v>
      </x:c>
      <x:c r="L7" s="8" t="str">
        <x:v>Экспертное занятие для руководителей качества</x:v>
      </x:c>
      <x:c r="M7" s="8" t="str">
        <x:v>Остался ли незакрытый слот? Какой блок нужен? Будут ли следующие потоки?</x:v>
      </x:c>
      <x:c r="N7" s="8" t="str">
        <x:v>https://boosty.to/bestspeakers ; https://projectexperts.ru/user/bestspeakers/ — конечный контакт закрыт</x:v>
      </x:c>
      <x:c r="O7" s="8" t="str">
        <x:v>https://projectexperts.ru/poisk-spikera-%E2%84%962637-est-gonorar/</x:v>
      </x:c>
    </x:row>
    <x:row r="8" ht="34.5" customHeight="1">
      <x:c r="A8" s="8" t="str">
        <x:v>FD-N006</x:v>
      </x:c>
      <x:c r="B8" s="8" t="str">
        <x:v>Очный тренинг по массовому подбору</x:v>
      </x:c>
      <x:c r="C8" s="8" t="str">
        <x:v>Квалифицировать запрос</x:v>
      </x:c>
      <x:c r="D8" s="8" t="str">
        <x:v>Подтвердить задачу, покупателя, сроки, бюджет и требования к провайдеру.</x:v>
      </x:c>
      <x:c r="E8" s="8" t="str">
        <x:v>explicit_training_request</x:v>
      </x:c>
      <x:c r="F8" s="8" t="str">
        <x:v>core</x:v>
      </x:c>
      <x:c r="G8" s="8" t="str">
        <x:v>dated_deadline</x:v>
      </x:c>
      <x:c r="H8" s="8" t="str">
        <x:v>platform_reply_route_unverified</x:v>
      </x:c>
      <x:c r="I8" s="8" t="str">
        <x:v>request_body_read</x:v>
      </x:c>
      <x:c r="J8" s="8" t="str">
        <x:v>2026-10-19</x:v>
      </x:c>
      <x:c r="K8" s="8"/>
      <x:c r="L8" s="8" t="str">
        <x:v>Тренинг рекрутеров с разбором собственной воронки и критериев отбора</x:v>
      </x:c>
      <x:c r="M8" s="8" t="str">
        <x:v>Какие регионы? Число рекрутеров? Где проблема: воронка, качество найма или адаптация?</x:v>
      </x:c>
      <x:c r="N8" s="8" t="str">
        <x:v>Кнопка «Откликнуться» на карточке; доступ к контакту уточнить в аккаунте площадки.</x:v>
      </x:c>
      <x:c r="O8" s="8" t="str">
        <x:v>https://hrtime.ru/proekt/trening-po-massovomu-podboru-174432/</x:v>
      </x:c>
    </x:row>
    <x:row r="9" ht="34.5" customHeight="1">
      <x:c r="A9" s="8" t="str">
        <x:v>FD-N009</x:v>
      </x:c>
      <x:c r="B9" s="8" t="str">
        <x:v>Девять руководителей: устойчивость в конфликтах</x:v>
      </x:c>
      <x:c r="C9" s="8" t="str">
        <x:v>Квалифицировать запрос</x:v>
      </x:c>
      <x:c r="D9" s="8" t="str">
        <x:v>Подтвердить задачу, покупателя, сроки, бюджет и требования к провайдеру.</x:v>
      </x:c>
      <x:c r="E9" s="8" t="str">
        <x:v>explicit_training_request</x:v>
      </x:c>
      <x:c r="F9" s="8" t="str">
        <x:v>core</x:v>
      </x:c>
      <x:c r="G9" s="8" t="str">
        <x:v>dated_deadline</x:v>
      </x:c>
      <x:c r="H9" s="8" t="str">
        <x:v>platform_reply_route_unverified</x:v>
      </x:c>
      <x:c r="I9" s="8" t="str">
        <x:v>request_body_read</x:v>
      </x:c>
      <x:c r="J9" s="8" t="str">
        <x:v>2026-10-10</x:v>
      </x:c>
      <x:c r="K9" s="8"/>
      <x:c r="L9" s="8" t="str">
        <x:v>Один день практики плюс встреча по применению навыков</x:v>
      </x:c>
      <x:c r="M9" s="8" t="str">
        <x:v>Какие конфликты? Каким будет измеримый результат? Нужен ли контроль через месяц?</x:v>
      </x:c>
      <x:c r="N9" s="8" t="str">
        <x:v>Кнопка «Откликнуться» на карточке; доступ к контакту уточнить в аккаунте площадки.</x:v>
      </x:c>
      <x:c r="O9" s="8" t="str">
        <x:v>https://hrtime.ru/proekt/trening-po-ustoychivosti-v-konfliktakh-174332/</x:v>
      </x:c>
    </x:row>
    <x:row r="10" ht="34.5" customHeight="1">
      <x:c r="A10" s="8" t="str">
        <x:v>FD-N010</x:v>
      </x:c>
      <x:c r="B10" s="8" t="str">
        <x:v>Молодой руководитель: управленческие навыки</x:v>
      </x:c>
      <x:c r="C10" s="8" t="str">
        <x:v>Квалифицировать запрос</x:v>
      </x:c>
      <x:c r="D10" s="8" t="str">
        <x:v>Подтвердить задачу, покупателя, сроки, бюджет и требования к провайдеру.</x:v>
      </x:c>
      <x:c r="E10" s="8" t="str">
        <x:v>explicit_training_request</x:v>
      </x:c>
      <x:c r="F10" s="8" t="str">
        <x:v>core</x:v>
      </x:c>
      <x:c r="G10" s="8" t="str">
        <x:v>dated_deadline</x:v>
      </x:c>
      <x:c r="H10" s="8" t="str">
        <x:v>platform_reply_route_unverified</x:v>
      </x:c>
      <x:c r="I10" s="8" t="str">
        <x:v>request_body_read</x:v>
      </x:c>
      <x:c r="J10" s="8" t="str">
        <x:v>2026-10-15</x:v>
      </x:c>
      <x:c r="K10" s="8"/>
      <x:c r="L10" s="8" t="str">
        <x:v>Короткая программа: постановка задач, делегирование, обратная связь</x:v>
      </x:c>
      <x:c r="M10" s="8" t="str">
        <x:v>Какие первые управленческие задачи? Возможен индивидуальный онлайн-формат?</x:v>
      </x:c>
      <x:c r="N10" s="8" t="str">
        <x:v>Кнопка «Откликнуться» на карточке; доступ к контакту уточнить в аккаунте площадки.</x:v>
      </x:c>
      <x:c r="O10" s="8" t="str">
        <x:v>https://hrtime.ru/proekt/trening-po-upravlencheskim-navykam-174316/</x:v>
      </x:c>
    </x:row>
    <x:row r="11" ht="34.5" customHeight="1">
      <x:c r="A11" s="8" t="str">
        <x:v>FD-N011</x:v>
      </x:c>
      <x:c r="B11" s="8" t="str">
        <x:v>Проектная компания: руководители и командная работа</x:v>
      </x:c>
      <x:c r="C11" s="8" t="str">
        <x:v>Квалифицировать запрос</x:v>
      </x:c>
      <x:c r="D11" s="8" t="str">
        <x:v>Подтвердить задачу, покупателя, сроки, бюджет и требования к провайдеру.</x:v>
      </x:c>
      <x:c r="E11" s="8" t="str">
        <x:v>explicit_training_request</x:v>
      </x:c>
      <x:c r="F11" s="8" t="str">
        <x:v>core</x:v>
      </x:c>
      <x:c r="G11" s="8" t="str">
        <x:v>dated_deadline</x:v>
      </x:c>
      <x:c r="H11" s="8" t="str">
        <x:v>platform_reply_route_unverified</x:v>
      </x:c>
      <x:c r="I11" s="8" t="str">
        <x:v>request_body_read</x:v>
      </x:c>
      <x:c r="J11" s="8" t="str">
        <x:v>2026-10-15</x:v>
      </x:c>
      <x:c r="K11" s="8"/>
      <x:c r="L11" s="8" t="str">
        <x:v>Две программы: управление и межфункциональное сотрудничество</x:v>
      </x:c>
      <x:c r="M11" s="8" t="str">
        <x:v>Разделены ли цели двух программ? Требуется учебный формат или развлекательное мероприятие?</x:v>
      </x:c>
      <x:c r="N11" s="8" t="str">
        <x:v>Кнопка «Откликнуться» на карточке; доступ к контакту уточнить в аккаунте площадки.</x:v>
      </x:c>
      <x:c r="O11" s="8" t="str">
        <x:v>https://hrtime.ru/proekt/trening-dlia-rukovoditeley-i-po-komandoobrazovaniiu-174289/</x:v>
      </x:c>
    </x:row>
    <x:row r="12" ht="34.5" customHeight="1">
      <x:c r="A12" s="8" t="str">
        <x:v>FD-N020</x:v>
      </x:c>
      <x:c r="B12" s="8" t="str">
        <x:v>№2638 — бизнес-тренеры для руководителей производства</x:v>
      </x:c>
      <x:c r="C12" s="8" t="str">
        <x:v>Найти маршрут доступа</x:v>
      </x:c>
      <x:c r="D12" s="8" t="str">
        <x:v>Найти разрешенный маршрут к организатору и проверить условия доступа.</x:v>
      </x:c>
      <x:c r="E12" s="8" t="str">
        <x:v>paid_or_unspecified_expert_call</x:v>
      </x:c>
      <x:c r="F12" s="8" t="str">
        <x:v>core</x:v>
      </x:c>
      <x:c r="G12" s="8" t="str">
        <x:v>unknown</x:v>
      </x:c>
      <x:c r="H12" s="8" t="str">
        <x:v>platform_restricted</x:v>
      </x:c>
      <x:c r="I12" s="8" t="str">
        <x:v>public_teaser_restricted</x:v>
      </x:c>
      <x:c r="J12" s="8"/>
      <x:c r="K12" s="8"/>
      <x:c r="L12" s="8" t="str">
        <x:v>Модульное обучение линейных и средних руководителей</x:v>
      </x:c>
      <x:c r="M12" s="8" t="str">
        <x:v>Разовый проект или пул? Сколько групп? Как подтверждается опыт тренера?</x:v>
      </x:c>
      <x:c r="N12" s="8" t="str">
        <x:v>https://boosty.to/bestspeakers ; https://projectexperts.ru/user/bestspeakers/ — конечный контакт закрыт</x:v>
      </x:c>
      <x:c r="O12" s="8" t="str">
        <x:v>https://projectexperts.ru/poisk-spikera-%E2%84%962638-est-gonorar/</x:v>
      </x:c>
    </x:row>
    <x:row r="13" ht="34.5" customHeight="1">
      <x:c r="A13" s="8" t="str">
        <x:v>FD-N022</x:v>
      </x:c>
      <x:c r="B13" s="8" t="str">
        <x:v>№2636 — бизнес-встреча в Казани</x:v>
      </x:c>
      <x:c r="C13" s="8" t="str">
        <x:v>Найти маршрут доступа</x:v>
      </x:c>
      <x:c r="D13" s="8" t="str">
        <x:v>Найти разрешенный маршрут к организатору и проверить условия доступа.</x:v>
      </x:c>
      <x:c r="E13" s="8" t="str">
        <x:v>paid_or_unspecified_expert_call</x:v>
      </x:c>
      <x:c r="F13" s="8" t="str">
        <x:v>core</x:v>
      </x:c>
      <x:c r="G13" s="8" t="str">
        <x:v>event_date_in_text</x:v>
      </x:c>
      <x:c r="H13" s="8" t="str">
        <x:v>platform_restricted</x:v>
      </x:c>
      <x:c r="I13" s="8" t="str">
        <x:v>public_teaser_restricted</x:v>
      </x:c>
      <x:c r="J13" s="8"/>
      <x:c r="K13" s="8"/>
      <x:c r="L13" s="8" t="str">
        <x:v>Интерактивное выступление для руководителей партнёров</x:v>
      </x:c>
      <x:c r="M13" s="8" t="str">
        <x:v>Нужен местный спикер? Какова деловая цель встречи? Гонорар включает поездку?</x:v>
      </x:c>
      <x:c r="N13" s="8" t="str">
        <x:v>https://boosty.to/bestspeakers ; https://projectexperts.ru/user/bestspeakers/ — конечный контакт закрыт</x:v>
      </x:c>
      <x:c r="O13" s="8" t="str">
        <x:v>https://projectexperts.ru/poisk-spikera-%E2%84%962636-est-gonorar/</x:v>
      </x:c>
    </x:row>
    <x:row r="14" ht="34.5" customHeight="1">
      <x:c r="A14" s="8" t="str">
        <x:v>FD-N023</x:v>
      </x:c>
      <x:c r="B14" s="8" t="str">
        <x:v>№2633 — работа с НКО, Салехард</x:v>
      </x:c>
      <x:c r="C14" s="8" t="str">
        <x:v>Найти маршрут доступа</x:v>
      </x:c>
      <x:c r="D14" s="8" t="str">
        <x:v>Найти разрешенный маршрут к организатору и проверить условия доступа.</x:v>
      </x:c>
      <x:c r="E14" s="8" t="str">
        <x:v>paid_or_unspecified_expert_call</x:v>
      </x:c>
      <x:c r="F14" s="8" t="str">
        <x:v>adjacent</x:v>
      </x:c>
      <x:c r="G14" s="8" t="str">
        <x:v>event_date_in_text</x:v>
      </x:c>
      <x:c r="H14" s="8" t="str">
        <x:v>platform_restricted</x:v>
      </x:c>
      <x:c r="I14" s="8" t="str">
        <x:v>public_teaser_restricted</x:v>
      </x:c>
      <x:c r="J14" s="8"/>
      <x:c r="K14" s="8"/>
      <x:c r="L14" s="8" t="str">
        <x:v>Методический семинар с практикой взаимодействия с НКО</x:v>
      </x:c>
      <x:c r="M14" s="8" t="str">
        <x:v>Какая аудитория и программа? Какие даты? Какие документы требуются?</x:v>
      </x:c>
      <x:c r="N14" s="8" t="str">
        <x:v>Публичная ссылка записи; адрес конечного заказчика в доступном тексте не установлен.</x:v>
      </x:c>
      <x:c r="O14" s="8" t="str">
        <x:v>https://projectexperts.ru/poisk-spikera-%E2%84%962633-est-gonorar/</x:v>
      </x:c>
    </x:row>
    <x:row r="15" ht="34.5" customHeight="1">
      <x:c r="A15" s="8" t="str">
        <x:v>FD-N024</x:v>
      </x:c>
      <x:c r="B15" s="8" t="str">
        <x:v>№2631 — экспертность и результат бизнеса</x:v>
      </x:c>
      <x:c r="C15" s="8" t="str">
        <x:v>Найти маршрут доступа</x:v>
      </x:c>
      <x:c r="D15" s="8" t="str">
        <x:v>Найти разрешенный маршрут к организатору и проверить условия доступа.</x:v>
      </x:c>
      <x:c r="E15" s="8" t="str">
        <x:v>paid_or_unspecified_expert_call</x:v>
      </x:c>
      <x:c r="F15" s="8" t="str">
        <x:v>adjacent</x:v>
      </x:c>
      <x:c r="G15" s="8" t="str">
        <x:v>event_date_in_text</x:v>
      </x:c>
      <x:c r="H15" s="8" t="str">
        <x:v>platform_restricted</x:v>
      </x:c>
      <x:c r="I15" s="8" t="str">
        <x:v>public_teaser_restricted</x:v>
      </x:c>
      <x:c r="J15" s="8"/>
      <x:c r="K15" s="8" t="str">
        <x:v>2026-10-21</x:v>
      </x:c>
      <x:c r="L15" s="8" t="str">
        <x:v>Прикладное выступление о результате управленческих решений</x:v>
      </x:c>
      <x:c r="M15" s="8" t="str">
        <x:v>Обязателен личный опыт крупного собственника? Предусмотрен гонорар? Кто согласует кандидатуру?</x:v>
      </x:c>
      <x:c r="N15" s="8" t="str">
        <x:v>https://t.me/biznes_fakt_msk</x:v>
      </x:c>
      <x:c r="O15" s="8" t="str">
        <x:v>https://projectexperts.ru/poisk-spikera-%E2%84%962631/</x:v>
      </x:c>
    </x:row>
    <x:row r="16" ht="34.5" customHeight="1">
      <x:c r="A16" s="8" t="str">
        <x:v>FD-N025</x:v>
      </x:c>
      <x:c r="B16" s="8" t="str">
        <x:v>№2639 — бизнес-форум в Курске</x:v>
      </x:c>
      <x:c r="C16" s="8" t="str">
        <x:v>Найти маршрут доступа</x:v>
      </x:c>
      <x:c r="D16" s="8" t="str">
        <x:v>Найти разрешенный маршрут к организатору и проверить условия доступа.</x:v>
      </x:c>
      <x:c r="E16" s="8" t="str">
        <x:v>paid_or_unspecified_expert_call</x:v>
      </x:c>
      <x:c r="F16" s="8" t="str">
        <x:v>adjacent</x:v>
      </x:c>
      <x:c r="G16" s="8" t="str">
        <x:v>event_date_in_text</x:v>
      </x:c>
      <x:c r="H16" s="8" t="str">
        <x:v>platform_restricted</x:v>
      </x:c>
      <x:c r="I16" s="8" t="str">
        <x:v>public_teaser_restricted</x:v>
      </x:c>
      <x:c r="J16" s="8"/>
      <x:c r="K16" s="8" t="str">
        <x:v>2026-10-29</x:v>
      </x:c>
      <x:c r="L16" s="8" t="str">
        <x:v>Практическое выступление с инструментом для предпринимателей</x:v>
      </x:c>
      <x:c r="M16" s="8" t="str">
        <x:v>Какие отрасли участников? Нужен медийный спикер? Есть ли гонорар и проезд?</x:v>
      </x:c>
      <x:c r="N16" s="8" t="str">
        <x:v>https://t.me/ndl46 — Алина Шакирова</x:v>
      </x:c>
      <x:c r="O16" s="8" t="str">
        <x:v>https://projectexperts.ru/poisk-spikera-%E2%84%962639/</x:v>
      </x:c>
    </x:row>
    <x:row r="17" ht="34.5" customHeight="1">
      <x:c r="A17" s="8" t="str">
        <x:v>FD-N026</x:v>
      </x:c>
      <x:c r="B17" s="8" t="str">
        <x:v>№2640 — внешние спикеры банковской конференции</x:v>
      </x:c>
      <x:c r="C17" s="8" t="str">
        <x:v>Найти маршрут доступа</x:v>
      </x:c>
      <x:c r="D17" s="8" t="str">
        <x:v>Найти разрешенный маршрут к организатору и проверить условия доступа.</x:v>
      </x:c>
      <x:c r="E17" s="8" t="str">
        <x:v>paid_or_unspecified_expert_call</x:v>
      </x:c>
      <x:c r="F17" s="8" t="str">
        <x:v>core</x:v>
      </x:c>
      <x:c r="G17" s="8" t="str">
        <x:v>event_date_in_text</x:v>
      </x:c>
      <x:c r="H17" s="8" t="str">
        <x:v>platform_restricted</x:v>
      </x:c>
      <x:c r="I17" s="8" t="str">
        <x:v>public_teaser_restricted</x:v>
      </x:c>
      <x:c r="J17" s="8"/>
      <x:c r="K17" s="8"/>
      <x:c r="L17" s="8" t="str">
        <x:v>Выступление о взаимодействии команд и управлении изменениями</x:v>
      </x:c>
      <x:c r="M17" s="8" t="str">
        <x:v>Какие тематические слоты? Какой бюджет именно спикера? Кто агентство-организатор?</x:v>
      </x:c>
      <x:c r="N17" s="8" t="str">
        <x:v>Публичная ссылка записи; адрес конечного заказчика в доступном тексте не установлен.</x:v>
      </x:c>
      <x:c r="O17" s="8" t="str">
        <x:v>https://projectexperts.ru/poisk-spikera-%E2%84%962640-est-gonorar/</x:v>
      </x:c>
    </x:row>
    <x:row r="18" ht="34.5" customHeight="1">
      <x:c r="A18" s="8" t="str">
        <x:v>FD-N037</x:v>
      </x:c>
      <x:c r="B18" s="8" t="str">
        <x:v>№2612 — «Человеческий фактор»</x:v>
      </x:c>
      <x:c r="C18" s="8" t="str">
        <x:v>Найти маршрут доступа</x:v>
      </x:c>
      <x:c r="D18" s="8" t="str">
        <x:v>Найти разрешенный маршрут к организатору и проверить условия доступа.</x:v>
      </x:c>
      <x:c r="E18" s="8" t="str">
        <x:v>paid_or_unspecified_expert_call</x:v>
      </x:c>
      <x:c r="F18" s="8" t="str">
        <x:v>core</x:v>
      </x:c>
      <x:c r="G18" s="8" t="str">
        <x:v>event_date_in_text</x:v>
      </x:c>
      <x:c r="H18" s="8" t="str">
        <x:v>platform_restricted</x:v>
      </x:c>
      <x:c r="I18" s="8" t="str">
        <x:v>public_teaser_restricted</x:v>
      </x:c>
      <x:c r="J18" s="8"/>
      <x:c r="K18" s="8" t="str">
        <x:v>2026-10-22</x:v>
      </x:c>
      <x:c r="L18" s="8" t="str">
        <x:v>Тема по управлению людьми после получения полного брифа</x:v>
      </x:c>
      <x:c r="M18" s="8" t="str">
        <x:v>Что включает «Человеческий фактор»? Какая задача участников? Платное ли выступление?</x:v>
      </x:c>
      <x:c r="N18" s="8" t="str">
        <x:v>Публичная ссылка записи; адрес конечного заказчика в доступном тексте не установлен.</x:v>
      </x:c>
      <x:c r="O18" s="8" t="str">
        <x:v>https://projectexperts.ru/poisk-spikera-%E2%84%962612/</x:v>
      </x:c>
    </x:row>
    <x:row r="19" ht="34.5" customHeight="1">
      <x:c r="A19" s="8" t="str">
        <x:v>FD-N038</x:v>
      </x:c>
      <x:c r="B19" s="8" t="str">
        <x:v>№2611 — привлечение инвесторов</x:v>
      </x:c>
      <x:c r="C19" s="8" t="str">
        <x:v>Найти маршрут доступа</x:v>
      </x:c>
      <x:c r="D19" s="8" t="str">
        <x:v>Найти разрешенный маршрут к организатору и проверить условия доступа.</x:v>
      </x:c>
      <x:c r="E19" s="8" t="str">
        <x:v>paid_or_unspecified_expert_call</x:v>
      </x:c>
      <x:c r="F19" s="8" t="str">
        <x:v>adjacent</x:v>
      </x:c>
      <x:c r="G19" s="8" t="str">
        <x:v>event_date_in_text</x:v>
      </x:c>
      <x:c r="H19" s="8" t="str">
        <x:v>platform_restricted</x:v>
      </x:c>
      <x:c r="I19" s="8" t="str">
        <x:v>public_teaser_restricted</x:v>
      </x:c>
      <x:c r="J19" s="8"/>
      <x:c r="K19" s="8"/>
      <x:c r="L19" s="8" t="str">
        <x:v>Финансовый практикум только при подтверждении образовательной задачи</x:v>
      </x:c>
      <x:c r="M19" s="8" t="str">
        <x:v>Нужен преподаватель или инвестор? Предполагается ли обучение?</x:v>
      </x:c>
      <x:c r="N19" s="8" t="str">
        <x:v>Публичная ссылка записи; адрес конечного заказчика в доступном тексте не установлен.</x:v>
      </x:c>
      <x:c r="O19" s="8" t="str">
        <x:v>https://projectexperts.ru/poisk-spikera-%E2%84%962611/</x:v>
      </x:c>
    </x:row>
    <x:row r="20" ht="70.5" customHeight="1">
      <x:c r="A20" s="8" t="str">
        <x:v>FD-N131</x:v>
      </x:c>
      <x:c r="B20" s="8" t="str">
        <x:v>Тренинг «Взаимодействие между отделами: встать на сторону другого подразделения»</x:v>
      </x:c>
      <x:c r="C20" s="8" t="str">
        <x:v>Найти маршрут доступа</x:v>
      </x:c>
      <x:c r="D20" s="8" t="str">
        <x:v>Проверить доступный официальный маршрут отклика и прием предложений; уточнить организацию. Не использовать пример email из формы.</x:v>
      </x:c>
      <x:c r="E20" s="8" t="str">
        <x:v>explicit_training_request</x:v>
      </x:c>
      <x:c r="F20" s="8" t="str">
        <x:v>core</x:v>
      </x:c>
      <x:c r="G20" s="8" t="str">
        <x:v>dated_deadline</x:v>
      </x:c>
      <x:c r="H20" s="8" t="str">
        <x:v>platform_restricted</x:v>
      </x:c>
      <x:c r="I20" s="8" t="str">
        <x:v>request_body_read</x:v>
      </x:c>
      <x:c r="J20" s="8" t="str">
        <x:v>2026-10-09</x:v>
      </x:c>
      <x:c r="K20" s="8"/>
      <x:c r="L20" s="8" t="str">
        <x:v>Однодневный практикум для 18–20 участников с кейсами подразделений</x:v>
      </x:c>
      <x:c r="M20" s="8" t="str">
        <x:v>Возобновлён ли приём? Где официальный канал предложений? Кто заключает договор?</x:v>
      </x:c>
      <x:c r="N20" s="8" t="str">
        <x:v>Карточка https://hrtime.ru/proekt/trening-vzaimodeystvie-mezhdu-otdelami-vstat-na-storonu-drugogo-podr-174054/. В ТЗ названо контактное лицо и указан прием по email, но адрес в публичном тексте отсутствует; прием откликов сейчас ограничен.</x:v>
      </x:c>
      <x:c r="O20" s="8" t="str">
        <x:v>https://hrtime.ru/proekt/trening-vzaimodeystvie-mezhdu-otdelami-vstat-na-storonu-drugogo-podr-174054/</x:v>
      </x:c>
    </x:row>
    <x:row r="21" ht="46.5" customHeight="1">
      <x:c r="A21" s="8" t="str">
        <x:v>FD-N133</x:v>
      </x:c>
      <x:c r="B21" s="8" t="str">
        <x:v>№2630 — MaxCapital: управление частным капиталом</x:v>
      </x:c>
      <x:c r="C21" s="8" t="str">
        <x:v>Найти маршрут доступа</x:v>
      </x:c>
      <x:c r="D21" s="8" t="str">
        <x:v>Найти разрешенный маршрут к организатору и проверить условия доступа.</x:v>
      </x:c>
      <x:c r="E21" s="8" t="str">
        <x:v>paid_or_unspecified_expert_call</x:v>
      </x:c>
      <x:c r="F21" s="8" t="str">
        <x:v>adjacent</x:v>
      </x:c>
      <x:c r="G21" s="8" t="str">
        <x:v>event_date_in_text</x:v>
      </x:c>
      <x:c r="H21" s="8" t="str">
        <x:v>platform_restricted</x:v>
      </x:c>
      <x:c r="I21" s="8" t="str">
        <x:v>public_teaser_restricted</x:v>
      </x:c>
      <x:c r="J21" s="8"/>
      <x:c r="K21" s="8" t="str">
        <x:v>2026-11-22</x:v>
      </x:c>
      <x:c r="L21" s="8" t="str">
        <x:v>Образовательное выступление о финансовых принципах при наличии эксперта</x:v>
      </x:c>
      <x:c r="M21" s="8" t="str">
        <x:v>Ожидается обучение или инвестиционные рекомендации? Какие требования к спикеру?</x:v>
      </x:c>
      <x:c r="N21" s="8" t="str">
        <x:v>В публичной части контакт заказчика не раскрыт; продолжение карточки ограничено доступом. Не обходить ограничение.</x:v>
      </x:c>
      <x:c r="O21" s="8" t="str">
        <x:v>https://projectexperts.ru/poisk-spikera-%E2%84%962630/</x:v>
      </x:c>
    </x:row>
    <x:row r="22" ht="46.5" customHeight="1">
      <x:c r="A22" s="8" t="str">
        <x:v>FD-N136</x:v>
      </x:c>
      <x:c r="B22" s="8" t="str">
        <x:v>№2626 — лидогенерация для бизнеса</x:v>
      </x:c>
      <x:c r="C22" s="8" t="str">
        <x:v>Найти маршрут доступа</x:v>
      </x:c>
      <x:c r="D22" s="8" t="str">
        <x:v>Найти разрешенный маршрут к организатору и проверить условия доступа.</x:v>
      </x:c>
      <x:c r="E22" s="8" t="str">
        <x:v>paid_or_unspecified_expert_call</x:v>
      </x:c>
      <x:c r="F22" s="8" t="str">
        <x:v>core</x:v>
      </x:c>
      <x:c r="G22" s="8" t="str">
        <x:v>unknown</x:v>
      </x:c>
      <x:c r="H22" s="8" t="str">
        <x:v>platform_restricted</x:v>
      </x:c>
      <x:c r="I22" s="8" t="str">
        <x:v>public_teaser_restricted</x:v>
      </x:c>
      <x:c r="J22" s="8"/>
      <x:c r="K22" s="8"/>
      <x:c r="L22" s="8" t="str">
        <x:v>Практикум по поиску и квалификации B2B-потребности</x:v>
      </x:c>
      <x:c r="M22" s="8" t="str">
        <x:v>Какие бизнесы в аудитории? Нужны инструменты B2B? Каковы дата и оплата?</x:v>
      </x:c>
      <x:c r="N22" s="8" t="str">
        <x:v>В публичной части контакт заказчика не раскрыт; продолжение карточки ограничено доступом. Не обходить ограничение.</x:v>
      </x:c>
      <x:c r="O22" s="8" t="str">
        <x:v>https://projectexperts.ru/poisk-spikera-%E2%84%962626/</x:v>
      </x:c>
    </x:row>
    <x:row r="23" ht="46.5" customHeight="1">
      <x:c r="A23" s="8" t="str">
        <x:v>FD-N137</x:v>
      </x:c>
      <x:c r="B23" s="8" t="str">
        <x:v>№2625 — инвестиционный эксперт для «Бизнес апгрейд»</x:v>
      </x:c>
      <x:c r="C23" s="8" t="str">
        <x:v>Найти маршрут доступа</x:v>
      </x:c>
      <x:c r="D23" s="8" t="str">
        <x:v>Найти разрешенный маршрут к организатору и проверить условия доступа.</x:v>
      </x:c>
      <x:c r="E23" s="8" t="str">
        <x:v>paid_or_unspecified_expert_call</x:v>
      </x:c>
      <x:c r="F23" s="8" t="str">
        <x:v>core</x:v>
      </x:c>
      <x:c r="G23" s="8" t="str">
        <x:v>unknown</x:v>
      </x:c>
      <x:c r="H23" s="8" t="str">
        <x:v>platform_restricted</x:v>
      </x:c>
      <x:c r="I23" s="8" t="str">
        <x:v>public_teaser_restricted</x:v>
      </x:c>
      <x:c r="J23" s="8"/>
      <x:c r="K23" s="8"/>
      <x:c r="L23" s="8" t="str">
        <x:v>Обучение инвестиционной подготовке проекта при подтверждении цели</x:v>
      </x:c>
      <x:c r="M23" s="8" t="str">
        <x:v>Это тот же цикл, что №2611? Требуется ли инвестор-практик?</x:v>
      </x:c>
      <x:c r="N23" s="8" t="str">
        <x:v>В публичной части контакт заказчика не раскрыт; продолжение карточки ограничено доступом. Не обходить ограничение.</x:v>
      </x:c>
      <x:c r="O23" s="8" t="str">
        <x:v>https://projectexperts.ru/poisk-spikera-%E2%84%962625/</x:v>
      </x:c>
    </x:row>
    <x:row r="24" ht="46.5" customHeight="1">
      <x:c r="A24" s="8" t="str">
        <x:v>FD-N139</x:v>
      </x:c>
      <x:c r="B24" s="8" t="str">
        <x:v>№2623 — обучающий разбор социальных сетей</x:v>
      </x:c>
      <x:c r="C24" s="8" t="str">
        <x:v>Найти маршрут доступа</x:v>
      </x:c>
      <x:c r="D24" s="8" t="str">
        <x:v>Найти разрешенный маршрут к организатору и проверить условия доступа.</x:v>
      </x:c>
      <x:c r="E24" s="8" t="str">
        <x:v>paid_or_unspecified_expert_call</x:v>
      </x:c>
      <x:c r="F24" s="8" t="str">
        <x:v>core</x:v>
      </x:c>
      <x:c r="G24" s="8" t="str">
        <x:v>unknown</x:v>
      </x:c>
      <x:c r="H24" s="8" t="str">
        <x:v>platform_restricted</x:v>
      </x:c>
      <x:c r="I24" s="8" t="str">
        <x:v>public_teaser_restricted</x:v>
      </x:c>
      <x:c r="J24" s="8"/>
      <x:c r="K24" s="8"/>
      <x:c r="L24" s="8" t="str">
        <x:v>Учебный разбор с критериями оценки и самостоятельным заданием</x:v>
      </x:c>
      <x:c r="M24" s="8" t="str">
        <x:v>Какие платформы? Нужен аудит или обучающий разбор? Сколько участников?</x:v>
      </x:c>
      <x:c r="N24" s="8" t="str">
        <x:v>В публичной части контакт заказчика не раскрыт; продолжение карточки ограничено доступом. Не обходить ограничение.</x:v>
      </x:c>
      <x:c r="O24" s="8" t="str">
        <x:v>https://projectexperts.ru/poisk-spikera-%E2%84%962623-est-gonorar/</x:v>
      </x:c>
    </x:row>
    <x:row r="25" ht="46.5" customHeight="1">
      <x:c r="A25" s="8" t="str">
        <x:v>FD-N142</x:v>
      </x:c>
      <x:c r="B25" s="8" t="str">
        <x:v>№2620 — запуск MVP</x:v>
      </x:c>
      <x:c r="C25" s="8" t="str">
        <x:v>Найти маршрут доступа</x:v>
      </x:c>
      <x:c r="D25" s="8" t="str">
        <x:v>Найти разрешенный маршрут к организатору и проверить условия доступа.</x:v>
      </x:c>
      <x:c r="E25" s="8" t="str">
        <x:v>paid_or_unspecified_expert_call</x:v>
      </x:c>
      <x:c r="F25" s="8" t="str">
        <x:v>core</x:v>
      </x:c>
      <x:c r="G25" s="8" t="str">
        <x:v>event_date_in_text</x:v>
      </x:c>
      <x:c r="H25" s="8" t="str">
        <x:v>platform_restricted</x:v>
      </x:c>
      <x:c r="I25" s="8" t="str">
        <x:v>public_teaser_restricted</x:v>
      </x:c>
      <x:c r="J25" s="8"/>
      <x:c r="K25" s="8" t="str">
        <x:v>2026-10-13</x:v>
      </x:c>
      <x:c r="L25" s="8" t="str">
        <x:v>Практикум проверки гипотез и минимального продукта</x:v>
      </x:c>
      <x:c r="M25" s="8" t="str">
        <x:v>Нужен технологический предприниматель? Какие отрасли? Что участник должен сделать после встречи?</x:v>
      </x:c>
      <x:c r="N25" s="8" t="str">
        <x:v>В публичной части контакт заказчика не раскрыт; продолжение карточки ограничено доступом. Не обходить ограничение.</x:v>
      </x:c>
      <x:c r="O25" s="8" t="str">
        <x:v>https://projectexperts.ru/poisk-spikera-%E2%84%962620/</x:v>
      </x:c>
    </x:row>
    <x:row r="26" ht="46.5" customHeight="1">
      <x:c r="A26" s="8" t="str">
        <x:v>FD-N146</x:v>
      </x:c>
      <x:c r="B26" s="8" t="str">
        <x:v>№2616 — устойчивость собственника и команды</x:v>
      </x:c>
      <x:c r="C26" s="8" t="str">
        <x:v>Найти маршрут доступа</x:v>
      </x:c>
      <x:c r="D26" s="8" t="str">
        <x:v>Найти разрешенный маршрут к организатору и проверить условия доступа.</x:v>
      </x:c>
      <x:c r="E26" s="8" t="str">
        <x:v>paid_or_unspecified_expert_call</x:v>
      </x:c>
      <x:c r="F26" s="8" t="str">
        <x:v>core</x:v>
      </x:c>
      <x:c r="G26" s="8" t="str">
        <x:v>event_date_in_text</x:v>
      </x:c>
      <x:c r="H26" s="8" t="str">
        <x:v>platform_restricted</x:v>
      </x:c>
      <x:c r="I26" s="8" t="str">
        <x:v>public_teaser_restricted</x:v>
      </x:c>
      <x:c r="J26" s="8"/>
      <x:c r="K26" s="8"/>
      <x:c r="L26" s="8" t="str">
        <x:v>Практикум управленческих решений и работы с командой в неопределённости</x:v>
      </x:c>
      <x:c r="M26" s="8" t="str">
        <x:v>Нужны управленческие инструменты или психологическая помощь? Какова длительность?</x:v>
      </x:c>
      <x:c r="N26" s="8" t="str">
        <x:v>В публичной части контакт заказчика не раскрыт; продолжение карточки ограничено доступом. Не обходить ограничение.</x:v>
      </x:c>
      <x:c r="O26" s="8" t="str">
        <x:v>https://projectexperts.ru/poisk-spikera-%E2%84%962616/</x:v>
      </x:c>
    </x:row>
    <x:row r="27" ht="46.5" customHeight="1">
      <x:c r="A27" s="8" t="str">
        <x:v>FD-N148</x:v>
      </x:c>
      <x:c r="B27" s="8" t="str">
        <x:v>№2614 — трудовое право для собственников</x:v>
      </x:c>
      <x:c r="C27" s="8" t="str">
        <x:v>Найти маршрут доступа</x:v>
      </x:c>
      <x:c r="D27" s="8" t="str">
        <x:v>Найти разрешенный маршрут к организатору и проверить условия доступа.</x:v>
      </x:c>
      <x:c r="E27" s="8" t="str">
        <x:v>paid_or_unspecified_expert_call</x:v>
      </x:c>
      <x:c r="F27" s="8" t="str">
        <x:v>core</x:v>
      </x:c>
      <x:c r="G27" s="8" t="str">
        <x:v>event_date_in_text</x:v>
      </x:c>
      <x:c r="H27" s="8" t="str">
        <x:v>platform_restricted</x:v>
      </x:c>
      <x:c r="I27" s="8" t="str">
        <x:v>public_teaser_restricted</x:v>
      </x:c>
      <x:c r="J27" s="8"/>
      <x:c r="K27" s="8"/>
      <x:c r="L27" s="8" t="str">
        <x:v>Прикладное выступление юриста о трудовых рисках работодателя</x:v>
      </x:c>
      <x:c r="M27" s="8" t="str">
        <x:v>Какие ситуации приоритетны? Нужны ли кейсы 2026 года? Какая продолжительность?</x:v>
      </x:c>
      <x:c r="N27" s="8" t="str">
        <x:v>В публичной части контакт заказчика не раскрыт; продолжение карточки ограничено доступом. Не обходить ограничение.</x:v>
      </x:c>
      <x:c r="O27" s="8" t="str">
        <x:v>https://projectexperts.ru/poisk-spikera-%E2%84%962614/</x:v>
      </x:c>
    </x:row>
    <x:row r="28" ht="34.5" customHeight="1">
      <x:c r="A28" s="8" t="str">
        <x:v>FD-N001</x:v>
      </x:c>
      <x:c r="B28" s="8" t="str">
        <x:v>Русская медная компания: коучинг в управлении, план 2027</x:v>
      </x:c>
      <x:c r="C28" s="8" t="str">
        <x:v>Восстановить источник</x:v>
      </x:c>
      <x:c r="D28" s="8" t="str">
        <x:v>Восстановить исходную карточку или подтвердить потребность через официальный маршрут.</x:v>
      </x:c>
      <x:c r="E28" s="8" t="str">
        <x:v>explicit_training_request</x:v>
      </x:c>
      <x:c r="F28" s="8" t="str">
        <x:v>core</x:v>
      </x:c>
      <x:c r="G28" s="8" t="str">
        <x:v>dated_deadline</x:v>
      </x:c>
      <x:c r="H28" s="8" t="str">
        <x:v>official_organization_contact</x:v>
      </x:c>
      <x:c r="I28" s="8" t="str">
        <x:v>reader_error</x:v>
      </x:c>
      <x:c r="J28" s="8" t="str">
        <x:v>2026-10-21</x:v>
      </x:c>
      <x:c r="K28" s="8"/>
      <x:c r="L28" s="8" t="str">
        <x:v>Две модульные программы с вариантами очно/онлайн, документами и ценой на группу</x:v>
      </x:c>
      <x:c r="M28" s="8" t="str">
        <x:v>Какие группы и цели? Когда утверждают бюджет? Какое юрлицо заключает договор?</x:v>
      </x:c>
      <x:c r="N28" s="8" t="str">
        <x:v>hr@rcc-group.ru; +7 (343) 311-11-95; общий HR-контакт, владелец запроса не подтвержден</x:v>
      </x:c>
      <x:c r="O28" s="8" t="str">
        <x:v>https://hrtime.ru/proekt/obuchenie-sotrudnikov-po-programme-kouching-v-upravlenii-174533/</x:v>
      </x:c>
    </x:row>
    <x:row r="29" ht="34.5" customHeight="1">
      <x:c r="A29" s="8" t="str">
        <x:v>FD-N002</x:v>
      </x:c>
      <x:c r="B29" s="8" t="str">
        <x:v>Обучение звонкам клиентам сети оптики</x:v>
      </x:c>
      <x:c r="C29" s="8" t="str">
        <x:v>Восстановить источник</x:v>
      </x:c>
      <x:c r="D29" s="8" t="str">
        <x:v>Восстановить исходную карточку или подтвердить потребность через официальный маршрут.</x:v>
      </x:c>
      <x:c r="E29" s="8" t="str">
        <x:v>explicit_training_request</x:v>
      </x:c>
      <x:c r="F29" s="8" t="str">
        <x:v>adjacent</x:v>
      </x:c>
      <x:c r="G29" s="8" t="str">
        <x:v>dated_deadline</x:v>
      </x:c>
      <x:c r="H29" s="8" t="str">
        <x:v>unverified</x:v>
      </x:c>
      <x:c r="I29" s="8" t="str">
        <x:v>reader_error</x:v>
      </x:c>
      <x:c r="J29" s="8" t="str">
        <x:v>2026-10-21</x:v>
      </x:c>
      <x:c r="K29" s="8"/>
      <x:c r="L29" s="8" t="str">
        <x:v>Практикум звонков и обратная связь на учебных диалогах</x:v>
      </x:c>
      <x:c r="M29" s="8" t="str">
        <x:v>Какой сценарий звонка? Сколько консультантов? Какие показатели нужно изменить?</x:v>
      </x:c>
      <x:c r="N29" s="8" t="str">
        <x:v>Кнопка «Откликнуться» на карточке; доступ к контакту уточнить в аккаунте площадки.</x:v>
      </x:c>
      <x:c r="O29" s="8" t="str">
        <x:v>https://hrtime.ru/proekt/trening-po-zvonkam-v-b2c-174469/</x:v>
      </x:c>
    </x:row>
    <x:row r="30" ht="34.5" customHeight="1">
      <x:c r="A30" s="8" t="str">
        <x:v>FD-N003</x:v>
      </x:c>
      <x:c r="B30" s="8" t="str">
        <x:v>Машиностроение: тренеры по стандартам качества</x:v>
      </x:c>
      <x:c r="C30" s="8" t="str">
        <x:v>Восстановить источник</x:v>
      </x:c>
      <x:c r="D30" s="8" t="str">
        <x:v>Восстановить исходную карточку или подтвердить потребность через официальный маршрут.</x:v>
      </x:c>
      <x:c r="E30" s="8" t="str">
        <x:v>explicit_training_request</x:v>
      </x:c>
      <x:c r="F30" s="8" t="str">
        <x:v>uncertain</x:v>
      </x:c>
      <x:c r="G30" s="8" t="str">
        <x:v>dated_deadline</x:v>
      </x:c>
      <x:c r="H30" s="8" t="str">
        <x:v>unverified</x:v>
      </x:c>
      <x:c r="I30" s="8" t="str">
        <x:v>reader_error</x:v>
      </x:c>
      <x:c r="J30" s="8" t="str">
        <x:v>2026-10-21</x:v>
      </x:c>
      <x:c r="K30" s="8"/>
      <x:c r="L30" s="8" t="str">
        <x:v>Программа для руководителей и специалистов после получения перечня стандартов</x:v>
      </x:c>
      <x:c r="M30" s="8" t="str">
        <x:v>Какой стандарт? Обучаются специалисты или рабочие? Нужна ли аттестация?</x:v>
      </x:c>
      <x:c r="N30" s="8" t="str">
        <x:v>Кнопка «Откликнуться» на карточке; доступ к контакту уточнить в аккаунте площадки.</x:v>
      </x:c>
      <x:c r="O30" s="8" t="str">
        <x:v>https://hrtime.ru/proekt/obuchenie-standartam-kachestva-174512/</x:v>
      </x:c>
    </x:row>
    <x:row r="31" ht="34.5" customHeight="1">
      <x:c r="A31" s="8" t="str">
        <x:v>FD-N004</x:v>
      </x:c>
      <x:c r="B31" s="8" t="str">
        <x:v>Модератор стратегической сессии в автобизнесе</x:v>
      </x:c>
      <x:c r="C31" s="8" t="str">
        <x:v>Восстановить источник</x:v>
      </x:c>
      <x:c r="D31" s="8" t="str">
        <x:v>Восстановить исходную карточку или подтвердить потребность через официальный маршрут.</x:v>
      </x:c>
      <x:c r="E31" s="8" t="str">
        <x:v>explicit_training_request</x:v>
      </x:c>
      <x:c r="F31" s="8" t="str">
        <x:v>adjacent</x:v>
      </x:c>
      <x:c r="G31" s="8" t="str">
        <x:v>date_conflict_urgent</x:v>
      </x:c>
      <x:c r="H31" s="8" t="str">
        <x:v>unverified</x:v>
      </x:c>
      <x:c r="I31" s="8" t="str">
        <x:v>reader_error</x:v>
      </x:c>
      <x:c r="J31" s="8" t="str">
        <x:v>2026-10-20</x:v>
      </x:c>
      <x:c r="K31" s="8" t="str">
        <x:v>2026-10-08</x:v>
      </x:c>
      <x:c r="L31" s="8" t="str">
        <x:v>Фасилитация с учебными инструментами стратегического управления</x:v>
      </x:c>
      <x:c r="M31" s="8" t="str">
        <x:v>Какие решения должны быть приняты? Сколько участников? Требуется обучение или ведение рабочей сессии?</x:v>
      </x:c>
      <x:c r="N31" s="8" t="str">
        <x:v>Кнопка «Откликнуться» на карточке; доступ к контакту уточнить в аккаунте площадки.</x:v>
      </x:c>
      <x:c r="O31" s="8" t="str">
        <x:v>https://hrtime.ru/proekt/trebuetsia-moderatorfasilitator-174487/</x:v>
      </x:c>
    </x:row>
    <x:row r="32" ht="34.5" customHeight="1">
      <x:c r="A32" s="8" t="str">
        <x:v>FD-N005</x:v>
      </x:c>
      <x:c r="B32" s="8" t="str">
        <x:v>Хабаровск: обучение продажам автотехники</x:v>
      </x:c>
      <x:c r="C32" s="8" t="str">
        <x:v>Восстановить источник</x:v>
      </x:c>
      <x:c r="D32" s="8" t="str">
        <x:v>Восстановить исходную карточку или подтвердить потребность через официальный маршрут.</x:v>
      </x:c>
      <x:c r="E32" s="8" t="str">
        <x:v>explicit_training_request</x:v>
      </x:c>
      <x:c r="F32" s="8" t="str">
        <x:v>adjacent</x:v>
      </x:c>
      <x:c r="G32" s="8" t="str">
        <x:v>dated_deadline</x:v>
      </x:c>
      <x:c r="H32" s="8" t="str">
        <x:v>unverified</x:v>
      </x:c>
      <x:c r="I32" s="8" t="str">
        <x:v>reader_error</x:v>
      </x:c>
      <x:c r="J32" s="8" t="str">
        <x:v>2026-10-20</x:v>
      </x:c>
      <x:c r="K32" s="8"/>
      <x:c r="L32" s="8" t="str">
        <x:v>Прикладной тренинг продаж с отраслевыми кейсами</x:v>
      </x:c>
      <x:c r="M32" s="8" t="str">
        <x:v>Точный город и даты? Какая техника? Можно ли привлекать тренера от образовательной организации?</x:v>
      </x:c>
      <x:c r="N32" s="8" t="str">
        <x:v>Кнопка «Откликнуться» на карточке; доступ к контакту уточнить в аккаунте площадки.</x:v>
      </x:c>
      <x:c r="O32" s="8" t="str">
        <x:v>https://hrtime.ru/proekt/obuchenie-po-prodazham-avtotekhniki-174483/</x:v>
      </x:c>
    </x:row>
    <x:row r="33" ht="34.5" customHeight="1">
      <x:c r="A33" s="8" t="str">
        <x:v>FD-N014</x:v>
      </x:c>
      <x:c r="B33" s="8" t="str">
        <x:v>Сеть автосалонов: стратегия прибыли на 2027</x:v>
      </x:c>
      <x:c r="C33" s="8" t="str">
        <x:v>Восстановить источник</x:v>
      </x:c>
      <x:c r="D33" s="8" t="str">
        <x:v>Восстановить исходную карточку или подтвердить потребность через официальный маршрут.</x:v>
      </x:c>
      <x:c r="E33" s="8" t="str">
        <x:v>explicit_training_request</x:v>
      </x:c>
      <x:c r="F33" s="8" t="str">
        <x:v>adjacent</x:v>
      </x:c>
      <x:c r="G33" s="8" t="str">
        <x:v>dated_deadline</x:v>
      </x:c>
      <x:c r="H33" s="8" t="str">
        <x:v>unverified</x:v>
      </x:c>
      <x:c r="I33" s="8" t="str">
        <x:v>reader_error</x:v>
      </x:c>
      <x:c r="J33" s="8" t="str">
        <x:v>2026-10-19</x:v>
      </x:c>
      <x:c r="K33" s="8"/>
      <x:c r="L33" s="8" t="str">
        <x:v>Сессия для управленцев с практикой принятия решений</x:v>
      </x:c>
      <x:c r="M33" s="8" t="str">
        <x:v>Какая аудитория выбрана? Есть ли данные для сессии? Какой учебный результат нужен?</x:v>
      </x:c>
      <x:c r="N33" s="8" t="str">
        <x:v>Кнопка «Откликнуться» на карточке; доступ к контакту уточнить в аккаунте площадки.</x:v>
      </x:c>
      <x:c r="O33" s="8" t="str">
        <x:v>https://hrtime.ru/proekt/provedenie-strategicheskoy-sessii-174434/</x:v>
      </x:c>
    </x:row>
    <x:row r="34" ht="34.5" customHeight="1">
      <x:c r="A34" s="8" t="str">
        <x:v>FD-N036</x:v>
      </x:c>
      <x:c r="B34" s="8" t="str">
        <x:v>№2613 — авторское право и ИИ</x:v>
      </x:c>
      <x:c r="C34" s="8" t="str">
        <x:v>Восстановить источник</x:v>
      </x:c>
      <x:c r="D34" s="8" t="str">
        <x:v>Восстановить исходную карточку или подтвердить потребность через официальный маршрут.</x:v>
      </x:c>
      <x:c r="E34" s="8" t="str">
        <x:v>paid_or_unspecified_expert_call</x:v>
      </x:c>
      <x:c r="F34" s="8" t="str">
        <x:v>core</x:v>
      </x:c>
      <x:c r="G34" s="8" t="str">
        <x:v>event_date_in_text</x:v>
      </x:c>
      <x:c r="H34" s="8" t="str">
        <x:v>unverified</x:v>
      </x:c>
      <x:c r="I34" s="8" t="str">
        <x:v>reader_error</x:v>
      </x:c>
      <x:c r="J34" s="8"/>
      <x:c r="K34" s="8" t="str">
        <x:v>2026-11-19</x:v>
      </x:c>
      <x:c r="L34" s="8" t="str">
        <x:v>Семинар по применению авторского права при использовании ИИ</x:v>
      </x:c>
      <x:c r="M34" s="8" t="str">
        <x:v>Какая аудитория? Нужен юрист-практик? Каковы условия поездки и оплаты?</x:v>
      </x:c>
      <x:c r="N34" s="8" t="str">
        <x:v>Публичная ссылка записи; адрес конечного заказчика в доступном тексте не установлен.</x:v>
      </x:c>
      <x:c r="O34" s="8" t="str">
        <x:v>https://projectexperts.ru/poisk-spikera-%E2%84%962613/</x:v>
      </x:c>
    </x:row>
    <x:row r="35" ht="46.5" customHeight="1">
      <x:c r="A35" s="8" t="str">
        <x:v>FD-N140</x:v>
      </x:c>
      <x:c r="B35" s="8" t="str">
        <x:v>№2622 — команда и отбор топ-менеджеров</x:v>
      </x:c>
      <x:c r="C35" s="8" t="str">
        <x:v>Восстановить источник</x:v>
      </x:c>
      <x:c r="D35" s="8" t="str">
        <x:v>Восстановить исходную карточку или подтвердить потребность через официальный маршрут.</x:v>
      </x:c>
      <x:c r="E35" s="8" t="str">
        <x:v>paid_or_unspecified_expert_call</x:v>
      </x:c>
      <x:c r="F35" s="8" t="str">
        <x:v>core</x:v>
      </x:c>
      <x:c r="G35" s="8" t="str">
        <x:v>event_date_in_text</x:v>
      </x:c>
      <x:c r="H35" s="8" t="str">
        <x:v>unverified</x:v>
      </x:c>
      <x:c r="I35" s="8" t="str">
        <x:v>reader_error</x:v>
      </x:c>
      <x:c r="J35" s="8"/>
      <x:c r="K35" s="8"/>
      <x:c r="L35" s="8" t="str">
        <x:v>Выступление о критериях подбора и развитии управленческой команды</x:v>
      </x:c>
      <x:c r="M35" s="8" t="str">
        <x:v>Каковы требования к кейсам? Кто аудитория? Какой формат участия?</x:v>
      </x:c>
      <x:c r="N35" s="8" t="str">
        <x:v>В публичной части контакт заказчика не раскрыт; продолжение карточки ограничено доступом. Не обходить ограничение.</x:v>
      </x:c>
      <x:c r="O35" s="8" t="str">
        <x:v>https://projectexperts.ru/poisk-spikera-%E2%84%962622/</x:v>
      </x:c>
    </x:row>
    <x:row r="36" ht="46.5" customHeight="1">
      <x:c r="A36" s="8" t="str">
        <x:v>FD-N141</x:v>
      </x:c>
      <x:c r="B36" s="8" t="str">
        <x:v>№2621 — первые продажи без бюджета</x:v>
      </x:c>
      <x:c r="C36" s="8" t="str">
        <x:v>Восстановить источник</x:v>
      </x:c>
      <x:c r="D36" s="8" t="str">
        <x:v>Восстановить исходную карточку или подтвердить потребность через официальный маршрут.</x:v>
      </x:c>
      <x:c r="E36" s="8" t="str">
        <x:v>paid_or_unspecified_expert_call</x:v>
      </x:c>
      <x:c r="F36" s="8" t="str">
        <x:v>core</x:v>
      </x:c>
      <x:c r="G36" s="8" t="str">
        <x:v>event_date_in_text</x:v>
      </x:c>
      <x:c r="H36" s="8" t="str">
        <x:v>unverified</x:v>
      </x:c>
      <x:c r="I36" s="8" t="str">
        <x:v>reader_error</x:v>
      </x:c>
      <x:c r="J36" s="8"/>
      <x:c r="K36" s="8" t="str">
        <x:v>2026-10-27</x:v>
      </x:c>
      <x:c r="L36" s="8" t="str">
        <x:v>Практикум проверки спроса и первых коммерческих предложений</x:v>
      </x:c>
      <x:c r="M36" s="8" t="str">
        <x:v>Какие продукты участников? Какая длительность? Платное ли участие?</x:v>
      </x:c>
      <x:c r="N36" s="8" t="str">
        <x:v>В публичной части контакт заказчика не раскрыт; продолжение карточки ограничено доступом. Не обходить ограничение.</x:v>
      </x:c>
      <x:c r="O36" s="8" t="str">
        <x:v>https://projectexperts.ru/poisk-spikera-%E2%84%962621/</x:v>
      </x:c>
    </x:row>
    <x:row r="37" ht="46.5" customHeight="1">
      <x:c r="A37" s="8" t="str">
        <x:v>FD-N143</x:v>
      </x:c>
      <x:c r="B37" s="8" t="str">
        <x:v>№2619 — повышение квалификации педагогов школы программирования</x:v>
      </x:c>
      <x:c r="C37" s="8" t="str">
        <x:v>Восстановить источник</x:v>
      </x:c>
      <x:c r="D37" s="8" t="str">
        <x:v>Восстановить исходную карточку или подтвердить потребность через официальный маршрут.</x:v>
      </x:c>
      <x:c r="E37" s="8" t="str">
        <x:v>paid_or_unspecified_expert_call</x:v>
      </x:c>
      <x:c r="F37" s="8" t="str">
        <x:v>adjacent</x:v>
      </x:c>
      <x:c r="G37" s="8" t="str">
        <x:v>unknown</x:v>
      </x:c>
      <x:c r="H37" s="8" t="str">
        <x:v>unverified</x:v>
      </x:c>
      <x:c r="I37" s="8" t="str">
        <x:v>reader_error</x:v>
      </x:c>
      <x:c r="J37" s="8"/>
      <x:c r="K37" s="8"/>
      <x:c r="L37" s="8" t="str">
        <x:v>Мастер-класс по проектированию практики и обратной связи</x:v>
      </x:c>
      <x:c r="M37" s="8" t="str">
        <x:v>Методика преподавания или предметное программирование? Число преподавателей?</x:v>
      </x:c>
      <x:c r="N37" s="8" t="str">
        <x:v>В публичной части контакт заказчика не раскрыт; продолжение карточки ограничено доступом. Не обходить ограничение.</x:v>
      </x:c>
      <x:c r="O37" s="8" t="str">
        <x:v>https://projectexperts.ru/poisk-spikera-%E2%84%962619-est-gonorar/</x:v>
      </x:c>
    </x:row>
    <x:row r="38" ht="46.5" customHeight="1">
      <x:c r="A38" s="8" t="str">
        <x:v>FD-N147</x:v>
      </x:c>
      <x:c r="B38" s="8" t="str">
        <x:v>№2615 — банковское выступление о влиянии сервиса на бизнес</x:v>
      </x:c>
      <x:c r="C38" s="8" t="str">
        <x:v>Восстановить источник</x:v>
      </x:c>
      <x:c r="D38" s="8" t="str">
        <x:v>Восстановить исходную карточку или подтвердить потребность через официальный маршрут.</x:v>
      </x:c>
      <x:c r="E38" s="8" t="str">
        <x:v>paid_or_unspecified_expert_call</x:v>
      </x:c>
      <x:c r="F38" s="8" t="str">
        <x:v>core</x:v>
      </x:c>
      <x:c r="G38" s="8" t="str">
        <x:v>unknown</x:v>
      </x:c>
      <x:c r="H38" s="8" t="str">
        <x:v>unverified</x:v>
      </x:c>
      <x:c r="I38" s="8" t="str">
        <x:v>reader_error</x:v>
      </x:c>
      <x:c r="J38" s="8"/>
      <x:c r="K38" s="8"/>
      <x:c r="L38" s="8" t="str">
        <x:v>Выступление о связи качества обслуживания с управленческими показателями</x:v>
      </x:c>
      <x:c r="M38" s="8" t="str">
        <x:v>Кто аудитория банка? Каковы дата и формат? Каковы требования к известности спикера?</x:v>
      </x:c>
      <x:c r="N38" s="8" t="str">
        <x:v>В публичной части контакт заказчика не раскрыт; продолжение карточки ограничено доступом. Не обходить ограничение.</x:v>
      </x:c>
      <x:c r="O38" s="8" t="str">
        <x:v>https://projectexperts.ru/poisk-spikera-%E2%84%962615-est-gonorar/</x:v>
      </x:c>
    </x:row>
    <x:row r="39" ht="58.5" customHeight="1">
      <x:c r="A39" s="8" t="str">
        <x:v>FD-N186</x:v>
      </x:c>
      <x:c r="B39" s="8" t="str">
        <x:v>Выездное обучение маркетингу и регулярному менеджменту для бизнеса проката</x:v>
      </x:c>
      <x:c r="C39" s="8" t="str">
        <x:v>Восстановить источник</x:v>
      </x:c>
      <x:c r="D39" s="8" t="str">
        <x:v>Восстановить исходную карточку или подтвердить потребность через официальный маршрут.</x:v>
      </x:c>
      <x:c r="E39" s="8" t="str">
        <x:v>explicit_training_request</x:v>
      </x:c>
      <x:c r="F39" s="8" t="str">
        <x:v>core</x:v>
      </x:c>
      <x:c r="G39" s="8" t="str">
        <x:v>unknown</x:v>
      </x:c>
      <x:c r="H39" s="8" t="str">
        <x:v>unverified</x:v>
      </x:c>
      <x:c r="I39" s="8" t="str">
        <x:v>generic_page</x:v>
      </x:c>
      <x:c r="J39" s="8"/>
      <x:c r="K39" s="8"/>
      <x:c r="L39" s="8" t="str">
        <x:v>Обучение маркетингу и регулярному управлению с практическими заданиями</x:v>
      </x:c>
      <x:c r="M39" s="8" t="str">
        <x:v>Какова команда? Какой объём обучения и внедрения? Какой срок проекта?</x:v>
      </x:c>
      <x:c r="N39" s="8" t="str">
        <x:v>Отдельная карточка/отклик через исходную площадку; прямой контакт не раскрыт. Публичный маршрут: https://profi.ru/registration/it_freelance/marketing/internet-marketing/</x:v>
      </x:c>
      <x:c r="O39" s="8" t="str">
        <x:v>https://profi.ru/registration/it_freelance/marketing/internet-marketing/</x:v>
      </x:c>
    </x:row>
    <x:row r="40" ht="34.5" customHeight="1">
      <x:c r="A40" s="8" t="str">
        <x:v>FD-N007</x:v>
      </x:c>
      <x:c r="B40" s="8" t="str">
        <x:v>Кафе-пекарни: месяц обучения и сопровождения запуска</x:v>
      </x:c>
      <x:c r="C40" s="8" t="str">
        <x:v>Уточнить объем</x:v>
      </x:c>
      <x:c r="D40" s="8" t="str">
        <x:v>Уточнить состав аудитории, объем работы на месте и экономику сопровождения.</x:v>
      </x:c>
      <x:c r="E40" s="8" t="str">
        <x:v>explicit_training_request</x:v>
      </x:c>
      <x:c r="F40" s="8" t="str">
        <x:v>mixed_scope</x:v>
      </x:c>
      <x:c r="G40" s="8" t="str">
        <x:v>dated_deadline</x:v>
      </x:c>
      <x:c r="H40" s="8" t="str">
        <x:v>platform_reply_route_unverified</x:v>
      </x:c>
      <x:c r="I40" s="8" t="str">
        <x:v>request_body_read</x:v>
      </x:c>
      <x:c r="J40" s="8" t="str">
        <x:v>2026-10-18</x:v>
      </x:c>
      <x:c r="K40" s="8"/>
      <x:c r="L40" s="8" t="str">
        <x:v>Обучение двух менеджеров методам развития команды; остальной объём согласовать</x:v>
      </x:c>
      <x:c r="M40" s="8" t="str">
        <x:v>Возможен ли отдельный модуль для менеджеров? Нужен штатный консультант или образовательная услуга?</x:v>
      </x:c>
      <x:c r="N40" s="8" t="str">
        <x:v>Кнопка «Откликнуться» на карточке; доступ к контакту уточнить в аккаунте площадки.</x:v>
      </x:c>
      <x:c r="O40" s="8" t="str">
        <x:v>https://hrtime.ru/proekt/trening-po-prodazham-i-uvelicheniiu-srednego-cheka-174372/</x:v>
      </x:c>
    </x:row>
    <x:row r="41" ht="46.5" customHeight="1">
      <x:c r="A41" s="8" t="str">
        <x:v>FD-N132</x:v>
      </x:c>
      <x:c r="B41" s="8" t="str">
        <x:v>№2632 — онлайн-консультация по продвижению сайта</x:v>
      </x:c>
      <x:c r="C41" s="8" t="str">
        <x:v>Уточнить объем</x:v>
      </x:c>
      <x:c r="D41" s="8" t="str">
        <x:v>Сохранить в смежной очереди; проверить возможность обучающего формата только при явном интересе заказчика.</x:v>
      </x:c>
      <x:c r="E41" s="8" t="str">
        <x:v>paid_or_unspecified_expert_call</x:v>
      </x:c>
      <x:c r="F41" s="8" t="str">
        <x:v>noncore_consulting</x:v>
      </x:c>
      <x:c r="G41" s="8" t="str">
        <x:v>unknown</x:v>
      </x:c>
      <x:c r="H41" s="8" t="str">
        <x:v>platform_restricted</x:v>
      </x:c>
      <x:c r="I41" s="8" t="str">
        <x:v>public_teaser_restricted</x:v>
      </x:c>
      <x:c r="J41" s="8"/>
      <x:c r="K41" s="8"/>
      <x:c r="L41" s="8" t="str">
        <x:v>Учебный практикум возможен только после уточнения запроса</x:v>
      </x:c>
      <x:c r="M41" s="8" t="str">
        <x:v>Нужна услуга настройки или обучение сотрудника?</x:v>
      </x:c>
      <x:c r="N41" s="8" t="str">
        <x:v>В публичной части контакт заказчика не раскрыт; продолжение карточки ограничено доступом. Не обходить ограничение.</x:v>
      </x:c>
      <x:c r="O41" s="8" t="str">
        <x:v>https://projectexperts.ru/poisk-spikera-%E2%84%962632-est-gonorar/</x:v>
      </x:c>
    </x:row>
    <x:row r="42" ht="34.5" customHeight="1">
      <x:c r="A42" s="8" t="str">
        <x:v>FD-N135</x:v>
      </x:c>
      <x:c r="B42" s="8" t="str">
        <x:v>№2628 — КУ Правительства Приморского края: кризисный менеджмент</x:v>
      </x:c>
      <x:c r="C42" s="8" t="str">
        <x:v>Следующий цикл</x:v>
      </x:c>
      <x:c r="D42" s="8" t="str">
        <x:v>Уточнить следующую волну обучения или резерв преподавателей; не предлагать уже прошедшую сессию как открытый заказ.</x:v>
      </x:c>
      <x:c r="E42" s="8" t="str">
        <x:v>paid_or_unspecified_expert_call</x:v>
      </x:c>
      <x:c r="F42" s="8" t="str">
        <x:v>core</x:v>
      </x:c>
      <x:c r="G42" s="8" t="str">
        <x:v>repeat_cycle</x:v>
      </x:c>
      <x:c r="H42" s="8" t="str">
        <x:v>official_organization_contact</x:v>
      </x:c>
      <x:c r="I42" s="8" t="str">
        <x:v>public_teaser_restricted</x:v>
      </x:c>
      <x:c r="J42" s="8"/>
      <x:c r="K42" s="8"/>
      <x:c r="L42" s="8" t="str">
        <x:v>Двухдневная программа для управленцев с разбором нестандартных ситуаций</x:v>
      </x:c>
      <x:c r="M42" s="8" t="str">
        <x:v>Срок и состав слушателей? Какие кризисные сценарии? Какие требования к договору и преподавателю?</x:v>
      </x:c>
      <x:c r="N42" s="8" t="str">
        <x:v>kuppk@dapr-pk.ru; +7 (423) 286-00-66; официальный общий контакт КУ, владелец запроса не подтвержден</x:v>
      </x:c>
      <x:c r="O42" s="8" t="str">
        <x:v>https://projectexperts.ru/poisk-spikera-%E2%84%962628-est-gonorar/</x:v>
      </x:c>
    </x:row>
  </x:sheetData>
  <x:pageMargins left="0.7" right="0.7" top="0.75" bottom="0.75" header="0.3" footer="0.3"/>
  <x:tableParts count="1">
    <x:tablePart xmlns:r="http://schemas.openxmlformats.org/officeDocument/2006/relationships" r:id="R2243e2d541e5425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43.33000183105469" hidden="0" customWidth="1"/>
    <x:col min="3" max="3" width="23.889999389648438" hidden="0" customWidth="1"/>
    <x:col min="4" max="4" width="26.670000076293945" hidden="0" customWidth="1"/>
    <x:col min="5" max="5" width="25.559999465942383" hidden="0" customWidth="1"/>
    <x:col min="6" max="6" width="16.670000076293945" hidden="0" customWidth="1"/>
    <x:col min="7" max="7" width="17.780000686645508" hidden="0" customWidth="1"/>
    <x:col min="8" max="8" width="33.33000183105469" hidden="0" customWidth="1"/>
    <x:col min="9" max="9" width="16.110000610351562" hidden="0" customWidth="1"/>
    <x:col min="10" max="10" width="15.5600004196167" hidden="0" customWidth="1"/>
    <x:col min="11" max="11" width="66.66999816894531" hidden="0" customWidth="1"/>
    <x:col min="12" max="12" width="55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191 сохраненная потребность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.5" customHeight="1">
      <x:c r="A3" s="4" t="str">
        <x:v>Старые записи не удалены. Дата публикации из прежней версии, а не результат новой проверки.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3.75" customHeight="1">
      <x:c r="A5" s="7" t="str">
        <x:v>ID</x:v>
      </x:c>
      <x:c r="B5" s="7" t="str">
        <x:v>Тема</x:v>
      </x:c>
      <x:c r="C5" s="7" t="str">
        <x:v>Покупатель ID</x:v>
      </x:c>
      <x:c r="D5" s="7" t="str">
        <x:v>Очередь</x:v>
      </x:c>
      <x:c r="E5" s="7" t="str">
        <x:v>Тип намерения</x:v>
      </x:c>
      <x:c r="F5" s="7" t="str">
        <x:v>Профиль</x:v>
      </x:c>
      <x:c r="G5" s="7" t="str">
        <x:v>Публикация — ранее</x:v>
      </x:c>
      <x:c r="H5" s="7" t="str">
        <x:v>Дата события — текст</x:v>
      </x:c>
      <x:c r="I5" s="7" t="str">
        <x:v>Срок</x:v>
      </x:c>
      <x:c r="J5" s="7" t="str">
        <x:v>Проверка v6</x:v>
      </x:c>
      <x:c r="K5" s="7" t="str">
        <x:v>Примечание</x:v>
      </x:c>
      <x:c r="L5" s="7" t="str">
        <x:v>URL</x:v>
      </x:c>
    </x:row>
    <x:row r="6" ht="46.5" customHeight="1">
      <x:c r="A6" s="8" t="str">
        <x:v>FD-N001</x:v>
      </x:c>
      <x:c r="B6" s="8" t="str">
        <x:v>Русская медная компания: коучинг в управлении, план 2027</x:v>
      </x:c>
      <x:c r="C6" s="8" t="str">
        <x:v>FD-B2416d90d88eda2</x:v>
      </x:c>
      <x:c r="D6" s="8" t="str">
        <x:v>Восстановить источник</x:v>
      </x:c>
      <x:c r="E6" s="8" t="str">
        <x:v>explicit_training_request</x:v>
      </x:c>
      <x:c r="F6" s="8" t="str">
        <x:v>core</x:v>
      </x:c>
      <x:c r="G6" s="8" t="str">
        <x:v>2026-10-01</x:v>
      </x:c>
      <x:c r="H6" s="8" t="str">
        <x:v>План обучения 2027 года</x:v>
      </x:c>
      <x:c r="I6" s="8" t="str">
        <x:v>2026-10-21</x:v>
      </x:c>
      <x:c r="J6" s="8" t="str">
        <x:v>V6-C001</x:v>
      </x:c>
      <x:c r="K6" s="8" t="str">
        <x:v>Повторное чтение не удалось; прежнее свидетельство сохранено, закрытие не доказано. Страница заказа недоступна при двух чтениях; официальный общий HR-контакт РМК подтвержден, владелец потребности не установлен.</x:v>
      </x:c>
      <x:c r="L6" s="8" t="str">
        <x:v>https://hrtime.ru/proekt/obuchenie-sotrudnikov-po-programme-kouching-v-upravlenii-174533/</x:v>
      </x:c>
    </x:row>
    <x:row r="7" ht="31.5" customHeight="1">
      <x:c r="A7" s="8" t="str">
        <x:v>FD-N002</x:v>
      </x:c>
      <x:c r="B7" s="8" t="str">
        <x:v>Обучение звонкам клиентам сети оптики</x:v>
      </x:c>
      <x:c r="C7" s="8" t="str">
        <x:v>FD-BU002</x:v>
      </x:c>
      <x:c r="D7" s="8" t="str">
        <x:v>Восстановить источник</x:v>
      </x:c>
      <x:c r="E7" s="8" t="str">
        <x:v>explicit_training_request</x:v>
      </x:c>
      <x:c r="F7" s="8" t="str">
        <x:v>adjacent</x:v>
      </x:c>
      <x:c r="G7" s="8" t="str">
        <x:v>2026-10-01</x:v>
      </x:c>
      <x:c r="H7" s="8"/>
      <x:c r="I7" s="8" t="str">
        <x:v>2026-10-21</x:v>
      </x:c>
      <x:c r="J7" s="8" t="str">
        <x:v>V6-C002</x:v>
      </x:c>
      <x:c r="K7" s="8" t="str">
        <x:v>Повторное чтение не удалось; прежнее свидетельство сохранено, закрытие не доказано.</x:v>
      </x:c>
      <x:c r="L7" s="8" t="str">
        <x:v>https://hrtime.ru/proekt/trening-po-zvonkam-v-b2c-174469/</x:v>
      </x:c>
    </x:row>
    <x:row r="8" ht="31.5" customHeight="1">
      <x:c r="A8" s="8" t="str">
        <x:v>FD-N003</x:v>
      </x:c>
      <x:c r="B8" s="8" t="str">
        <x:v>Машиностроение: тренеры по стандартам качества</x:v>
      </x:c>
      <x:c r="C8" s="8" t="str">
        <x:v>FD-BU003</x:v>
      </x:c>
      <x:c r="D8" s="8" t="str">
        <x:v>Восстановить источник</x:v>
      </x:c>
      <x:c r="E8" s="8" t="str">
        <x:v>explicit_training_request</x:v>
      </x:c>
      <x:c r="F8" s="8" t="str">
        <x:v>uncertain</x:v>
      </x:c>
      <x:c r="G8" s="8" t="str">
        <x:v>2026-10-01</x:v>
      </x:c>
      <x:c r="H8" s="8"/>
      <x:c r="I8" s="8" t="str">
        <x:v>2026-10-21</x:v>
      </x:c>
      <x:c r="J8" s="8" t="str">
        <x:v>V6-C003</x:v>
      </x:c>
      <x:c r="K8" s="8" t="str">
        <x:v>Повторное чтение не удалось; прежнее свидетельство сохранено, закрытие не доказано.</x:v>
      </x:c>
      <x:c r="L8" s="8" t="str">
        <x:v>https://hrtime.ru/proekt/obuchenie-standartam-kachestva-174512/</x:v>
      </x:c>
    </x:row>
    <x:row r="9" ht="31.5" customHeight="1">
      <x:c r="A9" s="8" t="str">
        <x:v>FD-N004</x:v>
      </x:c>
      <x:c r="B9" s="8" t="str">
        <x:v>Модератор стратегической сессии в автобизнесе</x:v>
      </x:c>
      <x:c r="C9" s="8" t="str">
        <x:v>FD-BU004</x:v>
      </x:c>
      <x:c r="D9" s="8" t="str">
        <x:v>Восстановить источник</x:v>
      </x:c>
      <x:c r="E9" s="8" t="str">
        <x:v>explicit_training_request</x:v>
      </x:c>
      <x:c r="F9" s="8" t="str">
        <x:v>adjacent</x:v>
      </x:c>
      <x:c r="G9" s="8" t="str">
        <x:v>2026-09-30</x:v>
      </x:c>
      <x:c r="H9" s="8" t="str">
        <x:v>7–8 октября</x:v>
      </x:c>
      <x:c r="I9" s="8" t="str">
        <x:v>2026-10-20</x:v>
      </x:c>
      <x:c r="J9" s="8" t="str">
        <x:v>V6-C004</x:v>
      </x:c>
      <x:c r="K9" s="8" t="str">
        <x:v>Повторное чтение не удалось; прежнее свидетельство сохранено, закрытие не доказано.</x:v>
      </x:c>
      <x:c r="L9" s="8" t="str">
        <x:v>https://hrtime.ru/proekt/trebuetsia-moderatorfasilitator-174487/</x:v>
      </x:c>
    </x:row>
    <x:row r="10" ht="31.5" customHeight="1">
      <x:c r="A10" s="8" t="str">
        <x:v>FD-N005</x:v>
      </x:c>
      <x:c r="B10" s="8" t="str">
        <x:v>Хабаровск: обучение продажам автотехники</x:v>
      </x:c>
      <x:c r="C10" s="8" t="str">
        <x:v>FD-BU005</x:v>
      </x:c>
      <x:c r="D10" s="8" t="str">
        <x:v>Восстановить источник</x:v>
      </x:c>
      <x:c r="E10" s="8" t="str">
        <x:v>explicit_training_request</x:v>
      </x:c>
      <x:c r="F10" s="8" t="str">
        <x:v>adjacent</x:v>
      </x:c>
      <x:c r="G10" s="8" t="str">
        <x:v>2026-09-30</x:v>
      </x:c>
      <x:c r="H10" s="8"/>
      <x:c r="I10" s="8" t="str">
        <x:v>2026-10-20</x:v>
      </x:c>
      <x:c r="J10" s="8" t="str">
        <x:v>V6-C005</x:v>
      </x:c>
      <x:c r="K10" s="8" t="str">
        <x:v>Повторное чтение не удалось; прежнее свидетельство сохранено, закрытие не доказано.</x:v>
      </x:c>
      <x:c r="L10" s="8" t="str">
        <x:v>https://hrtime.ru/proekt/obuchenie-po-prodazham-avtotekhniki-174483/</x:v>
      </x:c>
    </x:row>
    <x:row r="11" ht="34.5" customHeight="1">
      <x:c r="A11" s="8" t="str">
        <x:v>FD-N006</x:v>
      </x:c>
      <x:c r="B11" s="8" t="str">
        <x:v>Очный тренинг по массовому подбору</x:v>
      </x:c>
      <x:c r="C11" s="8" t="str">
        <x:v>FD-BU006</x:v>
      </x:c>
      <x:c r="D11" s="8" t="str">
        <x:v>Квалифицировать запрос</x:v>
      </x:c>
      <x:c r="E11" s="8" t="str">
        <x:v>explicit_training_request</x:v>
      </x:c>
      <x:c r="F11" s="8" t="str">
        <x:v>core</x:v>
      </x:c>
      <x:c r="G11" s="8" t="str">
        <x:v>2026-09-29</x:v>
      </x:c>
      <x:c r="H11" s="8"/>
      <x:c r="I11" s="8" t="str">
        <x:v>2026-10-19</x:v>
      </x:c>
      <x:c r="J11" s="8" t="str">
        <x:v>V6-C006</x:v>
      </x:c>
      <x:c r="K11" s="8" t="str">
        <x:v>Прочитано описание запроса; наличие страницы не подтверждает текущую готовность купить.</x:v>
      </x:c>
      <x:c r="L11" s="8" t="str">
        <x:v>https://hrtime.ru/proekt/trening-po-massovomu-podboru-174432/</x:v>
      </x:c>
    </x:row>
    <x:row r="12" ht="46.5" customHeight="1">
      <x:c r="A12" s="8" t="str">
        <x:v>FD-N007</x:v>
      </x:c>
      <x:c r="B12" s="8" t="str">
        <x:v>Кафе-пекарни: месяц обучения и сопровождения запуска</x:v>
      </x:c>
      <x:c r="C12" s="8" t="str">
        <x:v>FD-BU007</x:v>
      </x:c>
      <x:c r="D12" s="8" t="str">
        <x:v>Уточнить объем</x:v>
      </x:c>
      <x:c r="E12" s="8" t="str">
        <x:v>explicit_training_request</x:v>
      </x:c>
      <x:c r="F12" s="8" t="str">
        <x:v>mixed_scope</x:v>
      </x:c>
      <x:c r="G12" s="8" t="str">
        <x:v>2026-09-28</x:v>
      </x:c>
      <x:c r="H12" s="8"/>
      <x:c r="I12" s="8" t="str">
        <x:v>2026-10-18</x:v>
      </x:c>
      <x:c r="J12" s="8" t="str">
        <x:v>V6-C007</x:v>
      </x:c>
      <x:c r="K12" s="8" t="str">
        <x:v>Прочитано описание запроса; наличие страницы не подтверждает текущую готовность купить. Смешанная аудитория и длительное сопровождение на месте; управленческую часть выделить в отдельное предложение.</x:v>
      </x:c>
      <x:c r="L12" s="8" t="str">
        <x:v>https://hrtime.ru/proekt/trening-po-prodazham-i-uvelicheniiu-srednego-cheka-174372/</x:v>
      </x:c>
    </x:row>
    <x:row r="13" ht="46.5" customHeight="1">
      <x:c r="A13" s="8" t="str">
        <x:v>FD-N008</x:v>
      </x:c>
      <x:c r="B13" s="8" t="str">
        <x:v>Private Banking: обучение работе с клиентами</x:v>
      </x:c>
      <x:c r="C13" s="8" t="str">
        <x:v>FD-BU008</x:v>
      </x:c>
      <x:c r="D13" s="8" t="str">
        <x:v>Срочно проверить слот</x:v>
      </x:c>
      <x:c r="E13" s="8" t="str">
        <x:v>explicit_training_request</x:v>
      </x:c>
      <x:c r="F13" s="8" t="str">
        <x:v>adjacent</x:v>
      </x:c>
      <x:c r="G13" s="8" t="str">
        <x:v>2026-09-28</x:v>
      </x:c>
      <x:c r="H13" s="8" t="str">
        <x:v>2 октября</x:v>
      </x:c>
      <x:c r="I13" s="8" t="str">
        <x:v>2026-10-18</x:v>
      </x:c>
      <x:c r="J13" s="8" t="str">
        <x:v>V6-C008</x:v>
      </x:c>
      <x:c r="K13" s="8" t="str">
        <x:v>Прочитано описание запроса; наличие страницы не подтверждает текущую готовность купить. Событие 2 октября, срок площадки 18 октября: использовать дату события для срочности. Год 2026 интерпретирован по контексту.</x:v>
      </x:c>
      <x:c r="L13" s="8" t="str">
        <x:v>https://hrtime.ru/proekt/trening-taktika-i-strategiia-raboty-s-private-banking-klientami-174313/</x:v>
      </x:c>
    </x:row>
    <x:row r="14" ht="34.5" customHeight="1">
      <x:c r="A14" s="8" t="str">
        <x:v>FD-N009</x:v>
      </x:c>
      <x:c r="B14" s="8" t="str">
        <x:v>Девять руководителей: устойчивость в конфликтах</x:v>
      </x:c>
      <x:c r="C14" s="8" t="str">
        <x:v>FD-BU009</x:v>
      </x:c>
      <x:c r="D14" s="8" t="str">
        <x:v>Квалифицировать запрос</x:v>
      </x:c>
      <x:c r="E14" s="8" t="str">
        <x:v>explicit_training_request</x:v>
      </x:c>
      <x:c r="F14" s="8" t="str">
        <x:v>core</x:v>
      </x:c>
      <x:c r="G14" s="8" t="str">
        <x:v>2026-09-25</x:v>
      </x:c>
      <x:c r="H14" s="8" t="str">
        <x:v>Начало ноября; возможен более длительный формат</x:v>
      </x:c>
      <x:c r="I14" s="8" t="str">
        <x:v>2026-10-10</x:v>
      </x:c>
      <x:c r="J14" s="8" t="str">
        <x:v>V6-C009</x:v>
      </x:c>
      <x:c r="K14" s="8" t="str">
        <x:v>Прочитано описание запроса; наличие страницы не подтверждает текущую готовность купить.</x:v>
      </x:c>
      <x:c r="L14" s="8" t="str">
        <x:v>https://hrtime.ru/proekt/trening-po-ustoychivosti-v-konfliktakh-174332/</x:v>
      </x:c>
    </x:row>
    <x:row r="15" ht="34.5" customHeight="1">
      <x:c r="A15" s="8" t="str">
        <x:v>FD-N010</x:v>
      </x:c>
      <x:c r="B15" s="8" t="str">
        <x:v>Молодой руководитель: управленческие навыки</x:v>
      </x:c>
      <x:c r="C15" s="8" t="str">
        <x:v>FD-BU010</x:v>
      </x:c>
      <x:c r="D15" s="8" t="str">
        <x:v>Квалифицировать запрос</x:v>
      </x:c>
      <x:c r="E15" s="8" t="str">
        <x:v>explicit_training_request</x:v>
      </x:c>
      <x:c r="F15" s="8" t="str">
        <x:v>core</x:v>
      </x:c>
      <x:c r="G15" s="8" t="str">
        <x:v>2026-09-25</x:v>
      </x:c>
      <x:c r="H15" s="8"/>
      <x:c r="I15" s="8" t="str">
        <x:v>2026-10-15</x:v>
      </x:c>
      <x:c r="J15" s="8" t="str">
        <x:v>V6-C010</x:v>
      </x:c>
      <x:c r="K15" s="8" t="str">
        <x:v>Прочитано описание запроса; наличие страницы не подтверждает текущую готовность купить.</x:v>
      </x:c>
      <x:c r="L15" s="8" t="str">
        <x:v>https://hrtime.ru/proekt/trening-po-upravlencheskim-navykam-174316/</x:v>
      </x:c>
    </x:row>
    <x:row r="16" ht="34.5" customHeight="1">
      <x:c r="A16" s="8" t="str">
        <x:v>FD-N011</x:v>
      </x:c>
      <x:c r="B16" s="8" t="str">
        <x:v>Проектная компания: руководители и командная работа</x:v>
      </x:c>
      <x:c r="C16" s="8" t="str">
        <x:v>FD-BU011</x:v>
      </x:c>
      <x:c r="D16" s="8" t="str">
        <x:v>Квалифицировать запрос</x:v>
      </x:c>
      <x:c r="E16" s="8" t="str">
        <x:v>explicit_training_request</x:v>
      </x:c>
      <x:c r="F16" s="8" t="str">
        <x:v>core</x:v>
      </x:c>
      <x:c r="G16" s="8" t="str">
        <x:v>2026-09-25</x:v>
      </x:c>
      <x:c r="H16" s="8"/>
      <x:c r="I16" s="8" t="str">
        <x:v>2026-10-15</x:v>
      </x:c>
      <x:c r="J16" s="8" t="str">
        <x:v>V6-C011</x:v>
      </x:c>
      <x:c r="K16" s="8" t="str">
        <x:v>Прочитано описание запроса; наличие страницы не подтверждает текущую готовность купить.</x:v>
      </x:c>
      <x:c r="L16" s="8" t="str">
        <x:v>https://hrtime.ru/proekt/trening-dlia-rukovoditeley-i-po-komandoobrazovaniiu-174289/</x:v>
      </x:c>
    </x:row>
    <x:row r="17" ht="34.5" customHeight="1">
      <x:c r="A17" s="8" t="str">
        <x:v>FD-N012</x:v>
      </x:c>
      <x:c r="B17" s="8" t="str">
        <x:v>Киров: прикладное обучение руководителей продаж</x:v>
      </x:c>
      <x:c r="C17" s="8" t="str">
        <x:v>FD-BU012</x:v>
      </x:c>
      <x:c r="D17" s="8" t="str">
        <x:v>Перечитать старую запись</x:v>
      </x:c>
      <x:c r="E17" s="8" t="str">
        <x:v>explicit_training_request</x:v>
      </x:c>
      <x:c r="F17" s="8" t="str">
        <x:v>core</x:v>
      </x:c>
      <x:c r="G17" s="8"/>
      <x:c r="H17" s="8"/>
      <x:c r="I17" s="8" t="str">
        <x:v>2026-10-07</x:v>
      </x:c>
      <x:c r="J17" s="8"/>
      <x:c r="K17" s="8" t="str">
        <x:v>Сохраненный сигнал; в v6 не перечитан.</x:v>
      </x:c>
      <x:c r="L17" s="8" t="str">
        <x:v>https://hrtime.ru/proekt/obuchenie-rukovoditeley-otdelov-prodazh-173882/</x:v>
      </x:c>
    </x:row>
    <x:row r="18" ht="31.5" customHeight="1">
      <x:c r="A18" s="8" t="str">
        <x:v>FD-N013</x:v>
      </x:c>
      <x:c r="B18" s="8" t="str">
        <x:v>Замена тренера по переговорам для отдела продаж</x:v>
      </x:c>
      <x:c r="C18" s="8" t="str">
        <x:v>FD-BU013</x:v>
      </x:c>
      <x:c r="D18" s="8" t="str">
        <x:v>Следующий цикл</x:v>
      </x:c>
      <x:c r="E18" s="8" t="str">
        <x:v>explicit_training_request</x:v>
      </x:c>
      <x:c r="F18" s="8" t="str">
        <x:v>core</x:v>
      </x:c>
      <x:c r="G18" s="8" t="str">
        <x:v>2026-09-22</x:v>
      </x:c>
      <x:c r="H18" s="8" t="str">
        <x:v>24 сентября</x:v>
      </x:c>
      <x:c r="I18" s="8" t="str">
        <x:v>2026-09-24</x:v>
      </x:c>
      <x:c r="J18" s="8"/>
      <x:c r="K18" s="8" t="str">
        <x:v>Сохраненный сигнал; в v6 не перечитан.</x:v>
      </x:c>
      <x:c r="L18" s="8" t="str">
        <x:v>https://hrtime.ru/proekt/trening-dlia-otdela-prodazh-174086/</x:v>
      </x:c>
    </x:row>
    <x:row r="19" ht="31.5" customHeight="1">
      <x:c r="A19" s="8" t="str">
        <x:v>FD-N014</x:v>
      </x:c>
      <x:c r="B19" s="8" t="str">
        <x:v>Сеть автосалонов: стратегия прибыли на 2027</x:v>
      </x:c>
      <x:c r="C19" s="8" t="str">
        <x:v>FD-BU014</x:v>
      </x:c>
      <x:c r="D19" s="8" t="str">
        <x:v>Восстановить источник</x:v>
      </x:c>
      <x:c r="E19" s="8" t="str">
        <x:v>explicit_training_request</x:v>
      </x:c>
      <x:c r="F19" s="8" t="str">
        <x:v>adjacent</x:v>
      </x:c>
      <x:c r="G19" s="8" t="str">
        <x:v>2026-09-29</x:v>
      </x:c>
      <x:c r="H19" s="8"/>
      <x:c r="I19" s="8" t="str">
        <x:v>2026-10-19</x:v>
      </x:c>
      <x:c r="J19" s="8" t="str">
        <x:v>V6-C014</x:v>
      </x:c>
      <x:c r="K19" s="8" t="str">
        <x:v>Повторное чтение не удалось; прежнее свидетельство сохранено, закрытие не доказано.</x:v>
      </x:c>
      <x:c r="L19" s="8" t="str">
        <x:v>https://hrtime.ru/proekt/provedenie-strategicheskoy-sessii-174434/</x:v>
      </x:c>
    </x:row>
    <x:row r="20" ht="34.5" customHeight="1">
      <x:c r="A20" s="8" t="str">
        <x:v>FD-N015</x:v>
      </x:c>
      <x:c r="B20" s="8" t="str">
        <x:v>Челябинск: внедрение ChatGPT и обучение трех руководителей</x:v>
      </x:c>
      <x:c r="C20" s="8" t="str">
        <x:v>FD-BU015</x:v>
      </x:c>
      <x:c r="D20" s="8" t="str">
        <x:v>Следующий цикл</x:v>
      </x:c>
      <x:c r="E20" s="8" t="str">
        <x:v>explicit_training_request</x:v>
      </x:c>
      <x:c r="F20" s="8" t="str">
        <x:v>adjacent</x:v>
      </x:c>
      <x:c r="G20" s="8" t="str">
        <x:v>2026-09-14</x:v>
      </x:c>
      <x:c r="H20" s="8"/>
      <x:c r="I20" s="8"/>
      <x:c r="J20" s="8"/>
      <x:c r="K20" s="8" t="str">
        <x:v>Сохраненный сигнал; в v6 не перечитан.</x:v>
      </x:c>
      <x:c r="L20" s="8" t="str">
        <x:v>https://www.fl.ru/projects/5521979/ustanovka-chat-gpt-u-treh-sotrudnikov-kompanii.html</x:v>
      </x:c>
    </x:row>
    <x:row r="21" ht="46.5" customHeight="1">
      <x:c r="A21" s="8" t="str">
        <x:v>FD-N016</x:v>
      </x:c>
      <x:c r="B21" s="8" t="str">
        <x:v>Интегратор чат-платформы: обучение внутри проекта</x:v>
      </x:c>
      <x:c r="C21" s="8" t="str">
        <x:v>FD-BU016</x:v>
      </x:c>
      <x:c r="D21" s="8" t="str">
        <x:v>Уточнить объем</x:v>
      </x:c>
      <x:c r="E21" s="8" t="str">
        <x:v>inferred_need</x:v>
      </x:c>
      <x:c r="F21" s="8" t="str">
        <x:v>uncertain</x:v>
      </x:c>
      <x:c r="G21" s="8" t="str">
        <x:v>2026-09-29</x:v>
      </x:c>
      <x:c r="H21" s="8"/>
      <x:c r="I21" s="8"/>
      <x:c r="J21" s="8"/>
      <x:c r="K21" s="8" t="str">
        <x:v>Сохраненный сигнал; в v6 не перечитан.</x:v>
      </x:c>
      <x:c r="L21" s="8" t="str">
        <x:v>https://www.fl.ru/projects/5523808/tehnicheskiy-audit-tz-i-razrabotka-arhitek-resheniya-vnedrenie-chat-platformyi-i-sistemyi-chat-botov.html</x:v>
      </x:c>
    </x:row>
    <x:row r="22" ht="34.5" customHeight="1">
      <x:c r="A22" s="8" t="str">
        <x:v>FD-N017</x:v>
      </x:c>
      <x:c r="B22" s="8" t="str">
        <x:v>Аутсорсер персонала: презентация вакансии и возражения</x:v>
      </x:c>
      <x:c r="C22" s="8" t="str">
        <x:v>FD-BU017</x:v>
      </x:c>
      <x:c r="D22" s="8" t="str">
        <x:v>Следующий цикл</x:v>
      </x:c>
      <x:c r="E22" s="8" t="str">
        <x:v>explicit_training_request</x:v>
      </x:c>
      <x:c r="F22" s="8" t="str">
        <x:v>core</x:v>
      </x:c>
      <x:c r="G22" s="8" t="str">
        <x:v>2026-09-11</x:v>
      </x:c>
      <x:c r="H22" s="8"/>
      <x:c r="I22" s="8" t="str">
        <x:v>2026-09-30</x:v>
      </x:c>
      <x:c r="J22" s="8"/>
      <x:c r="K22" s="8" t="str">
        <x:v>Сохраненный сигнал; в v6 не перечитан.</x:v>
      </x:c>
      <x:c r="L22" s="8" t="str">
        <x:v>https://hrtime.ru/proekt/obuchenie-rekruterov-173730/</x:v>
      </x:c>
    </x:row>
    <x:row r="23" ht="34.5" customHeight="1">
      <x:c r="A23" s="8" t="str">
        <x:v>FD-N018</x:v>
      </x:c>
      <x:c r="B23" s="8" t="str">
        <x:v>Логистическая компания: развитие корпоративного сообщества</x:v>
      </x:c>
      <x:c r="C23" s="8" t="str">
        <x:v>FD-BU018</x:v>
      </x:c>
      <x:c r="D23" s="8" t="str">
        <x:v>Следующий цикл</x:v>
      </x:c>
      <x:c r="E23" s="8" t="str">
        <x:v>explicit_training_request</x:v>
      </x:c>
      <x:c r="F23" s="8" t="str">
        <x:v>core</x:v>
      </x:c>
      <x:c r="G23" s="8" t="str">
        <x:v>2026-09-08</x:v>
      </x:c>
      <x:c r="H23" s="8"/>
      <x:c r="I23" s="8" t="str">
        <x:v>2026-09-28</x:v>
      </x:c>
      <x:c r="J23" s="8"/>
      <x:c r="K23" s="8" t="str">
        <x:v>Сохраненный сигнал; в v6 не перечитан.</x:v>
      </x:c>
      <x:c r="L23" s="8" t="str">
        <x:v>https://hrtime.ru/proekt/trening-po-sozdaniiu-i-upravleniiu-soobshchestvami-173541/</x:v>
      </x:c>
    </x:row>
    <x:row r="24" ht="34.5" customHeight="1">
      <x:c r="A24" s="8" t="str">
        <x:v>FD-N019</x:v>
      </x:c>
      <x:c r="B24" s="8" t="str">
        <x:v>Юридическая компания: обратная связь сотрудникам</x:v>
      </x:c>
      <x:c r="C24" s="8" t="str">
        <x:v>FD-BU019</x:v>
      </x:c>
      <x:c r="D24" s="8" t="str">
        <x:v>Следующий цикл</x:v>
      </x:c>
      <x:c r="E24" s="8" t="str">
        <x:v>explicit_training_request</x:v>
      </x:c>
      <x:c r="F24" s="8" t="str">
        <x:v>core</x:v>
      </x:c>
      <x:c r="G24" s="8" t="str">
        <x:v>2026-09-14</x:v>
      </x:c>
      <x:c r="H24" s="8"/>
      <x:c r="I24" s="8"/>
      <x:c r="J24" s="8"/>
      <x:c r="K24" s="8" t="str">
        <x:v>Сохраненный сигнал; в v6 не перечитан.</x:v>
      </x:c>
      <x:c r="L24" s="8" t="str">
        <x:v>https://hrtime.ru/proekt/trening-po-predostavleniiu-obratnoy-sviazi-sotrudnikam-173823/</x:v>
      </x:c>
    </x:row>
    <x:row r="25" ht="34.5" customHeight="1">
      <x:c r="A25" s="8" t="str">
        <x:v>FD-N020</x:v>
      </x:c>
      <x:c r="B25" s="8" t="str">
        <x:v>№2638 — бизнес-тренеры для руководителей производства</x:v>
      </x:c>
      <x:c r="C25" s="8" t="str">
        <x:v>FD-BU020</x:v>
      </x:c>
      <x:c r="D25" s="8" t="str">
        <x:v>Найти маршрут доступа</x:v>
      </x:c>
      <x:c r="E25" s="8" t="str">
        <x:v>paid_or_unspecified_expert_call</x:v>
      </x:c>
      <x:c r="F25" s="8" t="str">
        <x:v>core</x:v>
      </x:c>
      <x:c r="G25" s="8" t="str">
        <x:v>2026-09-27</x:v>
      </x:c>
      <x:c r="H25" s="8"/>
      <x:c r="I25" s="8"/>
      <x:c r="J25" s="8" t="str">
        <x:v>V6-C020</x:v>
      </x:c>
      <x:c r="K25" s="8" t="str">
        <x:v>Прочитан краткий запрос; полный текст и контакт ограничены. Свободный слот не подтвержден.</x:v>
      </x:c>
      <x:c r="L25" s="8" t="str">
        <x:v>https://projectexperts.ru/poisk-spikera-%E2%84%962638-est-gonorar/</x:v>
      </x:c>
    </x:row>
    <x:row r="26" ht="46.5" customHeight="1">
      <x:c r="A26" s="8" t="str">
        <x:v>FD-N021</x:v>
      </x:c>
      <x:c r="B26" s="8" t="str">
        <x:v>№2637 — эксперт по качеству и ОТК</x:v>
      </x:c>
      <x:c r="C26" s="8" t="str">
        <x:v>FD-BU021</x:v>
      </x:c>
      <x:c r="D26" s="8" t="str">
        <x:v>Срочно проверить слот</x:v>
      </x:c>
      <x:c r="E26" s="8" t="str">
        <x:v>paid_or_unspecified_expert_call</x:v>
      </x:c>
      <x:c r="F26" s="8" t="str">
        <x:v>core</x:v>
      </x:c>
      <x:c r="G26" s="8" t="str">
        <x:v>2026-09-27</x:v>
      </x:c>
      <x:c r="H26" s="8" t="str">
        <x:v>с 28.09 по 02.10; Москва, Китай-город; 09:00–15:15</x:v>
      </x:c>
      <x:c r="I26" s="8"/>
      <x:c r="J26" s="8" t="str">
        <x:v>V6-C021</x:v>
      </x:c>
      <x:c r="K26" s="8" t="str">
        <x:v>Прочитан краткий запрос; полный текст и контакт ограничены. Свободный слот не подтвержден. Программа уже началась; запрос эксперта может относиться к оставшемуся слоту.</x:v>
      </x:c>
      <x:c r="L26" s="8" t="str">
        <x:v>https://projectexperts.ru/poisk-spikera-%E2%84%962637-est-gonorar/</x:v>
      </x:c>
    </x:row>
    <x:row r="27" ht="34.5" customHeight="1">
      <x:c r="A27" s="8" t="str">
        <x:v>FD-N022</x:v>
      </x:c>
      <x:c r="B27" s="8" t="str">
        <x:v>№2636 — бизнес-встреча в Казани</x:v>
      </x:c>
      <x:c r="C27" s="8" t="str">
        <x:v>FD-BU022</x:v>
      </x:c>
      <x:c r="D27" s="8" t="str">
        <x:v>Найти маршрут доступа</x:v>
      </x:c>
      <x:c r="E27" s="8" t="str">
        <x:v>paid_or_unspecified_expert_call</x:v>
      </x:c>
      <x:c r="F27" s="8" t="str">
        <x:v>core</x:v>
      </x:c>
      <x:c r="G27" s="8" t="str">
        <x:v>2026-09-26</x:v>
      </x:c>
      <x:c r="H27" s="8" t="str">
        <x:v>Казань; дата не указана; 1–1,5 часа</x:v>
      </x:c>
      <x:c r="I27" s="8"/>
      <x:c r="J27" s="8" t="str">
        <x:v>V6-C022</x:v>
      </x:c>
      <x:c r="K27" s="8" t="str">
        <x:v>Прочитан краткий запрос; полный текст и контакт ограничены. Свободный слот не подтвержден.</x:v>
      </x:c>
      <x:c r="L27" s="8" t="str">
        <x:v>https://projectexperts.ru/poisk-spikera-%E2%84%962636-est-gonorar/</x:v>
      </x:c>
    </x:row>
    <x:row r="28" ht="34.5" customHeight="1">
      <x:c r="A28" s="8" t="str">
        <x:v>FD-N023</x:v>
      </x:c>
      <x:c r="B28" s="8" t="str">
        <x:v>№2633 — работа с НКО, Салехард</x:v>
      </x:c>
      <x:c r="C28" s="8" t="str">
        <x:v>FD-BU023</x:v>
      </x:c>
      <x:c r="D28" s="8" t="str">
        <x:v>Найти маршрут доступа</x:v>
      </x:c>
      <x:c r="E28" s="8" t="str">
        <x:v>paid_or_unspecified_expert_call</x:v>
      </x:c>
      <x:c r="F28" s="8" t="str">
        <x:v>adjacent</x:v>
      </x:c>
      <x:c r="G28" s="8" t="str">
        <x:v>2026-09-25</x:v>
      </x:c>
      <x:c r="H28" s="8" t="str">
        <x:v>Салехард, конец октября</x:v>
      </x:c>
      <x:c r="I28" s="8"/>
      <x:c r="J28" s="8" t="str">
        <x:v>V6-C023</x:v>
      </x:c>
      <x:c r="K28" s="8" t="str">
        <x:v>Прочитан краткий запрос; полный текст и контакт ограничены. Свободный слот не подтвержден.</x:v>
      </x:c>
      <x:c r="L28" s="8" t="str">
        <x:v>https://projectexperts.ru/poisk-spikera-%E2%84%962633-est-gonorar/</x:v>
      </x:c>
    </x:row>
    <x:row r="29" ht="34.5" customHeight="1">
      <x:c r="A29" s="8" t="str">
        <x:v>FD-N024</x:v>
      </x:c>
      <x:c r="B29" s="8" t="str">
        <x:v>№2631 — экспертность и результат бизнеса</x:v>
      </x:c>
      <x:c r="C29" s="8" t="str">
        <x:v>FD-BU024</x:v>
      </x:c>
      <x:c r="D29" s="8" t="str">
        <x:v>Найти маршрут доступа</x:v>
      </x:c>
      <x:c r="E29" s="8" t="str">
        <x:v>paid_or_unspecified_expert_call</x:v>
      </x:c>
      <x:c r="F29" s="8" t="str">
        <x:v>adjacent</x:v>
      </x:c>
      <x:c r="G29" s="8" t="str">
        <x:v>2026-09-25</x:v>
      </x:c>
      <x:c r="H29" s="8" t="str">
        <x:v>21 октября, Москва</x:v>
      </x:c>
      <x:c r="I29" s="8"/>
      <x:c r="J29" s="8" t="str">
        <x:v>V6-C024</x:v>
      </x:c>
      <x:c r="K29" s="8" t="str">
        <x:v>Прочитан краткий запрос; полный текст и контакт ограничены. Свободный слот не подтвержден.</x:v>
      </x:c>
      <x:c r="L29" s="8" t="str">
        <x:v>https://projectexperts.ru/poisk-spikera-%E2%84%962631/</x:v>
      </x:c>
    </x:row>
    <x:row r="30" ht="34.5" customHeight="1">
      <x:c r="A30" s="8" t="str">
        <x:v>FD-N025</x:v>
      </x:c>
      <x:c r="B30" s="8" t="str">
        <x:v>№2639 — бизнес-форум в Курске</x:v>
      </x:c>
      <x:c r="C30" s="8" t="str">
        <x:v>FD-BU025</x:v>
      </x:c>
      <x:c r="D30" s="8" t="str">
        <x:v>Найти маршрут доступа</x:v>
      </x:c>
      <x:c r="E30" s="8" t="str">
        <x:v>paid_or_unspecified_expert_call</x:v>
      </x:c>
      <x:c r="F30" s="8" t="str">
        <x:v>adjacent</x:v>
      </x:c>
      <x:c r="G30" s="8" t="str">
        <x:v>2026-09-29</x:v>
      </x:c>
      <x:c r="H30" s="8" t="str">
        <x:v>29.10.26; офлайн, Курск; 30–40 минут</x:v>
      </x:c>
      <x:c r="I30" s="8"/>
      <x:c r="J30" s="8" t="str">
        <x:v>V6-C025</x:v>
      </x:c>
      <x:c r="K30" s="8" t="str">
        <x:v>Прочитан краткий запрос; полный текст и контакт ограничены. Свободный слот не подтвержден.</x:v>
      </x:c>
      <x:c r="L30" s="8" t="str">
        <x:v>https://projectexperts.ru/poisk-spikera-%E2%84%962639/</x:v>
      </x:c>
    </x:row>
    <x:row r="31" ht="46.5" customHeight="1">
      <x:c r="A31" s="8" t="str">
        <x:v>FD-N026</x:v>
      </x:c>
      <x:c r="B31" s="8" t="str">
        <x:v>№2640 — внешние спикеры банковской конференции</x:v>
      </x:c>
      <x:c r="C31" s="8" t="str">
        <x:v>FD-BU026</x:v>
      </x:c>
      <x:c r="D31" s="8" t="str">
        <x:v>Найти маршрут доступа</x:v>
      </x:c>
      <x:c r="E31" s="8" t="str">
        <x:v>paid_or_unspecified_expert_call</x:v>
      </x:c>
      <x:c r="F31" s="8" t="str">
        <x:v>core</x:v>
      </x:c>
      <x:c r="G31" s="8" t="str">
        <x:v>2026-09-30</x:v>
      </x:c>
      <x:c r="H31" s="8" t="str">
        <x:v>Конец ноября 2026, точная дата согласуется</x:v>
      </x:c>
      <x:c r="I31" s="8"/>
      <x:c r="J31" s="8" t="str">
        <x:v>V6-C026</x:v>
      </x:c>
      <x:c r="K31" s="8" t="str">
        <x:v>Прочитан краткий запрос; полный текст и контакт ограничены. Свободный слот не подтвержден. 40 млн руб. относятся ко всему мероприятию с агентской комиссией, а не к обучению или спикеру.</x:v>
      </x:c>
      <x:c r="L31" s="8" t="str">
        <x:v>https://projectexperts.ru/poisk-spikera-%E2%84%962640-est-gonorar/</x:v>
      </x:c>
    </x:row>
    <x:row r="32" ht="34.5" customHeight="1">
      <x:c r="A32" s="8" t="str">
        <x:v>FD-N027</x:v>
      </x:c>
      <x:c r="B32" s="8" t="str">
        <x:v>№3335 — преподаватели закупок, антикризисного управления и EdTech</x:v>
      </x:c>
      <x:c r="C32" s="8" t="str">
        <x:v>FD-BU027</x:v>
      </x:c>
      <x:c r="D32" s="8" t="str">
        <x:v>Партнерство</x:v>
      </x:c>
      <x:c r="E32" s="8" t="str">
        <x:v>subcontract_signal</x:v>
      </x:c>
      <x:c r="F32" s="8" t="str">
        <x:v>core</x:v>
      </x:c>
      <x:c r="G32" s="8"/>
      <x:c r="H32" s="8"/>
      <x:c r="I32" s="8"/>
      <x:c r="J32" s="8"/>
      <x:c r="K32" s="8" t="str">
        <x:v>Сохраненный сигнал; в v6 не перечитан.</x:v>
      </x:c>
      <x:c r="L32" s="8" t="str">
        <x:v>https://t.me/speakers_l/5595</x:v>
      </x:c>
    </x:row>
    <x:row r="33" ht="31.5" customHeight="1">
      <x:c r="A33" s="8" t="str">
        <x:v>FD-N028</x:v>
      </x:c>
      <x:c r="B33" s="8" t="str">
        <x:v>Проект: около 40 микро-курсов для бизнес-трекинга</x:v>
      </x:c>
      <x:c r="C33" s="8" t="str">
        <x:v>FD-BU028</x:v>
      </x:c>
      <x:c r="D33" s="8" t="str">
        <x:v>Партнерство</x:v>
      </x:c>
      <x:c r="E33" s="8" t="str">
        <x:v>subcontract_signal</x:v>
      </x:c>
      <x:c r="F33" s="8" t="str">
        <x:v>core</x:v>
      </x:c>
      <x:c r="G33" s="8"/>
      <x:c r="H33" s="8"/>
      <x:c r="I33" s="8"/>
      <x:c r="J33" s="8"/>
      <x:c r="K33" s="8" t="str">
        <x:v>Сохраненный сигнал; в v6 не перечитан.</x:v>
      </x:c>
      <x:c r="L33" s="8" t="str">
        <x:v>https://t.me/s/freelancetaverna/3666?q=%23job</x:v>
      </x:c>
    </x:row>
    <x:row r="34" ht="31.5" customHeight="1">
      <x:c r="A34" s="8" t="str">
        <x:v>FD-N029</x:v>
      </x:c>
      <x:c r="B34" s="8" t="str">
        <x:v>Создание онлайн-курса по SMM</x:v>
      </x:c>
      <x:c r="C34" s="8" t="str">
        <x:v>FD-BU029</x:v>
      </x:c>
      <x:c r="D34" s="8" t="str">
        <x:v>Партнерство</x:v>
      </x:c>
      <x:c r="E34" s="8" t="str">
        <x:v>subcontract_signal</x:v>
      </x:c>
      <x:c r="F34" s="8" t="str">
        <x:v>adjacent</x:v>
      </x:c>
      <x:c r="G34" s="8"/>
      <x:c r="H34" s="8"/>
      <x:c r="I34" s="8"/>
      <x:c r="J34" s="8"/>
      <x:c r="K34" s="8" t="str">
        <x:v>Сохраненный сигнал; в v6 не перечитан.</x:v>
      </x:c>
      <x:c r="L34" s="8" t="str">
        <x:v>https://t.me/s/freelancetaverna?before=2576</x:v>
      </x:c>
    </x:row>
    <x:row r="35" ht="34.5" customHeight="1">
      <x:c r="A35" s="8" t="str">
        <x:v>FD-N030</x:v>
      </x:c>
      <x:c r="B35" s="8" t="str">
        <x:v>Таврида.АРТ — методолог-куратор образовательной программы</x:v>
      </x:c>
      <x:c r="C35" s="8" t="str">
        <x:v>FD-B54dc054971a5c0</x:v>
      </x:c>
      <x:c r="D35" s="8" t="str">
        <x:v>Исследовать сигнал</x:v>
      </x:c>
      <x:c r="E35" s="8" t="str">
        <x:v>inferred_need</x:v>
      </x:c>
      <x:c r="F35" s="8" t="str">
        <x:v>adjacent</x:v>
      </x:c>
      <x:c r="G35" s="8"/>
      <x:c r="H35" s="8"/>
      <x:c r="I35" s="8"/>
      <x:c r="J35" s="8"/>
      <x:c r="K35" s="8" t="str">
        <x:v>Сохраненный сигнал; в v6 не перечитан.</x:v>
      </x:c>
      <x:c r="L35" s="8" t="str">
        <x:v>https://t.me/s/lab_vacancies?before=649</x:v>
      </x:c>
    </x:row>
    <x:row r="36" ht="31.5" customHeight="1">
      <x:c r="A36" s="8" t="str">
        <x:v>FD-N031</x:v>
      </x:c>
      <x:c r="B36" s="8" t="str">
        <x:v>Сбор тем мини-курсов 2026–27</x:v>
      </x:c>
      <x:c r="C36" s="8" t="str">
        <x:v>FD-B2bc2f0e65e9c81</x:v>
      </x:c>
      <x:c r="D36" s="8" t="str">
        <x:v>Исследовать сигнал</x:v>
      </x:c>
      <x:c r="E36" s="8" t="str">
        <x:v>inferred_need</x:v>
      </x:c>
      <x:c r="F36" s="8" t="str">
        <x:v>core</x:v>
      </x:c>
      <x:c r="G36" s="8"/>
      <x:c r="H36" s="8"/>
      <x:c r="I36" s="8"/>
      <x:c r="J36" s="8"/>
      <x:c r="K36" s="8" t="str">
        <x:v>Сохраненный сигнал; в v6 не перечитан.</x:v>
      </x:c>
      <x:c r="L36" s="8" t="str">
        <x:v>https://t.me/prolearning/2339</x:v>
      </x:c>
    </x:row>
    <x:row r="37" ht="34.5" customHeight="1">
      <x:c r="A37" s="8" t="str">
        <x:v>FD-N032</x:v>
      </x:c>
      <x:c r="B37" s="8" t="str">
        <x:v>Эксперты.Elements: кейсы работы с внутренними экспертами, приём до 30 сентября</x:v>
      </x:c>
      <x:c r="C37" s="8" t="str">
        <x:v>FD-Ba1f4d352842a6b</x:v>
      </x:c>
      <x:c r="D37" s="8" t="str">
        <x:v>Следующий цикл</x:v>
      </x:c>
      <x:c r="E37" s="8" t="str">
        <x:v>paid_or_unspecified_expert_call</x:v>
      </x:c>
      <x:c r="F37" s="8" t="str">
        <x:v>core</x:v>
      </x:c>
      <x:c r="G37" s="8"/>
      <x:c r="H37" s="8" t="str">
        <x:v>20 октября 2026, онлайн</x:v>
      </x:c>
      <x:c r="I37" s="8" t="str">
        <x:v>2026-09-30</x:v>
      </x:c>
      <x:c r="J37" s="8"/>
      <x:c r="K37" s="8" t="str">
        <x:v>Сохраненный сигнал; в v6 не перечитан.</x:v>
      </x:c>
      <x:c r="L37" s="8" t="str">
        <x:v>https://elearningelements.ru/eespeakers</x:v>
      </x:c>
    </x:row>
    <x:row r="38" ht="34.5" customHeight="1">
      <x:c r="A38" s="8" t="str">
        <x:v>FD-N033</x:v>
      </x:c>
      <x:c r="B38" s="8" t="str">
        <x:v>№2634 — деловые мероприятия с PAGE</x:v>
      </x:c>
      <x:c r="C38" s="8" t="str">
        <x:v>FD-B952ae9b2302a09</x:v>
      </x:c>
      <x:c r="D38" s="8" t="str">
        <x:v>Партнерство</x:v>
      </x:c>
      <x:c r="E38" s="8" t="str">
        <x:v>standing_partner_invitation</x:v>
      </x:c>
      <x:c r="F38" s="8" t="str">
        <x:v>core</x:v>
      </x:c>
      <x:c r="G38" s="8" t="str">
        <x:v>2026-09-25</x:v>
      </x:c>
      <x:c r="H38" s="8" t="str">
        <x:v>Санкт-Петербург; до двух мероприятий в месяц</x:v>
      </x:c>
      <x:c r="I38" s="8"/>
      <x:c r="J38" s="8"/>
      <x:c r="K38" s="8" t="str">
        <x:v>Сохраненный сигнал; в v6 не перечитан.</x:v>
      </x:c>
      <x:c r="L38" s="8" t="str">
        <x:v>https://projectexperts.ru/poisk-spikera-%E2%84%962634-sovmestnoe-meropriyatie/</x:v>
      </x:c>
    </x:row>
    <x:row r="39" ht="34.5" customHeight="1">
      <x:c r="A39" s="8" t="str">
        <x:v>FD-N034</x:v>
      </x:c>
      <x:c r="B39" s="8" t="str">
        <x:v>№2635 — инвестиционные воркшопы</x:v>
      </x:c>
      <x:c r="C39" s="8" t="str">
        <x:v>FD-BU034</x:v>
      </x:c>
      <x:c r="D39" s="8" t="str">
        <x:v>Перечитать старую запись</x:v>
      </x:c>
      <x:c r="E39" s="8" t="str">
        <x:v>paid_or_unspecified_expert_call</x:v>
      </x:c>
      <x:c r="F39" s="8" t="str">
        <x:v>adjacent</x:v>
      </x:c>
      <x:c r="G39" s="8" t="str">
        <x:v>2026-09-26</x:v>
      </x:c>
      <x:c r="H39" s="8" t="str">
        <x:v>Онлайн, ежемесячно</x:v>
      </x:c>
      <x:c r="I39" s="8"/>
      <x:c r="J39" s="8"/>
      <x:c r="K39" s="8" t="str">
        <x:v>Сохраненный сигнал; в v6 не перечитан.</x:v>
      </x:c>
      <x:c r="L39" s="8" t="str">
        <x:v>https://projectexperts.ru/poisk-spikera-%E2%84%962635/</x:v>
      </x:c>
    </x:row>
    <x:row r="40" ht="34.5" customHeight="1">
      <x:c r="A40" s="8" t="str">
        <x:v>FD-N035</x:v>
      </x:c>
      <x:c r="B40" s="8" t="str">
        <x:v>№2641 — хедлайнеры клуба «Олимп»</x:v>
      </x:c>
      <x:c r="C40" s="8" t="str">
        <x:v>FD-B31e726158a268d</x:v>
      </x:c>
      <x:c r="D40" s="8" t="str">
        <x:v>Перечитать старую запись</x:v>
      </x:c>
      <x:c r="E40" s="8" t="str">
        <x:v>paid_or_unspecified_expert_call</x:v>
      </x:c>
      <x:c r="F40" s="8" t="str">
        <x:v>adjacent</x:v>
      </x:c>
      <x:c r="G40" s="8" t="str">
        <x:v>2026-10-01</x:v>
      </x:c>
      <x:c r="H40" s="8" t="str">
        <x:v>Регулярные конференции и нетворкинги</x:v>
      </x:c>
      <x:c r="I40" s="8"/>
      <x:c r="J40" s="8"/>
      <x:c r="K40" s="8" t="str">
        <x:v>Сохраненный сигнал; в v6 не перечитан.</x:v>
      </x:c>
      <x:c r="L40" s="8" t="str">
        <x:v>https://projectexperts.ru/poisk-spikera-%E2%84%962641/</x:v>
      </x:c>
    </x:row>
    <x:row r="41" ht="34.5" customHeight="1">
      <x:c r="A41" s="8" t="str">
        <x:v>FD-N036</x:v>
      </x:c>
      <x:c r="B41" s="8" t="str">
        <x:v>№2613 — авторское право и ИИ</x:v>
      </x:c>
      <x:c r="C41" s="8" t="str">
        <x:v>FD-BU036</x:v>
      </x:c>
      <x:c r="D41" s="8" t="str">
        <x:v>Восстановить источник</x:v>
      </x:c>
      <x:c r="E41" s="8" t="str">
        <x:v>paid_or_unspecified_expert_call</x:v>
      </x:c>
      <x:c r="F41" s="8" t="str">
        <x:v>core</x:v>
      </x:c>
      <x:c r="G41" s="8" t="str">
        <x:v>2026-09-18</x:v>
      </x:c>
      <x:c r="H41" s="8" t="str">
        <x:v>Петрозаводск, 19 ноября</x:v>
      </x:c>
      <x:c r="I41" s="8"/>
      <x:c r="J41" s="8" t="str">
        <x:v>V6-C036</x:v>
      </x:c>
      <x:c r="K41" s="8" t="str">
        <x:v>Повторное чтение не удалось; прежнее свидетельство сохранено, закрытие не доказано.</x:v>
      </x:c>
      <x:c r="L41" s="8" t="str">
        <x:v>https://projectexperts.ru/poisk-spikera-%E2%84%962613/</x:v>
      </x:c>
    </x:row>
    <x:row r="42" ht="34.5" customHeight="1">
      <x:c r="A42" s="8" t="str">
        <x:v>FD-N037</x:v>
      </x:c>
      <x:c r="B42" s="8" t="str">
        <x:v>№2612 — «Человеческий фактор»</x:v>
      </x:c>
      <x:c r="C42" s="8" t="str">
        <x:v>FD-BU037</x:v>
      </x:c>
      <x:c r="D42" s="8" t="str">
        <x:v>Найти маршрут доступа</x:v>
      </x:c>
      <x:c r="E42" s="8" t="str">
        <x:v>paid_or_unspecified_expert_call</x:v>
      </x:c>
      <x:c r="F42" s="8" t="str">
        <x:v>core</x:v>
      </x:c>
      <x:c r="G42" s="8" t="str">
        <x:v>2026-09-18</x:v>
      </x:c>
      <x:c r="H42" s="8" t="str">
        <x:v>Москва, 22 октября 2026; от 60 собственников</x:v>
      </x:c>
      <x:c r="I42" s="8"/>
      <x:c r="J42" s="8" t="str">
        <x:v>V6-C037</x:v>
      </x:c>
      <x:c r="K42" s="8" t="str">
        <x:v>Прочитан краткий запрос; полный текст и контакт ограничены. Свободный слот не подтвержден.</x:v>
      </x:c>
      <x:c r="L42" s="8" t="str">
        <x:v>https://projectexperts.ru/poisk-spikera-%E2%84%962612/</x:v>
      </x:c>
    </x:row>
    <x:row r="43" ht="34.5" customHeight="1">
      <x:c r="A43" s="8" t="str">
        <x:v>FD-N038</x:v>
      </x:c>
      <x:c r="B43" s="8" t="str">
        <x:v>№2611 — привлечение инвесторов</x:v>
      </x:c>
      <x:c r="C43" s="8" t="str">
        <x:v>FD-BU038</x:v>
      </x:c>
      <x:c r="D43" s="8" t="str">
        <x:v>Найти маршрут доступа</x:v>
      </x:c>
      <x:c r="E43" s="8" t="str">
        <x:v>paid_or_unspecified_expert_call</x:v>
      </x:c>
      <x:c r="F43" s="8" t="str">
        <x:v>adjacent</x:v>
      </x:c>
      <x:c r="G43" s="8" t="str">
        <x:v>2026-09-18</x:v>
      </x:c>
      <x:c r="H43" s="8" t="str">
        <x:v>Онлайн в будни; 10–15 человек</x:v>
      </x:c>
      <x:c r="I43" s="8"/>
      <x:c r="J43" s="8" t="str">
        <x:v>V6-C038</x:v>
      </x:c>
      <x:c r="K43" s="8" t="str">
        <x:v>Прочитан краткий запрос; полный текст и контакт ограничены. Свободный слот не подтвержден.</x:v>
      </x:c>
      <x:c r="L43" s="8" t="str">
        <x:v>https://projectexperts.ru/poisk-spikera-%E2%84%962611/</x:v>
      </x:c>
    </x:row>
    <x:row r="44" ht="34.5" customHeight="1">
      <x:c r="A44" s="8" t="str">
        <x:v>FD-N039</x:v>
      </x:c>
      <x:c r="B44" s="8" t="str">
        <x:v>№2609 — женское предпринимательство</x:v>
      </x:c>
      <x:c r="C44" s="8" t="str">
        <x:v>FD-BU039</x:v>
      </x:c>
      <x:c r="D44" s="8" t="str">
        <x:v>Перечитать старую запись</x:v>
      </x:c>
      <x:c r="E44" s="8" t="str">
        <x:v>paid_or_unspecified_expert_call</x:v>
      </x:c>
      <x:c r="F44" s="8" t="str">
        <x:v>adjacent</x:v>
      </x:c>
      <x:c r="G44" s="8" t="str">
        <x:v>2026-09-16</x:v>
      </x:c>
      <x:c r="H44" s="8" t="str">
        <x:v>Санкт-Петербург, 21 октября; 150 предпринимательниц</x:v>
      </x:c>
      <x:c r="I44" s="8"/>
      <x:c r="J44" s="8"/>
      <x:c r="K44" s="8" t="str">
        <x:v>Сохраненный сигнал; в v6 не перечитан.</x:v>
      </x:c>
      <x:c r="L44" s="8" t="str">
        <x:v>https://projectexperts.ru/poisk-spikera-%E2%84%962609/</x:v>
      </x:c>
    </x:row>
    <x:row r="45" ht="34.5" customHeight="1">
      <x:c r="A45" s="8" t="str">
        <x:v>FD-N040</x:v>
      </x:c>
      <x:c r="B45" s="8" t="str">
        <x:v>№2608 — темы для собственников</x:v>
      </x:c>
      <x:c r="C45" s="8" t="str">
        <x:v>FD-BU040</x:v>
      </x:c>
      <x:c r="D45" s="8" t="str">
        <x:v>Перечитать старую запись</x:v>
      </x:c>
      <x:c r="E45" s="8" t="str">
        <x:v>paid_or_unspecified_expert_call</x:v>
      </x:c>
      <x:c r="F45" s="8" t="str">
        <x:v>core</x:v>
      </x:c>
      <x:c r="G45" s="8" t="str">
        <x:v>2026-09-16</x:v>
      </x:c>
      <x:c r="H45" s="8" t="str">
        <x:v>Онлайн в будни; 10–15 человек</x:v>
      </x:c>
      <x:c r="I45" s="8"/>
      <x:c r="J45" s="8"/>
      <x:c r="K45" s="8" t="str">
        <x:v>Сохраненный сигнал; в v6 не перечитан.</x:v>
      </x:c>
      <x:c r="L45" s="8" t="str">
        <x:v>https://projectexperts.ru/poisk-spikera-%E2%84%962608/</x:v>
      </x:c>
    </x:row>
    <x:row r="46" ht="34.5" customHeight="1">
      <x:c r="A46" s="8" t="str">
        <x:v>FD-N041</x:v>
      </x:c>
      <x:c r="B46" s="8" t="str">
        <x:v>№2607 — бартер с Парк PAGE</x:v>
      </x:c>
      <x:c r="C46" s="8" t="str">
        <x:v>FD-Bf610020b7a0119</x:v>
      </x:c>
      <x:c r="D46" s="8" t="str">
        <x:v>Партнерство</x:v>
      </x:c>
      <x:c r="E46" s="8" t="str">
        <x:v>standing_partner_invitation</x:v>
      </x:c>
      <x:c r="F46" s="8" t="str">
        <x:v>core</x:v>
      </x:c>
      <x:c r="G46" s="8" t="str">
        <x:v>2026-09-13</x:v>
      </x:c>
      <x:c r="H46" s="8"/>
      <x:c r="I46" s="8"/>
      <x:c r="J46" s="8"/>
      <x:c r="K46" s="8" t="str">
        <x:v>Сохраненный сигнал; в v6 не перечитан.</x:v>
      </x:c>
      <x:c r="L46" s="8" t="str">
        <x:v>https://projectexperts.ru/poisk-spikera-%E2%84%962607-sovmestnoe-meropriyatie/</x:v>
      </x:c>
    </x:row>
    <x:row r="47" ht="31.5" customHeight="1">
      <x:c r="A47" s="8" t="str">
        <x:v>FD-N042</x:v>
      </x:c>
      <x:c r="B47" s="8" t="str">
        <x:v>Переговоры для IT-продаж</x:v>
      </x:c>
      <x:c r="C47" s="8" t="str">
        <x:v>FD-BU042</x:v>
      </x:c>
      <x:c r="D47" s="8" t="str">
        <x:v>Перечитать старую запись</x:v>
      </x:c>
      <x:c r="E47" s="8" t="str">
        <x:v>explicit_training_request</x:v>
      </x:c>
      <x:c r="F47" s="8" t="str">
        <x:v>core</x:v>
      </x:c>
      <x:c r="G47" s="8"/>
      <x:c r="H47" s="8"/>
      <x:c r="I47" s="8"/>
      <x:c r="J47" s="8"/>
      <x:c r="K47" s="8" t="str">
        <x:v>Сохраненный сигнал; в v6 не перечитан.</x:v>
      </x:c>
      <x:c r="L47" s="8" t="str">
        <x:v>https://t.me/edu_feed/10</x:v>
      </x:c>
    </x:row>
    <x:row r="48" ht="34.5" customHeight="1">
      <x:c r="A48" s="8" t="str">
        <x:v>FD-N043</x:v>
      </x:c>
      <x:c r="B48" s="8" t="str">
        <x:v>Лидерство для внутреннего MBA</x:v>
      </x:c>
      <x:c r="C48" s="8" t="str">
        <x:v>FD-BU043</x:v>
      </x:c>
      <x:c r="D48" s="8" t="str">
        <x:v>Перечитать старую запись</x:v>
      </x:c>
      <x:c r="E48" s="8" t="str">
        <x:v>explicit_training_request</x:v>
      </x:c>
      <x:c r="F48" s="8" t="str">
        <x:v>core</x:v>
      </x:c>
      <x:c r="G48" s="8"/>
      <x:c r="H48" s="8" t="str">
        <x:v>Первая половина ноября, год неизвестен; Москва; 10:00–18:00</x:v>
      </x:c>
      <x:c r="I48" s="8"/>
      <x:c r="J48" s="8"/>
      <x:c r="K48" s="8" t="str">
        <x:v>Сохраненный сигнал; в v6 не перечитан.</x:v>
      </x:c>
      <x:c r="L48" s="8" t="str">
        <x:v>https://t.me/edu_feed/11</x:v>
      </x:c>
    </x:row>
    <x:row r="49" ht="31.5" customHeight="1">
      <x:c r="A49" s="8" t="str">
        <x:v>FD-N044</x:v>
      </x:c>
      <x:c r="B49" s="8" t="str">
        <x:v>Стратегическая сессия IT-компании</x:v>
      </x:c>
      <x:c r="C49" s="8" t="str">
        <x:v>FD-BU044</x:v>
      </x:c>
      <x:c r="D49" s="8" t="str">
        <x:v>Перечитать старую запись</x:v>
      </x:c>
      <x:c r="E49" s="8" t="str">
        <x:v>explicit_training_request</x:v>
      </x:c>
      <x:c r="F49" s="8" t="str">
        <x:v>core</x:v>
      </x:c>
      <x:c r="G49" s="8"/>
      <x:c r="H49" s="8" t="str">
        <x:v>20–21 октября, год неизвестен; Москва</x:v>
      </x:c>
      <x:c r="I49" s="8"/>
      <x:c r="J49" s="8"/>
      <x:c r="K49" s="8" t="str">
        <x:v>Сохраненный сигнал; в v6 не перечитан.</x:v>
      </x:c>
      <x:c r="L49" s="8" t="str">
        <x:v>https://t.me/edu_feed/12</x:v>
      </x:c>
    </x:row>
    <x:row r="50" ht="31.5" customHeight="1">
      <x:c r="A50" s="8" t="str">
        <x:v>FD-N045</x:v>
      </x:c>
      <x:c r="B50" s="8" t="str">
        <x:v>Управление HR-системой</x:v>
      </x:c>
      <x:c r="C50" s="8" t="str">
        <x:v>FD-BU045</x:v>
      </x:c>
      <x:c r="D50" s="8" t="str">
        <x:v>Перечитать старую запись</x:v>
      </x:c>
      <x:c r="E50" s="8" t="str">
        <x:v>explicit_training_request</x:v>
      </x:c>
      <x:c r="F50" s="8" t="str">
        <x:v>core</x:v>
      </x:c>
      <x:c r="G50" s="8"/>
      <x:c r="H50" s="8"/>
      <x:c r="I50" s="8"/>
      <x:c r="J50" s="8"/>
      <x:c r="K50" s="8" t="str">
        <x:v>Сохраненный сигнал; в v6 не перечитан.</x:v>
      </x:c>
      <x:c r="L50" s="8" t="str">
        <x:v>https://t.me/edu_feed/17</x:v>
      </x:c>
    </x:row>
    <x:row r="51" ht="31.5" customHeight="1">
      <x:c r="A51" s="8" t="str">
        <x:v>FD-N046</x:v>
      </x:c>
      <x:c r="B51" s="8" t="str">
        <x:v>Поддерживающие сессии сотрудников</x:v>
      </x:c>
      <x:c r="C51" s="8" t="str">
        <x:v>FD-BU046</x:v>
      </x:c>
      <x:c r="D51" s="8" t="str">
        <x:v>Перечитать старую запись</x:v>
      </x:c>
      <x:c r="E51" s="8" t="str">
        <x:v>explicit_training_request</x:v>
      </x:c>
      <x:c r="F51" s="8" t="str">
        <x:v>adjacent</x:v>
      </x:c>
      <x:c r="G51" s="8"/>
      <x:c r="H51" s="8"/>
      <x:c r="I51" s="8"/>
      <x:c r="J51" s="8"/>
      <x:c r="K51" s="8" t="str">
        <x:v>Сохраненный сигнал; в v6 не перечитан.</x:v>
      </x:c>
      <x:c r="L51" s="8" t="str">
        <x:v>https://t.me/edu_feed/19</x:v>
      </x:c>
    </x:row>
    <x:row r="52" ht="31.5" customHeight="1">
      <x:c r="A52" s="8" t="str">
        <x:v>FD-N047</x:v>
      </x:c>
      <x:c r="B52" s="8" t="str">
        <x:v>Управление изменениями</x:v>
      </x:c>
      <x:c r="C52" s="8" t="str">
        <x:v>FD-BU047</x:v>
      </x:c>
      <x:c r="D52" s="8" t="str">
        <x:v>Перечитать старую запись</x:v>
      </x:c>
      <x:c r="E52" s="8" t="str">
        <x:v>explicit_training_request</x:v>
      </x:c>
      <x:c r="F52" s="8" t="str">
        <x:v>core</x:v>
      </x:c>
      <x:c r="G52" s="8"/>
      <x:c r="H52" s="8"/>
      <x:c r="I52" s="8"/>
      <x:c r="J52" s="8"/>
      <x:c r="K52" s="8" t="str">
        <x:v>Сохраненный сигнал; в v6 не перечитан.</x:v>
      </x:c>
      <x:c r="L52" s="8" t="str">
        <x:v>https://t.me/edu_feed/23</x:v>
      </x:c>
    </x:row>
    <x:row r="53" ht="31.5" customHeight="1">
      <x:c r="A53" s="8" t="str">
        <x:v>FD-N048</x:v>
      </x:c>
      <x:c r="B53" s="8" t="str">
        <x:v>Импортозамещение для МСП</x:v>
      </x:c>
      <x:c r="C53" s="8" t="str">
        <x:v>FD-BU048</x:v>
      </x:c>
      <x:c r="D53" s="8" t="str">
        <x:v>Перечитать старую запись</x:v>
      </x:c>
      <x:c r="E53" s="8" t="str">
        <x:v>explicit_training_request</x:v>
      </x:c>
      <x:c r="F53" s="8" t="str">
        <x:v>core</x:v>
      </x:c>
      <x:c r="G53" s="8"/>
      <x:c r="H53" s="8" t="str">
        <x:v>23 ноября, год неизвестен</x:v>
      </x:c>
      <x:c r="I53" s="8"/>
      <x:c r="J53" s="8"/>
      <x:c r="K53" s="8" t="str">
        <x:v>Сохраненный сигнал; в v6 не перечитан.</x:v>
      </x:c>
      <x:c r="L53" s="8" t="str">
        <x:v>https://t.me/edu_feed/26</x:v>
      </x:c>
    </x:row>
    <x:row r="54" ht="31.5" customHeight="1">
      <x:c r="A54" s="8" t="str">
        <x:v>FD-N049</x:v>
      </x:c>
      <x:c r="B54" s="8" t="str">
        <x:v>Креативное лидерство</x:v>
      </x:c>
      <x:c r="C54" s="8" t="str">
        <x:v>FD-BU049</x:v>
      </x:c>
      <x:c r="D54" s="8" t="str">
        <x:v>Перечитать старую запись</x:v>
      </x:c>
      <x:c r="E54" s="8" t="str">
        <x:v>explicit_training_request</x:v>
      </x:c>
      <x:c r="F54" s="8" t="str">
        <x:v>core</x:v>
      </x:c>
      <x:c r="G54" s="8"/>
      <x:c r="H54" s="8"/>
      <x:c r="I54" s="8"/>
      <x:c r="J54" s="8"/>
      <x:c r="K54" s="8" t="str">
        <x:v>Сохраненный сигнал; в v6 не перечитан.</x:v>
      </x:c>
      <x:c r="L54" s="8" t="str">
        <x:v>https://t.me/edu_feed/27</x:v>
      </x:c>
    </x:row>
    <x:row r="55" ht="31.5" customHeight="1">
      <x:c r="A55" s="8" t="str">
        <x:v>FD-N050</x:v>
      </x:c>
      <x:c r="B55" s="8" t="str">
        <x:v>Критическое мышление: партнёрские проекты</x:v>
      </x:c>
      <x:c r="C55" s="8" t="str">
        <x:v>FD-BU050</x:v>
      </x:c>
      <x:c r="D55" s="8" t="str">
        <x:v>Партнерство</x:v>
      </x:c>
      <x:c r="E55" s="8" t="str">
        <x:v>subcontract_signal</x:v>
      </x:c>
      <x:c r="F55" s="8" t="str">
        <x:v>core</x:v>
      </x:c>
      <x:c r="G55" s="8"/>
      <x:c r="H55" s="8"/>
      <x:c r="I55" s="8"/>
      <x:c r="J55" s="8"/>
      <x:c r="K55" s="8" t="str">
        <x:v>Сохраненный сигнал; в v6 не перечитан.</x:v>
      </x:c>
      <x:c r="L55" s="8" t="str">
        <x:v>https://t.me/edu_feed/33</x:v>
      </x:c>
    </x:row>
    <x:row r="56" ht="31.5" customHeight="1">
      <x:c r="A56" s="8" t="str">
        <x:v>FD-N051</x:v>
      </x:c>
      <x:c r="B56" s="8" t="str">
        <x:v>Лидерство: международные сертификации</x:v>
      </x:c>
      <x:c r="C56" s="8" t="str">
        <x:v>FD-BU051</x:v>
      </x:c>
      <x:c r="D56" s="8" t="str">
        <x:v>Партнерство</x:v>
      </x:c>
      <x:c r="E56" s="8" t="str">
        <x:v>subcontract_signal</x:v>
      </x:c>
      <x:c r="F56" s="8" t="str">
        <x:v>core</x:v>
      </x:c>
      <x:c r="G56" s="8"/>
      <x:c r="H56" s="8"/>
      <x:c r="I56" s="8"/>
      <x:c r="J56" s="8"/>
      <x:c r="K56" s="8" t="str">
        <x:v>Сохраненный сигнал; в v6 не перечитан.</x:v>
      </x:c>
      <x:c r="L56" s="8" t="str">
        <x:v>https://t.me/edu_feed/34</x:v>
      </x:c>
    </x:row>
    <x:row r="57" ht="31.5" customHeight="1">
      <x:c r="A57" s="8" t="str">
        <x:v>FD-N052</x:v>
      </x:c>
      <x:c r="B57" s="8" t="str">
        <x:v>Эффективность ОТК</x:v>
      </x:c>
      <x:c r="C57" s="8" t="str">
        <x:v>FD-BU052</x:v>
      </x:c>
      <x:c r="D57" s="8" t="str">
        <x:v>Перечитать старую запись</x:v>
      </x:c>
      <x:c r="E57" s="8" t="str">
        <x:v>explicit_training_request</x:v>
      </x:c>
      <x:c r="F57" s="8" t="str">
        <x:v>core</x:v>
      </x:c>
      <x:c r="G57" s="8"/>
      <x:c r="H57" s="8"/>
      <x:c r="I57" s="8"/>
      <x:c r="J57" s="8"/>
      <x:c r="K57" s="8" t="str">
        <x:v>Сохраненный сигнал; в v6 не перечитан.</x:v>
      </x:c>
      <x:c r="L57" s="8" t="str">
        <x:v>https://t.me/edu_feed/37</x:v>
      </x:c>
    </x:row>
    <x:row r="58" ht="31.5" customHeight="1">
      <x:c r="A58" s="8" t="str">
        <x:v>FD-N053</x:v>
      </x:c>
      <x:c r="B58" s="8" t="str">
        <x:v>Переговоры для закупщиков</x:v>
      </x:c>
      <x:c r="C58" s="8" t="str">
        <x:v>FD-BU053</x:v>
      </x:c>
      <x:c r="D58" s="8" t="str">
        <x:v>Перечитать старую запись</x:v>
      </x:c>
      <x:c r="E58" s="8" t="str">
        <x:v>explicit_training_request</x:v>
      </x:c>
      <x:c r="F58" s="8" t="str">
        <x:v>core</x:v>
      </x:c>
      <x:c r="G58" s="8"/>
      <x:c r="H58" s="8"/>
      <x:c r="I58" s="8"/>
      <x:c r="J58" s="8"/>
      <x:c r="K58" s="8" t="str">
        <x:v>Сохраненный сигнал; в v6 не перечитан.</x:v>
      </x:c>
      <x:c r="L58" s="8" t="str">
        <x:v>https://t.me/edu_feed/39</x:v>
      </x:c>
    </x:row>
    <x:row r="59" ht="31.5" customHeight="1">
      <x:c r="A59" s="8" t="str">
        <x:v>FD-N054</x:v>
      </x:c>
      <x:c r="B59" s="8" t="str">
        <x:v>Продажи промышленной компании</x:v>
      </x:c>
      <x:c r="C59" s="8" t="str">
        <x:v>FD-BU054</x:v>
      </x:c>
      <x:c r="D59" s="8" t="str">
        <x:v>Перечитать старую запись</x:v>
      </x:c>
      <x:c r="E59" s="8" t="str">
        <x:v>explicit_training_request</x:v>
      </x:c>
      <x:c r="F59" s="8" t="str">
        <x:v>core</x:v>
      </x:c>
      <x:c r="G59" s="8"/>
      <x:c r="H59" s="8"/>
      <x:c r="I59" s="8"/>
      <x:c r="J59" s="8"/>
      <x:c r="K59" s="8" t="str">
        <x:v>Сохраненный сигнал; в v6 не перечитан.</x:v>
      </x:c>
      <x:c r="L59" s="8" t="str">
        <x:v>https://t.me/edu_feed/40</x:v>
      </x:c>
    </x:row>
    <x:row r="60" ht="34.5" customHeight="1">
      <x:c r="A60" s="8" t="str">
        <x:v>FD-N055</x:v>
      </x:c>
      <x:c r="B60" s="8" t="str">
        <x:v>№3337 — Выступление для союза предпринимателей</x:v>
      </x:c>
      <x:c r="C60" s="8" t="str">
        <x:v>FD-BU055</x:v>
      </x:c>
      <x:c r="D60" s="8" t="str">
        <x:v>Перечитать старую запись</x:v>
      </x:c>
      <x:c r="E60" s="8" t="str">
        <x:v>paid_or_unspecified_expert_call</x:v>
      </x:c>
      <x:c r="F60" s="8" t="str">
        <x:v>adjacent</x:v>
      </x:c>
      <x:c r="G60" s="8"/>
      <x:c r="H60" s="8" t="str">
        <x:v>Санкт-Петербург; дата не указана</x:v>
      </x:c>
      <x:c r="I60" s="8"/>
      <x:c r="J60" s="8"/>
      <x:c r="K60" s="8" t="str">
        <x:v>Сохраненный сигнал; в v6 не перечитан.</x:v>
      </x:c>
      <x:c r="L60" s="8" t="str">
        <x:v>https://t.me/speakers_l/5600</x:v>
      </x:c>
    </x:row>
    <x:row r="61" ht="34.5" customHeight="1">
      <x:c r="A61" s="8" t="str">
        <x:v>FD-N056</x:v>
      </x:c>
      <x:c r="B61" s="8" t="str">
        <x:v>№3338 — Деловая переписка для топ-менеджеров</x:v>
      </x:c>
      <x:c r="C61" s="8" t="str">
        <x:v>FD-BU056</x:v>
      </x:c>
      <x:c r="D61" s="8" t="str">
        <x:v>Перечитать старую запись</x:v>
      </x:c>
      <x:c r="E61" s="8" t="str">
        <x:v>paid_or_unspecified_expert_call</x:v>
      </x:c>
      <x:c r="F61" s="8" t="str">
        <x:v>core</x:v>
      </x:c>
      <x:c r="G61" s="8"/>
      <x:c r="H61" s="8" t="str">
        <x:v>Один час; дата не указана</x:v>
      </x:c>
      <x:c r="I61" s="8"/>
      <x:c r="J61" s="8"/>
      <x:c r="K61" s="8" t="str">
        <x:v>Сохраненный сигнал; в v6 не перечитан.</x:v>
      </x:c>
      <x:c r="L61" s="8" t="str">
        <x:v>https://t.me/speakers_l/5601</x:v>
      </x:c>
    </x:row>
    <x:row r="62" ht="34.5" customHeight="1">
      <x:c r="A62" s="8" t="str">
        <x:v>FD-N057</x:v>
      </x:c>
      <x:c r="B62" s="8" t="str">
        <x:v>№3339 — Продажи жилой недвижимости</x:v>
      </x:c>
      <x:c r="C62" s="8" t="str">
        <x:v>FD-BU057</x:v>
      </x:c>
      <x:c r="D62" s="8" t="str">
        <x:v>Перечитать старую запись</x:v>
      </x:c>
      <x:c r="E62" s="8" t="str">
        <x:v>paid_or_unspecified_expert_call</x:v>
      </x:c>
      <x:c r="F62" s="8" t="str">
        <x:v>adjacent</x:v>
      </x:c>
      <x:c r="G62" s="8"/>
      <x:c r="H62" s="8" t="str">
        <x:v>Москва, 16 сентября, год в самом брифе не указан; 1,5–2 часа</x:v>
      </x:c>
      <x:c r="I62" s="8"/>
      <x:c r="J62" s="8"/>
      <x:c r="K62" s="8" t="str">
        <x:v>Сохраненный сигнал; в v6 не перечитан.</x:v>
      </x:c>
      <x:c r="L62" s="8" t="str">
        <x:v>https://t.me/speakers_l/5602</x:v>
      </x:c>
    </x:row>
    <x:row r="63" ht="34.5" customHeight="1">
      <x:c r="A63" s="8" t="str">
        <x:v>FD-N058</x:v>
      </x:c>
      <x:c r="B63" s="8" t="str">
        <x:v>№3342 — Предпринимательские бизнес-разборы</x:v>
      </x:c>
      <x:c r="C63" s="8" t="str">
        <x:v>FD-BU058</x:v>
      </x:c>
      <x:c r="D63" s="8" t="str">
        <x:v>Следующий цикл</x:v>
      </x:c>
      <x:c r="E63" s="8" t="str">
        <x:v>paid_or_unspecified_expert_call</x:v>
      </x:c>
      <x:c r="F63" s="8" t="str">
        <x:v>core</x:v>
      </x:c>
      <x:c r="G63" s="8"/>
      <x:c r="H63" s="8" t="str">
        <x:v>15.09.2026, Санкт-Петербург, 12:00–16:00</x:v>
      </x:c>
      <x:c r="I63" s="8"/>
      <x:c r="J63" s="8"/>
      <x:c r="K63" s="8" t="str">
        <x:v>Сохраненный сигнал; в v6 не перечитан.</x:v>
      </x:c>
      <x:c r="L63" s="8" t="str">
        <x:v>https://t.me/speakers_l/5609</x:v>
      </x:c>
    </x:row>
    <x:row r="64" ht="34.5" customHeight="1">
      <x:c r="A64" s="8" t="str">
        <x:v>FD-N059</x:v>
      </x:c>
      <x:c r="B64" s="8" t="str">
        <x:v>№3343 — Запись курса: финансы и недвижимость</x:v>
      </x:c>
      <x:c r="C64" s="8" t="str">
        <x:v>FD-BU059</x:v>
      </x:c>
      <x:c r="D64" s="8" t="str">
        <x:v>Партнерство</x:v>
      </x:c>
      <x:c r="E64" s="8" t="str">
        <x:v>subcontract_signal</x:v>
      </x:c>
      <x:c r="F64" s="8" t="str">
        <x:v>core</x:v>
      </x:c>
      <x:c r="G64" s="8"/>
      <x:c r="H64" s="8" t="str">
        <x:v>Москва, середина сентября, год не указан; четыре часа съёмки</x:v>
      </x:c>
      <x:c r="I64" s="8"/>
      <x:c r="J64" s="8"/>
      <x:c r="K64" s="8" t="str">
        <x:v>Сохраненный сигнал; в v6 не перечитан.</x:v>
      </x:c>
      <x:c r="L64" s="8" t="str">
        <x:v>https://t.me/speakers_l/5611</x:v>
      </x:c>
    </x:row>
    <x:row r="65" ht="34.5" customHeight="1">
      <x:c r="A65" s="8" t="str">
        <x:v>FD-N060</x:v>
      </x:c>
      <x:c r="B65" s="8" t="str">
        <x:v>№3345 — Системные продажи и Битрикс24</x:v>
      </x:c>
      <x:c r="C65" s="8" t="str">
        <x:v>FD-BU060</x:v>
      </x:c>
      <x:c r="D65" s="8" t="str">
        <x:v>Перечитать старую запись</x:v>
      </x:c>
      <x:c r="E65" s="8" t="str">
        <x:v>paid_or_unspecified_expert_call</x:v>
      </x:c>
      <x:c r="F65" s="8" t="str">
        <x:v>core</x:v>
      </x:c>
      <x:c r="G65" s="8"/>
      <x:c r="H65" s="8" t="str">
        <x:v>27 октября 2026, Краснодар; 30 минут</x:v>
      </x:c>
      <x:c r="I65" s="8"/>
      <x:c r="J65" s="8"/>
      <x:c r="K65" s="8" t="str">
        <x:v>Сохраненный сигнал; в v6 не перечитан.</x:v>
      </x:c>
      <x:c r="L65" s="8" t="str">
        <x:v>https://t.me/speakers_l/5613</x:v>
      </x:c>
    </x:row>
    <x:row r="66" ht="31.5" customHeight="1">
      <x:c r="A66" s="8" t="str">
        <x:v>FD-N061</x:v>
      </x:c>
      <x:c r="B66" s="8" t="str">
        <x:v>Планируется обучение отдела персонала</x:v>
      </x:c>
      <x:c r="C66" s="8" t="str">
        <x:v>FD-BU061</x:v>
      </x:c>
      <x:c r="D66" s="8" t="str">
        <x:v>Перечитать старую запись</x:v>
      </x:c>
      <x:c r="E66" s="8" t="str">
        <x:v>explicit_training_request</x:v>
      </x:c>
      <x:c r="F66" s="8" t="str">
        <x:v>core</x:v>
      </x:c>
      <x:c r="G66" s="8"/>
      <x:c r="H66" s="8"/>
      <x:c r="I66" s="8"/>
      <x:c r="J66" s="8"/>
      <x:c r="K66" s="8" t="str">
        <x:v>Сохраненный сигнал; в v6 не перечитан.</x:v>
      </x:c>
      <x:c r="L66" s="8" t="str">
        <x:v>https://t.me/zloihr/3419</x:v>
      </x:c>
    </x:row>
    <x:row r="67" ht="31.5" customHeight="1">
      <x:c r="A67" s="8" t="str">
        <x:v>FD-N062</x:v>
      </x:c>
      <x:c r="B67" s="8" t="str">
        <x:v>Поиск платформы обучения с готовыми курсами</x:v>
      </x:c>
      <x:c r="C67" s="8" t="str">
        <x:v>FD-BU062</x:v>
      </x:c>
      <x:c r="D67" s="8" t="str">
        <x:v>Перечитать старую запись</x:v>
      </x:c>
      <x:c r="E67" s="8" t="str">
        <x:v>explicit_training_request</x:v>
      </x:c>
      <x:c r="F67" s="8" t="str">
        <x:v>adjacent</x:v>
      </x:c>
      <x:c r="G67" s="8"/>
      <x:c r="H67" s="8"/>
      <x:c r="I67" s="8"/>
      <x:c r="J67" s="8"/>
      <x:c r="K67" s="8" t="str">
        <x:v>Сохраненный сигнал; в v6 не перечитан.</x:v>
      </x:c>
      <x:c r="L67" s="8" t="str">
        <x:v>https://t.me/zloihr/6580</x:v>
      </x:c>
    </x:row>
    <x:row r="68" ht="31.5" customHeight="1">
      <x:c r="A68" s="8" t="str">
        <x:v>FD-N063</x:v>
      </x:c>
      <x:c r="B68" s="8" t="str">
        <x:v>Обсуждение корпоративного обучения английскому</x:v>
      </x:c>
      <x:c r="C68" s="8" t="str">
        <x:v>FD-BU063</x:v>
      </x:c>
      <x:c r="D68" s="8" t="str">
        <x:v>Исследовать сигнал</x:v>
      </x:c>
      <x:c r="E68" s="8" t="str">
        <x:v>inferred_need</x:v>
      </x:c>
      <x:c r="F68" s="8" t="str">
        <x:v>adjacent</x:v>
      </x:c>
      <x:c r="G68" s="8"/>
      <x:c r="H68" s="8"/>
      <x:c r="I68" s="8"/>
      <x:c r="J68" s="8"/>
      <x:c r="K68" s="8" t="str">
        <x:v>Сохраненный сигнал; в v6 не перечитан.</x:v>
      </x:c>
      <x:c r="L68" s="8" t="str">
        <x:v>https://t.me/zloihr/6584</x:v>
      </x:c>
    </x:row>
    <x:row r="69" ht="34.5" customHeight="1">
      <x:c r="A69" s="8" t="str">
        <x:v>FD-N064</x:v>
      </x:c>
      <x:c r="B69" s="8" t="str">
        <x:v>Создание корпоративного университета: найм директора обучения</x:v>
      </x:c>
      <x:c r="C69" s="8" t="str">
        <x:v>FD-BU064</x:v>
      </x:c>
      <x:c r="D69" s="8" t="str">
        <x:v>Исследовать сигнал</x:v>
      </x:c>
      <x:c r="E69" s="8" t="str">
        <x:v>inferred_need</x:v>
      </x:c>
      <x:c r="F69" s="8" t="str">
        <x:v>core</x:v>
      </x:c>
      <x:c r="G69" s="8"/>
      <x:c r="H69" s="8"/>
      <x:c r="I69" s="8"/>
      <x:c r="J69" s="8"/>
      <x:c r="K69" s="8" t="str">
        <x:v>Сохраненный сигнал; в v6 не перечитан.</x:v>
      </x:c>
      <x:c r="L69" s="8" t="str">
        <x:v>https://t.me/hrhubvacancy/3726</x:v>
      </x:c>
    </x:row>
    <x:row r="70" ht="34.5" customHeight="1">
      <x:c r="A70" s="8" t="str">
        <x:v>FD-N065</x:v>
      </x:c>
      <x:c r="B70" s="8" t="str">
        <x:v>D Innovate Group: развитие руководителей в задачах HRD</x:v>
      </x:c>
      <x:c r="C70" s="8" t="str">
        <x:v>FD-B1dc6b697919560</x:v>
      </x:c>
      <x:c r="D70" s="8" t="str">
        <x:v>Исследовать сигнал</x:v>
      </x:c>
      <x:c r="E70" s="8" t="str">
        <x:v>inferred_need</x:v>
      </x:c>
      <x:c r="F70" s="8" t="str">
        <x:v>core</x:v>
      </x:c>
      <x:c r="G70" s="8"/>
      <x:c r="H70" s="8"/>
      <x:c r="I70" s="8"/>
      <x:c r="J70" s="8"/>
      <x:c r="K70" s="8" t="str">
        <x:v>Сохраненный сигнал; в v6 не перечитан.</x:v>
      </x:c>
      <x:c r="L70" s="8" t="str">
        <x:v>https://t.me/hrhubvacancy/3731</x:v>
      </x:c>
    </x:row>
    <x:row r="71" ht="31.5" customHeight="1">
      <x:c r="A71" s="8" t="str">
        <x:v>FD-N066</x:v>
      </x:c>
      <x:c r="B71" s="8" t="str">
        <x:v>МАКС-Е: обучение руководителей и кадровый резерв</x:v>
      </x:c>
      <x:c r="C71" s="8" t="str">
        <x:v>FD-B918a088e07ac52</x:v>
      </x:c>
      <x:c r="D71" s="8" t="str">
        <x:v>Исследовать сигнал</x:v>
      </x:c>
      <x:c r="E71" s="8" t="str">
        <x:v>inferred_need</x:v>
      </x:c>
      <x:c r="F71" s="8" t="str">
        <x:v>core</x:v>
      </x:c>
      <x:c r="G71" s="8"/>
      <x:c r="H71" s="8"/>
      <x:c r="I71" s="8"/>
      <x:c r="J71" s="8"/>
      <x:c r="K71" s="8" t="str">
        <x:v>Сохраненный сигнал; в v6 не перечитан.</x:v>
      </x:c>
      <x:c r="L71" s="8" t="str">
        <x:v>https://t.me/hrhubvacancy/3734</x:v>
      </x:c>
    </x:row>
    <x:row r="72" ht="31.5" customHeight="1">
      <x:c r="A72" s="8" t="str">
        <x:v>FD-N067</x:v>
      </x:c>
      <x:c r="B72" s="8" t="str">
        <x:v>PARI: управление поставщиками языкового обучения</x:v>
      </x:c>
      <x:c r="C72" s="8" t="str">
        <x:v>FD-Bb613030f8c7be7</x:v>
      </x:c>
      <x:c r="D72" s="8" t="str">
        <x:v>Исследовать сигнал</x:v>
      </x:c>
      <x:c r="E72" s="8" t="str">
        <x:v>inferred_need</x:v>
      </x:c>
      <x:c r="F72" s="8" t="str">
        <x:v>adjacent</x:v>
      </x:c>
      <x:c r="G72" s="8"/>
      <x:c r="H72" s="8"/>
      <x:c r="I72" s="8"/>
      <x:c r="J72" s="8"/>
      <x:c r="K72" s="8" t="str">
        <x:v>Сохраненный сигнал; в v6 не перечитан.</x:v>
      </x:c>
      <x:c r="L72" s="8" t="str">
        <x:v>https://t.me/hrhubvacancy/3735</x:v>
      </x:c>
    </x:row>
    <x:row r="73" ht="34.5" customHeight="1">
      <x:c r="A73" s="8" t="str">
        <x:v>FD-N068</x:v>
      </x:c>
      <x:c r="B73" s="8" t="str">
        <x:v>Mirapolis приглашает разработчиков курсов и консультантов в партнерскую сеть</x:v>
      </x:c>
      <x:c r="C73" s="8" t="str">
        <x:v>FD-Bdf623cfdaa6f6c</x:v>
      </x:c>
      <x:c r="D73" s="8" t="str">
        <x:v>Партнерство</x:v>
      </x:c>
      <x:c r="E73" s="8" t="str">
        <x:v>standing_partner_invitation</x:v>
      </x:c>
      <x:c r="F73" s="8" t="str">
        <x:v>core</x:v>
      </x:c>
      <x:c r="G73" s="8"/>
      <x:c r="H73" s="8"/>
      <x:c r="I73" s="8"/>
      <x:c r="J73" s="8"/>
      <x:c r="K73" s="8" t="str">
        <x:v>Сохраненный сигнал; в v6 не перечитан.</x:v>
      </x:c>
      <x:c r="L73" s="8" t="str">
        <x:v>https://www.mirapolis.ru/for-partners/</x:v>
      </x:c>
    </x:row>
    <x:row r="74" ht="34.5" customHeight="1">
      <x:c r="A74" s="8" t="str">
        <x:v>FD-N069</x:v>
      </x:c>
      <x:c r="B74" s="8" t="str">
        <x:v>iSpring: реферальная программа для бизнес-тренеров и интеграторов</x:v>
      </x:c>
      <x:c r="C74" s="8" t="str">
        <x:v>FD-B1d392b1b773080</x:v>
      </x:c>
      <x:c r="D74" s="8" t="str">
        <x:v>Исследовать сигнал</x:v>
      </x:c>
      <x:c r="E74" s="8" t="str">
        <x:v>reference</x:v>
      </x:c>
      <x:c r="F74" s="8" t="str">
        <x:v>adjacent</x:v>
      </x:c>
      <x:c r="G74" s="8"/>
      <x:c r="H74" s="8"/>
      <x:c r="I74" s="8"/>
      <x:c r="J74" s="8"/>
      <x:c r="K74" s="8" t="str">
        <x:v>Сохраненный сигнал; в v6 не перечитан.</x:v>
      </x:c>
      <x:c r="L74" s="8" t="str">
        <x:v>https://www.ispring.ru/company/reseller-program</x:v>
      </x:c>
    </x:row>
    <x:row r="75" ht="31.5" customHeight="1">
      <x:c r="A75" s="8" t="str">
        <x:v>FD-N070</x:v>
      </x:c>
      <x:c r="B75" s="8" t="str">
        <x:v>Unicraft: партнерские рекомендации LMS и ИИ-методиста</x:v>
      </x:c>
      <x:c r="C75" s="8" t="str">
        <x:v>FD-B3092e5b96f7dc7</x:v>
      </x:c>
      <x:c r="D75" s="8" t="str">
        <x:v>Исследовать сигнал</x:v>
      </x:c>
      <x:c r="E75" s="8" t="str">
        <x:v>reference</x:v>
      </x:c>
      <x:c r="F75" s="8" t="str">
        <x:v>adjacent</x:v>
      </x:c>
      <x:c r="G75" s="8"/>
      <x:c r="H75" s="8"/>
      <x:c r="I75" s="8"/>
      <x:c r="J75" s="8"/>
      <x:c r="K75" s="8" t="str">
        <x:v>Сохраненный сигнал; в v6 не перечитан.</x:v>
      </x:c>
      <x:c r="L75" s="8" t="str">
        <x:v>https://www.unicraft.org/page/partners/</x:v>
      </x:c>
    </x:row>
    <x:row r="76" ht="34.5" customHeight="1">
      <x:c r="A76" s="8" t="str">
        <x:v>FD-N071</x:v>
      </x:c>
      <x:c r="B76" s="8" t="str">
        <x:v>Unicraft приглашает оплачиваемых авторов статей по HR и обучению</x:v>
      </x:c>
      <x:c r="C76" s="8" t="str">
        <x:v>FD-B3092e5b96f7dc7</x:v>
      </x:c>
      <x:c r="D76" s="8" t="str">
        <x:v>Перечитать старую запись</x:v>
      </x:c>
      <x:c r="E76" s="8" t="str">
        <x:v>paid_or_unspecified_expert_call</x:v>
      </x:c>
      <x:c r="F76" s="8" t="str">
        <x:v>adjacent</x:v>
      </x:c>
      <x:c r="G76" s="8"/>
      <x:c r="H76" s="8"/>
      <x:c r="I76" s="8"/>
      <x:c r="J76" s="8"/>
      <x:c r="K76" s="8" t="str">
        <x:v>Сохраненный сигнал; в v6 не перечитан.</x:v>
      </x:c>
      <x:c r="L76" s="8" t="str">
        <x:v>https://www.unicraft.org/blog/avtor-bloga/</x:v>
      </x:c>
    </x:row>
    <x:row r="77" ht="31.5" customHeight="1">
      <x:c r="A77" s="8" t="str">
        <x:v>FD-N072</x:v>
      </x:c>
      <x:c r="B77" s="8" t="str">
        <x:v>LEVEL ищет педагогического дизайнера в штат</x:v>
      </x:c>
      <x:c r="C77" s="8" t="str">
        <x:v>FD-B0081779c287d56</x:v>
      </x:c>
      <x:c r="D77" s="8" t="str">
        <x:v>Исследовать сигнал</x:v>
      </x:c>
      <x:c r="E77" s="8" t="str">
        <x:v>inferred_need</x:v>
      </x:c>
      <x:c r="F77" s="8" t="str">
        <x:v>core</x:v>
      </x:c>
      <x:c r="G77" s="8"/>
      <x:c r="H77" s="8"/>
      <x:c r="I77" s="8"/>
      <x:c r="J77" s="8"/>
      <x:c r="K77" s="8" t="str">
        <x:v>Сохраненный сигнал; в v6 не перечитан.</x:v>
      </x:c>
      <x:c r="L77" s="8" t="str">
        <x:v>https://levellab.ru/job/instructional-designer</x:v>
      </x:c>
    </x:row>
    <x:row r="78" ht="34.5" customHeight="1">
      <x:c r="A78" s="8" t="str">
        <x:v>FD-N073</x:v>
      </x:c>
      <x:c r="B78" s="8" t="str">
        <x:v>Академия АйТи: поисковый след приглашения преподавателей</x:v>
      </x:c>
      <x:c r="C78" s="8" t="str">
        <x:v>FD-Bc27320b5017aff</x:v>
      </x:c>
      <x:c r="D78" s="8" t="str">
        <x:v>Уточнить объем</x:v>
      </x:c>
      <x:c r="E78" s="8" t="str">
        <x:v>reference</x:v>
      </x:c>
      <x:c r="F78" s="8" t="str">
        <x:v>uncertain</x:v>
      </x:c>
      <x:c r="G78" s="8"/>
      <x:c r="H78" s="8"/>
      <x:c r="I78" s="8"/>
      <x:c r="J78" s="8"/>
      <x:c r="K78" s="8" t="str">
        <x:v>Сохраненный сигнал; в v6 не перечитан.</x:v>
      </x:c>
      <x:c r="L78" s="8" t="str">
        <x:v>https://academyit.ru/academy/career/job/</x:v>
      </x:c>
    </x:row>
    <x:row r="79" ht="34.5" customHeight="1">
      <x:c r="A79" s="8" t="str">
        <x:v>FD-N074</x:v>
      </x:c>
      <x:c r="B79" s="8" t="str">
        <x:v>РШУ: партнерские продажи и организация обучающих мероприятий</x:v>
      </x:c>
      <x:c r="C79" s="8" t="str">
        <x:v>FD-Bbc8095e7f38ffd</x:v>
      </x:c>
      <x:c r="D79" s="8" t="str">
        <x:v>Партнерство</x:v>
      </x:c>
      <x:c r="E79" s="8" t="str">
        <x:v>standing_partner_invitation</x:v>
      </x:c>
      <x:c r="F79" s="8" t="str">
        <x:v>adjacent</x:v>
      </x:c>
      <x:c r="G79" s="8"/>
      <x:c r="H79" s="8"/>
      <x:c r="I79" s="8"/>
      <x:c r="J79" s="8"/>
      <x:c r="K79" s="8" t="str">
        <x:v>Сохраненный сигнал; в v6 не перечитан.</x:v>
      </x:c>
      <x:c r="L79" s="8" t="str">
        <x:v>https://uprav.ru/about/cooperation/</x:v>
      </x:c>
    </x:row>
    <x:row r="80" ht="34.5" customHeight="1">
      <x:c r="A80" s="8" t="str">
        <x:v>FD-N075</x:v>
      </x:c>
      <x:c r="B80" s="8" t="str">
        <x:v>РШУ приглашает экспертов по обучению персонала</x:v>
      </x:c>
      <x:c r="C80" s="8" t="str">
        <x:v>FD-Bbc8095e7f38ffd</x:v>
      </x:c>
      <x:c r="D80" s="8" t="str">
        <x:v>Перечитать старую запись</x:v>
      </x:c>
      <x:c r="E80" s="8" t="str">
        <x:v>paid_or_unspecified_expert_call</x:v>
      </x:c>
      <x:c r="F80" s="8" t="str">
        <x:v>core</x:v>
      </x:c>
      <x:c r="G80" s="8"/>
      <x:c r="H80" s="8"/>
      <x:c r="I80" s="8"/>
      <x:c r="J80" s="8"/>
      <x:c r="K80" s="8" t="str">
        <x:v>Сохраненный сигнал; в v6 не перечитан.</x:v>
      </x:c>
      <x:c r="L80" s="8" t="str">
        <x:v>https://uprav.ru/teachers/</x:v>
      </x:c>
    </x:row>
    <x:row r="81" ht="34.5" customHeight="1">
      <x:c r="A81" s="8" t="str">
        <x:v>FD-N076</x:v>
      </x:c>
      <x:c r="B81" s="8" t="str">
        <x:v>Бизнес Школа Эксперт приглашает авторов семинаров со своими программами</x:v>
      </x:c>
      <x:c r="C81" s="8" t="str">
        <x:v>FD-B8583d0af432d4e</x:v>
      </x:c>
      <x:c r="D81" s="8" t="str">
        <x:v>Перечитать старую запись</x:v>
      </x:c>
      <x:c r="E81" s="8" t="str">
        <x:v>paid_or_unspecified_expert_call</x:v>
      </x:c>
      <x:c r="F81" s="8" t="str">
        <x:v>core</x:v>
      </x:c>
      <x:c r="G81" s="8"/>
      <x:c r="H81" s="8"/>
      <x:c r="I81" s="8"/>
      <x:c r="J81" s="8"/>
      <x:c r="K81" s="8" t="str">
        <x:v>Сохраненный сигнал; в v6 не перечитан.</x:v>
      </x:c>
      <x:c r="L81" s="8" t="str">
        <x:v>https://moscow-expert.ru/content/vakansii/index.html</x:v>
      </x:c>
    </x:row>
    <x:row r="82" ht="34.5" customHeight="1">
      <x:c r="A82" s="8" t="str">
        <x:v>FD-N077</x:v>
      </x:c>
      <x:c r="B82" s="8" t="str">
        <x:v>Преподаватели для электроэнергетической и смежных отраслей</x:v>
      </x:c>
      <x:c r="C82" s="8" t="str">
        <x:v>FD-B47a41c54961924</x:v>
      </x:c>
      <x:c r="D82" s="8" t="str">
        <x:v>Партнерство</x:v>
      </x:c>
      <x:c r="E82" s="8" t="str">
        <x:v>standing_partner_invitation</x:v>
      </x:c>
      <x:c r="F82" s="8" t="str">
        <x:v>core</x:v>
      </x:c>
      <x:c r="G82" s="8"/>
      <x:c r="H82" s="8"/>
      <x:c r="I82" s="8"/>
      <x:c r="J82" s="8"/>
      <x:c r="K82" s="8" t="str">
        <x:v>Сохраненный сигнал; в v6 не перечитан.</x:v>
      </x:c>
      <x:c r="L82" s="8" t="str">
        <x:v>https://www.ec-mc.ru/collaboration</x:v>
      </x:c>
    </x:row>
    <x:row r="83" ht="34.5" customHeight="1">
      <x:c r="A83" s="8" t="str">
        <x:v>FD-N078</x:v>
      </x:c>
      <x:c r="B83" s="8" t="str">
        <x:v>Партнёры по привлечению слушателей и корпоративным мероприятиям</x:v>
      </x:c>
      <x:c r="C83" s="8" t="str">
        <x:v>FD-B47a41c54961924</x:v>
      </x:c>
      <x:c r="D83" s="8" t="str">
        <x:v>Исследовать сигнал</x:v>
      </x:c>
      <x:c r="E83" s="8" t="str">
        <x:v>reference</x:v>
      </x:c>
      <x:c r="F83" s="8" t="str">
        <x:v>adjacent</x:v>
      </x:c>
      <x:c r="G83" s="8"/>
      <x:c r="H83" s="8"/>
      <x:c r="I83" s="8"/>
      <x:c r="J83" s="8"/>
      <x:c r="K83" s="8" t="str">
        <x:v>Сохраненный сигнал; в v6 не перечитан.</x:v>
      </x:c>
      <x:c r="L83" s="8" t="str">
        <x:v>https://www.ec-mc.ru/collaboration</x:v>
      </x:c>
    </x:row>
    <x:row r="84" ht="31.5" customHeight="1">
      <x:c r="A84" s="8" t="str">
        <x:v>FD-N079</x:v>
      </x:c>
      <x:c r="B84" s="8" t="str">
        <x:v>Расширение экспертного сообщества B2B Events</x:v>
      </x:c>
      <x:c r="C84" s="8" t="str">
        <x:v>FD-B8c295b158c4fe4</x:v>
      </x:c>
      <x:c r="D84" s="8" t="str">
        <x:v>Партнерство</x:v>
      </x:c>
      <x:c r="E84" s="8" t="str">
        <x:v>standing_partner_invitation</x:v>
      </x:c>
      <x:c r="F84" s="8" t="str">
        <x:v>core</x:v>
      </x:c>
      <x:c r="G84" s="8"/>
      <x:c r="H84" s="8"/>
      <x:c r="I84" s="8"/>
      <x:c r="J84" s="8"/>
      <x:c r="K84" s="8" t="str">
        <x:v>Сохраненный сигнал; в v6 не перечитан.</x:v>
      </x:c>
      <x:c r="L84" s="8" t="str">
        <x:v>https://b2bevents.pro/ru/trainings/</x:v>
      </x:c>
    </x:row>
    <x:row r="85" ht="34.5" customHeight="1">
      <x:c r="A85" s="8" t="str">
        <x:v>FD-N080</x:v>
      </x:c>
      <x:c r="B85" s="8" t="str">
        <x:v>Отраслевые эксперты для «Кодекс» и «Техэксперт»</x:v>
      </x:c>
      <x:c r="C85" s="8" t="str">
        <x:v>FD-B334d30c4529272</x:v>
      </x:c>
      <x:c r="D85" s="8" t="str">
        <x:v>Перечитать старую запись</x:v>
      </x:c>
      <x:c r="E85" s="8" t="str">
        <x:v>paid_or_unspecified_expert_call</x:v>
      </x:c>
      <x:c r="F85" s="8" t="str">
        <x:v>adjacent</x:v>
      </x:c>
      <x:c r="G85" s="8"/>
      <x:c r="H85" s="8"/>
      <x:c r="I85" s="8"/>
      <x:c r="J85" s="8"/>
      <x:c r="K85" s="8" t="str">
        <x:v>Сохраненный сигнал; в v6 не перечитан.</x:v>
      </x:c>
      <x:c r="L85" s="8" t="str">
        <x:v>https://kodeks.ru/cooperation</x:v>
      </x:c>
    </x:row>
    <x:row r="86" ht="34.5" customHeight="1">
      <x:c r="A86" s="8" t="str">
        <x:v>FD-N081</x:v>
      </x:c>
      <x:c r="B86" s="8" t="str">
        <x:v>Постоянный набор экспертов Нетологии</x:v>
      </x:c>
      <x:c r="C86" s="8" t="str">
        <x:v>FD-B9b0e56d4a791e8</x:v>
      </x:c>
      <x:c r="D86" s="8" t="str">
        <x:v>Перечитать старую запись</x:v>
      </x:c>
      <x:c r="E86" s="8" t="str">
        <x:v>paid_or_unspecified_expert_call</x:v>
      </x:c>
      <x:c r="F86" s="8" t="str">
        <x:v>core</x:v>
      </x:c>
      <x:c r="G86" s="8"/>
      <x:c r="H86" s="8"/>
      <x:c r="I86" s="8"/>
      <x:c r="J86" s="8"/>
      <x:c r="K86" s="8" t="str">
        <x:v>Сохраненный сигнал; в v6 не перечитан.</x:v>
      </x:c>
      <x:c r="L86" s="8" t="str">
        <x:v>https://netology.ru/experts</x:v>
      </x:c>
    </x:row>
    <x:row r="87" ht="34.5" customHeight="1">
      <x:c r="A87" s="8" t="str">
        <x:v>FD-N082</x:v>
      </x:c>
      <x:c r="B87" s="8" t="str">
        <x:v>Эксперт на модуль «Диджитал-монтаж: от Shorts до YouTube»</x:v>
      </x:c>
      <x:c r="C87" s="8" t="str">
        <x:v>FD-B9b0e56d4a791e8</x:v>
      </x:c>
      <x:c r="D87" s="8" t="str">
        <x:v>Перечитать старую запись</x:v>
      </x:c>
      <x:c r="E87" s="8" t="str">
        <x:v>paid_or_unspecified_expert_call</x:v>
      </x:c>
      <x:c r="F87" s="8" t="str">
        <x:v>adjacent</x:v>
      </x:c>
      <x:c r="G87" s="8"/>
      <x:c r="H87" s="8"/>
      <x:c r="I87" s="8"/>
      <x:c r="J87" s="8"/>
      <x:c r="K87" s="8" t="str">
        <x:v>Сохраненный сигнал; в v6 не перечитан.</x:v>
      </x:c>
      <x:c r="L87" s="8" t="str">
        <x:v>https://netology.ru/job/fdf5523b-cad0-46ce-934e-8e06862bff27</x:v>
      </x:c>
    </x:row>
    <x:row r="88" ht="34.5" customHeight="1">
      <x:c r="A88" s="8" t="str">
        <x:v>FD-N083</x:v>
      </x:c>
      <x:c r="B88" s="8" t="str">
        <x:v>Наставник курса «CTO/Технический директор»</x:v>
      </x:c>
      <x:c r="C88" s="8" t="str">
        <x:v>FD-B3d598f3db297da</x:v>
      </x:c>
      <x:c r="D88" s="8" t="str">
        <x:v>Перечитать старую запись</x:v>
      </x:c>
      <x:c r="E88" s="8" t="str">
        <x:v>paid_or_unspecified_expert_call</x:v>
      </x:c>
      <x:c r="F88" s="8" t="str">
        <x:v>core</x:v>
      </x:c>
      <x:c r="G88" s="8"/>
      <x:c r="H88" s="8"/>
      <x:c r="I88" s="8"/>
      <x:c r="J88" s="8"/>
      <x:c r="K88" s="8" t="str">
        <x:v>Сохраненный сигнал; в v6 не перечитан.</x:v>
      </x:c>
      <x:c r="L88" s="8" t="str">
        <x:v>https://practicum.yandex.ru/job/vacancy-384/</x:v>
      </x:c>
    </x:row>
    <x:row r="89" ht="34.5" customHeight="1">
      <x:c r="A89" s="8" t="str">
        <x:v>FD-N084</x:v>
      </x:c>
      <x:c r="B89" s="8" t="str">
        <x:v>Программный эксперт курса «Нейросети для автоматизации и сервиса»</x:v>
      </x:c>
      <x:c r="C89" s="8" t="str">
        <x:v>FD-B3d598f3db297da</x:v>
      </x:c>
      <x:c r="D89" s="8" t="str">
        <x:v>Перечитать старую запись</x:v>
      </x:c>
      <x:c r="E89" s="8" t="str">
        <x:v>paid_or_unspecified_expert_call</x:v>
      </x:c>
      <x:c r="F89" s="8" t="str">
        <x:v>core</x:v>
      </x:c>
      <x:c r="G89" s="8"/>
      <x:c r="H89" s="8"/>
      <x:c r="I89" s="8"/>
      <x:c r="J89" s="8"/>
      <x:c r="K89" s="8" t="str">
        <x:v>Сохраненный сигнал; в v6 не перечитан.</x:v>
      </x:c>
      <x:c r="L89" s="8" t="str">
        <x:v>https://practicum.yandex.ru/job/vacancy-359/</x:v>
      </x:c>
    </x:row>
    <x:row r="90" ht="34.5" customHeight="1">
      <x:c r="A90" s="8" t="str">
        <x:v>FD-N085</x:v>
      </x:c>
      <x:c r="B90" s="8" t="str">
        <x:v>Разработчик электронных курсов: проектная загрузка</x:v>
      </x:c>
      <x:c r="C90" s="8" t="str">
        <x:v>FD-Bd402ce0b28c94c</x:v>
      </x:c>
      <x:c r="D90" s="8" t="str">
        <x:v>Перечитать старую запись</x:v>
      </x:c>
      <x:c r="E90" s="8" t="str">
        <x:v>paid_or_unspecified_expert_call</x:v>
      </x:c>
      <x:c r="F90" s="8" t="str">
        <x:v>core</x:v>
      </x:c>
      <x:c r="G90" s="8"/>
      <x:c r="H90" s="8"/>
      <x:c r="I90" s="8"/>
      <x:c r="J90" s="8"/>
      <x:c r="K90" s="8" t="str">
        <x:v>Сохраненный сигнал; в v6 не перечитан.</x:v>
      </x:c>
      <x:c r="L90" s="8" t="str">
        <x:v>https://ra-kurs.spb.ru/company/about/vacancy/</x:v>
      </x:c>
    </x:row>
    <x:row r="91" ht="34.5" customHeight="1">
      <x:c r="A91" s="8" t="str">
        <x:v>FD-N086</x:v>
      </x:c>
      <x:c r="B91" s="8" t="str">
        <x:v>Эксперты для авторских программ по e-learning</x:v>
      </x:c>
      <x:c r="C91" s="8" t="str">
        <x:v>FD-Bd402ce0b28c94c</x:v>
      </x:c>
      <x:c r="D91" s="8" t="str">
        <x:v>Перечитать старую запись</x:v>
      </x:c>
      <x:c r="E91" s="8" t="str">
        <x:v>paid_or_unspecified_expert_call</x:v>
      </x:c>
      <x:c r="F91" s="8" t="str">
        <x:v>core</x:v>
      </x:c>
      <x:c r="G91" s="8"/>
      <x:c r="H91" s="8"/>
      <x:c r="I91" s="8"/>
      <x:c r="J91" s="8"/>
      <x:c r="K91" s="8" t="str">
        <x:v>Сохраненный сигнал; в v6 не перечитан.</x:v>
      </x:c>
      <x:c r="L91" s="8" t="str">
        <x:v>https://ra-kurs.spb.ru/company/about/vacancy/</x:v>
      </x:c>
    </x:row>
    <x:row r="92" ht="34.5" customHeight="1">
      <x:c r="A92" s="8" t="str">
        <x:v>FD-N087</x:v>
      </x:c>
      <x:c r="B92" s="8" t="str">
        <x:v>Вебинар «Предприниматель»: организацию оплачивает спикер</x:v>
      </x:c>
      <x:c r="C92" s="8" t="str">
        <x:v>FD-B9f28a630c57b45</x:v>
      </x:c>
      <x:c r="D92" s="8" t="str">
        <x:v>Исследовать сигнал</x:v>
      </x:c>
      <x:c r="E92" s="8" t="str">
        <x:v>reference</x:v>
      </x:c>
      <x:c r="F92" s="8" t="str">
        <x:v>adjacent</x:v>
      </x:c>
      <x:c r="G92" s="8" t="str">
        <x:v>2018-08-11</x:v>
      </x:c>
      <x:c r="H92" s="8"/>
      <x:c r="I92" s="8"/>
      <x:c r="J92" s="8"/>
      <x:c r="K92" s="8" t="str">
        <x:v>Сохраненный сигнал; в v6 не перечитан.</x:v>
      </x:c>
      <x:c r="L92" s="8" t="str">
        <x:v>https://bi-school.ru/dlya-provedeniya-vebinarov-priglashaem-spikerov/</x:v>
      </x:c>
    </x:row>
    <x:row r="93" ht="34.5" customHeight="1">
      <x:c r="A93" s="8" t="str">
        <x:v>FD-N088</x:v>
      </x:c>
      <x:c r="B93" s="8" t="str">
        <x:v>Вебинар «Эксперт»: безвозмездное выступление</x:v>
      </x:c>
      <x:c r="C93" s="8" t="str">
        <x:v>FD-B9f28a630c57b45</x:v>
      </x:c>
      <x:c r="D93" s="8" t="str">
        <x:v>Перечитать старую запись</x:v>
      </x:c>
      <x:c r="E93" s="8" t="str">
        <x:v>paid_or_unspecified_expert_call</x:v>
      </x:c>
      <x:c r="F93" s="8" t="str">
        <x:v>adjacent</x:v>
      </x:c>
      <x:c r="G93" s="8" t="str">
        <x:v>2018-08-11</x:v>
      </x:c>
      <x:c r="H93" s="8"/>
      <x:c r="I93" s="8"/>
      <x:c r="J93" s="8"/>
      <x:c r="K93" s="8" t="str">
        <x:v>Сохраненный сигнал; в v6 не перечитан.</x:v>
      </x:c>
      <x:c r="L93" s="8" t="str">
        <x:v>https://bi-school.ru/dlya-provedeniya-vebinarov-priglashaem-spikerov/</x:v>
      </x:c>
    </x:row>
    <x:row r="94" ht="34.5" customHeight="1">
      <x:c r="A94" s="8" t="str">
        <x:v>FD-N089</x:v>
      </x:c>
      <x:c r="B94" s="8" t="str">
        <x:v>Преподаватели, авторы и методисты Юнитории</x:v>
      </x:c>
      <x:c r="C94" s="8" t="str">
        <x:v>FD-Ba426fd58cee901</x:v>
      </x:c>
      <x:c r="D94" s="8" t="str">
        <x:v>Перечитать старую запись</x:v>
      </x:c>
      <x:c r="E94" s="8" t="str">
        <x:v>paid_or_unspecified_expert_call</x:v>
      </x:c>
      <x:c r="F94" s="8" t="str">
        <x:v>core</x:v>
      </x:c>
      <x:c r="G94" s="8"/>
      <x:c r="H94" s="8"/>
      <x:c r="I94" s="8"/>
      <x:c r="J94" s="8"/>
      <x:c r="K94" s="8" t="str">
        <x:v>Сохраненный сигнал; в v6 не перечитан.</x:v>
      </x:c>
      <x:c r="L94" s="8" t="str">
        <x:v>https://unitoria.ru/o-nas/vakansii</x:v>
      </x:c>
    </x:row>
    <x:row r="95" ht="34.5" customHeight="1">
      <x:c r="A95" s="8" t="str">
        <x:v>FD-N090</x:v>
      </x:c>
      <x:c r="B95" s="8" t="str">
        <x:v>Постоянное сотрудничество с региональными учебными центрами и вузами</x:v>
      </x:c>
      <x:c r="C95" s="8" t="str">
        <x:v>FD-Ba426fd58cee901</x:v>
      </x:c>
      <x:c r="D95" s="8" t="str">
        <x:v>Партнерство</x:v>
      </x:c>
      <x:c r="E95" s="8" t="str">
        <x:v>standing_partner_invitation</x:v>
      </x:c>
      <x:c r="F95" s="8" t="str">
        <x:v>core</x:v>
      </x:c>
      <x:c r="G95" s="8"/>
      <x:c r="H95" s="8"/>
      <x:c r="I95" s="8"/>
      <x:c r="J95" s="8"/>
      <x:c r="K95" s="8" t="str">
        <x:v>Сохраненный сигнал; в v6 не перечитан.</x:v>
      </x:c>
      <x:c r="L95" s="8" t="str">
        <x:v>https://unitoria.ru/o-nas/kontakty</x:v>
      </x:c>
    </x:row>
    <x:row r="96" ht="34.5" customHeight="1">
      <x:c r="A96" s="8" t="str">
        <x:v>FD-N091</x:v>
      </x:c>
      <x:c r="B96" s="8" t="str">
        <x:v>Компенсация сотруднику покупки иностранных ИИ-инструментов</x:v>
      </x:c>
      <x:c r="C96" s="8" t="str">
        <x:v>FD-BU091</x:v>
      </x:c>
      <x:c r="D96" s="8" t="str">
        <x:v>Исследовать сигнал</x:v>
      </x:c>
      <x:c r="E96" s="8" t="str">
        <x:v>inferred_need</x:v>
      </x:c>
      <x:c r="F96" s="8" t="str">
        <x:v>core</x:v>
      </x:c>
      <x:c r="G96" s="8" t="str">
        <x:v>2026-09-21</x:v>
      </x:c>
      <x:c r="H96" s="8"/>
      <x:c r="I96" s="8"/>
      <x:c r="J96" s="8"/>
      <x:c r="K96" s="8" t="str">
        <x:v>Сохраненный сигнал; в v6 не перечитан.</x:v>
      </x:c>
      <x:c r="L96" s="8" t="str">
        <x:v>https://club.klerk.ru/t/kompensacziya-sotrudniku-pokupki-inostrannyh-ii-instrumentov/1264570</x:v>
      </x:c>
    </x:row>
    <x:row r="97" ht="34.5" customHeight="1">
      <x:c r="A97" s="8" t="str">
        <x:v>FD-N092</x:v>
      </x:c>
      <x:c r="B97" s="8" t="str">
        <x:v>Вопрос об оформлении закупки комплекта с отдельными реестровыми выписками</x:v>
      </x:c>
      <x:c r="C97" s="8" t="str">
        <x:v>FD-BU092</x:v>
      </x:c>
      <x:c r="D97" s="8" t="str">
        <x:v>Исследовать сигнал</x:v>
      </x:c>
      <x:c r="E97" s="8" t="str">
        <x:v>inferred_need</x:v>
      </x:c>
      <x:c r="F97" s="8" t="str">
        <x:v>core</x:v>
      </x:c>
      <x:c r="G97" s="8" t="str">
        <x:v>2026-09-25</x:v>
      </x:c>
      <x:c r="H97" s="8"/>
      <x:c r="I97" s="8"/>
      <x:c r="J97" s="8"/>
      <x:c r="K97" s="8" t="str">
        <x:v>Сохраненный сигнал; в v6 не перечитан.</x:v>
      </x:c>
      <x:c r="L97" s="8" t="str">
        <x:v>https://www.tendery.ru/forum/viewtopic.php?f=521628&amp;t=2082052</x:v>
      </x:c>
    </x:row>
    <x:row r="98" ht="34.5" customHeight="1">
      <x:c r="A98" s="8" t="str">
        <x:v>FD-N093</x:v>
      </x:c>
      <x:c r="B98" s="8" t="str">
        <x:v>Проблемы освоения ЭТрН и электронных перевозочных документов</x:v>
      </x:c>
      <x:c r="C98" s="8" t="str">
        <x:v>FD-BU093</x:v>
      </x:c>
      <x:c r="D98" s="8" t="str">
        <x:v>Исследовать сигнал</x:v>
      </x:c>
      <x:c r="E98" s="8" t="str">
        <x:v>inferred_need</x:v>
      </x:c>
      <x:c r="F98" s="8" t="str">
        <x:v>core</x:v>
      </x:c>
      <x:c r="G98" s="8" t="str">
        <x:v>2026-09-11</x:v>
      </x:c>
      <x:c r="H98" s="8"/>
      <x:c r="I98" s="8"/>
      <x:c r="J98" s="8"/>
      <x:c r="K98" s="8" t="str">
        <x:v>Сохраненный сигнал; в v6 не перечитан.</x:v>
      </x:c>
      <x:c r="L98" s="8" t="str">
        <x:v>https://club.klerk.ru/t/vse-ploho-pro-problemy-s-etrn/1264501</x:v>
      </x:c>
    </x:row>
    <x:row r="99" ht="31.5" customHeight="1">
      <x:c r="A99" s="8" t="str">
        <x:v>FD-N094</x:v>
      </x:c>
      <x:c r="B99" s="8" t="str">
        <x:v>CPO Club: открытый маршрут партнёрства</x:v>
      </x:c>
      <x:c r="C99" s="8" t="str">
        <x:v>FD-B1532f42b68c890</x:v>
      </x:c>
      <x:c r="D99" s="8" t="str">
        <x:v>Партнерство</x:v>
      </x:c>
      <x:c r="E99" s="8" t="str">
        <x:v>standing_partner_invitation</x:v>
      </x:c>
      <x:c r="F99" s="8" t="str">
        <x:v>adjacent</x:v>
      </x:c>
      <x:c r="G99" s="8"/>
      <x:c r="H99" s="8"/>
      <x:c r="I99" s="8"/>
      <x:c r="J99" s="8"/>
      <x:c r="K99" s="8" t="str">
        <x:v>Сохраненный сигнал; в v6 не перечитан.</x:v>
      </x:c>
      <x:c r="L99" s="8" t="str">
        <x:v>https://cpoclub.ru/</x:v>
      </x:c>
    </x:row>
    <x:row r="100" ht="34.5" customHeight="1">
      <x:c r="A100" s="8" t="str">
        <x:v>FD-N095</x:v>
      </x:c>
      <x:c r="B100" s="8" t="str">
        <x:v>АСУД: приём предложений тем докладов форума АРХИВЫ-2027</x:v>
      </x:c>
      <x:c r="C100" s="8" t="str">
        <x:v>FD-Bae78e25a14ed93</x:v>
      </x:c>
      <x:c r="D100" s="8" t="str">
        <x:v>Перечитать старую запись</x:v>
      </x:c>
      <x:c r="E100" s="8" t="str">
        <x:v>paid_or_unspecified_expert_call</x:v>
      </x:c>
      <x:c r="F100" s="8" t="str">
        <x:v>core</x:v>
      </x:c>
      <x:c r="G100" s="8"/>
      <x:c r="H100" s="8" t="str">
        <x:v>18 мая 2027 года</x:v>
      </x:c>
      <x:c r="I100" s="8"/>
      <x:c r="J100" s="8"/>
      <x:c r="K100" s="8" t="str">
        <x:v>Сохраненный сигнал; в v6 не перечитан.</x:v>
      </x:c>
      <x:c r="L100" s="8" t="str">
        <x:v>https://assud.ru/vserossijskij-professionalnyj-forum2027/</x:v>
      </x:c>
    </x:row>
    <x:row r="101" ht="34.5" customHeight="1">
      <x:c r="A101" s="8" t="str">
        <x:v>FD-N096</x:v>
      </x:c>
      <x:c r="B101" s="8" t="str">
        <x:v>Executive.ru: постоянный приём экспертных авторских материалов</x:v>
      </x:c>
      <x:c r="C101" s="8" t="str">
        <x:v>FD-Be435fb31bca7eb</x:v>
      </x:c>
      <x:c r="D101" s="8" t="str">
        <x:v>Перечитать старую запись</x:v>
      </x:c>
      <x:c r="E101" s="8" t="str">
        <x:v>paid_or_unspecified_expert_call</x:v>
      </x:c>
      <x:c r="F101" s="8" t="str">
        <x:v>adjacent</x:v>
      </x:c>
      <x:c r="G101" s="8"/>
      <x:c r="H101" s="8"/>
      <x:c r="I101" s="8"/>
      <x:c r="J101" s="8"/>
      <x:c r="K101" s="8" t="str">
        <x:v>Сохраненный сигнал; в v6 не перечитан.</x:v>
      </x:c>
      <x:c r="L101" s="8" t="str">
        <x:v>https://www.e-xecutive.ru/pages/guide</x:v>
      </x:c>
    </x:row>
    <x:row r="102" ht="34.5" customHeight="1">
      <x:c r="A102" s="8" t="str">
        <x:v>FD-N097</x:v>
      </x:c>
      <x:c r="B102" s="8" t="str">
        <x:v>Profiz / Кадровые решения: приглашение авторов с возможностью гонорара</x:v>
      </x:c>
      <x:c r="C102" s="8" t="str">
        <x:v>FD-B3fa3d61676e5e2</x:v>
      </x:c>
      <x:c r="D102" s="8" t="str">
        <x:v>Перечитать старую запись</x:v>
      </x:c>
      <x:c r="E102" s="8" t="str">
        <x:v>paid_or_unspecified_expert_call</x:v>
      </x:c>
      <x:c r="F102" s="8" t="str">
        <x:v>adjacent</x:v>
      </x:c>
      <x:c r="G102" s="8"/>
      <x:c r="H102" s="8"/>
      <x:c r="I102" s="8"/>
      <x:c r="J102" s="8"/>
      <x:c r="K102" s="8" t="str">
        <x:v>Сохраненный сигнал; в v6 не перечитан.</x:v>
      </x:c>
      <x:c r="L102" s="8" t="str">
        <x:v>https://www.profiz.ru/kr/authors/</x:v>
      </x:c>
    </x:row>
    <x:row r="103" ht="34.5" customHeight="1">
      <x:c r="A103" s="8" t="str">
        <x:v>FD-N098</x:v>
      </x:c>
      <x:c r="B103" s="8" t="str">
        <x:v>Архив: специалист по закупкам РФ для обучения персонала в Беларуси</x:v>
      </x:c>
      <x:c r="C103" s="8" t="str">
        <x:v>FD-BU098</x:v>
      </x:c>
      <x:c r="D103" s="8" t="str">
        <x:v>Перечитать старую запись</x:v>
      </x:c>
      <x:c r="E103" s="8" t="str">
        <x:v>explicit_training_request</x:v>
      </x:c>
      <x:c r="F103" s="8" t="str">
        <x:v>core</x:v>
      </x:c>
      <x:c r="G103" s="8" t="str">
        <x:v>2021-07-19</x:v>
      </x:c>
      <x:c r="H103" s="8"/>
      <x:c r="I103" s="8"/>
      <x:c r="J103" s="8"/>
      <x:c r="K103" s="8" t="str">
        <x:v>Сохраненный сигнал; в v6 не перечитан.</x:v>
      </x:c>
      <x:c r="L103" s="8" t="str">
        <x:v>https://www.tendery.ru/forum/viewtopic.php?f=5&amp;t=2053293</x:v>
      </x:c>
    </x:row>
    <x:row r="104" ht="34.5" customHeight="1">
      <x:c r="A104" s="8" t="str">
        <x:v>FD-N099</x:v>
      </x:c>
      <x:c r="B104" s="8" t="str">
        <x:v>Архив: документы поставщиков при исполнении госконтракта</x:v>
      </x:c>
      <x:c r="C104" s="8" t="str">
        <x:v>FD-BU099</x:v>
      </x:c>
      <x:c r="D104" s="8" t="str">
        <x:v>Исследовать сигнал</x:v>
      </x:c>
      <x:c r="E104" s="8" t="str">
        <x:v>inferred_need</x:v>
      </x:c>
      <x:c r="F104" s="8" t="str">
        <x:v>core</x:v>
      </x:c>
      <x:c r="G104" s="8" t="str">
        <x:v>2024-08-05</x:v>
      </x:c>
      <x:c r="H104" s="8"/>
      <x:c r="I104" s="8"/>
      <x:c r="J104" s="8"/>
      <x:c r="K104" s="8" t="str">
        <x:v>Сохраненный сигнал; в v6 не перечитан.</x:v>
      </x:c>
      <x:c r="L104" s="8" t="str">
        <x:v>https://club.klerk.ru/t/ispolnenie-goskontrakta/1118214</x:v>
      </x:c>
    </x:row>
    <x:row r="105" ht="31.5" customHeight="1">
      <x:c r="A105" s="8" t="str">
        <x:v>FD-N100</x:v>
      </x:c>
      <x:c r="B105" s="8" t="str">
        <x:v>Архив: критерии оценки работы ПТО</x:v>
      </x:c>
      <x:c r="C105" s="8" t="str">
        <x:v>FD-BU100</x:v>
      </x:c>
      <x:c r="D105" s="8" t="str">
        <x:v>Исследовать сигнал</x:v>
      </x:c>
      <x:c r="E105" s="8" t="str">
        <x:v>inferred_need</x:v>
      </x:c>
      <x:c r="F105" s="8" t="str">
        <x:v>adjacent</x:v>
      </x:c>
      <x:c r="G105" s="8" t="str">
        <x:v>2012-05-03</x:v>
      </x:c>
      <x:c r="H105" s="8"/>
      <x:c r="I105" s="8"/>
      <x:c r="J105" s="8"/>
      <x:c r="K105" s="8" t="str">
        <x:v>Сохраненный сигнал; в v6 не перечитан.</x:v>
      </x:c>
      <x:c r="L105" s="8" t="str">
        <x:v>https://forum.dwg.ru/showthread.php?t=83188</x:v>
      </x:c>
    </x:row>
    <x:row r="106" ht="34.5" customHeight="1">
      <x:c r="A106" s="8" t="str">
        <x:v>FD-N101</x:v>
      </x:c>
      <x:c r="B106" s="8" t="str">
        <x:v>Архив: идея командообразующего мероприятия для ИТ-коллег</x:v>
      </x:c>
      <x:c r="C106" s="8" t="str">
        <x:v>FD-BU101</x:v>
      </x:c>
      <x:c r="D106" s="8" t="str">
        <x:v>Исследовать сигнал</x:v>
      </x:c>
      <x:c r="E106" s="8" t="str">
        <x:v>inferred_need</x:v>
      </x:c>
      <x:c r="F106" s="8" t="str">
        <x:v>adjacent</x:v>
      </x:c>
      <x:c r="G106" s="8" t="str">
        <x:v>2023-03-14</x:v>
      </x:c>
      <x:c r="H106" s="8"/>
      <x:c r="I106" s="8"/>
      <x:c r="J106" s="8"/>
      <x:c r="K106" s="8" t="str">
        <x:v>Сохраненный сигнал; в v6 не перечитан.</x:v>
      </x:c>
      <x:c r="L106" s="8" t="str">
        <x:v>https://hr-portal.ru/forum/porekomenduyte-komandoobrazuyushchie-treningi</x:v>
      </x:c>
    </x:row>
    <x:row r="107" ht="31.5" customHeight="1">
      <x:c r="A107" s="8" t="str">
        <x:v>FD-N102</x:v>
      </x:c>
      <x:c r="B107" s="8" t="str">
        <x:v>МЦФЭР–Казахстан приглашает лекторов к сотрудничеству</x:v>
      </x:c>
      <x:c r="C107" s="8" t="str">
        <x:v>FD-Be1ce7b0f1a6586</x:v>
      </x:c>
      <x:c r="D107" s="8" t="str">
        <x:v>Партнерство</x:v>
      </x:c>
      <x:c r="E107" s="8" t="str">
        <x:v>standing_partner_invitation</x:v>
      </x:c>
      <x:c r="F107" s="8" t="str">
        <x:v>core</x:v>
      </x:c>
      <x:c r="G107" s="8"/>
      <x:c r="H107" s="8"/>
      <x:c r="I107" s="8"/>
      <x:c r="J107" s="8"/>
      <x:c r="K107" s="8" t="str">
        <x:v>Сохраненный сигнал; в v6 не перечитан.</x:v>
      </x:c>
      <x:c r="L107" s="8" t="str">
        <x:v>https://seminar.mcfr.kz/sotrudnichesrvo</x:v>
      </x:c>
    </x:row>
    <x:row r="108" ht="34.5" customHeight="1">
      <x:c r="A108" s="8" t="str">
        <x:v>FD-N103</x:v>
      </x:c>
      <x:c r="B108" s="8" t="str">
        <x:v>ATSSM: приглашение лекторов и экспертов для авторских курсов</x:v>
      </x:c>
      <x:c r="C108" s="8" t="str">
        <x:v>FD-B792c3004f1a0b7</x:v>
      </x:c>
      <x:c r="D108" s="8" t="str">
        <x:v>Партнерство</x:v>
      </x:c>
      <x:c r="E108" s="8" t="str">
        <x:v>standing_partner_invitation</x:v>
      </x:c>
      <x:c r="F108" s="8" t="str">
        <x:v>adjacent</x:v>
      </x:c>
      <x:c r="G108" s="8" t="str">
        <x:v>2026-03-11</x:v>
      </x:c>
      <x:c r="H108" s="8"/>
      <x:c r="I108" s="8"/>
      <x:c r="J108" s="8"/>
      <x:c r="K108" s="8" t="str">
        <x:v>Сохраненный сигнал; в v6 не перечитан.</x:v>
      </x:c>
      <x:c r="L108" s="8" t="str">
        <x:v>https://atssm.kz/en/press-center/default/priglashaem-lektorov-i-ekspertov-k-sotrudnichestvu</x:v>
      </x:c>
    </x:row>
    <x:row r="109" ht="34.5" customHeight="1">
      <x:c r="A109" s="8" t="str">
        <x:v>FD-N104</x:v>
      </x:c>
      <x:c r="B109" s="8" t="str">
        <x:v>Glabis: архивная встреча тренеров и руководителей обучения</x:v>
      </x:c>
      <x:c r="C109" s="8" t="str">
        <x:v>FD-B9c7266f070dbbc</x:v>
      </x:c>
      <x:c r="D109" s="8" t="str">
        <x:v>Следующий цикл</x:v>
      </x:c>
      <x:c r="E109" s="8" t="str">
        <x:v>reference</x:v>
      </x:c>
      <x:c r="F109" s="8" t="str">
        <x:v>core</x:v>
      </x:c>
      <x:c r="G109" s="8"/>
      <x:c r="H109" s="8" t="str">
        <x:v>03.08.2026, 14:00–17:00</x:v>
      </x:c>
      <x:c r="I109" s="8"/>
      <x:c r="J109" s="8"/>
      <x:c r="K109" s="8" t="str">
        <x:v>Сохраненный сигнал; в v6 не перечитан.</x:v>
      </x:c>
      <x:c r="L109" s="8" t="str">
        <x:v>https://glabis.by/posidelki/</x:v>
      </x:c>
    </x:row>
    <x:row r="110" ht="34.5" customHeight="1">
      <x:c r="A110" s="8" t="str">
        <x:v>FD-N105</x:v>
      </x:c>
      <x:c r="B110" s="8" t="str">
        <x:v>СОЮЗ-эксперт: форма предложения темы обращена к клиенту обучения</x:v>
      </x:c>
      <x:c r="C110" s="8" t="str">
        <x:v>FD-B19e09a97165337</x:v>
      </x:c>
      <x:c r="D110" s="8" t="str">
        <x:v>Исследовать сигнал</x:v>
      </x:c>
      <x:c r="E110" s="8" t="str">
        <x:v>reference</x:v>
      </x:c>
      <x:c r="F110" s="8" t="str">
        <x:v>core</x:v>
      </x:c>
      <x:c r="G110" s="8"/>
      <x:c r="H110" s="8" t="str">
        <x:v>Вебинары 07–14.10.2026</x:v>
      </x:c>
      <x:c r="I110" s="8"/>
      <x:c r="J110" s="8"/>
      <x:c r="K110" s="8" t="str">
        <x:v>Сохраненный сигнал; в v6 не перечитан.</x:v>
      </x:c>
      <x:c r="L110" s="8" t="str">
        <x:v>https://s-expert.by/</x:v>
      </x:c>
    </x:row>
    <x:row r="111" ht="34.5" customHeight="1">
      <x:c r="A111" s="8" t="str">
        <x:v>FD-N106</x:v>
      </x:c>
      <x:c r="B111" s="8" t="str">
        <x:v>БелТПП запускает программу развития компетенций экспортера</x:v>
      </x:c>
      <x:c r="C111" s="8" t="str">
        <x:v>FD-B8a774a5144a0c0</x:v>
      </x:c>
      <x:c r="D111" s="8" t="str">
        <x:v>Исследовать сигнал</x:v>
      </x:c>
      <x:c r="E111" s="8" t="str">
        <x:v>inferred_need</x:v>
      </x:c>
      <x:c r="F111" s="8" t="str">
        <x:v>core</x:v>
      </x:c>
      <x:c r="G111" s="8"/>
      <x:c r="H111" s="8" t="str">
        <x:v>7 октября 2026 года, Минск, Президент-Отель</x:v>
      </x:c>
      <x:c r="I111" s="8"/>
      <x:c r="J111" s="8"/>
      <x:c r="K111" s="8" t="str">
        <x:v>Сохраненный сигнал; в v6 не перечитан.</x:v>
      </x:c>
      <x:c r="L111" s="8" t="str">
        <x:v>https://edu.cci.by/</x:v>
      </x:c>
    </x:row>
    <x:row r="112" ht="34.5" customHeight="1">
      <x:c r="A112" s="8" t="str">
        <x:v>FD-N107</x:v>
      </x:c>
      <x:c r="B112" s="8" t="str">
        <x:v>РРБ-клуб проводит семинар с экспертами PRO Wildberries</x:v>
      </x:c>
      <x:c r="C112" s="8" t="str">
        <x:v>FD-Be5234089c5ca2e</x:v>
      </x:c>
      <x:c r="D112" s="8" t="str">
        <x:v>Следующий цикл</x:v>
      </x:c>
      <x:c r="E112" s="8" t="str">
        <x:v>inferred_need</x:v>
      </x:c>
      <x:c r="F112" s="8" t="str">
        <x:v>adjacent</x:v>
      </x:c>
      <x:c r="G112" s="8" t="str">
        <x:v>2026-09-25</x:v>
      </x:c>
      <x:c r="H112" s="8" t="str">
        <x:v>30 сентября 2026, 15:00–16:00</x:v>
      </x:c>
      <x:c r="I112" s="8"/>
      <x:c r="J112" s="8"/>
      <x:c r="K112" s="8" t="str">
        <x:v>Сохраненный сигнал; в v6 не перечитан.</x:v>
      </x:c>
      <x:c r="L112" s="8" t="str">
        <x:v>https://club.rrb.by/news/biznes-seminar-modeli-dostavki-silami-prodavca-kak-vystroit-bolee-pribylnuu-strategiu</x:v>
      </x:c>
    </x:row>
    <x:row r="113" ht="34.5" customHeight="1">
      <x:c r="A113" s="8" t="str">
        <x:v>FD-N108</x:v>
      </x:c>
      <x:c r="B113" s="8" t="str">
        <x:v>РРБ-клуб: обучение бизнес-клиентов анализу воронки продаж</x:v>
      </x:c>
      <x:c r="C113" s="8" t="str">
        <x:v>FD-Be5234089c5ca2e</x:v>
      </x:c>
      <x:c r="D113" s="8" t="str">
        <x:v>Следующий цикл</x:v>
      </x:c>
      <x:c r="E113" s="8" t="str">
        <x:v>inferred_need</x:v>
      </x:c>
      <x:c r="F113" s="8" t="str">
        <x:v>adjacent</x:v>
      </x:c>
      <x:c r="G113" s="8" t="str">
        <x:v>2026-09-07</x:v>
      </x:c>
      <x:c r="H113" s="8" t="str">
        <x:v>18 сентября 2026, 14:00–16:00</x:v>
      </x:c>
      <x:c r="I113" s="8"/>
      <x:c r="J113" s="8"/>
      <x:c r="K113" s="8" t="str">
        <x:v>Сохраненный сигнал; в v6 не перечитан.</x:v>
      </x:c>
      <x:c r="L113" s="8" t="str">
        <x:v>https://club.rrb.by/news/biznes-seminar-kak-optimizirovat-voronku-i-masstabirovat-prodazi</x:v>
      </x:c>
    </x:row>
    <x:row r="114" ht="31.5" customHeight="1">
      <x:c r="A114" s="8" t="str">
        <x:v>FD-N109</x:v>
      </x:c>
      <x:c r="B114" s="8" t="str">
        <x:v>ASSET HR: сохраненная программа форума 2025 года</x:v>
      </x:c>
      <x:c r="C114" s="8" t="str">
        <x:v>FD-B2ec5671daf5c5c</x:v>
      </x:c>
      <x:c r="D114" s="8" t="str">
        <x:v>Следующий цикл</x:v>
      </x:c>
      <x:c r="E114" s="8" t="str">
        <x:v>reference</x:v>
      </x:c>
      <x:c r="F114" s="8" t="str">
        <x:v>core</x:v>
      </x:c>
      <x:c r="G114" s="8"/>
      <x:c r="H114" s="8" t="str">
        <x:v>09–10 октября 2025</x:v>
      </x:c>
      <x:c r="I114" s="8"/>
      <x:c r="J114" s="8"/>
      <x:c r="K114" s="8" t="str">
        <x:v>Сохраненный сигнал; в v6 не перечитан.</x:v>
      </x:c>
      <x:c r="L114" s="8" t="str">
        <x:v>https://forum.assethr.kz/</x:v>
      </x:c>
    </x:row>
    <x:row r="115" ht="34.5" customHeight="1">
      <x:c r="A115" s="8" t="str">
        <x:v>FD-N110</x:v>
      </x:c>
      <x:c r="B115" s="8" t="str">
        <x:v>HR4People: кейсы развития AI-навыков Tele2 и обучения Freedom Academy</x:v>
      </x:c>
      <x:c r="C115" s="8" t="str">
        <x:v>FD-Bf063be6f97aaaa</x:v>
      </x:c>
      <x:c r="D115" s="8" t="str">
        <x:v>Исследовать сигнал</x:v>
      </x:c>
      <x:c r="E115" s="8" t="str">
        <x:v>inferred_need</x:v>
      </x:c>
      <x:c r="F115" s="8" t="str">
        <x:v>core</x:v>
      </x:c>
      <x:c r="G115" s="8"/>
      <x:c r="H115" s="8" t="str">
        <x:v>29 сентября 2026, Алматы</x:v>
      </x:c>
      <x:c r="I115" s="8"/>
      <x:c r="J115" s="8"/>
      <x:c r="K115" s="8" t="str">
        <x:v>Сохраненный сигнал; в v6 не перечитан.</x:v>
      </x:c>
      <x:c r="L115" s="8" t="str">
        <x:v>https://hr4people.kz/</x:v>
      </x:c>
    </x:row>
    <x:row r="116" ht="34.5" customHeight="1">
      <x:c r="A116" s="8" t="str">
        <x:v>FD-N111</x:v>
      </x:c>
      <x:c r="B116" s="8" t="str">
        <x:v>KAZENERGY и Bureau Veritas прорабатывают совместные экологические обучающие мероприятия</x:v>
      </x:c>
      <x:c r="C116" s="8" t="str">
        <x:v>FD-B6627876dd7ea84</x:v>
      </x:c>
      <x:c r="D116" s="8" t="str">
        <x:v>Исследовать сигнал</x:v>
      </x:c>
      <x:c r="E116" s="8" t="str">
        <x:v>inferred_need</x:v>
      </x:c>
      <x:c r="F116" s="8" t="str">
        <x:v>core</x:v>
      </x:c>
      <x:c r="G116" s="8" t="str">
        <x:v>2026-09-29</x:v>
      </x:c>
      <x:c r="H116" s="8"/>
      <x:c r="I116" s="8"/>
      <x:c r="J116" s="8"/>
      <x:c r="K116" s="8" t="str">
        <x:v>Сохраненный сигнал; в v6 не перечитан.</x:v>
      </x:c>
      <x:c r="L116" s="8" t="str">
        <x:v>https://www.kazenergy.com/press-center/news/3987/</x:v>
      </x:c>
    </x:row>
    <x:row r="117" ht="34.5" customHeight="1">
      <x:c r="A117" s="8" t="str">
        <x:v>FD-N112</x:v>
      </x:c>
      <x:c r="B117" s="8" t="str">
        <x:v>Отраслевая комиссия KAZENERGY: профилактика трудовых конфликтов и социальный диалог</x:v>
      </x:c>
      <x:c r="C117" s="8" t="str">
        <x:v>FD-Bbb8b64546af41e</x:v>
      </x:c>
      <x:c r="D117" s="8" t="str">
        <x:v>Исследовать сигнал</x:v>
      </x:c>
      <x:c r="E117" s="8" t="str">
        <x:v>inferred_need</x:v>
      </x:c>
      <x:c r="F117" s="8" t="str">
        <x:v>adjacent</x:v>
      </x:c>
      <x:c r="G117" s="8" t="str">
        <x:v>2026-09-29</x:v>
      </x:c>
      <x:c r="H117" s="8" t="str">
        <x:v>29 сентября 2026, Астана</x:v>
      </x:c>
      <x:c r="I117" s="8"/>
      <x:c r="J117" s="8"/>
      <x:c r="K117" s="8" t="str">
        <x:v>Сохраненный сигнал; в v6 не перечитан.</x:v>
      </x:c>
      <x:c r="L117" s="8" t="str">
        <x:v>https://www.kazenergy.com/press-center/news/3988/</x:v>
      </x:c>
    </x:row>
    <x:row r="118" ht="34.5" customHeight="1">
      <x:c r="A118" s="8" t="str">
        <x:v>FD-N113</x:v>
      </x:c>
      <x:c r="B118" s="8" t="str">
        <x:v>Постоянный маршрут предложения спикера InterForum</x:v>
      </x:c>
      <x:c r="C118" s="8" t="str">
        <x:v>FD-B639d24bfece873</x:v>
      </x:c>
      <x:c r="D118" s="8" t="str">
        <x:v>Перечитать старую запись</x:v>
      </x:c>
      <x:c r="E118" s="8" t="str">
        <x:v>paid_or_unspecified_expert_call</x:v>
      </x:c>
      <x:c r="F118" s="8" t="str">
        <x:v>core</x:v>
      </x:c>
      <x:c r="G118" s="8"/>
      <x:c r="H118" s="8"/>
      <x:c r="I118" s="8"/>
      <x:c r="J118" s="8"/>
      <x:c r="K118" s="8" t="str">
        <x:v>Сохраненный сигнал; в v6 не перечитан.</x:v>
      </x:c>
      <x:c r="L118" s="8" t="str">
        <x:v>https://interforums.ru/faq</x:v>
      </x:c>
    </x:row>
    <x:row r="119" ht="31.5" customHeight="1">
      <x:c r="A119" s="8" t="str">
        <x:v>FD-N114</x:v>
      </x:c>
      <x:c r="B119" s="8" t="str">
        <x:v>Архивный контакт по выступлению E-Learning Force 2023</x:v>
      </x:c>
      <x:c r="C119" s="8" t="str">
        <x:v>FD-Bd55222ffb1a657</x:v>
      </x:c>
      <x:c r="D119" s="8" t="str">
        <x:v>Следующий цикл</x:v>
      </x:c>
      <x:c r="E119" s="8" t="str">
        <x:v>reference</x:v>
      </x:c>
      <x:c r="F119" s="8" t="str">
        <x:v>core</x:v>
      </x:c>
      <x:c r="G119" s="8"/>
      <x:c r="H119" s="8" t="str">
        <x:v>E-Learning Force 2023</x:v>
      </x:c>
      <x:c r="I119" s="8"/>
      <x:c r="J119" s="8"/>
      <x:c r="K119" s="8" t="str">
        <x:v>Сохраненный сигнал; в v6 не перечитан.</x:v>
      </x:c>
      <x:c r="L119" s="8" t="str">
        <x:v>https://auditorium-cg.ru/elf23</x:v>
      </x:c>
    </x:row>
    <x:row r="120" ht="34.5" customHeight="1">
      <x:c r="A120" s="8" t="str">
        <x:v>FD-N115</x:v>
      </x:c>
      <x:c r="B120" s="8" t="str">
        <x:v>Общая форма «Предложить спикера» Ведомости.Конференции</x:v>
      </x:c>
      <x:c r="C120" s="8" t="str">
        <x:v>FD-B7c61f26c75bebc</x:v>
      </x:c>
      <x:c r="D120" s="8" t="str">
        <x:v>Перечитать старую запись</x:v>
      </x:c>
      <x:c r="E120" s="8" t="str">
        <x:v>paid_or_unspecified_expert_call</x:v>
      </x:c>
      <x:c r="F120" s="8" t="str">
        <x:v>core</x:v>
      </x:c>
      <x:c r="G120" s="8"/>
      <x:c r="H120" s="8"/>
      <x:c r="I120" s="8"/>
      <x:c r="J120" s="8"/>
      <x:c r="K120" s="8" t="str">
        <x:v>Сохраненный сигнал; в v6 не перечитан.</x:v>
      </x:c>
      <x:c r="L120" s="8" t="str">
        <x:v>https://events.vedomosti.ru/speakers/kolesnikov-andrei-38683</x:v>
      </x:c>
    </x:row>
    <x:row r="121" ht="34.5" customHeight="1">
      <x:c r="A121" s="8" t="str">
        <x:v>FD-N116</x:v>
      </x:c>
      <x:c r="B121" s="8" t="str">
        <x:v>Заявка спикера GAME &amp; LEARN 20 октября 2026: уточнён контакт</x:v>
      </x:c>
      <x:c r="C121" s="8" t="str">
        <x:v>FD-B91d3672e63c0b1</x:v>
      </x:c>
      <x:c r="D121" s="8" t="str">
        <x:v>Перечитать старую запись</x:v>
      </x:c>
      <x:c r="E121" s="8" t="str">
        <x:v>paid_or_unspecified_expert_call</x:v>
      </x:c>
      <x:c r="F121" s="8" t="str">
        <x:v>core</x:v>
      </x:c>
      <x:c r="G121" s="8"/>
      <x:c r="H121" s="8" t="str">
        <x:v>20 октября 2026, Москва</x:v>
      </x:c>
      <x:c r="I121" s="8"/>
      <x:c r="J121" s="8"/>
      <x:c r="K121" s="8" t="str">
        <x:v>Сохраненный сигнал; в v6 не перечитан.</x:v>
      </x:c>
      <x:c r="L121" s="8" t="str">
        <x:v>https://game-learn.ru/business-games</x:v>
      </x:c>
    </x:row>
    <x:row r="122" ht="34.5" customHeight="1">
      <x:c r="A122" s="8" t="str">
        <x:v>FD-N117</x:v>
      </x:c>
      <x:c r="B122" s="8" t="str">
        <x:v>Архивный тематический набор Learning Elements 2026</x:v>
      </x:c>
      <x:c r="C122" s="8" t="str">
        <x:v>FD-Ba1f4d352842a6b</x:v>
      </x:c>
      <x:c r="D122" s="8" t="str">
        <x:v>Следующий цикл</x:v>
      </x:c>
      <x:c r="E122" s="8" t="str">
        <x:v>paid_or_unspecified_expert_call</x:v>
      </x:c>
      <x:c r="F122" s="8" t="str">
        <x:v>core</x:v>
      </x:c>
      <x:c r="G122" s="8"/>
      <x:c r="H122" s="8" t="str">
        <x:v>8–9 июня 2026, Москва (сайт организатора)</x:v>
      </x:c>
      <x:c r="I122" s="8"/>
      <x:c r="J122" s="8"/>
      <x:c r="K122" s="8" t="str">
        <x:v>Сохраненный сигнал; в v6 не перечитан.</x:v>
      </x:c>
      <x:c r="L122" s="8" t="str">
        <x:v>https://elearningelements.ru/for-speakers</x:v>
      </x:c>
    </x:row>
    <x:row r="123" ht="34.5" customHeight="1">
      <x:c r="A123" s="8" t="str">
        <x:v>FD-N118</x:v>
      </x:c>
      <x:c r="B123" s="8" t="str">
        <x:v>Архивный конкретный бриф: практикум по бизнес-сторителлингу</x:v>
      </x:c>
      <x:c r="C123" s="8" t="str">
        <x:v>FD-B89f2d0d2776800</x:v>
      </x:c>
      <x:c r="D123" s="8" t="str">
        <x:v>Следующий цикл</x:v>
      </x:c>
      <x:c r="E123" s="8" t="str">
        <x:v>paid_or_unspecified_expert_call</x:v>
      </x:c>
      <x:c r="F123" s="8" t="str">
        <x:v>core</x:v>
      </x:c>
      <x:c r="G123" s="8"/>
      <x:c r="H123" s="8" t="str">
        <x:v>Выпуск 2026; по сайту организатора 8–9 июня</x:v>
      </x:c>
      <x:c r="I123" s="8"/>
      <x:c r="J123" s="8"/>
      <x:c r="K123" s="8" t="str">
        <x:v>Сохраненный сигнал; в v6 не перечитан.</x:v>
      </x:c>
      <x:c r="L123" s="8" t="str">
        <x:v>https://elearningelements.ru/for-speakers</x:v>
      </x:c>
    </x:row>
    <x:row r="124" ht="34.5" customHeight="1">
      <x:c r="A124" s="8" t="str">
        <x:v>FD-N119</x:v>
      </x:c>
      <x:c r="B124" s="8" t="str">
        <x:v>Закрытый набор спикеров WhiteConf 2026</x:v>
      </x:c>
      <x:c r="C124" s="8" t="str">
        <x:v>FD-Ba8106445e38680</x:v>
      </x:c>
      <x:c r="D124" s="8" t="str">
        <x:v>Следующий цикл</x:v>
      </x:c>
      <x:c r="E124" s="8" t="str">
        <x:v>paid_or_unspecified_expert_call</x:v>
      </x:c>
      <x:c r="F124" s="8" t="str">
        <x:v>adjacent</x:v>
      </x:c>
      <x:c r="G124" s="8"/>
      <x:c r="H124" s="8" t="str">
        <x:v>7–8 июля 2026, Санкт-Петербург</x:v>
      </x:c>
      <x:c r="I124" s="8" t="str">
        <x:v>2026-05-01</x:v>
      </x:c>
      <x:c r="J124" s="8"/>
      <x:c r="K124" s="8" t="str">
        <x:v>Сохраненный сигнал; в v6 не перечитан.</x:v>
      </x:c>
      <x:c r="L124" s="8" t="str">
        <x:v>https://whiteconf.ru/become_speaker/</x:v>
      </x:c>
    </x:row>
    <x:row r="125" ht="46.5" customHeight="1">
      <x:c r="A125" s="8" t="str">
        <x:v>FD-N120</x:v>
      </x:c>
      <x:c r="B125" s="8" t="str">
        <x:v>Стратегия обучения персонала: март 2027 и обновлённый маршрут доклада</x:v>
      </x:c>
      <x:c r="C125" s="8" t="str">
        <x:v>FD-Bd9081b20b304e0</x:v>
      </x:c>
      <x:c r="D125" s="8" t="str">
        <x:v>Перечитать старую запись</x:v>
      </x:c>
      <x:c r="E125" s="8" t="str">
        <x:v>paid_or_unspecified_expert_call</x:v>
      </x:c>
      <x:c r="F125" s="8" t="str">
        <x:v>core</x:v>
      </x:c>
      <x:c r="G125" s="8"/>
      <x:c r="H125" s="8" t="str">
        <x:v>25–26 марта 2027, Москва; ранее известный /obychenie1111 показывает 17–18 февраля 2027</x:v>
      </x:c>
      <x:c r="I125" s="8"/>
      <x:c r="J125" s="8"/>
      <x:c r="K125" s="8" t="str">
        <x:v>Сохраненный сигнал; в v6 не перечитан.</x:v>
      </x:c>
      <x:c r="L125" s="8" t="str">
        <x:v>https://www.mk-conference.ru/obychenie</x:v>
      </x:c>
    </x:row>
    <x:row r="126" ht="34.5" customHeight="1">
      <x:c r="A126" s="8" t="str">
        <x:v>FD-N121</x:v>
      </x:c>
      <x:c r="B126" s="8" t="str">
        <x:v>Трудовое право: уточнён контакт программного руководителя</x:v>
      </x:c>
      <x:c r="C126" s="8" t="str">
        <x:v>FD-Bd9081b20b304e0</x:v>
      </x:c>
      <x:c r="D126" s="8" t="str">
        <x:v>Перечитать старую запись</x:v>
      </x:c>
      <x:c r="E126" s="8" t="str">
        <x:v>paid_or_unspecified_expert_call</x:v>
      </x:c>
      <x:c r="F126" s="8" t="str">
        <x:v>core</x:v>
      </x:c>
      <x:c r="G126" s="8"/>
      <x:c r="H126" s="8" t="str">
        <x:v>26–27 ноября 2026, Москва</x:v>
      </x:c>
      <x:c r="I126" s="8"/>
      <x:c r="J126" s="8"/>
      <x:c r="K126" s="8" t="str">
        <x:v>Сохраненный сигнал; в v6 не перечитан.</x:v>
      </x:c>
      <x:c r="L126" s="8" t="str">
        <x:v>https://www.mk-conference.ru/emplaw</x:v>
      </x:c>
    </x:row>
    <x:row r="127" ht="34.5" customHeight="1">
      <x:c r="A127" s="8" t="str">
        <x:v>FD-N122</x:v>
      </x:c>
      <x:c r="B127" s="8" t="str">
        <x:v>Постоянный контакт FiNPLACE для предложения доклада</x:v>
      </x:c>
      <x:c r="C127" s="8" t="str">
        <x:v>FD-B38f15b81bec1b5</x:v>
      </x:c>
      <x:c r="D127" s="8" t="str">
        <x:v>Перечитать старую запись</x:v>
      </x:c>
      <x:c r="E127" s="8" t="str">
        <x:v>paid_or_unspecified_expert_call</x:v>
      </x:c>
      <x:c r="F127" s="8" t="str">
        <x:v>adjacent</x:v>
      </x:c>
      <x:c r="G127" s="8"/>
      <x:c r="H127" s="8"/>
      <x:c r="I127" s="8"/>
      <x:c r="J127" s="8"/>
      <x:c r="K127" s="8" t="str">
        <x:v>Сохраненный сигнал; в v6 не перечитан.</x:v>
      </x:c>
      <x:c r="L127" s="8" t="str">
        <x:v>https://finplace.ru/contacts/</x:v>
      </x:c>
    </x:row>
    <x:row r="128" ht="34.5" customHeight="1">
      <x:c r="A128" s="8" t="str">
        <x:v>FD-N123</x:v>
      </x:c>
      <x:c r="B128" s="8" t="str">
        <x:v>РАБО: сбор предложений плана 2027 с резервным контактом</x:v>
      </x:c>
      <x:c r="C128" s="8" t="str">
        <x:v>FD-B886eef24db04a1</x:v>
      </x:c>
      <x:c r="D128" s="8" t="str">
        <x:v>Перечитать старую запись</x:v>
      </x:c>
      <x:c r="E128" s="8" t="str">
        <x:v>paid_or_unspecified_expert_call</x:v>
      </x:c>
      <x:c r="F128" s="8" t="str">
        <x:v>core</x:v>
      </x:c>
      <x:c r="G128" s="8" t="str">
        <x:v>2026-08-19</x:v>
      </x:c>
      <x:c r="H128" s="8" t="str">
        <x:v>План мероприятий 2027; Совет №5/2026, дата и место уточняются</x:v>
      </x:c>
      <x:c r="I128" s="8"/>
      <x:c r="J128" s="8"/>
      <x:c r="K128" s="8" t="str">
        <x:v>Сохраненный сигнал; в v6 не перечитан.</x:v>
      </x:c>
      <x:c r="L128" s="8" t="str">
        <x:v>https://rabe.ru/news/sbor-predlozheniy-v-plan-meropriyatiy-rabo-na-2027-god.htm</x:v>
      </x:c>
    </x:row>
    <x:row r="129" ht="34.5" customHeight="1">
      <x:c r="A129" s="8" t="str">
        <x:v>FD-N124</x:v>
      </x:c>
      <x:c r="B129" s="8" t="str">
        <x:v>Уточнение FD-O124: возмездная работа авторов, преподавателей и консультантов РЭЦ</x:v>
      </x:c>
      <x:c r="C129" s="8" t="str">
        <x:v>FD-B0973b59424a2ab</x:v>
      </x:c>
      <x:c r="D129" s="8" t="str">
        <x:v>Партнерство</x:v>
      </x:c>
      <x:c r="E129" s="8" t="str">
        <x:v>standing_partner_invitation</x:v>
      </x:c>
      <x:c r="F129" s="8" t="str">
        <x:v>core</x:v>
      </x:c>
      <x:c r="G129" s="8"/>
      <x:c r="H129" s="8"/>
      <x:c r="I129" s="8"/>
      <x:c r="J129" s="8"/>
      <x:c r="K129" s="8" t="str">
        <x:v>Сохраненный сигнал; в v6 не перечитан.</x:v>
      </x:c>
      <x:c r="L129" s="8" t="str">
        <x:v>https://exportedu.ru/tutors</x:v>
      </x:c>
    </x:row>
    <x:row r="130" ht="34.5" customHeight="1">
      <x:c r="A130" s="8" t="str">
        <x:v>FD-N125</x:v>
      </x:c>
      <x:c r="B130" s="8" t="str">
        <x:v>Акселератор «Лаборатория создания бизнеса» в календаре Югры</x:v>
      </x:c>
      <x:c r="C130" s="8" t="str">
        <x:v>FD-B287aff467d8639</x:v>
      </x:c>
      <x:c r="D130" s="8" t="str">
        <x:v>Исследовать сигнал</x:v>
      </x:c>
      <x:c r="E130" s="8" t="str">
        <x:v>inferred_need</x:v>
      </x:c>
      <x:c r="F130" s="8" t="str">
        <x:v>adjacent</x:v>
      </x:c>
      <x:c r="G130" s="8"/>
      <x:c r="H130" s="8" t="str">
        <x:v>01.10–24.11.2026, онлайн</x:v>
      </x:c>
      <x:c r="I130" s="8"/>
      <x:c r="J130" s="8"/>
      <x:c r="K130" s="8" t="str">
        <x:v>Сохраненный сигнал; в v6 не перечитан.</x:v>
      </x:c>
      <x:c r="L130" s="8" t="str">
        <x:v>https://mb-ugra.ru/keep-up/events</x:v>
      </x:c>
    </x:row>
    <x:row r="131" ht="34.5" customHeight="1">
      <x:c r="A131" s="8" t="str">
        <x:v>FD-N126</x:v>
      </x:c>
      <x:c r="B131" s="8" t="str">
        <x:v>HR-Форум Азия: партнёрско-спикерский маршрут и программа Алматы</x:v>
      </x:c>
      <x:c r="C131" s="8" t="str">
        <x:v>FD-B4aa0f5887ef6b4</x:v>
      </x:c>
      <x:c r="D131" s="8" t="str">
        <x:v>Перечитать старую запись</x:v>
      </x:c>
      <x:c r="E131" s="8" t="str">
        <x:v>paid_or_unspecified_expert_call</x:v>
      </x:c>
      <x:c r="F131" s="8" t="str">
        <x:v>core</x:v>
      </x:c>
      <x:c r="G131" s="8"/>
      <x:c r="H131" s="8" t="str">
        <x:v>Алматы, 25–26 ноября 2026; Банкетный зал «Бакшасарай»</x:v>
      </x:c>
      <x:c r="I131" s="8"/>
      <x:c r="J131" s="8"/>
      <x:c r="K131" s="8" t="str">
        <x:v>Сохраненный сигнал; в v6 не перечитан.</x:v>
      </x:c>
      <x:c r="L131" s="8" t="str">
        <x:v>https://www.hrforumasia.com/partners</x:v>
      </x:c>
    </x:row>
    <x:row r="132" ht="31.5" customHeight="1">
      <x:c r="A132" s="8" t="str">
        <x:v>FD-N127</x:v>
      </x:c>
      <x:c r="B132" s="8" t="str">
        <x:v>Обучение эффективной коммуникации</x:v>
      </x:c>
      <x:c r="C132" s="8" t="str">
        <x:v>FD-B80050f7f558fd1</x:v>
      </x:c>
      <x:c r="D132" s="8" t="str">
        <x:v>Перечитать старую запись</x:v>
      </x:c>
      <x:c r="E132" s="8" t="str">
        <x:v>explicit_training_request</x:v>
      </x:c>
      <x:c r="F132" s="8" t="str">
        <x:v>core</x:v>
      </x:c>
      <x:c r="G132" s="8" t="str">
        <x:v>2026-09-14</x:v>
      </x:c>
      <x:c r="H132" s="8"/>
      <x:c r="I132" s="8" t="str">
        <x:v>2026-10-04</x:v>
      </x:c>
      <x:c r="J132" s="8"/>
      <x:c r="K132" s="8" t="str">
        <x:v>Сохраненный сигнал; в v6 не перечитан.</x:v>
      </x:c>
      <x:c r="L132" s="8" t="str">
        <x:v>https://hrtime.ru/proekt/obuchenie-effektivnoy-kommunikatsii-173814/</x:v>
      </x:c>
    </x:row>
    <x:row r="133" ht="34.5" customHeight="1">
      <x:c r="A133" s="8" t="str">
        <x:v>FD-N128</x:v>
      </x:c>
      <x:c r="B133" s="8" t="str">
        <x:v>Очный воркшоп «Человекоцентричность через призму актерского мастерства»</x:v>
      </x:c>
      <x:c r="C133" s="8" t="str">
        <x:v>FD-B10a5cb1fa87c55</x:v>
      </x:c>
      <x:c r="D133" s="8" t="str">
        <x:v>Перечитать старую запись</x:v>
      </x:c>
      <x:c r="E133" s="8" t="str">
        <x:v>explicit_training_request</x:v>
      </x:c>
      <x:c r="F133" s="8" t="str">
        <x:v>adjacent</x:v>
      </x:c>
      <x:c r="G133" s="8" t="str">
        <x:v>2026-09-16</x:v>
      </x:c>
      <x:c r="H133" s="8"/>
      <x:c r="I133" s="8" t="str">
        <x:v>2026-10-06</x:v>
      </x:c>
      <x:c r="J133" s="8"/>
      <x:c r="K133" s="8" t="str">
        <x:v>Сохраненный сигнал; в v6 не перечитан.</x:v>
      </x:c>
      <x:c r="L133" s="8" t="str">
        <x:v>https://hrtime.ru/proekt/ochnyy-vorkshop-chelovekotsentrichnost-cherez-prizmu-akterskogo-masterstva-173875/</x:v>
      </x:c>
    </x:row>
    <x:row r="134" ht="34.5" customHeight="1">
      <x:c r="A134" s="8" t="str">
        <x:v>FD-N129</x:v>
      </x:c>
      <x:c r="B134" s="8" t="str">
        <x:v>Онлайн мастер-класс «Продажи в рекрутинге для транспортной компании»</x:v>
      </x:c>
      <x:c r="C134" s="8" t="str">
        <x:v>FD-BU129</x:v>
      </x:c>
      <x:c r="D134" s="8" t="str">
        <x:v>Перечитать старую запись</x:v>
      </x:c>
      <x:c r="E134" s="8" t="str">
        <x:v>explicit_training_request</x:v>
      </x:c>
      <x:c r="F134" s="8" t="str">
        <x:v>core</x:v>
      </x:c>
      <x:c r="G134" s="8" t="str">
        <x:v>2026-09-11</x:v>
      </x:c>
      <x:c r="H134" s="8" t="str">
        <x:v>Сентябрь–октябрь 2026</x:v>
      </x:c>
      <x:c r="I134" s="8" t="str">
        <x:v>2026-10-01</x:v>
      </x:c>
      <x:c r="J134" s="8"/>
      <x:c r="K134" s="8" t="str">
        <x:v>Сохраненный сигнал; в v6 не перечитан.</x:v>
      </x:c>
      <x:c r="L134" s="8" t="str">
        <x:v>https://hrtime.ru/proekt/onlayn-master-klass-prodazhi-v-rekrutinge-dlia-transportnoy-kompanii-173751/</x:v>
      </x:c>
    </x:row>
    <x:row r="135" ht="34.5" customHeight="1">
      <x:c r="A135" s="8" t="str">
        <x:v>FD-N130</x:v>
      </x:c>
      <x:c r="B135" s="8" t="str">
        <x:v>Развитие управленческих компетенций</x:v>
      </x:c>
      <x:c r="C135" s="8" t="str">
        <x:v>FD-BU130</x:v>
      </x:c>
      <x:c r="D135" s="8" t="str">
        <x:v>Перечитать старую запись</x:v>
      </x:c>
      <x:c r="E135" s="8" t="str">
        <x:v>explicit_training_request</x:v>
      </x:c>
      <x:c r="F135" s="8" t="str">
        <x:v>core</x:v>
      </x:c>
      <x:c r="G135" s="8" t="str">
        <x:v>2026-09-16</x:v>
      </x:c>
      <x:c r="H135" s="8"/>
      <x:c r="I135" s="8" t="str">
        <x:v>2026-10-06</x:v>
      </x:c>
      <x:c r="J135" s="8"/>
      <x:c r="K135" s="8" t="str">
        <x:v>Сохраненный сигнал; в v6 не перечитан.</x:v>
      </x:c>
      <x:c r="L135" s="8" t="str">
        <x:v>https://hrtime.ru/proekt/razvitie-upravlencheskikh-kompetentsiy-173874/</x:v>
      </x:c>
    </x:row>
    <x:row r="136" ht="46.5" customHeight="1">
      <x:c r="A136" s="8" t="str">
        <x:v>FD-N131</x:v>
      </x:c>
      <x:c r="B136" s="8" t="str">
        <x:v>Тренинг «Взаимодействие между отделами: встать на сторону другого подразделения»</x:v>
      </x:c>
      <x:c r="C136" s="8" t="str">
        <x:v>FD-BU131</x:v>
      </x:c>
      <x:c r="D136" s="8" t="str">
        <x:v>Найти маршрут доступа</x:v>
      </x:c>
      <x:c r="E136" s="8" t="str">
        <x:v>explicit_training_request</x:v>
      </x:c>
      <x:c r="F136" s="8" t="str">
        <x:v>core</x:v>
      </x:c>
      <x:c r="G136" s="8" t="str">
        <x:v>2026-09-21</x:v>
      </x:c>
      <x:c r="H136" s="8" t="str">
        <x:v>Октябрь–ноябрь 2026</x:v>
      </x:c>
      <x:c r="I136" s="8" t="str">
        <x:v>2026-10-09</x:v>
      </x:c>
      <x:c r="J136" s="8" t="str">
        <x:v>V6-C131</x:v>
      </x:c>
      <x:c r="K136" s="8" t="str">
        <x:v>Прочитано описание запроса; наличие страницы не подтверждает текущую готовность купить. В брифе срок предложения 09.10.2026; отклики ограничены. Елена Козлова указана как руководитель по персоналу; юрлицо не установлено.</x:v>
      </x:c>
      <x:c r="L136" s="8" t="str">
        <x:v>https://hrtime.ru/proekt/trening-vzaimodeystvie-mezhdu-otdelami-vstat-na-storonu-drugogo-podr-174054/</x:v>
      </x:c>
    </x:row>
    <x:row r="137" ht="34.5" customHeight="1">
      <x:c r="A137" s="8" t="str">
        <x:v>FD-N132</x:v>
      </x:c>
      <x:c r="B137" s="8" t="str">
        <x:v>№2632 — онлайн-консультация по продвижению сайта</x:v>
      </x:c>
      <x:c r="C137" s="8" t="str">
        <x:v>FD-BU132</x:v>
      </x:c>
      <x:c r="D137" s="8" t="str">
        <x:v>Уточнить объем</x:v>
      </x:c>
      <x:c r="E137" s="8" t="str">
        <x:v>paid_or_unspecified_expert_call</x:v>
      </x:c>
      <x:c r="F137" s="8" t="str">
        <x:v>noncore_consulting</x:v>
      </x:c>
      <x:c r="G137" s="8" t="str">
        <x:v>2026-09-25</x:v>
      </x:c>
      <x:c r="H137" s="8"/>
      <x:c r="I137" s="8"/>
      <x:c r="J137" s="8" t="str">
        <x:v>V6-C132</x:v>
      </x:c>
      <x:c r="K137" s="8" t="str">
        <x:v>Прочитан краткий запрос; полный текст и контакт ограничены. Свободный слот не подтвержден. Консультация по сайту за 2 тыс. руб.; не считать корпоративным обучением.</x:v>
      </x:c>
      <x:c r="L137" s="8" t="str">
        <x:v>https://projectexperts.ru/poisk-spikera-%E2%84%962632-est-gonorar/</x:v>
      </x:c>
    </x:row>
    <x:row r="138" ht="34.5" customHeight="1">
      <x:c r="A138" s="8" t="str">
        <x:v>FD-N133</x:v>
      </x:c>
      <x:c r="B138" s="8" t="str">
        <x:v>№2630 — MaxCapital: управление частным капиталом</x:v>
      </x:c>
      <x:c r="C138" s="8" t="str">
        <x:v>FD-B28f4f52263b74a</x:v>
      </x:c>
      <x:c r="D138" s="8" t="str">
        <x:v>Найти маршрут доступа</x:v>
      </x:c>
      <x:c r="E138" s="8" t="str">
        <x:v>paid_or_unspecified_expert_call</x:v>
      </x:c>
      <x:c r="F138" s="8" t="str">
        <x:v>adjacent</x:v>
      </x:c>
      <x:c r="G138" s="8" t="str">
        <x:v>2026-09-24</x:v>
      </x:c>
      <x:c r="H138" s="8" t="str">
        <x:v>21–22 ноября 2026, Подмосковье</x:v>
      </x:c>
      <x:c r="I138" s="8"/>
      <x:c r="J138" s="8" t="str">
        <x:v>V6-C133</x:v>
      </x:c>
      <x:c r="K138" s="8" t="str">
        <x:v>Прочитан краткий запрос; полный текст и контакт ограничены. Свободный слот не подтвержден.</x:v>
      </x:c>
      <x:c r="L138" s="8" t="str">
        <x:v>https://projectexperts.ru/poisk-spikera-%E2%84%962630/</x:v>
      </x:c>
    </x:row>
    <x:row r="139" ht="34.5" customHeight="1">
      <x:c r="A139" s="8" t="str">
        <x:v>FD-N134</x:v>
      </x:c>
      <x:c r="B139" s="8" t="str">
        <x:v>№2629 — электронные закупки</x:v>
      </x:c>
      <x:c r="C139" s="8" t="str">
        <x:v>FD-BU134</x:v>
      </x:c>
      <x:c r="D139" s="8" t="str">
        <x:v>Следующий цикл</x:v>
      </x:c>
      <x:c r="E139" s="8" t="str">
        <x:v>paid_or_unspecified_expert_call</x:v>
      </x:c>
      <x:c r="F139" s="8" t="str">
        <x:v>core</x:v>
      </x:c>
      <x:c r="G139" s="8" t="str">
        <x:v>2026-09-24</x:v>
      </x:c>
      <x:c r="H139" s="8" t="str">
        <x:v>24 сентября, Москва</x:v>
      </x:c>
      <x:c r="I139" s="8"/>
      <x:c r="J139" s="8"/>
      <x:c r="K139" s="8" t="str">
        <x:v>Сохраненный сигнал; в v6 не перечитан.</x:v>
      </x:c>
      <x:c r="L139" s="8" t="str">
        <x:v>https://projectexperts.ru/poisk-spikera-%E2%84%962629/</x:v>
      </x:c>
    </x:row>
    <x:row r="140" ht="58.5" customHeight="1">
      <x:c r="A140" s="8" t="str">
        <x:v>FD-N135</x:v>
      </x:c>
      <x:c r="B140" s="8" t="str">
        <x:v>№2628 — КУ Правительства Приморского края: кризисный менеджмент</x:v>
      </x:c>
      <x:c r="C140" s="8" t="str">
        <x:v>FD-B07b2b0d7b95c59</x:v>
      </x:c>
      <x:c r="D140" s="8" t="str">
        <x:v>Следующий цикл</x:v>
      </x:c>
      <x:c r="E140" s="8" t="str">
        <x:v>paid_or_unspecified_expert_call</x:v>
      </x:c>
      <x:c r="F140" s="8" t="str">
        <x:v>core</x:v>
      </x:c>
      <x:c r="G140" s="8" t="str">
        <x:v>2026-09-23</x:v>
      </x:c>
      <x:c r="H140" s="8"/>
      <x:c r="I140" s="8"/>
      <x:c r="J140" s="8" t="str">
        <x:v>V6-C135</x:v>
      </x:c>
      <x:c r="K140" s="8" t="str">
        <x:v>Прочитан краткий запрос; полный текст и контакт ограничены. Свободный слот не подтвержден. Официальная программа помечена завершенной; связанная новость называет 28 и 30 сентября и выбранного тренера. Совпадение с запросом №2628 вероятно, но не подтверждено заказчиком.</x:v>
      </x:c>
      <x:c r="L140" s="8" t="str">
        <x:v>https://projectexperts.ru/poisk-spikera-%E2%84%962628-est-gonorar/</x:v>
      </x:c>
    </x:row>
    <x:row r="141" ht="34.5" customHeight="1">
      <x:c r="A141" s="8" t="str">
        <x:v>FD-N136</x:v>
      </x:c>
      <x:c r="B141" s="8" t="str">
        <x:v>№2626 — лидогенерация для бизнеса</x:v>
      </x:c>
      <x:c r="C141" s="8" t="str">
        <x:v>FD-BU136</x:v>
      </x:c>
      <x:c r="D141" s="8" t="str">
        <x:v>Найти маршрут доступа</x:v>
      </x:c>
      <x:c r="E141" s="8" t="str">
        <x:v>paid_or_unspecified_expert_call</x:v>
      </x:c>
      <x:c r="F141" s="8" t="str">
        <x:v>core</x:v>
      </x:c>
      <x:c r="G141" s="8" t="str">
        <x:v>2026-09-23</x:v>
      </x:c>
      <x:c r="H141" s="8"/>
      <x:c r="I141" s="8"/>
      <x:c r="J141" s="8" t="str">
        <x:v>V6-C136</x:v>
      </x:c>
      <x:c r="K141" s="8" t="str">
        <x:v>Прочитан краткий запрос; полный текст и контакт ограничены. Свободный слот не подтвержден.</x:v>
      </x:c>
      <x:c r="L141" s="8" t="str">
        <x:v>https://projectexperts.ru/poisk-spikera-%E2%84%962626/</x:v>
      </x:c>
    </x:row>
    <x:row r="142" ht="34.5" customHeight="1">
      <x:c r="A142" s="8" t="str">
        <x:v>FD-N137</x:v>
      </x:c>
      <x:c r="B142" s="8" t="str">
        <x:v>№2625 — инвестиционный эксперт для «Бизнес апгрейд»</x:v>
      </x:c>
      <x:c r="C142" s="8" t="str">
        <x:v>FD-BU137</x:v>
      </x:c>
      <x:c r="D142" s="8" t="str">
        <x:v>Найти маршрут доступа</x:v>
      </x:c>
      <x:c r="E142" s="8" t="str">
        <x:v>paid_or_unspecified_expert_call</x:v>
      </x:c>
      <x:c r="F142" s="8" t="str">
        <x:v>core</x:v>
      </x:c>
      <x:c r="G142" s="8" t="str">
        <x:v>2026-09-23</x:v>
      </x:c>
      <x:c r="H142" s="8"/>
      <x:c r="I142" s="8"/>
      <x:c r="J142" s="8" t="str">
        <x:v>V6-C137</x:v>
      </x:c>
      <x:c r="K142" s="8" t="str">
        <x:v>Прочитан краткий запрос; полный текст и контакт ограничены. Свободный слот не подтвержден.</x:v>
      </x:c>
      <x:c r="L142" s="8" t="str">
        <x:v>https://projectexperts.ru/poisk-spikera-%E2%84%962625/</x:v>
      </x:c>
    </x:row>
    <x:row r="143" ht="34.5" customHeight="1">
      <x:c r="A143" s="8" t="str">
        <x:v>FD-N138</x:v>
      </x:c>
      <x:c r="B143" s="8" t="str">
        <x:v>№2624 — информационная безопасность мероприятия</x:v>
      </x:c>
      <x:c r="C143" s="8" t="str">
        <x:v>FD-BU138</x:v>
      </x:c>
      <x:c r="D143" s="8" t="str">
        <x:v>Следующий цикл</x:v>
      </x:c>
      <x:c r="E143" s="8" t="str">
        <x:v>paid_or_unspecified_expert_call</x:v>
      </x:c>
      <x:c r="F143" s="8" t="str">
        <x:v>core</x:v>
      </x:c>
      <x:c r="G143" s="8" t="str">
        <x:v>2026-09-23</x:v>
      </x:c>
      <x:c r="H143" s="8" t="str">
        <x:v>23.09.2026</x:v>
      </x:c>
      <x:c r="I143" s="8"/>
      <x:c r="J143" s="8"/>
      <x:c r="K143" s="8" t="str">
        <x:v>Сохраненный сигнал; в v6 не перечитан.</x:v>
      </x:c>
      <x:c r="L143" s="8" t="str">
        <x:v>https://projectexperts.ru/poisk-spikera-%E2%84%962624-est-gonorar/</x:v>
      </x:c>
    </x:row>
    <x:row r="144" ht="34.5" customHeight="1">
      <x:c r="A144" s="8" t="str">
        <x:v>FD-N139</x:v>
      </x:c>
      <x:c r="B144" s="8" t="str">
        <x:v>№2623 — обучающий разбор социальных сетей</x:v>
      </x:c>
      <x:c r="C144" s="8" t="str">
        <x:v>FD-BU139</x:v>
      </x:c>
      <x:c r="D144" s="8" t="str">
        <x:v>Найти маршрут доступа</x:v>
      </x:c>
      <x:c r="E144" s="8" t="str">
        <x:v>paid_or_unspecified_expert_call</x:v>
      </x:c>
      <x:c r="F144" s="8" t="str">
        <x:v>core</x:v>
      </x:c>
      <x:c r="G144" s="8" t="str">
        <x:v>2026-09-22</x:v>
      </x:c>
      <x:c r="H144" s="8"/>
      <x:c r="I144" s="8"/>
      <x:c r="J144" s="8" t="str">
        <x:v>V6-C139</x:v>
      </x:c>
      <x:c r="K144" s="8" t="str">
        <x:v>Прочитан краткий запрос; полный текст и контакт ограничены. Свободный слот не подтвержден.</x:v>
      </x:c>
      <x:c r="L144" s="8" t="str">
        <x:v>https://projectexperts.ru/poisk-spikera-%E2%84%962623-est-gonorar/</x:v>
      </x:c>
    </x:row>
    <x:row r="145" ht="34.5" customHeight="1">
      <x:c r="A145" s="8" t="str">
        <x:v>FD-N140</x:v>
      </x:c>
      <x:c r="B145" s="8" t="str">
        <x:v>№2622 — команда и отбор топ-менеджеров</x:v>
      </x:c>
      <x:c r="C145" s="8" t="str">
        <x:v>FD-BU140</x:v>
      </x:c>
      <x:c r="D145" s="8" t="str">
        <x:v>Восстановить источник</x:v>
      </x:c>
      <x:c r="E145" s="8" t="str">
        <x:v>paid_or_unspecified_expert_call</x:v>
      </x:c>
      <x:c r="F145" s="8" t="str">
        <x:v>core</x:v>
      </x:c>
      <x:c r="G145" s="8" t="str">
        <x:v>2026-09-22</x:v>
      </x:c>
      <x:c r="H145" s="8" t="str">
        <x:v>Октябрь, Москва</x:v>
      </x:c>
      <x:c r="I145" s="8"/>
      <x:c r="J145" s="8" t="str">
        <x:v>V6-C140</x:v>
      </x:c>
      <x:c r="K145" s="8" t="str">
        <x:v>Повторное чтение не удалось; прежнее свидетельство сохранено, закрытие не доказано.</x:v>
      </x:c>
      <x:c r="L145" s="8" t="str">
        <x:v>https://projectexperts.ru/poisk-spikera-%E2%84%962622/</x:v>
      </x:c>
    </x:row>
    <x:row r="146" ht="34.5" customHeight="1">
      <x:c r="A146" s="8" t="str">
        <x:v>FD-N141</x:v>
      </x:c>
      <x:c r="B146" s="8" t="str">
        <x:v>№2621 — первые продажи без бюджета</x:v>
      </x:c>
      <x:c r="C146" s="8" t="str">
        <x:v>FD-BU141</x:v>
      </x:c>
      <x:c r="D146" s="8" t="str">
        <x:v>Восстановить источник</x:v>
      </x:c>
      <x:c r="E146" s="8" t="str">
        <x:v>paid_or_unspecified_expert_call</x:v>
      </x:c>
      <x:c r="F146" s="8" t="str">
        <x:v>core</x:v>
      </x:c>
      <x:c r="G146" s="8" t="str">
        <x:v>2026-09-22</x:v>
      </x:c>
      <x:c r="H146" s="8" t="str">
        <x:v>27 октября 2026 в 20:00 МСК, онлайн</x:v>
      </x:c>
      <x:c r="I146" s="8"/>
      <x:c r="J146" s="8" t="str">
        <x:v>V6-C141</x:v>
      </x:c>
      <x:c r="K146" s="8" t="str">
        <x:v>Повторное чтение не удалось; прежнее свидетельство сохранено, закрытие не доказано.</x:v>
      </x:c>
      <x:c r="L146" s="8" t="str">
        <x:v>https://projectexperts.ru/poisk-spikera-%E2%84%962621/</x:v>
      </x:c>
    </x:row>
    <x:row r="147" ht="34.5" customHeight="1">
      <x:c r="A147" s="8" t="str">
        <x:v>FD-N142</x:v>
      </x:c>
      <x:c r="B147" s="8" t="str">
        <x:v>№2620 — запуск MVP</x:v>
      </x:c>
      <x:c r="C147" s="8" t="str">
        <x:v>FD-BU142</x:v>
      </x:c>
      <x:c r="D147" s="8" t="str">
        <x:v>Найти маршрут доступа</x:v>
      </x:c>
      <x:c r="E147" s="8" t="str">
        <x:v>paid_or_unspecified_expert_call</x:v>
      </x:c>
      <x:c r="F147" s="8" t="str">
        <x:v>core</x:v>
      </x:c>
      <x:c r="G147" s="8" t="str">
        <x:v>2026-09-22</x:v>
      </x:c>
      <x:c r="H147" s="8" t="str">
        <x:v>13 октября, 20:00 МСК, Zoom</x:v>
      </x:c>
      <x:c r="I147" s="8"/>
      <x:c r="J147" s="8" t="str">
        <x:v>V6-C142</x:v>
      </x:c>
      <x:c r="K147" s="8" t="str">
        <x:v>Прочитан краткий запрос; полный текст и контакт ограничены. Свободный слот не подтвержден.</x:v>
      </x:c>
      <x:c r="L147" s="8" t="str">
        <x:v>https://projectexperts.ru/poisk-spikera-%E2%84%962620/</x:v>
      </x:c>
    </x:row>
    <x:row r="148" ht="34.5" customHeight="1">
      <x:c r="A148" s="8" t="str">
        <x:v>FD-N143</x:v>
      </x:c>
      <x:c r="B148" s="8" t="str">
        <x:v>№2619 — повышение квалификации педагогов школы программирования</x:v>
      </x:c>
      <x:c r="C148" s="8" t="str">
        <x:v>FD-BU143</x:v>
      </x:c>
      <x:c r="D148" s="8" t="str">
        <x:v>Восстановить источник</x:v>
      </x:c>
      <x:c r="E148" s="8" t="str">
        <x:v>paid_or_unspecified_expert_call</x:v>
      </x:c>
      <x:c r="F148" s="8" t="str">
        <x:v>adjacent</x:v>
      </x:c>
      <x:c r="G148" s="8" t="str">
        <x:v>2026-09-20</x:v>
      </x:c>
      <x:c r="H148" s="8"/>
      <x:c r="I148" s="8"/>
      <x:c r="J148" s="8" t="str">
        <x:v>V6-C143</x:v>
      </x:c>
      <x:c r="K148" s="8" t="str">
        <x:v>Повторное чтение не удалось; прежнее свидетельство сохранено, закрытие не доказано.</x:v>
      </x:c>
      <x:c r="L148" s="8" t="str">
        <x:v>https://projectexperts.ru/poisk-spikera-%E2%84%962619-est-gonorar/</x:v>
      </x:c>
    </x:row>
    <x:row r="149" ht="34.5" customHeight="1">
      <x:c r="A149" s="8" t="str">
        <x:v>FD-N144</x:v>
      </x:c>
      <x:c r="B149" s="8" t="str">
        <x:v>№2618 — вебинары сообщества «На вершину»</x:v>
      </x:c>
      <x:c r="C149" s="8" t="str">
        <x:v>FD-B31834512be2219</x:v>
      </x:c>
      <x:c r="D149" s="8" t="str">
        <x:v>Партнерство</x:v>
      </x:c>
      <x:c r="E149" s="8" t="str">
        <x:v>standing_partner_invitation</x:v>
      </x:c>
      <x:c r="F149" s="8" t="str">
        <x:v>adjacent</x:v>
      </x:c>
      <x:c r="G149" s="8" t="str">
        <x:v>2026-09-20</x:v>
      </x:c>
      <x:c r="H149" s="8" t="str">
        <x:v>По четвергам в 16 часов</x:v>
      </x:c>
      <x:c r="I149" s="8"/>
      <x:c r="J149" s="8"/>
      <x:c r="K149" s="8" t="str">
        <x:v>Сохраненный сигнал; в v6 не перечитан.</x:v>
      </x:c>
      <x:c r="L149" s="8" t="str">
        <x:v>https://projectexperts.ru/poisk-spikera-%E2%84%962618-sovmestnyj-efir/</x:v>
      </x:c>
    </x:row>
    <x:row r="150" ht="34.5" customHeight="1">
      <x:c r="A150" s="8" t="str">
        <x:v>FD-N145</x:v>
      </x:c>
      <x:c r="B150" s="8" t="str">
        <x:v>№2617 — навыки молодого специалиста 2030</x:v>
      </x:c>
      <x:c r="C150" s="8" t="str">
        <x:v>FD-BU145</x:v>
      </x:c>
      <x:c r="D150" s="8" t="str">
        <x:v>Следующий цикл</x:v>
      </x:c>
      <x:c r="E150" s="8" t="str">
        <x:v>paid_or_unspecified_expert_call</x:v>
      </x:c>
      <x:c r="F150" s="8" t="str">
        <x:v>adjacent</x:v>
      </x:c>
      <x:c r="G150" s="8" t="str">
        <x:v>2026-09-19</x:v>
      </x:c>
      <x:c r="H150" s="8" t="str">
        <x:v>26 сентября 2026, технопарк «Ленполиграфмаш»</x:v>
      </x:c>
      <x:c r="I150" s="8"/>
      <x:c r="J150" s="8"/>
      <x:c r="K150" s="8" t="str">
        <x:v>Сохраненный сигнал; в v6 не перечитан.</x:v>
      </x:c>
      <x:c r="L150" s="8" t="str">
        <x:v>https://projectexperts.ru/poisk-spikera-%E2%84%962617/</x:v>
      </x:c>
    </x:row>
    <x:row r="151" ht="34.5" customHeight="1">
      <x:c r="A151" s="8" t="str">
        <x:v>FD-N146</x:v>
      </x:c>
      <x:c r="B151" s="8" t="str">
        <x:v>№2616 — устойчивость собственника и команды</x:v>
      </x:c>
      <x:c r="C151" s="8" t="str">
        <x:v>FD-BU146</x:v>
      </x:c>
      <x:c r="D151" s="8" t="str">
        <x:v>Найти маршрут доступа</x:v>
      </x:c>
      <x:c r="E151" s="8" t="str">
        <x:v>paid_or_unspecified_expert_call</x:v>
      </x:c>
      <x:c r="F151" s="8" t="str">
        <x:v>core</x:v>
      </x:c>
      <x:c r="G151" s="8" t="str">
        <x:v>2026-09-19</x:v>
      </x:c>
      <x:c r="H151" s="8" t="str">
        <x:v>Октябрь, Москва</x:v>
      </x:c>
      <x:c r="I151" s="8"/>
      <x:c r="J151" s="8" t="str">
        <x:v>V6-C146</x:v>
      </x:c>
      <x:c r="K151" s="8" t="str">
        <x:v>Прочитан краткий запрос; полный текст и контакт ограничены. Свободный слот не подтвержден.</x:v>
      </x:c>
      <x:c r="L151" s="8" t="str">
        <x:v>https://projectexperts.ru/poisk-spikera-%E2%84%962616/</x:v>
      </x:c>
    </x:row>
    <x:row r="152" ht="34.5" customHeight="1">
      <x:c r="A152" s="8" t="str">
        <x:v>FD-N147</x:v>
      </x:c>
      <x:c r="B152" s="8" t="str">
        <x:v>№2615 — банковское выступление о влиянии сервиса на бизнес</x:v>
      </x:c>
      <x:c r="C152" s="8" t="str">
        <x:v>FD-BU147</x:v>
      </x:c>
      <x:c r="D152" s="8" t="str">
        <x:v>Восстановить источник</x:v>
      </x:c>
      <x:c r="E152" s="8" t="str">
        <x:v>paid_or_unspecified_expert_call</x:v>
      </x:c>
      <x:c r="F152" s="8" t="str">
        <x:v>core</x:v>
      </x:c>
      <x:c r="G152" s="8" t="str">
        <x:v>2026-09-18</x:v>
      </x:c>
      <x:c r="H152" s="8"/>
      <x:c r="I152" s="8"/>
      <x:c r="J152" s="8" t="str">
        <x:v>V6-C147</x:v>
      </x:c>
      <x:c r="K152" s="8" t="str">
        <x:v>Повторное чтение не удалось; прежнее свидетельство сохранено, закрытие не доказано.</x:v>
      </x:c>
      <x:c r="L152" s="8" t="str">
        <x:v>https://projectexperts.ru/poisk-spikera-%E2%84%962615-est-gonorar/</x:v>
      </x:c>
    </x:row>
    <x:row r="153" ht="34.5" customHeight="1">
      <x:c r="A153" s="8" t="str">
        <x:v>FD-N148</x:v>
      </x:c>
      <x:c r="B153" s="8" t="str">
        <x:v>№2614 — трудовое право для собственников</x:v>
      </x:c>
      <x:c r="C153" s="8" t="str">
        <x:v>FD-BU148</x:v>
      </x:c>
      <x:c r="D153" s="8" t="str">
        <x:v>Найти маршрут доступа</x:v>
      </x:c>
      <x:c r="E153" s="8" t="str">
        <x:v>paid_or_unspecified_expert_call</x:v>
      </x:c>
      <x:c r="F153" s="8" t="str">
        <x:v>core</x:v>
      </x:c>
      <x:c r="G153" s="8" t="str">
        <x:v>2026-09-18</x:v>
      </x:c>
      <x:c r="H153" s="8" t="str">
        <x:v>Октябрь, Москва</x:v>
      </x:c>
      <x:c r="I153" s="8"/>
      <x:c r="J153" s="8" t="str">
        <x:v>V6-C148</x:v>
      </x:c>
      <x:c r="K153" s="8" t="str">
        <x:v>Прочитан краткий запрос; полный текст и контакт ограничены. Свободный слот не подтвержден.</x:v>
      </x:c>
      <x:c r="L153" s="8" t="str">
        <x:v>https://projectexperts.ru/poisk-spikera-%E2%84%962614/</x:v>
      </x:c>
    </x:row>
    <x:row r="154" ht="34.5" customHeight="1">
      <x:c r="A154" s="8" t="str">
        <x:v>FD-N149</x:v>
      </x:c>
      <x:c r="B154" s="8" t="str">
        <x:v>Method.GSOM: предложение экспертного мероприятия сообществу</x:v>
      </x:c>
      <x:c r="C154" s="8" t="str">
        <x:v>FD-Befb345594c40a6</x:v>
      </x:c>
      <x:c r="D154" s="8" t="str">
        <x:v>Партнерство</x:v>
      </x:c>
      <x:c r="E154" s="8" t="str">
        <x:v>standing_partner_invitation</x:v>
      </x:c>
      <x:c r="F154" s="8" t="str">
        <x:v>adjacent</x:v>
      </x:c>
      <x:c r="G154" s="8"/>
      <x:c r="H154" s="8"/>
      <x:c r="I154" s="8"/>
      <x:c r="J154" s="8"/>
      <x:c r="K154" s="8" t="str">
        <x:v>Сохраненный сигнал; в v6 не перечитан.</x:v>
      </x:c>
      <x:c r="L154" s="8" t="str">
        <x:v>https://method.gsom.spbu.ru/community</x:v>
      </x:c>
    </x:row>
    <x:row r="155" ht="34.5" customHeight="1">
      <x:c r="A155" s="8" t="str">
        <x:v>FD-N150</x:v>
      </x:c>
      <x:c r="B155" s="8" t="str">
        <x:v>Динамика Ортопедические Технологии: архивный сигнал создания академии</x:v>
      </x:c>
      <x:c r="C155" s="8" t="str">
        <x:v>FD-Baa439a4c2b4328</x:v>
      </x:c>
      <x:c r="D155" s="8" t="str">
        <x:v>Следующий цикл</x:v>
      </x:c>
      <x:c r="E155" s="8" t="str">
        <x:v>inferred_need</x:v>
      </x:c>
      <x:c r="F155" s="8" t="str">
        <x:v>adjacent</x:v>
      </x:c>
      <x:c r="G155" s="8"/>
      <x:c r="H155" s="8"/>
      <x:c r="I155" s="8"/>
      <x:c r="J155" s="8"/>
      <x:c r="K155" s="8" t="str">
        <x:v>Сохраненный сигнал; в v6 не перечитан.</x:v>
      </x:c>
      <x:c r="L155" s="8" t="str">
        <x:v>https://t.me/hrhubvacancy300/411</x:v>
      </x:c>
    </x:row>
    <x:row r="156" ht="34.5" customHeight="1">
      <x:c r="A156" s="8" t="str">
        <x:v>FD-N151</x:v>
      </x:c>
      <x:c r="B156" s="8" t="str">
        <x:v>Практикум: авторы двух курсов CTO, архивный набор</x:v>
      </x:c>
      <x:c r="C156" s="8" t="str">
        <x:v>FD-B3d598f3db297da</x:v>
      </x:c>
      <x:c r="D156" s="8" t="str">
        <x:v>Перечитать старую запись</x:v>
      </x:c>
      <x:c r="E156" s="8" t="str">
        <x:v>paid_or_unspecified_expert_call</x:v>
      </x:c>
      <x:c r="F156" s="8" t="str">
        <x:v>core</x:v>
      </x:c>
      <x:c r="G156" s="8"/>
      <x:c r="H156" s="8"/>
      <x:c r="I156" s="8"/>
      <x:c r="J156" s="8"/>
      <x:c r="K156" s="8" t="str">
        <x:v>Сохраненный сигнал; в v6 не перечитан.</x:v>
      </x:c>
      <x:c r="L156" s="8" t="str">
        <x:v>https://t.me/practicum_experts/843</x:v>
      </x:c>
    </x:row>
    <x:row r="157" ht="34.5" customHeight="1">
      <x:c r="A157" s="8" t="str">
        <x:v>FD-N152</x:v>
      </x:c>
      <x:c r="B157" s="8" t="str">
        <x:v>Практикум: авторы BI и маркетплейсов в ноябрьском дайджесте</x:v>
      </x:c>
      <x:c r="C157" s="8" t="str">
        <x:v>FD-B3d598f3db297da</x:v>
      </x:c>
      <x:c r="D157" s="8" t="str">
        <x:v>Перечитать старую запись</x:v>
      </x:c>
      <x:c r="E157" s="8" t="str">
        <x:v>paid_or_unspecified_expert_call</x:v>
      </x:c>
      <x:c r="F157" s="8" t="str">
        <x:v>core</x:v>
      </x:c>
      <x:c r="G157" s="8"/>
      <x:c r="H157" s="8"/>
      <x:c r="I157" s="8"/>
      <x:c r="J157" s="8"/>
      <x:c r="K157" s="8" t="str">
        <x:v>Сохраненный сигнал; в v6 не перечитан.</x:v>
      </x:c>
      <x:c r="L157" s="8" t="str">
        <x:v>https://t.me/practicum_experts/840</x:v>
      </x:c>
    </x:row>
    <x:row r="158" ht="31.5" customHeight="1">
      <x:c r="A158" s="8" t="str">
        <x:v>FD-N153</x:v>
      </x:c>
      <x:c r="B158" s="8" t="str">
        <x:v>Бизнес Инсайт: подписка на закрытые запросы спикеров</x:v>
      </x:c>
      <x:c r="C158" s="8" t="str">
        <x:v>FD-B9f28a630c57b45</x:v>
      </x:c>
      <x:c r="D158" s="8" t="str">
        <x:v>Исследовать сигнал</x:v>
      </x:c>
      <x:c r="E158" s="8" t="str">
        <x:v>reference</x:v>
      </x:c>
      <x:c r="F158" s="8" t="str">
        <x:v>adjacent</x:v>
      </x:c>
      <x:c r="G158" s="8" t="str">
        <x:v>2026-03-13</x:v>
      </x:c>
      <x:c r="H158" s="8"/>
      <x:c r="I158" s="8"/>
      <x:c r="J158" s="8"/>
      <x:c r="K158" s="8" t="str">
        <x:v>Сохраненный сигнал; в v6 не перечитан.</x:v>
      </x:c>
      <x:c r="L158" s="8" t="str">
        <x:v>https://bi-school.ru/priglashaem-v-zakrytyj-klub-spikerov/</x:v>
      </x:c>
    </x:row>
    <x:row r="159" ht="34.5" customHeight="1">
      <x:c r="A159" s="8" t="str">
        <x:v>FD-N154</x:v>
      </x:c>
      <x:c r="B159" s="8" t="str">
        <x:v>№2606 — финансовый учёт для бьюти-мастеров</x:v>
      </x:c>
      <x:c r="C159" s="8" t="str">
        <x:v>FD-BU154</x:v>
      </x:c>
      <x:c r="D159" s="8" t="str">
        <x:v>Следующий цикл</x:v>
      </x:c>
      <x:c r="E159" s="8" t="str">
        <x:v>paid_or_unspecified_expert_call</x:v>
      </x:c>
      <x:c r="F159" s="8" t="str">
        <x:v>core</x:v>
      </x:c>
      <x:c r="G159" s="8" t="str">
        <x:v>2026-09-12</x:v>
      </x:c>
      <x:c r="H159" s="8" t="str">
        <x:v>24 сентября, 12:00</x:v>
      </x:c>
      <x:c r="I159" s="8"/>
      <x:c r="J159" s="8"/>
      <x:c r="K159" s="8" t="str">
        <x:v>Сохраненный сигнал; в v6 не перечитан.</x:v>
      </x:c>
      <x:c r="L159" s="8" t="str">
        <x:v>https://projectexperts.ru/poisk-spikera-%E2%84%962606-est-gonorar/</x:v>
      </x:c>
    </x:row>
    <x:row r="160" ht="34.5" customHeight="1">
      <x:c r="A160" s="8" t="str">
        <x:v>FD-N155</x:v>
      </x:c>
      <x:c r="B160" s="8" t="str">
        <x:v>№2605 — командная сессия технологической компании</x:v>
      </x:c>
      <x:c r="C160" s="8" t="str">
        <x:v>FD-BU155</x:v>
      </x:c>
      <x:c r="D160" s="8" t="str">
        <x:v>Перечитать старую запись</x:v>
      </x:c>
      <x:c r="E160" s="8" t="str">
        <x:v>paid_or_unspecified_expert_call</x:v>
      </x:c>
      <x:c r="F160" s="8" t="str">
        <x:v>core</x:v>
      </x:c>
      <x:c r="G160" s="8" t="str">
        <x:v>2026-09-11</x:v>
      </x:c>
      <x:c r="H160" s="8" t="str">
        <x:v>25.11.2026, Москва</x:v>
      </x:c>
      <x:c r="I160" s="8"/>
      <x:c r="J160" s="8"/>
      <x:c r="K160" s="8" t="str">
        <x:v>Сохраненный сигнал; в v6 не перечитан.</x:v>
      </x:c>
      <x:c r="L160" s="8" t="str">
        <x:v>https://projectexperts.ru/poisk-spikera-%E2%84%962605-est-gonorar/</x:v>
      </x:c>
    </x:row>
    <x:row r="161" ht="34.5" customHeight="1">
      <x:c r="A161" s="8" t="str">
        <x:v>FD-N156</x:v>
      </x:c>
      <x:c r="B161" s="8" t="str">
        <x:v>№2604 — Юргенс PAGE: деловые мероприятия</x:v>
      </x:c>
      <x:c r="C161" s="8" t="str">
        <x:v>FD-B4c0ccaa7602908</x:v>
      </x:c>
      <x:c r="D161" s="8" t="str">
        <x:v>Партнерство</x:v>
      </x:c>
      <x:c r="E161" s="8" t="str">
        <x:v>standing_partner_invitation</x:v>
      </x:c>
      <x:c r="F161" s="8" t="str">
        <x:v>adjacent</x:v>
      </x:c>
      <x:c r="G161" s="8" t="str">
        <x:v>2026-09-11</x:v>
      </x:c>
      <x:c r="H161" s="8"/>
      <x:c r="I161" s="8"/>
      <x:c r="J161" s="8"/>
      <x:c r="K161" s="8" t="str">
        <x:v>Сохраненный сигнал; в v6 не перечитан.</x:v>
      </x:c>
      <x:c r="L161" s="8" t="str">
        <x:v>https://projectexperts.ru/poisk-spikera-%E2%84%962604-sovmestnoe-meropriyatie/</x:v>
      </x:c>
    </x:row>
    <x:row r="162" ht="31.5" customHeight="1">
      <x:c r="A162" s="8" t="str">
        <x:v>FD-N157</x:v>
      </x:c>
      <x:c r="B162" s="8" t="str">
        <x:v>№2603 — GORA ACADEMY: AI-креатор</x:v>
      </x:c>
      <x:c r="C162" s="8" t="str">
        <x:v>FD-Ba7fac13817be9f</x:v>
      </x:c>
      <x:c r="D162" s="8" t="str">
        <x:v>Исследовать сигнал</x:v>
      </x:c>
      <x:c r="E162" s="8" t="str">
        <x:v>inferred_need</x:v>
      </x:c>
      <x:c r="F162" s="8" t="str">
        <x:v>adjacent</x:v>
      </x:c>
      <x:c r="G162" s="8" t="str">
        <x:v>2026-09-11</x:v>
      </x:c>
      <x:c r="H162" s="8"/>
      <x:c r="I162" s="8"/>
      <x:c r="J162" s="8"/>
      <x:c r="K162" s="8" t="str">
        <x:v>Сохраненный сигнал; в v6 не перечитан.</x:v>
      </x:c>
      <x:c r="L162" s="8" t="str">
        <x:v>https://projectexperts.ru/poisk-spikera-%E2%84%962603-vakansiya/</x:v>
      </x:c>
    </x:row>
    <x:row r="163" ht="34.5" customHeight="1">
      <x:c r="A163" s="8" t="str">
        <x:v>FD-N158</x:v>
      </x:c>
      <x:c r="B163" s="8" t="str">
        <x:v>№2602 — совместные эфиры для обмена аудиториями</x:v>
      </x:c>
      <x:c r="C163" s="8" t="str">
        <x:v>FD-BU158</x:v>
      </x:c>
      <x:c r="D163" s="8" t="str">
        <x:v>Партнерство</x:v>
      </x:c>
      <x:c r="E163" s="8" t="str">
        <x:v>standing_partner_invitation</x:v>
      </x:c>
      <x:c r="F163" s="8" t="str">
        <x:v>adjacent</x:v>
      </x:c>
      <x:c r="G163" s="8" t="str">
        <x:v>2026-09-11</x:v>
      </x:c>
      <x:c r="H163" s="8"/>
      <x:c r="I163" s="8"/>
      <x:c r="J163" s="8"/>
      <x:c r="K163" s="8" t="str">
        <x:v>Сохраненный сигнал; в v6 не перечитан.</x:v>
      </x:c>
      <x:c r="L163" s="8" t="str">
        <x:v>https://projectexperts.ru/poisk-spikera-%E2%84%962602-sovmestnyj-efir/</x:v>
      </x:c>
    </x:row>
    <x:row r="164" ht="34.5" customHeight="1">
      <x:c r="A164" s="8" t="str">
        <x:v>FD-N159</x:v>
      </x:c>
      <x:c r="B164" s="8" t="str">
        <x:v>№2601 — сессия юридической службы российской компании</x:v>
      </x:c>
      <x:c r="C164" s="8" t="str">
        <x:v>FD-BU159</x:v>
      </x:c>
      <x:c r="D164" s="8" t="str">
        <x:v>Перечитать старую запись</x:v>
      </x:c>
      <x:c r="E164" s="8" t="str">
        <x:v>paid_or_unspecified_expert_call</x:v>
      </x:c>
      <x:c r="F164" s="8" t="str">
        <x:v>core</x:v>
      </x:c>
      <x:c r="G164" s="8" t="str">
        <x:v>2026-09-10</x:v>
      </x:c>
      <x:c r="H164" s="8" t="str">
        <x:v>15–16 октября, Баку</x:v>
      </x:c>
      <x:c r="I164" s="8"/>
      <x:c r="J164" s="8"/>
      <x:c r="K164" s="8" t="str">
        <x:v>Сохраненный сигнал; в v6 не перечитан.</x:v>
      </x:c>
      <x:c r="L164" s="8" t="str">
        <x:v>https://projectexperts.ru/poisk-spikera-%E2%84%962601-est-gonorar/</x:v>
      </x:c>
    </x:row>
    <x:row r="165" ht="34.5" customHeight="1">
      <x:c r="A165" s="8" t="str">
        <x:v>FD-N160</x:v>
      </x:c>
      <x:c r="B165" s="8" t="str">
        <x:v>№2599 — обмен эфирами по маркетингу и управлению</x:v>
      </x:c>
      <x:c r="C165" s="8" t="str">
        <x:v>FD-BU160</x:v>
      </x:c>
      <x:c r="D165" s="8" t="str">
        <x:v>Партнерство</x:v>
      </x:c>
      <x:c r="E165" s="8" t="str">
        <x:v>standing_partner_invitation</x:v>
      </x:c>
      <x:c r="F165" s="8" t="str">
        <x:v>adjacent</x:v>
      </x:c>
      <x:c r="G165" s="8" t="str">
        <x:v>2026-09-10</x:v>
      </x:c>
      <x:c r="H165" s="8"/>
      <x:c r="I165" s="8"/>
      <x:c r="J165" s="8"/>
      <x:c r="K165" s="8" t="str">
        <x:v>Сохраненный сигнал; в v6 не перечитан.</x:v>
      </x:c>
      <x:c r="L165" s="8" t="str">
        <x:v>https://projectexperts.ru/poisk-spikera-%E2%84%962599-sovmestnyj-efir/</x:v>
      </x:c>
    </x:row>
    <x:row r="166" ht="34.5" customHeight="1">
      <x:c r="A166" s="8" t="str">
        <x:v>FD-N161</x:v>
      </x:c>
      <x:c r="B166" s="8" t="str">
        <x:v>№2598 — модератор консультариума</x:v>
      </x:c>
      <x:c r="C166" s="8" t="str">
        <x:v>FD-BU161</x:v>
      </x:c>
      <x:c r="D166" s="8" t="str">
        <x:v>Следующий цикл</x:v>
      </x:c>
      <x:c r="E166" s="8" t="str">
        <x:v>paid_or_unspecified_expert_call</x:v>
      </x:c>
      <x:c r="F166" s="8" t="str">
        <x:v>adjacent</x:v>
      </x:c>
      <x:c r="G166" s="8" t="str">
        <x:v>2026-09-10</x:v>
      </x:c>
      <x:c r="H166" s="8" t="str">
        <x:v>24.09.2026, Москва</x:v>
      </x:c>
      <x:c r="I166" s="8"/>
      <x:c r="J166" s="8"/>
      <x:c r="K166" s="8" t="str">
        <x:v>Сохраненный сигнал; в v6 не перечитан.</x:v>
      </x:c>
      <x:c r="L166" s="8" t="str">
        <x:v>https://projectexperts.ru/poisk-spikera-%E2%84%962598/</x:v>
      </x:c>
    </x:row>
    <x:row r="167" ht="34.5" customHeight="1">
      <x:c r="A167" s="8" t="str">
        <x:v>FD-N162</x:v>
      </x:c>
      <x:c r="B167" s="8" t="str">
        <x:v>№2597 — HR-форум: мотивационная политика</x:v>
      </x:c>
      <x:c r="C167" s="8" t="str">
        <x:v>FD-BU162</x:v>
      </x:c>
      <x:c r="D167" s="8" t="str">
        <x:v>Перечитать старую запись</x:v>
      </x:c>
      <x:c r="E167" s="8" t="str">
        <x:v>paid_or_unspecified_expert_call</x:v>
      </x:c>
      <x:c r="F167" s="8" t="str">
        <x:v>core</x:v>
      </x:c>
      <x:c r="G167" s="8" t="str">
        <x:v>2026-09-10</x:v>
      </x:c>
      <x:c r="H167" s="8" t="str">
        <x:v>2 октября, Сколково, Москва</x:v>
      </x:c>
      <x:c r="I167" s="8"/>
      <x:c r="J167" s="8"/>
      <x:c r="K167" s="8" t="str">
        <x:v>Сохраненный сигнал; в v6 не перечитан.</x:v>
      </x:c>
      <x:c r="L167" s="8" t="str">
        <x:v>https://projectexperts.ru/poisk-spikera-%E2%84%962597/</x:v>
      </x:c>
    </x:row>
    <x:row r="168" ht="34.5" customHeight="1">
      <x:c r="A168" s="8" t="str">
        <x:v>FD-N163</x:v>
      </x:c>
      <x:c r="B168" s="8" t="str">
        <x:v>№2596 — команда, KPI и сохранение сотрудников</x:v>
      </x:c>
      <x:c r="C168" s="8" t="str">
        <x:v>FD-BU163</x:v>
      </x:c>
      <x:c r="D168" s="8" t="str">
        <x:v>Перечитать старую запись</x:v>
      </x:c>
      <x:c r="E168" s="8" t="str">
        <x:v>paid_or_unspecified_expert_call</x:v>
      </x:c>
      <x:c r="F168" s="8" t="str">
        <x:v>core</x:v>
      </x:c>
      <x:c r="G168" s="8" t="str">
        <x:v>2026-09-10</x:v>
      </x:c>
      <x:c r="H168" s="8" t="str">
        <x:v>Октябрь, онлайн</x:v>
      </x:c>
      <x:c r="I168" s="8"/>
      <x:c r="J168" s="8"/>
      <x:c r="K168" s="8" t="str">
        <x:v>Сохраненный сигнал; в v6 не перечитан.</x:v>
      </x:c>
      <x:c r="L168" s="8" t="str">
        <x:v>https://projectexperts.ru/poisk-spikera-%E2%84%962596/</x:v>
      </x:c>
    </x:row>
    <x:row r="169" ht="34.5" customHeight="1">
      <x:c r="A169" s="8" t="str">
        <x:v>FD-N164</x:v>
      </x:c>
      <x:c r="B169" s="8" t="str">
        <x:v>№2594 — MIGRANT ID: автоматизация в Битрикс</x:v>
      </x:c>
      <x:c r="C169" s="8" t="str">
        <x:v>FD-Bc7963b54f3192d</x:v>
      </x:c>
      <x:c r="D169" s="8" t="str">
        <x:v>Следующий цикл</x:v>
      </x:c>
      <x:c r="E169" s="8" t="str">
        <x:v>paid_or_unspecified_expert_call</x:v>
      </x:c>
      <x:c r="F169" s="8" t="str">
        <x:v>core</x:v>
      </x:c>
      <x:c r="G169" s="8" t="str">
        <x:v>2026-09-06</x:v>
      </x:c>
      <x:c r="H169" s="8" t="str">
        <x:v>07.09–11.09</x:v>
      </x:c>
      <x:c r="I169" s="8"/>
      <x:c r="J169" s="8"/>
      <x:c r="K169" s="8" t="str">
        <x:v>Сохраненный сигнал; в v6 не перечитан.</x:v>
      </x:c>
      <x:c r="L169" s="8" t="str">
        <x:v>https://projectexperts.ru/poisk-spikera-%E2%84%962594/</x:v>
      </x:c>
    </x:row>
    <x:row r="170" ht="34.5" customHeight="1">
      <x:c r="A170" s="8" t="str">
        <x:v>FD-N165</x:v>
      </x:c>
      <x:c r="B170" s="8" t="str">
        <x:v>№2591 — Опора России: бизнес-темы</x:v>
      </x:c>
      <x:c r="C170" s="8" t="str">
        <x:v>FD-Bff858b0d4f159d</x:v>
      </x:c>
      <x:c r="D170" s="8" t="str">
        <x:v>Перечитать старую запись</x:v>
      </x:c>
      <x:c r="E170" s="8" t="str">
        <x:v>paid_or_unspecified_expert_call</x:v>
      </x:c>
      <x:c r="F170" s="8" t="str">
        <x:v>core</x:v>
      </x:c>
      <x:c r="G170" s="8" t="str">
        <x:v>2026-09-05</x:v>
      </x:c>
      <x:c r="H170" s="8"/>
      <x:c r="I170" s="8"/>
      <x:c r="J170" s="8"/>
      <x:c r="K170" s="8" t="str">
        <x:v>Сохраненный сигнал; в v6 не перечитан.</x:v>
      </x:c>
      <x:c r="L170" s="8" t="str">
        <x:v>https://projectexperts.ru/ishhem-spikera-%E2%84%962591/</x:v>
      </x:c>
    </x:row>
    <x:row r="171" ht="34.5" customHeight="1">
      <x:c r="A171" s="8" t="str">
        <x:v>FD-N171</x:v>
      </x:c>
      <x:c r="B171" s="8" t="str">
        <x:v>№2586 — выступление перед союзом предпринимателей</x:v>
      </x:c>
      <x:c r="C171" s="8" t="str">
        <x:v>FD-BU171</x:v>
      </x:c>
      <x:c r="D171" s="8" t="str">
        <x:v>Перечитать старую запись</x:v>
      </x:c>
      <x:c r="E171" s="8" t="str">
        <x:v>paid_or_unspecified_expert_call</x:v>
      </x:c>
      <x:c r="F171" s="8" t="str">
        <x:v>core</x:v>
      </x:c>
      <x:c r="G171" s="8" t="str">
        <x:v>2026-09-03</x:v>
      </x:c>
      <x:c r="H171" s="8"/>
      <x:c r="I171" s="8"/>
      <x:c r="J171" s="8"/>
      <x:c r="K171" s="8" t="str">
        <x:v>Сохраненный сигнал; в v6 не перечитан.</x:v>
      </x:c>
      <x:c r="L171" s="8" t="str">
        <x:v>https://projectexperts.ru/ishhem-spikera-%E2%84%962586-est-gonorar/</x:v>
      </x:c>
    </x:row>
    <x:row r="172" ht="34.5" customHeight="1">
      <x:c r="A172" s="8" t="str">
        <x:v>FD-N172</x:v>
      </x:c>
      <x:c r="B172" s="8" t="str">
        <x:v>№2584 — SOC Forum: закрытая сессия руководителей</x:v>
      </x:c>
      <x:c r="C172" s="8" t="str">
        <x:v>FD-BU172</x:v>
      </x:c>
      <x:c r="D172" s="8" t="str">
        <x:v>Перечитать старую запись</x:v>
      </x:c>
      <x:c r="E172" s="8" t="str">
        <x:v>paid_or_unspecified_expert_call</x:v>
      </x:c>
      <x:c r="F172" s="8" t="str">
        <x:v>core</x:v>
      </x:c>
      <x:c r="G172" s="8" t="str">
        <x:v>2026-08-30</x:v>
      </x:c>
      <x:c r="H172" s="8" t="str">
        <x:v>28 октября, Москва</x:v>
      </x:c>
      <x:c r="I172" s="8"/>
      <x:c r="J172" s="8"/>
      <x:c r="K172" s="8" t="str">
        <x:v>Сохраненный сигнал; в v6 не перечитан.</x:v>
      </x:c>
      <x:c r="L172" s="8" t="str">
        <x:v>https://projectexperts.ru/ishhem-spikera-%E2%84%962584-est-gonorar/</x:v>
      </x:c>
    </x:row>
    <x:row r="173" ht="34.5" customHeight="1">
      <x:c r="A173" s="8" t="str">
        <x:v>FD-N173</x:v>
      </x:c>
      <x:c r="B173" s="8" t="str">
        <x:v>№2583 — финансовый спикер банковской конференции</x:v>
      </x:c>
      <x:c r="C173" s="8" t="str">
        <x:v>FD-BU173</x:v>
      </x:c>
      <x:c r="D173" s="8" t="str">
        <x:v>Перечитать старую запись</x:v>
      </x:c>
      <x:c r="E173" s="8" t="str">
        <x:v>paid_or_unspecified_expert_call</x:v>
      </x:c>
      <x:c r="F173" s="8" t="str">
        <x:v>core</x:v>
      </x:c>
      <x:c r="G173" s="8" t="str">
        <x:v>2026-08-30</x:v>
      </x:c>
      <x:c r="H173" s="8" t="str">
        <x:v>Ориентировочно 17 ноября 2026</x:v>
      </x:c>
      <x:c r="I173" s="8"/>
      <x:c r="J173" s="8"/>
      <x:c r="K173" s="8" t="str">
        <x:v>Сохраненный сигнал; в v6 не перечитан.</x:v>
      </x:c>
      <x:c r="L173" s="8" t="str">
        <x:v>https://projectexperts.ru/ishhem-spikera-%E2%84%962583-est-gonorar/</x:v>
      </x:c>
    </x:row>
    <x:row r="174" ht="34.5" customHeight="1">
      <x:c r="A174" s="8" t="str">
        <x:v>FD-N174</x:v>
      </x:c>
      <x:c r="B174" s="8" t="str">
        <x:v>№2582 — форум «вКУБе-2026»</x:v>
      </x:c>
      <x:c r="C174" s="8" t="str">
        <x:v>FD-BU174</x:v>
      </x:c>
      <x:c r="D174" s="8" t="str">
        <x:v>Перечитать старую запись</x:v>
      </x:c>
      <x:c r="E174" s="8" t="str">
        <x:v>paid_or_unspecified_expert_call</x:v>
      </x:c>
      <x:c r="F174" s="8" t="str">
        <x:v>core</x:v>
      </x:c>
      <x:c r="G174" s="8" t="str">
        <x:v>2026-08-30</x:v>
      </x:c>
      <x:c r="H174" s="8" t="str">
        <x:v>3 декабря 2026</x:v>
      </x:c>
      <x:c r="I174" s="8"/>
      <x:c r="J174" s="8"/>
      <x:c r="K174" s="8" t="str">
        <x:v>Сохраненный сигнал; в v6 не перечитан.</x:v>
      </x:c>
      <x:c r="L174" s="8" t="str">
        <x:v>https://projectexperts.ru/ishhem-spikera-%E2%84%962582-est-gonorar/</x:v>
      </x:c>
    </x:row>
    <x:row r="175" ht="34.5" customHeight="1">
      <x:c r="A175" s="8" t="str">
        <x:v>FD-N175</x:v>
      </x:c>
      <x:c r="B175" s="8" t="str">
        <x:v>АКК: повестка ИИ и автоматизации казначейства в Treasury Inside № 9</x:v>
      </x:c>
      <x:c r="C175" s="8" t="str">
        <x:v>FD-B901d734ddc5093</x:v>
      </x:c>
      <x:c r="D175" s="8" t="str">
        <x:v>Исследовать сигнал</x:v>
      </x:c>
      <x:c r="E175" s="8" t="str">
        <x:v>inferred_need</x:v>
      </x:c>
      <x:c r="F175" s="8" t="str">
        <x:v>core</x:v>
      </x:c>
      <x:c r="G175" s="8" t="str">
        <x:v>2026-09-28</x:v>
      </x:c>
      <x:c r="H175" s="8"/>
      <x:c r="I175" s="8"/>
      <x:c r="J175" s="8"/>
      <x:c r="K175" s="8" t="str">
        <x:v>Сохраненный сигнал; в v6 не перечитан.</x:v>
      </x:c>
      <x:c r="L175" s="8" t="str">
        <x:v>https://corptreasury.ru/treasuryinside9/</x:v>
      </x:c>
    </x:row>
    <x:row r="176" ht="34.5" customHeight="1">
      <x:c r="A176" s="8" t="str">
        <x:v>FD-N176</x:v>
      </x:c>
      <x:c r="B176" s="8" t="str">
        <x:v>Архивный кандидат: поиск онлайн-преподавателя бухучёта</x:v>
      </x:c>
      <x:c r="C176" s="8" t="str">
        <x:v>FD-BU176</x:v>
      </x:c>
      <x:c r="D176" s="8" t="str">
        <x:v>Уточнить объем</x:v>
      </x:c>
      <x:c r="E176" s="8" t="str">
        <x:v>explicit_training_request</x:v>
      </x:c>
      <x:c r="F176" s="8" t="str">
        <x:v>uncertain</x:v>
      </x:c>
      <x:c r="G176" s="8"/>
      <x:c r="H176" s="8"/>
      <x:c r="I176" s="8"/>
      <x:c r="J176" s="8"/>
      <x:c r="K176" s="8" t="str">
        <x:v>Сохраненный сигнал; в v6 не перечитан.</x:v>
      </x:c>
      <x:c r="L176" s="8" t="str">
        <x:v>https://club.klerk.ru/t/ishhu-onlajn-prepodavatelya-buhuchyota/8201</x:v>
      </x:c>
    </x:row>
    <x:row r="177" ht="31.5" customHeight="1">
      <x:c r="A177" s="8" t="str">
        <x:v>FD-N177</x:v>
      </x:c>
      <x:c r="B177" s="8" t="str">
        <x:v>Архив: рекомендации обучения специалиста ВЭД</x:v>
      </x:c>
      <x:c r="C177" s="8" t="str">
        <x:v>FD-BU177</x:v>
      </x:c>
      <x:c r="D177" s="8" t="str">
        <x:v>Исследовать сигнал</x:v>
      </x:c>
      <x:c r="E177" s="8" t="str">
        <x:v>inferred_need</x:v>
      </x:c>
      <x:c r="F177" s="8" t="str">
        <x:v>core</x:v>
      </x:c>
      <x:c r="G177" s="8"/>
      <x:c r="H177" s="8"/>
      <x:c r="I177" s="8"/>
      <x:c r="J177" s="8"/>
      <x:c r="K177" s="8" t="str">
        <x:v>Сохраненный сигнал; в v6 не перечитан.</x:v>
      </x:c>
      <x:c r="L177" s="8" t="str">
        <x:v>https://club.klerk.ru/t/obuchenie-speczialista-ved/1094756</x:v>
      </x:c>
    </x:row>
    <x:row r="178" ht="34.5" customHeight="1">
      <x:c r="A178" s="8" t="str">
        <x:v>FD-N178</x:v>
      </x:c>
      <x:c r="B178" s="8" t="str">
        <x:v>HR AREA: совместные вебинары и контент-партнёрство с экспертами</x:v>
      </x:c>
      <x:c r="C178" s="8" t="str">
        <x:v>FD-B07e53001f91dfd</x:v>
      </x:c>
      <x:c r="D178" s="8" t="str">
        <x:v>Партнерство</x:v>
      </x:c>
      <x:c r="E178" s="8" t="str">
        <x:v>standing_partner_invitation</x:v>
      </x:c>
      <x:c r="F178" s="8" t="str">
        <x:v>adjacent</x:v>
      </x:c>
      <x:c r="G178" s="8"/>
      <x:c r="H178" s="8"/>
      <x:c r="I178" s="8"/>
      <x:c r="J178" s="8"/>
      <x:c r="K178" s="8" t="str">
        <x:v>Сохраненный сигнал; в v6 не перечитан.</x:v>
      </x:c>
      <x:c r="L178" s="8" t="str">
        <x:v>https://hrarea.space/partners</x:v>
      </x:c>
    </x:row>
    <x:row r="179" ht="34.5" customHeight="1">
      <x:c r="A179" s="8" t="str">
        <x:v>FD-N179</x:v>
      </x:c>
      <x:c r="B179" s="8" t="str">
        <x:v>Архив HR4People Astana: корпоративные кейсы AI и развития сотрудников</x:v>
      </x:c>
      <x:c r="C179" s="8" t="str">
        <x:v>FD-B5666799ea2e13d</x:v>
      </x:c>
      <x:c r="D179" s="8" t="str">
        <x:v>Исследовать сигнал</x:v>
      </x:c>
      <x:c r="E179" s="8" t="str">
        <x:v>inferred_need</x:v>
      </x:c>
      <x:c r="F179" s="8" t="str">
        <x:v>core</x:v>
      </x:c>
      <x:c r="G179" s="8"/>
      <x:c r="H179" s="8" t="str">
        <x:v>21 мая 2026, Астана</x:v>
      </x:c>
      <x:c r="I179" s="8"/>
      <x:c r="J179" s="8"/>
      <x:c r="K179" s="8" t="str">
        <x:v>Сохраненный сигнал; в v6 не перечитан.</x:v>
      </x:c>
      <x:c r="L179" s="8" t="str">
        <x:v>https://hr4people.kz/hr4peopleastana2026</x:v>
      </x:c>
    </x:row>
    <x:row r="180" ht="34.5" customHeight="1">
      <x:c r="A180" s="8" t="str">
        <x:v>FD-N180</x:v>
      </x:c>
      <x:c r="B180" s="8" t="str">
        <x:v>Программный контакт цифрового обучения Auditorium 2026</x:v>
      </x:c>
      <x:c r="C180" s="8" t="str">
        <x:v>FD-Baa1414b18c533d</x:v>
      </x:c>
      <x:c r="D180" s="8" t="str">
        <x:v>Следующий цикл</x:v>
      </x:c>
      <x:c r="E180" s="8" t="str">
        <x:v>reference</x:v>
      </x:c>
      <x:c r="F180" s="8" t="str">
        <x:v>core</x:v>
      </x:c>
      <x:c r="G180" s="8"/>
      <x:c r="H180" s="8" t="str">
        <x:v>29–30 сентября 2026, Москва</x:v>
      </x:c>
      <x:c r="I180" s="8"/>
      <x:c r="J180" s="8"/>
      <x:c r="K180" s="8" t="str">
        <x:v>Сохраненный сигнал; в v6 не перечитан.</x:v>
      </x:c>
      <x:c r="L180" s="8" t="str">
        <x:v>https://auditorium-cg.ru/elf2026</x:v>
      </x:c>
    </x:row>
    <x:row r="181" ht="34.5" customHeight="1">
      <x:c r="A181" s="8" t="str">
        <x:v>FD-N181</x:v>
      </x:c>
      <x:c r="B181" s="8" t="str">
        <x:v>Маршрут по выступлению форума обучения производственного персонала</x:v>
      </x:c>
      <x:c r="C181" s="8" t="str">
        <x:v>FD-Baa1414b18c533d</x:v>
      </x:c>
      <x:c r="D181" s="8" t="str">
        <x:v>Исследовать сигнал</x:v>
      </x:c>
      <x:c r="E181" s="8" t="str">
        <x:v>reference</x:v>
      </x:c>
      <x:c r="F181" s="8" t="str">
        <x:v>core</x:v>
      </x:c>
      <x:c r="G181" s="8"/>
      <x:c r="H181" s="8" t="str">
        <x:v>1–2 октября 2026</x:v>
      </x:c>
      <x:c r="I181" s="8"/>
      <x:c r="J181" s="8"/>
      <x:c r="K181" s="8" t="str">
        <x:v>Сохраненный сигнал; в v6 не перечитан.</x:v>
      </x:c>
      <x:c r="L181" s="8" t="str">
        <x:v>https://auditorium-cg.ru/ilf2026</x:v>
      </x:c>
    </x:row>
    <x:row r="182" ht="31.5" customHeight="1">
      <x:c r="A182" s="8" t="str">
        <x:v>FD-N182</x:v>
      </x:c>
      <x:c r="B182" s="8" t="str">
        <x:v>Программный контакт HR-КОНТЕНТ 2026</x:v>
      </x:c>
      <x:c r="C182" s="8" t="str">
        <x:v>FD-Baa1414b18c533d</x:v>
      </x:c>
      <x:c r="D182" s="8" t="str">
        <x:v>Исследовать сигнал</x:v>
      </x:c>
      <x:c r="E182" s="8" t="str">
        <x:v>reference</x:v>
      </x:c>
      <x:c r="F182" s="8" t="str">
        <x:v>adjacent</x:v>
      </x:c>
      <x:c r="G182" s="8"/>
      <x:c r="H182" s="8" t="str">
        <x:v>19–20 ноября 2026</x:v>
      </x:c>
      <x:c r="I182" s="8"/>
      <x:c r="J182" s="8"/>
      <x:c r="K182" s="8" t="str">
        <x:v>Сохраненный сигнал; в v6 не перечитан.</x:v>
      </x:c>
      <x:c r="L182" s="8" t="str">
        <x:v>https://auditorium-cg.ru/ccf26</x:v>
      </x:c>
    </x:row>
    <x:row r="183" ht="34.5" customHeight="1">
      <x:c r="A183" s="8" t="str">
        <x:v>FD-N183</x:v>
      </x:c>
      <x:c r="B183" s="8" t="str">
        <x:v>Приглашение докладчиков: ИИ в управлении персоналом 2027</x:v>
      </x:c>
      <x:c r="C183" s="8" t="str">
        <x:v>FD-Bd9081b20b304e0</x:v>
      </x:c>
      <x:c r="D183" s="8" t="str">
        <x:v>Перечитать старую запись</x:v>
      </x:c>
      <x:c r="E183" s="8" t="str">
        <x:v>paid_or_unspecified_expert_call</x:v>
      </x:c>
      <x:c r="F183" s="8" t="str">
        <x:v>core</x:v>
      </x:c>
      <x:c r="G183" s="8"/>
      <x:c r="H183" s="8" t="str">
        <x:v>2–3 июня 2027, Москва</x:v>
      </x:c>
      <x:c r="I183" s="8"/>
      <x:c r="J183" s="8"/>
      <x:c r="K183" s="8" t="str">
        <x:v>Сохраненный сигнал; в v6 не перечитан.</x:v>
      </x:c>
      <x:c r="L183" s="8" t="str">
        <x:v>https://www.mk-conference.ru/ai</x:v>
      </x:c>
    </x:row>
    <x:row r="184" ht="34.5" customHeight="1">
      <x:c r="A184" s="8" t="str">
        <x:v>FD-N184</x:v>
      </x:c>
      <x:c r="B184" s="8" t="str">
        <x:v>Тренинг продаж юридических услуг для четырех менеджеров</x:v>
      </x:c>
      <x:c r="C184" s="8" t="str">
        <x:v>FD-BU184</x:v>
      </x:c>
      <x:c r="D184" s="8" t="str">
        <x:v>Перечитать старую запись</x:v>
      </x:c>
      <x:c r="E184" s="8" t="str">
        <x:v>explicit_training_request</x:v>
      </x:c>
      <x:c r="F184" s="8" t="str">
        <x:v>core</x:v>
      </x:c>
      <x:c r="G184" s="8"/>
      <x:c r="H184" s="8"/>
      <x:c r="I184" s="8"/>
      <x:c r="J184" s="8"/>
      <x:c r="K184" s="8" t="str">
        <x:v>Сохраненный сигнал; в v6 не перечитан.</x:v>
      </x:c>
      <x:c r="L184" s="8" t="str">
        <x:v>https://profi.ru/geo-spb/buhgaltery_i_yuristy/business-trainer/price/</x:v>
      </x:c>
    </x:row>
    <x:row r="185" ht="34.5" customHeight="1">
      <x:c r="A185" s="8" t="str">
        <x:v>FD-N185</x:v>
      </x:c>
      <x:c r="B185" s="8" t="str">
        <x:v>Тренинг эффективных продаж и управления для восьми менеджеров</x:v>
      </x:c>
      <x:c r="C185" s="8" t="str">
        <x:v>FD-BU185</x:v>
      </x:c>
      <x:c r="D185" s="8" t="str">
        <x:v>Перечитать старую запись</x:v>
      </x:c>
      <x:c r="E185" s="8" t="str">
        <x:v>explicit_training_request</x:v>
      </x:c>
      <x:c r="F185" s="8" t="str">
        <x:v>core</x:v>
      </x:c>
      <x:c r="G185" s="8"/>
      <x:c r="H185" s="8"/>
      <x:c r="I185" s="8"/>
      <x:c r="J185" s="8"/>
      <x:c r="K185" s="8" t="str">
        <x:v>Сохраненный сигнал; в v6 не перечитан.</x:v>
      </x:c>
      <x:c r="L185" s="8" t="str">
        <x:v>https://profi.ru/geo-spb/buhgaltery_i_yuristy/business-trainer/price/</x:v>
      </x:c>
    </x:row>
    <x:row r="186" ht="34.5" customHeight="1">
      <x:c r="A186" s="8" t="str">
        <x:v>FD-N186</x:v>
      </x:c>
      <x:c r="B186" s="8" t="str">
        <x:v>Выездное обучение маркетингу и регулярному менеджменту для бизнеса проката</x:v>
      </x:c>
      <x:c r="C186" s="8" t="str">
        <x:v>FD-BU186</x:v>
      </x:c>
      <x:c r="D186" s="8" t="str">
        <x:v>Восстановить источник</x:v>
      </x:c>
      <x:c r="E186" s="8" t="str">
        <x:v>explicit_training_request</x:v>
      </x:c>
      <x:c r="F186" s="8" t="str">
        <x:v>core</x:v>
      </x:c>
      <x:c r="G186" s="8" t="str">
        <x:v>2026-09-23</x:v>
      </x:c>
      <x:c r="H186" s="8"/>
      <x:c r="I186" s="8"/>
      <x:c r="J186" s="8" t="str">
        <x:v>V6-C186</x:v>
      </x:c>
      <x:c r="K186" s="8" t="str">
        <x:v>Адрес открыл общую регистрацию; исходный заказ по этому URL не подтвержден.</x:v>
      </x:c>
      <x:c r="L186" s="8" t="str">
        <x:v>https://profi.ru/registration/it_freelance/marketing/internet-marketing/</x:v>
      </x:c>
    </x:row>
    <x:row r="187" ht="34.5" customHeight="1">
      <x:c r="A187" s="8" t="str">
        <x:v>FD-N187</x:v>
      </x:c>
      <x:c r="B187" s="8" t="str">
        <x:v>Доработка воронки и скриптов продаж</x:v>
      </x:c>
      <x:c r="C187" s="8" t="str">
        <x:v>FD-BU187</x:v>
      </x:c>
      <x:c r="D187" s="8" t="str">
        <x:v>Перечитать старую запись</x:v>
      </x:c>
      <x:c r="E187" s="8" t="str">
        <x:v>explicit_training_request</x:v>
      </x:c>
      <x:c r="F187" s="8" t="str">
        <x:v>adjacent</x:v>
      </x:c>
      <x:c r="G187" s="8"/>
      <x:c r="H187" s="8"/>
      <x:c r="I187" s="8"/>
      <x:c r="J187" s="8"/>
      <x:c r="K187" s="8" t="str">
        <x:v>Сохраненный сигнал; в v6 не перечитан.</x:v>
      </x:c>
      <x:c r="L187" s="8" t="str">
        <x:v>https://youdo.com/rabota/obuchenie/podrabotka-biznes-trenerom/gor-peresvet</x:v>
      </x:c>
    </x:row>
    <x:row r="188" ht="34.5" customHeight="1">
      <x:c r="A188" s="8" t="str">
        <x:v>FD-N188</x:v>
      </x:c>
      <x:c r="B188" s="8" t="str">
        <x:v>Онлайн-обучение отдела продаж в нише банкротства</x:v>
      </x:c>
      <x:c r="C188" s="8" t="str">
        <x:v>FD-BU188</x:v>
      </x:c>
      <x:c r="D188" s="8" t="str">
        <x:v>Перечитать старую запись</x:v>
      </x:c>
      <x:c r="E188" s="8" t="str">
        <x:v>explicit_training_request</x:v>
      </x:c>
      <x:c r="F188" s="8" t="str">
        <x:v>core</x:v>
      </x:c>
      <x:c r="G188" s="8"/>
      <x:c r="H188" s="8"/>
      <x:c r="I188" s="8"/>
      <x:c r="J188" s="8"/>
      <x:c r="K188" s="8" t="str">
        <x:v>Сохраненный сигнал; в v6 не перечитан.</x:v>
      </x:c>
      <x:c r="L188" s="8" t="str">
        <x:v>https://youdo.com/rabota/obuchenie/podrabotka-biznes-trenerom/gor-peresvet</x:v>
      </x:c>
    </x:row>
    <x:row r="189" ht="34.5" customHeight="1">
      <x:c r="A189" s="8" t="str">
        <x:v>FD-N189</x:v>
      </x:c>
      <x:c r="B189" s="8" t="str">
        <x:v>Помощь в разработке курса для начинающих предпринимателей</x:v>
      </x:c>
      <x:c r="C189" s="8" t="str">
        <x:v>FD-BU189</x:v>
      </x:c>
      <x:c r="D189" s="8" t="str">
        <x:v>Перечитать старую запись</x:v>
      </x:c>
      <x:c r="E189" s="8" t="str">
        <x:v>explicit_training_request</x:v>
      </x:c>
      <x:c r="F189" s="8" t="str">
        <x:v>core</x:v>
      </x:c>
      <x:c r="G189" s="8"/>
      <x:c r="H189" s="8"/>
      <x:c r="I189" s="8"/>
      <x:c r="J189" s="8"/>
      <x:c r="K189" s="8" t="str">
        <x:v>Сохраненный сигнал; в v6 не перечитан.</x:v>
      </x:c>
      <x:c r="L189" s="8" t="str">
        <x:v>https://youdo.com/rabota/obuchenie/podrabotka-biznes-trenerom/gor-peresvet</x:v>
      </x:c>
    </x:row>
    <x:row r="190" ht="34.5" customHeight="1">
      <x:c r="A190" s="8" t="str">
        <x:v>FD-N190</x:v>
      </x:c>
      <x:c r="B190" s="8" t="str">
        <x:v>Бизнес-тренер для проведения обучающих курсов</x:v>
      </x:c>
      <x:c r="C190" s="8" t="str">
        <x:v>FD-BU190</x:v>
      </x:c>
      <x:c r="D190" s="8" t="str">
        <x:v>Уточнить объем</x:v>
      </x:c>
      <x:c r="E190" s="8" t="str">
        <x:v>explicit_training_request</x:v>
      </x:c>
      <x:c r="F190" s="8" t="str">
        <x:v>uncertain</x:v>
      </x:c>
      <x:c r="G190" s="8"/>
      <x:c r="H190" s="8"/>
      <x:c r="I190" s="8"/>
      <x:c r="J190" s="8"/>
      <x:c r="K190" s="8" t="str">
        <x:v>Сохраненный сигнал; в v6 не перечитан.</x:v>
      </x:c>
      <x:c r="L190" s="8" t="str">
        <x:v>https://youdo.com/rabota/obuchenie/podrabotka-biznes-trenerom/gor-peresvet</x:v>
      </x:c>
    </x:row>
    <x:row r="191" ht="34.5" customHeight="1">
      <x:c r="A191" s="8" t="str">
        <x:v>FD-N191</x:v>
      </x:c>
      <x:c r="B191" s="8" t="str">
        <x:v>База знаний для ежегодной бизнес-конференции</x:v>
      </x:c>
      <x:c r="C191" s="8" t="str">
        <x:v>FD-BU191</x:v>
      </x:c>
      <x:c r="D191" s="8" t="str">
        <x:v>Перечитать старую запись</x:v>
      </x:c>
      <x:c r="E191" s="8" t="str">
        <x:v>explicit_training_request</x:v>
      </x:c>
      <x:c r="F191" s="8" t="str">
        <x:v>core</x:v>
      </x:c>
      <x:c r="G191" s="8"/>
      <x:c r="H191" s="8"/>
      <x:c r="I191" s="8"/>
      <x:c r="J191" s="8"/>
      <x:c r="K191" s="8" t="str">
        <x:v>Сохраненный сигнал; в v6 не перечитан.</x:v>
      </x:c>
      <x:c r="L191" s="8" t="str">
        <x:v>https://youdo.com/rabota/obuchenie/podrabotka-biznes-trenerom/gor-peresvet</x:v>
      </x:c>
    </x:row>
    <x:row r="192" ht="31.5" customHeight="1">
      <x:c r="A192" s="8" t="str">
        <x:v>FD-N192</x:v>
      </x:c>
      <x:c r="B192" s="8" t="str">
        <x:v>Learning Experience Designer — Emerging Travel Group</x:v>
      </x:c>
      <x:c r="C192" s="8" t="str">
        <x:v>FD-B74658dd9dd2fb7</x:v>
      </x:c>
      <x:c r="D192" s="8" t="str">
        <x:v>Исследовать сигнал</x:v>
      </x:c>
      <x:c r="E192" s="8" t="str">
        <x:v>inferred_need</x:v>
      </x:c>
      <x:c r="F192" s="8" t="str">
        <x:v>core</x:v>
      </x:c>
      <x:c r="G192" s="8"/>
      <x:c r="H192" s="8"/>
      <x:c r="I192" s="8"/>
      <x:c r="J192" s="8"/>
      <x:c r="K192" s="8" t="str">
        <x:v>Сохраненный сигнал; в v6 не перечитан.</x:v>
      </x:c>
      <x:c r="L192" s="8" t="str">
        <x:v>https://t.me/rff_channel/3379</x:v>
      </x:c>
    </x:row>
    <x:row r="193" ht="31.5" customHeight="1">
      <x:c r="A193" s="8" t="str">
        <x:v>FD-N193</x:v>
      </x:c>
      <x:c r="B193" s="8" t="str">
        <x:v>Skillbox Experts: прием резюме экспертов</x:v>
      </x:c>
      <x:c r="C193" s="8" t="str">
        <x:v>FD-B3375b63adc3d31</x:v>
      </x:c>
      <x:c r="D193" s="8" t="str">
        <x:v>Партнерство</x:v>
      </x:c>
      <x:c r="E193" s="8" t="str">
        <x:v>standing_partner_invitation</x:v>
      </x:c>
      <x:c r="F193" s="8" t="str">
        <x:v>core</x:v>
      </x:c>
      <x:c r="G193" s="8"/>
      <x:c r="H193" s="8"/>
      <x:c r="I193" s="8"/>
      <x:c r="J193" s="8"/>
      <x:c r="K193" s="8" t="str">
        <x:v>Сохраненный сигнал; в v6 не перечитан.</x:v>
      </x:c>
      <x:c r="L193" s="8" t="str">
        <x:v>https://expert.skillbox.ru/</x:v>
      </x:c>
    </x:row>
    <x:row r="194" ht="34.5" customHeight="1">
      <x:c r="A194" s="8" t="str">
        <x:v>FD-N194</x:v>
      </x:c>
      <x:c r="B194" s="8" t="str">
        <x:v>Кандидат: запрос обучения отдельным участкам бухгалтерии</x:v>
      </x:c>
      <x:c r="C194" s="8" t="str">
        <x:v>FD-BU194</x:v>
      </x:c>
      <x:c r="D194" s="8" t="str">
        <x:v>Уточнить объем</x:v>
      </x:c>
      <x:c r="E194" s="8" t="str">
        <x:v>explicit_training_request</x:v>
      </x:c>
      <x:c r="F194" s="8" t="str">
        <x:v>uncertain</x:v>
      </x:c>
      <x:c r="G194" s="8"/>
      <x:c r="H194" s="8"/>
      <x:c r="I194" s="8"/>
      <x:c r="J194" s="8"/>
      <x:c r="K194" s="8" t="str">
        <x:v>Сохраненный сигнал; в v6 не перечитан.</x:v>
      </x:c>
      <x:c r="L194" s="8" t="str">
        <x:v>https://www.buhonline.ru/forum/index?g=posts&amp;t=869788</x:v>
      </x:c>
    </x:row>
    <x:row r="195" ht="34.5" customHeight="1">
      <x:c r="A195" s="8" t="str">
        <x:v>FD-N195</x:v>
      </x:c>
      <x:c r="B195" s="8" t="str">
        <x:v>Архивный маршрут приема спикеров МБМ</x:v>
      </x:c>
      <x:c r="C195" s="8" t="str">
        <x:v>FD-Bde6bf6147f9fa0</x:v>
      </x:c>
      <x:c r="D195" s="8" t="str">
        <x:v>Исследовать сигнал</x:v>
      </x:c>
      <x:c r="E195" s="8" t="str">
        <x:v>reference</x:v>
      </x:c>
      <x:c r="F195" s="8" t="str">
        <x:v>core</x:v>
      </x:c>
      <x:c r="G195" s="8" t="str">
        <x:v>2020-08-05</x:v>
      </x:c>
      <x:c r="H195" s="8"/>
      <x:c r="I195" s="8"/>
      <x:c r="J195" s="8"/>
      <x:c r="K195" s="8" t="str">
        <x:v>Сохраненный сигнал; в v6 не перечитан.</x:v>
      </x:c>
      <x:c r="L195" s="8" t="str">
        <x:v>https://yandex.ru/q/question/khochu_stat_spikerom_mbm_mos_chto_mne_761dac02/</x:v>
      </x:c>
    </x:row>
    <x:row r="196" ht="34.5" customHeight="1">
      <x:c r="A196" s="8" t="str">
        <x:v>FD-N196</x:v>
      </x:c>
      <x:c r="B196" s="8" t="str">
        <x:v>ФЦК и Сколково: партнерский вебинар и обучение внутренних тренеров</x:v>
      </x:c>
      <x:c r="C196" s="8" t="str">
        <x:v>FD-Bc974ae260107a2</x:v>
      </x:c>
      <x:c r="D196" s="8" t="str">
        <x:v>Исследовать сигнал</x:v>
      </x:c>
      <x:c r="E196" s="8" t="str">
        <x:v>inferred_need</x:v>
      </x:c>
      <x:c r="F196" s="8" t="str">
        <x:v>adjacent</x:v>
      </x:c>
      <x:c r="G196" s="8" t="str">
        <x:v>2026-09-04</x:v>
      </x:c>
      <x:c r="H196" s="8"/>
      <x:c r="I196" s="8"/>
      <x:c r="J196" s="8"/>
      <x:c r="K196" s="8" t="str">
        <x:v>Сохраненный сигнал; в v6 не перечитан.</x:v>
      </x:c>
      <x:c r="L196" s="8" t="str">
        <x:v>https://pptrf.ru/mediacenter/news/ftsk-i-shkola-upravleniya-skolkovo-partnyorstvo-dlya-rosta-proizvoditelnosti-i-effektivnosti-biznesa</x:v>
      </x:c>
    </x:row>
  </x:sheetData>
  <x:pageMargins left="0.7" right="0.7" top="0.75" bottom="0.75" header="0.3" footer="0.3"/>
  <x:tableParts count="1">
    <x:tablePart xmlns:r="http://schemas.openxmlformats.org/officeDocument/2006/relationships" r:id="Rbb8c4babdf154e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.889999389648438" hidden="0" customWidth="1"/>
    <x:col min="2" max="2" width="42.220001220703125" hidden="0" customWidth="1"/>
    <x:col min="3" max="3" width="36.66999816894531" hidden="0" customWidth="1"/>
    <x:col min="4" max="4" width="24.440000534057617" hidden="0" customWidth="1"/>
    <x:col min="5" max="5" width="55.560001373291016" hidden="0" customWidth="1"/>
    <x:col min="6" max="6" width="56.66999816894531" hidden="0" customWidth="1"/>
    <x:col min="7" max="7" width="46.66999816894531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174 записи покупателей</x:v>
      </x:c>
      <x:c r="B2" s="2"/>
      <x:c r="C2" s="2"/>
      <x:c r="D2" s="2"/>
      <x:c r="E2" s="2"/>
      <x:c r="F2" s="2"/>
      <x:c r="G2" s="2"/>
    </x:row>
    <x:row r="3" ht="22.5" customHeight="1">
      <x:c r="A3" s="4" t="str">
        <x:v>Юрлицо и владелец запроса не подтверждены. Публичный общий контакт — маршрут для уточнения.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3.75" customHeight="1">
      <x:c r="A5" s="7" t="str">
        <x:v>Покупатель ID</x:v>
      </x:c>
      <x:c r="B5" s="7" t="str">
        <x:v>Название — исходное</x:v>
      </x:c>
      <x:c r="C5" s="7" t="str">
        <x:v>Идентификация</x:v>
      </x:c>
      <x:c r="D5" s="7" t="str">
        <x:v>Потребности ID</x:v>
      </x:c>
      <x:c r="E5" s="7" t="str">
        <x:v>Публичные контакты</x:v>
      </x:c>
      <x:c r="F5" s="7" t="str">
        <x:v>Задача разрешения</x:v>
      </x:c>
      <x:c r="G5" s="7" t="str">
        <x:v>Источник контакта</x:v>
      </x:c>
    </x:row>
    <x:row r="6" ht="34.5" customHeight="1">
      <x:c r="A6" s="8" t="str">
        <x:v>FD-B2416d90d88eda2</x:v>
      </x:c>
      <x:c r="B6" s="8" t="str">
        <x:v>Русская медная компания</x:v>
      </x:c>
      <x:c r="C6" s="8" t="str">
        <x:v>official_site_matched_legal_entity_unverified</x:v>
      </x:c>
      <x:c r="D6" s="8" t="str">
        <x:v>FD-N001</x:v>
      </x:c>
      <x:c r="E6" s="8" t="str">
        <x:v>Подбор и адаптация РМК; hr@rcc-group.ru; +7 (343) 311-11-95</x:v>
      </x:c>
      <x:c r="F6" s="8" t="str">
        <x:v>Сопоставить официальный сайт, функцию закупки и владельца задачи; юрлицо подтверждать отдельно.</x:v>
      </x:c>
      <x:c r="G6" s="8" t="str">
        <x:v>https://www.rmk-group.ru/contacts/</x:v>
      </x:c>
    </x:row>
    <x:row r="7" ht="34.5" customHeight="1">
      <x:c r="A7" s="8" t="str">
        <x:v>FD-BU002</x:v>
      </x:c>
      <x:c r="B7" s="8" t="str">
        <x:v>Неустановленный заказчик · FD-N002</x:v>
      </x:c>
      <x:c r="C7" s="8" t="str">
        <x:v>anonymous_not_resolved</x:v>
      </x:c>
      <x:c r="D7" s="8" t="str">
        <x:v>FD-N002</x:v>
      </x:c>
      <x:c r="E7" s="8" t="str"/>
      <x:c r="F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7" s="8" t="str"/>
    </x:row>
    <x:row r="8" ht="34.5" customHeight="1">
      <x:c r="A8" s="8" t="str">
        <x:v>FD-BU003</x:v>
      </x:c>
      <x:c r="B8" s="8" t="str">
        <x:v>Неустановленный заказчик · FD-N003</x:v>
      </x:c>
      <x:c r="C8" s="8" t="str">
        <x:v>anonymous_not_resolved</x:v>
      </x:c>
      <x:c r="D8" s="8" t="str">
        <x:v>FD-N003</x:v>
      </x:c>
      <x:c r="E8" s="8" t="str"/>
      <x:c r="F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8" s="8" t="str"/>
    </x:row>
    <x:row r="9" ht="34.5" customHeight="1">
      <x:c r="A9" s="8" t="str">
        <x:v>FD-BU004</x:v>
      </x:c>
      <x:c r="B9" s="8" t="str">
        <x:v>Неустановленный заказчик · FD-N004</x:v>
      </x:c>
      <x:c r="C9" s="8" t="str">
        <x:v>anonymous_not_resolved</x:v>
      </x:c>
      <x:c r="D9" s="8" t="str">
        <x:v>FD-N004</x:v>
      </x:c>
      <x:c r="E9" s="8" t="str"/>
      <x:c r="F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9" s="8" t="str"/>
    </x:row>
    <x:row r="10" ht="34.5" customHeight="1">
      <x:c r="A10" s="8" t="str">
        <x:v>FD-BU005</x:v>
      </x:c>
      <x:c r="B10" s="8" t="str">
        <x:v>Неустановленный заказчик · FD-N005</x:v>
      </x:c>
      <x:c r="C10" s="8" t="str">
        <x:v>anonymous_not_resolved</x:v>
      </x:c>
      <x:c r="D10" s="8" t="str">
        <x:v>FD-N005</x:v>
      </x:c>
      <x:c r="E10" s="8" t="str"/>
      <x:c r="F1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0" s="8" t="str"/>
    </x:row>
    <x:row r="11" ht="34.5" customHeight="1">
      <x:c r="A11" s="8" t="str">
        <x:v>FD-BU006</x:v>
      </x:c>
      <x:c r="B11" s="8" t="str">
        <x:v>Неустановленный заказчик · FD-N006</x:v>
      </x:c>
      <x:c r="C11" s="8" t="str">
        <x:v>anonymous_not_resolved</x:v>
      </x:c>
      <x:c r="D11" s="8" t="str">
        <x:v>FD-N006</x:v>
      </x:c>
      <x:c r="E11" s="8" t="str"/>
      <x:c r="F1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1" s="8" t="str"/>
    </x:row>
    <x:row r="12" ht="34.5" customHeight="1">
      <x:c r="A12" s="8" t="str">
        <x:v>FD-BU007</x:v>
      </x:c>
      <x:c r="B12" s="8" t="str">
        <x:v>Неустановленный заказчик · FD-N007</x:v>
      </x:c>
      <x:c r="C12" s="8" t="str">
        <x:v>anonymous_not_resolved</x:v>
      </x:c>
      <x:c r="D12" s="8" t="str">
        <x:v>FD-N007</x:v>
      </x:c>
      <x:c r="E12" s="8" t="str"/>
      <x:c r="F1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2" s="8" t="str"/>
    </x:row>
    <x:row r="13" ht="34.5" customHeight="1">
      <x:c r="A13" s="8" t="str">
        <x:v>FD-BU008</x:v>
      </x:c>
      <x:c r="B13" s="8" t="str">
        <x:v>Неустановленный заказчик · FD-N008</x:v>
      </x:c>
      <x:c r="C13" s="8" t="str">
        <x:v>anonymous_not_resolved</x:v>
      </x:c>
      <x:c r="D13" s="8" t="str">
        <x:v>FD-N008</x:v>
      </x:c>
      <x:c r="E13" s="8" t="str"/>
      <x:c r="F1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" s="8" t="str"/>
    </x:row>
    <x:row r="14" ht="34.5" customHeight="1">
      <x:c r="A14" s="8" t="str">
        <x:v>FD-BU009</x:v>
      </x:c>
      <x:c r="B14" s="8" t="str">
        <x:v>Неустановленный заказчик · FD-N009</x:v>
      </x:c>
      <x:c r="C14" s="8" t="str">
        <x:v>anonymous_not_resolved</x:v>
      </x:c>
      <x:c r="D14" s="8" t="str">
        <x:v>FD-N009</x:v>
      </x:c>
      <x:c r="E14" s="8" t="str"/>
      <x:c r="F1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4" s="8" t="str"/>
    </x:row>
    <x:row r="15" ht="34.5" customHeight="1">
      <x:c r="A15" s="8" t="str">
        <x:v>FD-BU010</x:v>
      </x:c>
      <x:c r="B15" s="8" t="str">
        <x:v>Неустановленный заказчик · FD-N010</x:v>
      </x:c>
      <x:c r="C15" s="8" t="str">
        <x:v>anonymous_not_resolved</x:v>
      </x:c>
      <x:c r="D15" s="8" t="str">
        <x:v>FD-N010</x:v>
      </x:c>
      <x:c r="E15" s="8" t="str"/>
      <x:c r="F1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" s="8" t="str"/>
    </x:row>
    <x:row r="16" ht="34.5" customHeight="1">
      <x:c r="A16" s="8" t="str">
        <x:v>FD-BU011</x:v>
      </x:c>
      <x:c r="B16" s="8" t="str">
        <x:v>Неустановленный заказчик · FD-N011</x:v>
      </x:c>
      <x:c r="C16" s="8" t="str">
        <x:v>anonymous_not_resolved</x:v>
      </x:c>
      <x:c r="D16" s="8" t="str">
        <x:v>FD-N011</x:v>
      </x:c>
      <x:c r="E16" s="8" t="str"/>
      <x:c r="F1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6" s="8" t="str"/>
    </x:row>
    <x:row r="17" ht="34.5" customHeight="1">
      <x:c r="A17" s="8" t="str">
        <x:v>FD-BU012</x:v>
      </x:c>
      <x:c r="B17" s="8" t="str">
        <x:v>Неустановленный заказчик · FD-N012</x:v>
      </x:c>
      <x:c r="C17" s="8" t="str">
        <x:v>anonymous_not_resolved</x:v>
      </x:c>
      <x:c r="D17" s="8" t="str">
        <x:v>FD-N012</x:v>
      </x:c>
      <x:c r="E17" s="8" t="str"/>
      <x:c r="F1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7" s="8" t="str"/>
    </x:row>
    <x:row r="18" ht="34.5" customHeight="1">
      <x:c r="A18" s="8" t="str">
        <x:v>FD-BU013</x:v>
      </x:c>
      <x:c r="B18" s="8" t="str">
        <x:v>Неустановленный заказчик · FD-N013</x:v>
      </x:c>
      <x:c r="C18" s="8" t="str">
        <x:v>anonymous_not_resolved</x:v>
      </x:c>
      <x:c r="D18" s="8" t="str">
        <x:v>FD-N013</x:v>
      </x:c>
      <x:c r="E18" s="8" t="str"/>
      <x:c r="F1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8" s="8" t="str"/>
    </x:row>
    <x:row r="19" ht="34.5" customHeight="1">
      <x:c r="A19" s="8" t="str">
        <x:v>FD-BU014</x:v>
      </x:c>
      <x:c r="B19" s="8" t="str">
        <x:v>Неустановленный заказчик · FD-N014</x:v>
      </x:c>
      <x:c r="C19" s="8" t="str">
        <x:v>anonymous_not_resolved</x:v>
      </x:c>
      <x:c r="D19" s="8" t="str">
        <x:v>FD-N014</x:v>
      </x:c>
      <x:c r="E19" s="8" t="str"/>
      <x:c r="F1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9" s="8" t="str"/>
    </x:row>
    <x:row r="20" ht="34.5" customHeight="1">
      <x:c r="A20" s="8" t="str">
        <x:v>FD-BU015</x:v>
      </x:c>
      <x:c r="B20" s="8" t="str">
        <x:v>Неустановленный заказчик · FD-N015</x:v>
      </x:c>
      <x:c r="C20" s="8" t="str">
        <x:v>anonymous_not_resolved</x:v>
      </x:c>
      <x:c r="D20" s="8" t="str">
        <x:v>FD-N015</x:v>
      </x:c>
      <x:c r="E20" s="8" t="str"/>
      <x:c r="F2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0" s="8" t="str"/>
    </x:row>
    <x:row r="21" ht="34.5" customHeight="1">
      <x:c r="A21" s="8" t="str">
        <x:v>FD-BU016</x:v>
      </x:c>
      <x:c r="B21" s="8" t="str">
        <x:v>Неустановленный заказчик · FD-N016</x:v>
      </x:c>
      <x:c r="C21" s="8" t="str">
        <x:v>anonymous_not_resolved</x:v>
      </x:c>
      <x:c r="D21" s="8" t="str">
        <x:v>FD-N016</x:v>
      </x:c>
      <x:c r="E21" s="8" t="str"/>
      <x:c r="F2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1" s="8" t="str"/>
    </x:row>
    <x:row r="22" ht="34.5" customHeight="1">
      <x:c r="A22" s="8" t="str">
        <x:v>FD-BU017</x:v>
      </x:c>
      <x:c r="B22" s="8" t="str">
        <x:v>Неустановленный заказчик · FD-N017</x:v>
      </x:c>
      <x:c r="C22" s="8" t="str">
        <x:v>anonymous_not_resolved</x:v>
      </x:c>
      <x:c r="D22" s="8" t="str">
        <x:v>FD-N017</x:v>
      </x:c>
      <x:c r="E22" s="8" t="str"/>
      <x:c r="F2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2" s="8" t="str"/>
    </x:row>
    <x:row r="23" ht="34.5" customHeight="1">
      <x:c r="A23" s="8" t="str">
        <x:v>FD-BU018</x:v>
      </x:c>
      <x:c r="B23" s="8" t="str">
        <x:v>Неустановленный заказчик · FD-N018</x:v>
      </x:c>
      <x:c r="C23" s="8" t="str">
        <x:v>anonymous_not_resolved</x:v>
      </x:c>
      <x:c r="D23" s="8" t="str">
        <x:v>FD-N018</x:v>
      </x:c>
      <x:c r="E23" s="8" t="str"/>
      <x:c r="F2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3" s="8" t="str"/>
    </x:row>
    <x:row r="24" ht="34.5" customHeight="1">
      <x:c r="A24" s="8" t="str">
        <x:v>FD-BU019</x:v>
      </x:c>
      <x:c r="B24" s="8" t="str">
        <x:v>Неустановленный заказчик · FD-N019</x:v>
      </x:c>
      <x:c r="C24" s="8" t="str">
        <x:v>anonymous_not_resolved</x:v>
      </x:c>
      <x:c r="D24" s="8" t="str">
        <x:v>FD-N019</x:v>
      </x:c>
      <x:c r="E24" s="8" t="str"/>
      <x:c r="F2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4" s="8" t="str"/>
    </x:row>
    <x:row r="25" ht="34.5" customHeight="1">
      <x:c r="A25" s="8" t="str">
        <x:v>FD-BU020</x:v>
      </x:c>
      <x:c r="B25" s="8" t="str">
        <x:v>Неустановленный заказчик · FD-N020</x:v>
      </x:c>
      <x:c r="C25" s="8" t="str">
        <x:v>anonymous_not_resolved</x:v>
      </x:c>
      <x:c r="D25" s="8" t="str">
        <x:v>FD-N020</x:v>
      </x:c>
      <x:c r="E25" s="8" t="str"/>
      <x:c r="F2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5" s="8" t="str"/>
    </x:row>
    <x:row r="26" ht="34.5" customHeight="1">
      <x:c r="A26" s="8" t="str">
        <x:v>FD-BU021</x:v>
      </x:c>
      <x:c r="B26" s="8" t="str">
        <x:v>Неустановленный заказчик · FD-N021</x:v>
      </x:c>
      <x:c r="C26" s="8" t="str">
        <x:v>anonymous_not_resolved</x:v>
      </x:c>
      <x:c r="D26" s="8" t="str">
        <x:v>FD-N021</x:v>
      </x:c>
      <x:c r="E26" s="8" t="str"/>
      <x:c r="F2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6" s="8" t="str"/>
    </x:row>
    <x:row r="27" ht="34.5" customHeight="1">
      <x:c r="A27" s="8" t="str">
        <x:v>FD-BU022</x:v>
      </x:c>
      <x:c r="B27" s="8" t="str">
        <x:v>Неустановленный заказчик · FD-N022</x:v>
      </x:c>
      <x:c r="C27" s="8" t="str">
        <x:v>anonymous_not_resolved</x:v>
      </x:c>
      <x:c r="D27" s="8" t="str">
        <x:v>FD-N022</x:v>
      </x:c>
      <x:c r="E27" s="8" t="str"/>
      <x:c r="F2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7" s="8" t="str"/>
    </x:row>
    <x:row r="28" ht="34.5" customHeight="1">
      <x:c r="A28" s="8" t="str">
        <x:v>FD-BU023</x:v>
      </x:c>
      <x:c r="B28" s="8" t="str">
        <x:v>Неустановленный заказчик · FD-N023</x:v>
      </x:c>
      <x:c r="C28" s="8" t="str">
        <x:v>anonymous_not_resolved</x:v>
      </x:c>
      <x:c r="D28" s="8" t="str">
        <x:v>FD-N023</x:v>
      </x:c>
      <x:c r="E28" s="8" t="str"/>
      <x:c r="F2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8" s="8" t="str"/>
    </x:row>
    <x:row r="29" ht="34.5" customHeight="1">
      <x:c r="A29" s="8" t="str">
        <x:v>FD-BU024</x:v>
      </x:c>
      <x:c r="B29" s="8" t="str">
        <x:v>Неустановленный заказчик · FD-N024</x:v>
      </x:c>
      <x:c r="C29" s="8" t="str">
        <x:v>anonymous_not_resolved</x:v>
      </x:c>
      <x:c r="D29" s="8" t="str">
        <x:v>FD-N024</x:v>
      </x:c>
      <x:c r="E29" s="8" t="str"/>
      <x:c r="F2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29" s="8" t="str"/>
    </x:row>
    <x:row r="30" ht="34.5" customHeight="1">
      <x:c r="A30" s="8" t="str">
        <x:v>FD-BU025</x:v>
      </x:c>
      <x:c r="B30" s="8" t="str">
        <x:v>Неустановленный заказчик · FD-N025</x:v>
      </x:c>
      <x:c r="C30" s="8" t="str">
        <x:v>anonymous_not_resolved</x:v>
      </x:c>
      <x:c r="D30" s="8" t="str">
        <x:v>FD-N025</x:v>
      </x:c>
      <x:c r="E30" s="8" t="str"/>
      <x:c r="F3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30" s="8" t="str"/>
    </x:row>
    <x:row r="31" ht="34.5" customHeight="1">
      <x:c r="A31" s="8" t="str">
        <x:v>FD-BU026</x:v>
      </x:c>
      <x:c r="B31" s="8" t="str">
        <x:v>Неустановленный заказчик · FD-N026</x:v>
      </x:c>
      <x:c r="C31" s="8" t="str">
        <x:v>anonymous_not_resolved</x:v>
      </x:c>
      <x:c r="D31" s="8" t="str">
        <x:v>FD-N026</x:v>
      </x:c>
      <x:c r="E31" s="8" t="str"/>
      <x:c r="F3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31" s="8" t="str"/>
    </x:row>
    <x:row r="32" ht="34.5" customHeight="1">
      <x:c r="A32" s="8" t="str">
        <x:v>FD-BU027</x:v>
      </x:c>
      <x:c r="B32" s="8" t="str">
        <x:v>Неустановленный заказчик · FD-N027</x:v>
      </x:c>
      <x:c r="C32" s="8" t="str">
        <x:v>anonymous_not_resolved</x:v>
      </x:c>
      <x:c r="D32" s="8" t="str">
        <x:v>FD-N027</x:v>
      </x:c>
      <x:c r="E32" s="8" t="str"/>
      <x:c r="F3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32" s="8" t="str"/>
    </x:row>
    <x:row r="33" ht="34.5" customHeight="1">
      <x:c r="A33" s="8" t="str">
        <x:v>FD-BU028</x:v>
      </x:c>
      <x:c r="B33" s="8" t="str">
        <x:v>Неустановленный заказчик · FD-N028</x:v>
      </x:c>
      <x:c r="C33" s="8" t="str">
        <x:v>anonymous_not_resolved</x:v>
      </x:c>
      <x:c r="D33" s="8" t="str">
        <x:v>FD-N028</x:v>
      </x:c>
      <x:c r="E33" s="8" t="str"/>
      <x:c r="F3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33" s="8" t="str"/>
    </x:row>
    <x:row r="34" ht="34.5" customHeight="1">
      <x:c r="A34" s="8" t="str">
        <x:v>FD-BU029</x:v>
      </x:c>
      <x:c r="B34" s="8" t="str">
        <x:v>Неустановленный заказчик · FD-N029</x:v>
      </x:c>
      <x:c r="C34" s="8" t="str">
        <x:v>anonymous_not_resolved</x:v>
      </x:c>
      <x:c r="D34" s="8" t="str">
        <x:v>FD-N029</x:v>
      </x:c>
      <x:c r="E34" s="8" t="str"/>
      <x:c r="F3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34" s="8" t="str"/>
    </x:row>
    <x:row r="35" ht="34.5" customHeight="1">
      <x:c r="A35" s="8" t="str">
        <x:v>FD-B54dc054971a5c0</x:v>
      </x:c>
      <x:c r="B35" s="8" t="str">
        <x:v>АНО «Таврида.АРТ»</x:v>
      </x:c>
      <x:c r="C35" s="8" t="str">
        <x:v>named_in_publication_legal_entity_unverified</x:v>
      </x:c>
      <x:c r="D35" s="8" t="str">
        <x:v>FD-N030</x:v>
      </x:c>
      <x:c r="E35" s="8" t="str"/>
      <x:c r="F35" s="8" t="str">
        <x:v>Сопоставить официальный сайт, функцию закупки и владельца задачи; юрлицо подтверждать отдельно.</x:v>
      </x:c>
      <x:c r="G35" s="8" t="str"/>
    </x:row>
    <x:row r="36" ht="34.5" customHeight="1">
      <x:c r="A36" s="8" t="str">
        <x:v>FD-B2bc2f0e65e9c81</x:v>
      </x:c>
      <x:c r="B36" s="8" t="str">
        <x:v>Живое обучение</x:v>
      </x:c>
      <x:c r="C36" s="8" t="str">
        <x:v>named_in_publication_legal_entity_unverified</x:v>
      </x:c>
      <x:c r="D36" s="8" t="str">
        <x:v>FD-N031</x:v>
      </x:c>
      <x:c r="E36" s="8" t="str"/>
      <x:c r="F36" s="8" t="str">
        <x:v>Сопоставить официальный сайт, функцию закупки и владельца задачи; юрлицо подтверждать отдельно.</x:v>
      </x:c>
      <x:c r="G36" s="8" t="str"/>
    </x:row>
    <x:row r="37" ht="34.5" customHeight="1">
      <x:c r="A37" s="8" t="str">
        <x:v>FD-Ba1f4d352842a6b</x:v>
      </x:c>
      <x:c r="B37" s="8" t="str">
        <x:v>Learning Elements / ИП Тихомирова Елена Владимировна</x:v>
      </x:c>
      <x:c r="C37" s="8" t="str">
        <x:v>named_in_publication_legal_entity_unverified</x:v>
      </x:c>
      <x:c r="D37" s="8" t="str">
        <x:v>FD-N032; FD-N117</x:v>
      </x:c>
      <x:c r="E37" s="8" t="str"/>
      <x:c r="F37" s="8" t="str">
        <x:v>Сопоставить официальный сайт, функцию закупки и владельца задачи; юрлицо подтверждать отдельно.</x:v>
      </x:c>
      <x:c r="G37" s="8" t="str"/>
    </x:row>
    <x:row r="38" ht="34.5" customHeight="1">
      <x:c r="A38" s="8" t="str">
        <x:v>FD-B952ae9b2302a09</x:v>
      </x:c>
      <x:c r="B38" s="8" t="str">
        <x:v>Бенуа Кампус PAGE</x:v>
      </x:c>
      <x:c r="C38" s="8" t="str">
        <x:v>named_in_publication_legal_entity_unverified</x:v>
      </x:c>
      <x:c r="D38" s="8" t="str">
        <x:v>FD-N033</x:v>
      </x:c>
      <x:c r="E38" s="8" t="str"/>
      <x:c r="F38" s="8" t="str">
        <x:v>Сопоставить официальный сайт, функцию закупки и владельца задачи; юрлицо подтверждать отдельно.</x:v>
      </x:c>
      <x:c r="G38" s="8" t="str"/>
    </x:row>
    <x:row r="39" ht="34.5" customHeight="1">
      <x:c r="A39" s="8" t="str">
        <x:v>FD-BU034</x:v>
      </x:c>
      <x:c r="B39" s="8" t="str">
        <x:v>Неустановленный заказчик · FD-N034</x:v>
      </x:c>
      <x:c r="C39" s="8" t="str">
        <x:v>anonymous_not_resolved</x:v>
      </x:c>
      <x:c r="D39" s="8" t="str">
        <x:v>FD-N034</x:v>
      </x:c>
      <x:c r="E39" s="8" t="str"/>
      <x:c r="F3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39" s="8" t="str"/>
    </x:row>
    <x:row r="40" ht="34.5" customHeight="1">
      <x:c r="A40" s="8" t="str">
        <x:v>FD-B31e726158a268d</x:v>
      </x:c>
      <x:c r="B40" s="8" t="str">
        <x:v>Бизнес-клуб «Олимп»</x:v>
      </x:c>
      <x:c r="C40" s="8" t="str">
        <x:v>named_in_publication_legal_entity_unverified</x:v>
      </x:c>
      <x:c r="D40" s="8" t="str">
        <x:v>FD-N035</x:v>
      </x:c>
      <x:c r="E40" s="8" t="str"/>
      <x:c r="F40" s="8" t="str">
        <x:v>Сопоставить официальный сайт, функцию закупки и владельца задачи; юрлицо подтверждать отдельно.</x:v>
      </x:c>
      <x:c r="G40" s="8" t="str"/>
    </x:row>
    <x:row r="41" ht="34.5" customHeight="1">
      <x:c r="A41" s="8" t="str">
        <x:v>FD-BU036</x:v>
      </x:c>
      <x:c r="B41" s="8" t="str">
        <x:v>Неустановленный заказчик · FD-N036</x:v>
      </x:c>
      <x:c r="C41" s="8" t="str">
        <x:v>anonymous_not_resolved</x:v>
      </x:c>
      <x:c r="D41" s="8" t="str">
        <x:v>FD-N036</x:v>
      </x:c>
      <x:c r="E41" s="8" t="str"/>
      <x:c r="F4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1" s="8" t="str"/>
    </x:row>
    <x:row r="42" ht="34.5" customHeight="1">
      <x:c r="A42" s="8" t="str">
        <x:v>FD-BU037</x:v>
      </x:c>
      <x:c r="B42" s="8" t="str">
        <x:v>Неустановленный заказчик · FD-N037</x:v>
      </x:c>
      <x:c r="C42" s="8" t="str">
        <x:v>anonymous_not_resolved</x:v>
      </x:c>
      <x:c r="D42" s="8" t="str">
        <x:v>FD-N037</x:v>
      </x:c>
      <x:c r="E42" s="8" t="str"/>
      <x:c r="F4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2" s="8" t="str"/>
    </x:row>
    <x:row r="43" ht="34.5" customHeight="1">
      <x:c r="A43" s="8" t="str">
        <x:v>FD-BU038</x:v>
      </x:c>
      <x:c r="B43" s="8" t="str">
        <x:v>Неустановленный заказчик · FD-N038</x:v>
      </x:c>
      <x:c r="C43" s="8" t="str">
        <x:v>anonymous_not_resolved</x:v>
      </x:c>
      <x:c r="D43" s="8" t="str">
        <x:v>FD-N038</x:v>
      </x:c>
      <x:c r="E43" s="8" t="str"/>
      <x:c r="F4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3" s="8" t="str"/>
    </x:row>
    <x:row r="44" ht="34.5" customHeight="1">
      <x:c r="A44" s="8" t="str">
        <x:v>FD-BU039</x:v>
      </x:c>
      <x:c r="B44" s="8" t="str">
        <x:v>Неустановленный заказчик · FD-N039</x:v>
      </x:c>
      <x:c r="C44" s="8" t="str">
        <x:v>anonymous_not_resolved</x:v>
      </x:c>
      <x:c r="D44" s="8" t="str">
        <x:v>FD-N039</x:v>
      </x:c>
      <x:c r="E44" s="8" t="str"/>
      <x:c r="F4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4" s="8" t="str"/>
    </x:row>
    <x:row r="45" ht="34.5" customHeight="1">
      <x:c r="A45" s="8" t="str">
        <x:v>FD-BU040</x:v>
      </x:c>
      <x:c r="B45" s="8" t="str">
        <x:v>Неустановленный заказчик · FD-N040</x:v>
      </x:c>
      <x:c r="C45" s="8" t="str">
        <x:v>anonymous_not_resolved</x:v>
      </x:c>
      <x:c r="D45" s="8" t="str">
        <x:v>FD-N040</x:v>
      </x:c>
      <x:c r="E45" s="8" t="str"/>
      <x:c r="F4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5" s="8" t="str"/>
    </x:row>
    <x:row r="46" ht="34.5" customHeight="1">
      <x:c r="A46" s="8" t="str">
        <x:v>FD-Bf610020b7a0119</x:v>
      </x:c>
      <x:c r="B46" s="8" t="str">
        <x:v>Парк PAGE</x:v>
      </x:c>
      <x:c r="C46" s="8" t="str">
        <x:v>named_in_publication_legal_entity_unverified</x:v>
      </x:c>
      <x:c r="D46" s="8" t="str">
        <x:v>FD-N041</x:v>
      </x:c>
      <x:c r="E46" s="8" t="str"/>
      <x:c r="F46" s="8" t="str">
        <x:v>Сопоставить официальный сайт, функцию закупки и владельца задачи; юрлицо подтверждать отдельно.</x:v>
      </x:c>
      <x:c r="G46" s="8" t="str"/>
    </x:row>
    <x:row r="47" ht="34.5" customHeight="1">
      <x:c r="A47" s="8" t="str">
        <x:v>FD-BU042</x:v>
      </x:c>
      <x:c r="B47" s="8" t="str">
        <x:v>Неустановленный заказчик · FD-N042</x:v>
      </x:c>
      <x:c r="C47" s="8" t="str">
        <x:v>anonymous_not_resolved</x:v>
      </x:c>
      <x:c r="D47" s="8" t="str">
        <x:v>FD-N042</x:v>
      </x:c>
      <x:c r="E47" s="8" t="str"/>
      <x:c r="F4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7" s="8" t="str"/>
    </x:row>
    <x:row r="48" ht="34.5" customHeight="1">
      <x:c r="A48" s="8" t="str">
        <x:v>FD-BU043</x:v>
      </x:c>
      <x:c r="B48" s="8" t="str">
        <x:v>Неустановленный заказчик · FD-N043</x:v>
      </x:c>
      <x:c r="C48" s="8" t="str">
        <x:v>anonymous_not_resolved</x:v>
      </x:c>
      <x:c r="D48" s="8" t="str">
        <x:v>FD-N043</x:v>
      </x:c>
      <x:c r="E48" s="8" t="str"/>
      <x:c r="F4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8" s="8" t="str"/>
    </x:row>
    <x:row r="49" ht="34.5" customHeight="1">
      <x:c r="A49" s="8" t="str">
        <x:v>FD-BU044</x:v>
      </x:c>
      <x:c r="B49" s="8" t="str">
        <x:v>Неустановленный заказчик · FD-N044</x:v>
      </x:c>
      <x:c r="C49" s="8" t="str">
        <x:v>anonymous_not_resolved</x:v>
      </x:c>
      <x:c r="D49" s="8" t="str">
        <x:v>FD-N044</x:v>
      </x:c>
      <x:c r="E49" s="8" t="str"/>
      <x:c r="F4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49" s="8" t="str"/>
    </x:row>
    <x:row r="50" ht="34.5" customHeight="1">
      <x:c r="A50" s="8" t="str">
        <x:v>FD-BU045</x:v>
      </x:c>
      <x:c r="B50" s="8" t="str">
        <x:v>Неустановленный заказчик · FD-N045</x:v>
      </x:c>
      <x:c r="C50" s="8" t="str">
        <x:v>anonymous_not_resolved</x:v>
      </x:c>
      <x:c r="D50" s="8" t="str">
        <x:v>FD-N045</x:v>
      </x:c>
      <x:c r="E50" s="8" t="str"/>
      <x:c r="F5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0" s="8" t="str"/>
    </x:row>
    <x:row r="51" ht="34.5" customHeight="1">
      <x:c r="A51" s="8" t="str">
        <x:v>FD-BU046</x:v>
      </x:c>
      <x:c r="B51" s="8" t="str">
        <x:v>Неустановленный заказчик · FD-N046</x:v>
      </x:c>
      <x:c r="C51" s="8" t="str">
        <x:v>anonymous_not_resolved</x:v>
      </x:c>
      <x:c r="D51" s="8" t="str">
        <x:v>FD-N046</x:v>
      </x:c>
      <x:c r="E51" s="8" t="str"/>
      <x:c r="F5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1" s="8" t="str"/>
    </x:row>
    <x:row r="52" ht="34.5" customHeight="1">
      <x:c r="A52" s="8" t="str">
        <x:v>FD-BU047</x:v>
      </x:c>
      <x:c r="B52" s="8" t="str">
        <x:v>Неустановленный заказчик · FD-N047</x:v>
      </x:c>
      <x:c r="C52" s="8" t="str">
        <x:v>anonymous_not_resolved</x:v>
      </x:c>
      <x:c r="D52" s="8" t="str">
        <x:v>FD-N047</x:v>
      </x:c>
      <x:c r="E52" s="8" t="str"/>
      <x:c r="F5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2" s="8" t="str"/>
    </x:row>
    <x:row r="53" ht="34.5" customHeight="1">
      <x:c r="A53" s="8" t="str">
        <x:v>FD-BU048</x:v>
      </x:c>
      <x:c r="B53" s="8" t="str">
        <x:v>Неустановленный заказчик · FD-N048</x:v>
      </x:c>
      <x:c r="C53" s="8" t="str">
        <x:v>anonymous_not_resolved</x:v>
      </x:c>
      <x:c r="D53" s="8" t="str">
        <x:v>FD-N048</x:v>
      </x:c>
      <x:c r="E53" s="8" t="str"/>
      <x:c r="F5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3" s="8" t="str"/>
    </x:row>
    <x:row r="54" ht="34.5" customHeight="1">
      <x:c r="A54" s="8" t="str">
        <x:v>FD-BU049</x:v>
      </x:c>
      <x:c r="B54" s="8" t="str">
        <x:v>Неустановленный заказчик · FD-N049</x:v>
      </x:c>
      <x:c r="C54" s="8" t="str">
        <x:v>anonymous_not_resolved</x:v>
      </x:c>
      <x:c r="D54" s="8" t="str">
        <x:v>FD-N049</x:v>
      </x:c>
      <x:c r="E54" s="8" t="str"/>
      <x:c r="F5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4" s="8" t="str"/>
    </x:row>
    <x:row r="55" ht="34.5" customHeight="1">
      <x:c r="A55" s="8" t="str">
        <x:v>FD-BU050</x:v>
      </x:c>
      <x:c r="B55" s="8" t="str">
        <x:v>Неустановленный заказчик · FD-N050</x:v>
      </x:c>
      <x:c r="C55" s="8" t="str">
        <x:v>anonymous_not_resolved</x:v>
      </x:c>
      <x:c r="D55" s="8" t="str">
        <x:v>FD-N050</x:v>
      </x:c>
      <x:c r="E55" s="8" t="str"/>
      <x:c r="F5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5" s="8" t="str"/>
    </x:row>
    <x:row r="56" ht="34.5" customHeight="1">
      <x:c r="A56" s="8" t="str">
        <x:v>FD-BU051</x:v>
      </x:c>
      <x:c r="B56" s="8" t="str">
        <x:v>Неустановленный заказчик · FD-N051</x:v>
      </x:c>
      <x:c r="C56" s="8" t="str">
        <x:v>anonymous_not_resolved</x:v>
      </x:c>
      <x:c r="D56" s="8" t="str">
        <x:v>FD-N051</x:v>
      </x:c>
      <x:c r="E56" s="8" t="str"/>
      <x:c r="F5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6" s="8" t="str"/>
    </x:row>
    <x:row r="57" ht="34.5" customHeight="1">
      <x:c r="A57" s="8" t="str">
        <x:v>FD-BU052</x:v>
      </x:c>
      <x:c r="B57" s="8" t="str">
        <x:v>Неустановленный заказчик · FD-N052</x:v>
      </x:c>
      <x:c r="C57" s="8" t="str">
        <x:v>anonymous_not_resolved</x:v>
      </x:c>
      <x:c r="D57" s="8" t="str">
        <x:v>FD-N052</x:v>
      </x:c>
      <x:c r="E57" s="8" t="str"/>
      <x:c r="F5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7" s="8" t="str"/>
    </x:row>
    <x:row r="58" ht="34.5" customHeight="1">
      <x:c r="A58" s="8" t="str">
        <x:v>FD-BU053</x:v>
      </x:c>
      <x:c r="B58" s="8" t="str">
        <x:v>Неустановленный заказчик · FD-N053</x:v>
      </x:c>
      <x:c r="C58" s="8" t="str">
        <x:v>anonymous_not_resolved</x:v>
      </x:c>
      <x:c r="D58" s="8" t="str">
        <x:v>FD-N053</x:v>
      </x:c>
      <x:c r="E58" s="8" t="str"/>
      <x:c r="F5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8" s="8" t="str"/>
    </x:row>
    <x:row r="59" ht="34.5" customHeight="1">
      <x:c r="A59" s="8" t="str">
        <x:v>FD-BU054</x:v>
      </x:c>
      <x:c r="B59" s="8" t="str">
        <x:v>Неустановленный заказчик · FD-N054</x:v>
      </x:c>
      <x:c r="C59" s="8" t="str">
        <x:v>anonymous_not_resolved</x:v>
      </x:c>
      <x:c r="D59" s="8" t="str">
        <x:v>FD-N054</x:v>
      </x:c>
      <x:c r="E59" s="8" t="str"/>
      <x:c r="F5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59" s="8" t="str"/>
    </x:row>
    <x:row r="60" ht="34.5" customHeight="1">
      <x:c r="A60" s="8" t="str">
        <x:v>FD-BU055</x:v>
      </x:c>
      <x:c r="B60" s="8" t="str">
        <x:v>Неустановленный заказчик · FD-N055</x:v>
      </x:c>
      <x:c r="C60" s="8" t="str">
        <x:v>anonymous_not_resolved</x:v>
      </x:c>
      <x:c r="D60" s="8" t="str">
        <x:v>FD-N055</x:v>
      </x:c>
      <x:c r="E60" s="8" t="str"/>
      <x:c r="F6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0" s="8" t="str"/>
    </x:row>
    <x:row r="61" ht="34.5" customHeight="1">
      <x:c r="A61" s="8" t="str">
        <x:v>FD-BU056</x:v>
      </x:c>
      <x:c r="B61" s="8" t="str">
        <x:v>Неустановленный заказчик · FD-N056</x:v>
      </x:c>
      <x:c r="C61" s="8" t="str">
        <x:v>anonymous_not_resolved</x:v>
      </x:c>
      <x:c r="D61" s="8" t="str">
        <x:v>FD-N056</x:v>
      </x:c>
      <x:c r="E61" s="8" t="str"/>
      <x:c r="F6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1" s="8" t="str"/>
    </x:row>
    <x:row r="62" ht="34.5" customHeight="1">
      <x:c r="A62" s="8" t="str">
        <x:v>FD-BU057</x:v>
      </x:c>
      <x:c r="B62" s="8" t="str">
        <x:v>Неустановленный заказчик · FD-N057</x:v>
      </x:c>
      <x:c r="C62" s="8" t="str">
        <x:v>anonymous_not_resolved</x:v>
      </x:c>
      <x:c r="D62" s="8" t="str">
        <x:v>FD-N057</x:v>
      </x:c>
      <x:c r="E62" s="8" t="str"/>
      <x:c r="F6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2" s="8" t="str"/>
    </x:row>
    <x:row r="63" ht="34.5" customHeight="1">
      <x:c r="A63" s="8" t="str">
        <x:v>FD-BU058</x:v>
      </x:c>
      <x:c r="B63" s="8" t="str">
        <x:v>Неустановленный заказчик · FD-N058</x:v>
      </x:c>
      <x:c r="C63" s="8" t="str">
        <x:v>anonymous_not_resolved</x:v>
      </x:c>
      <x:c r="D63" s="8" t="str">
        <x:v>FD-N058</x:v>
      </x:c>
      <x:c r="E63" s="8" t="str"/>
      <x:c r="F6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3" s="8" t="str"/>
    </x:row>
    <x:row r="64" ht="34.5" customHeight="1">
      <x:c r="A64" s="8" t="str">
        <x:v>FD-BU059</x:v>
      </x:c>
      <x:c r="B64" s="8" t="str">
        <x:v>Неустановленный заказчик · FD-N059</x:v>
      </x:c>
      <x:c r="C64" s="8" t="str">
        <x:v>anonymous_not_resolved</x:v>
      </x:c>
      <x:c r="D64" s="8" t="str">
        <x:v>FD-N059</x:v>
      </x:c>
      <x:c r="E64" s="8" t="str"/>
      <x:c r="F6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4" s="8" t="str"/>
    </x:row>
    <x:row r="65" ht="34.5" customHeight="1">
      <x:c r="A65" s="8" t="str">
        <x:v>FD-BU060</x:v>
      </x:c>
      <x:c r="B65" s="8" t="str">
        <x:v>Неустановленный заказчик · FD-N060</x:v>
      </x:c>
      <x:c r="C65" s="8" t="str">
        <x:v>anonymous_not_resolved</x:v>
      </x:c>
      <x:c r="D65" s="8" t="str">
        <x:v>FD-N060</x:v>
      </x:c>
      <x:c r="E65" s="8" t="str"/>
      <x:c r="F6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5" s="8" t="str"/>
    </x:row>
    <x:row r="66" ht="34.5" customHeight="1">
      <x:c r="A66" s="8" t="str">
        <x:v>FD-BU061</x:v>
      </x:c>
      <x:c r="B66" s="8" t="str">
        <x:v>Неустановленный заказчик · FD-N061</x:v>
      </x:c>
      <x:c r="C66" s="8" t="str">
        <x:v>anonymous_not_resolved</x:v>
      </x:c>
      <x:c r="D66" s="8" t="str">
        <x:v>FD-N061</x:v>
      </x:c>
      <x:c r="E66" s="8" t="str"/>
      <x:c r="F6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6" s="8" t="str"/>
    </x:row>
    <x:row r="67" ht="34.5" customHeight="1">
      <x:c r="A67" s="8" t="str">
        <x:v>FD-BU062</x:v>
      </x:c>
      <x:c r="B67" s="8" t="str">
        <x:v>Неустановленный заказчик · FD-N062</x:v>
      </x:c>
      <x:c r="C67" s="8" t="str">
        <x:v>anonymous_not_resolved</x:v>
      </x:c>
      <x:c r="D67" s="8" t="str">
        <x:v>FD-N062</x:v>
      </x:c>
      <x:c r="E67" s="8" t="str"/>
      <x:c r="F6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7" s="8" t="str"/>
    </x:row>
    <x:row r="68" ht="34.5" customHeight="1">
      <x:c r="A68" s="8" t="str">
        <x:v>FD-BU063</x:v>
      </x:c>
      <x:c r="B68" s="8" t="str">
        <x:v>Неустановленный заказчик · FD-N063</x:v>
      </x:c>
      <x:c r="C68" s="8" t="str">
        <x:v>anonymous_not_resolved</x:v>
      </x:c>
      <x:c r="D68" s="8" t="str">
        <x:v>FD-N063</x:v>
      </x:c>
      <x:c r="E68" s="8" t="str"/>
      <x:c r="F6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8" s="8" t="str"/>
    </x:row>
    <x:row r="69" ht="34.5" customHeight="1">
      <x:c r="A69" s="8" t="str">
        <x:v>FD-BU064</x:v>
      </x:c>
      <x:c r="B69" s="8" t="str">
        <x:v>Неустановленный заказчик · FD-N064</x:v>
      </x:c>
      <x:c r="C69" s="8" t="str">
        <x:v>anonymous_not_resolved</x:v>
      </x:c>
      <x:c r="D69" s="8" t="str">
        <x:v>FD-N064</x:v>
      </x:c>
      <x:c r="E69" s="8" t="str"/>
      <x:c r="F6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69" s="8" t="str"/>
    </x:row>
    <x:row r="70" ht="34.5" customHeight="1">
      <x:c r="A70" s="8" t="str">
        <x:v>FD-B1dc6b697919560</x:v>
      </x:c>
      <x:c r="B70" s="8" t="str">
        <x:v>D Innovate Group</x:v>
      </x:c>
      <x:c r="C70" s="8" t="str">
        <x:v>named_in_publication_legal_entity_unverified</x:v>
      </x:c>
      <x:c r="D70" s="8" t="str">
        <x:v>FD-N065</x:v>
      </x:c>
      <x:c r="E70" s="8" t="str"/>
      <x:c r="F70" s="8" t="str">
        <x:v>Сопоставить официальный сайт, функцию закупки и владельца задачи; юрлицо подтверждать отдельно.</x:v>
      </x:c>
      <x:c r="G70" s="8" t="str"/>
    </x:row>
    <x:row r="71" ht="34.5" customHeight="1">
      <x:c r="A71" s="8" t="str">
        <x:v>FD-B918a088e07ac52</x:v>
      </x:c>
      <x:c r="B71" s="8" t="str">
        <x:v>МАКС-Е</x:v>
      </x:c>
      <x:c r="C71" s="8" t="str">
        <x:v>named_in_publication_legal_entity_unverified</x:v>
      </x:c>
      <x:c r="D71" s="8" t="str">
        <x:v>FD-N066</x:v>
      </x:c>
      <x:c r="E71" s="8" t="str"/>
      <x:c r="F71" s="8" t="str">
        <x:v>Сопоставить официальный сайт, функцию закупки и владельца задачи; юрлицо подтверждать отдельно.</x:v>
      </x:c>
      <x:c r="G71" s="8" t="str"/>
    </x:row>
    <x:row r="72" ht="34.5" customHeight="1">
      <x:c r="A72" s="8" t="str">
        <x:v>FD-Bb613030f8c7be7</x:v>
      </x:c>
      <x:c r="B72" s="8" t="str">
        <x:v>PARI</x:v>
      </x:c>
      <x:c r="C72" s="8" t="str">
        <x:v>named_in_publication_legal_entity_unverified</x:v>
      </x:c>
      <x:c r="D72" s="8" t="str">
        <x:v>FD-N067</x:v>
      </x:c>
      <x:c r="E72" s="8" t="str"/>
      <x:c r="F72" s="8" t="str">
        <x:v>Сопоставить официальный сайт, функцию закупки и владельца задачи; юрлицо подтверждать отдельно.</x:v>
      </x:c>
      <x:c r="G72" s="8" t="str"/>
    </x:row>
    <x:row r="73" ht="34.5" customHeight="1">
      <x:c r="A73" s="8" t="str">
        <x:v>FD-Bdf623cfdaa6f6c</x:v>
      </x:c>
      <x:c r="B73" s="8" t="str">
        <x:v>Mirapolis</x:v>
      </x:c>
      <x:c r="C73" s="8" t="str">
        <x:v>named_in_publication_legal_entity_unverified</x:v>
      </x:c>
      <x:c r="D73" s="8" t="str">
        <x:v>FD-N068</x:v>
      </x:c>
      <x:c r="E73" s="8" t="str"/>
      <x:c r="F73" s="8" t="str">
        <x:v>Сопоставить официальный сайт, функцию закупки и владельца задачи; юрлицо подтверждать отдельно.</x:v>
      </x:c>
      <x:c r="G73" s="8" t="str"/>
    </x:row>
    <x:row r="74" ht="34.5" customHeight="1">
      <x:c r="A74" s="8" t="str">
        <x:v>FD-B1d392b1b773080</x:v>
      </x:c>
      <x:c r="B74" s="8" t="str">
        <x:v>iSpring</x:v>
      </x:c>
      <x:c r="C74" s="8" t="str">
        <x:v>named_in_publication_legal_entity_unverified</x:v>
      </x:c>
      <x:c r="D74" s="8" t="str">
        <x:v>FD-N069</x:v>
      </x:c>
      <x:c r="E74" s="8" t="str"/>
      <x:c r="F74" s="8" t="str">
        <x:v>Сопоставить официальный сайт, функцию закупки и владельца задачи; юрлицо подтверждать отдельно.</x:v>
      </x:c>
      <x:c r="G74" s="8" t="str"/>
    </x:row>
    <x:row r="75" ht="34.5" customHeight="1">
      <x:c r="A75" s="8" t="str">
        <x:v>FD-B3092e5b96f7dc7</x:v>
      </x:c>
      <x:c r="B75" s="8" t="str">
        <x:v>Unicraft</x:v>
      </x:c>
      <x:c r="C75" s="8" t="str">
        <x:v>named_in_publication_legal_entity_unverified</x:v>
      </x:c>
      <x:c r="D75" s="8" t="str">
        <x:v>FD-N070; FD-N071</x:v>
      </x:c>
      <x:c r="E75" s="8" t="str"/>
      <x:c r="F75" s="8" t="str">
        <x:v>Сопоставить официальный сайт, функцию закупки и владельца задачи; юрлицо подтверждать отдельно.</x:v>
      </x:c>
      <x:c r="G75" s="8" t="str"/>
    </x:row>
    <x:row r="76" ht="34.5" customHeight="1">
      <x:c r="A76" s="8" t="str">
        <x:v>FD-B0081779c287d56</x:v>
      </x:c>
      <x:c r="B76" s="8" t="str">
        <x:v>LEVEL</x:v>
      </x:c>
      <x:c r="C76" s="8" t="str">
        <x:v>named_in_publication_legal_entity_unverified</x:v>
      </x:c>
      <x:c r="D76" s="8" t="str">
        <x:v>FD-N072</x:v>
      </x:c>
      <x:c r="E76" s="8" t="str"/>
      <x:c r="F76" s="8" t="str">
        <x:v>Сопоставить официальный сайт, функцию закупки и владельца задачи; юрлицо подтверждать отдельно.</x:v>
      </x:c>
      <x:c r="G76" s="8" t="str"/>
    </x:row>
    <x:row r="77" ht="34.5" customHeight="1">
      <x:c r="A77" s="8" t="str">
        <x:v>FD-Bc27320b5017aff</x:v>
      </x:c>
      <x:c r="B77" s="8" t="str">
        <x:v>Академия АйТи / Академия Softline</x:v>
      </x:c>
      <x:c r="C77" s="8" t="str">
        <x:v>named_in_publication_legal_entity_unverified</x:v>
      </x:c>
      <x:c r="D77" s="8" t="str">
        <x:v>FD-N073</x:v>
      </x:c>
      <x:c r="E77" s="8" t="str"/>
      <x:c r="F77" s="8" t="str">
        <x:v>Сопоставить официальный сайт, функцию закупки и владельца задачи; юрлицо подтверждать отдельно.</x:v>
      </x:c>
      <x:c r="G77" s="8" t="str"/>
    </x:row>
    <x:row r="78" ht="34.5" customHeight="1">
      <x:c r="A78" s="8" t="str">
        <x:v>FD-Bbc8095e7f38ffd</x:v>
      </x:c>
      <x:c r="B78" s="8" t="str">
        <x:v>Русская Школа Управления</x:v>
      </x:c>
      <x:c r="C78" s="8" t="str">
        <x:v>named_in_publication_legal_entity_unverified</x:v>
      </x:c>
      <x:c r="D78" s="8" t="str">
        <x:v>FD-N074; FD-N075</x:v>
      </x:c>
      <x:c r="E78" s="8" t="str"/>
      <x:c r="F78" s="8" t="str">
        <x:v>Сопоставить официальный сайт, функцию закупки и владельца задачи; юрлицо подтверждать отдельно.</x:v>
      </x:c>
      <x:c r="G78" s="8" t="str"/>
    </x:row>
    <x:row r="79" ht="34.5" customHeight="1">
      <x:c r="A79" s="8" t="str">
        <x:v>FD-B8583d0af432d4e</x:v>
      </x:c>
      <x:c r="B79" s="8" t="str">
        <x:v>Бизнес Школа «Эксперт»</x:v>
      </x:c>
      <x:c r="C79" s="8" t="str">
        <x:v>named_in_publication_legal_entity_unverified</x:v>
      </x:c>
      <x:c r="D79" s="8" t="str">
        <x:v>FD-N076</x:v>
      </x:c>
      <x:c r="E79" s="8" t="str"/>
      <x:c r="F79" s="8" t="str">
        <x:v>Сопоставить официальный сайт, функцию закупки и владельца задачи; юрлицо подтверждать отдельно.</x:v>
      </x:c>
      <x:c r="G79" s="8" t="str"/>
    </x:row>
    <x:row r="80" ht="34.5" customHeight="1">
      <x:c r="A80" s="8" t="str">
        <x:v>FD-B47a41c54961924</x:v>
      </x:c>
      <x:c r="B80" s="8" t="str">
        <x:v>Учебный центр НП «Совет рынка»</x:v>
      </x:c>
      <x:c r="C80" s="8" t="str">
        <x:v>named_in_publication_legal_entity_unverified</x:v>
      </x:c>
      <x:c r="D80" s="8" t="str">
        <x:v>FD-N077; FD-N078</x:v>
      </x:c>
      <x:c r="E80" s="8" t="str"/>
      <x:c r="F80" s="8" t="str">
        <x:v>Сопоставить официальный сайт, функцию закупки и владельца задачи; юрлицо подтверждать отдельно.</x:v>
      </x:c>
      <x:c r="G80" s="8" t="str"/>
    </x:row>
    <x:row r="81" ht="34.5" customHeight="1">
      <x:c r="A81" s="8" t="str">
        <x:v>FD-B8c295b158c4fe4</x:v>
      </x:c>
      <x:c r="B81" s="8" t="str">
        <x:v>B2B Events</x:v>
      </x:c>
      <x:c r="C81" s="8" t="str">
        <x:v>named_in_publication_legal_entity_unverified</x:v>
      </x:c>
      <x:c r="D81" s="8" t="str">
        <x:v>FD-N079</x:v>
      </x:c>
      <x:c r="E81" s="8" t="str"/>
      <x:c r="F81" s="8" t="str">
        <x:v>Сопоставить официальный сайт, функцию закупки и владельца задачи; юрлицо подтверждать отдельно.</x:v>
      </x:c>
      <x:c r="G81" s="8" t="str"/>
    </x:row>
    <x:row r="82" ht="34.5" customHeight="1">
      <x:c r="A82" s="8" t="str">
        <x:v>FD-B334d30c4529272</x:v>
      </x:c>
      <x:c r="B82" s="8" t="str">
        <x:v>АО «Кодекс»</x:v>
      </x:c>
      <x:c r="C82" s="8" t="str">
        <x:v>named_in_publication_legal_entity_unverified</x:v>
      </x:c>
      <x:c r="D82" s="8" t="str">
        <x:v>FD-N080</x:v>
      </x:c>
      <x:c r="E82" s="8" t="str"/>
      <x:c r="F82" s="8" t="str">
        <x:v>Сопоставить официальный сайт, функцию закупки и владельца задачи; юрлицо подтверждать отдельно.</x:v>
      </x:c>
      <x:c r="G82" s="8" t="str"/>
    </x:row>
    <x:row r="83" ht="34.5" customHeight="1">
      <x:c r="A83" s="8" t="str">
        <x:v>FD-B9b0e56d4a791e8</x:v>
      </x:c>
      <x:c r="B83" s="8" t="str">
        <x:v>Нетология</x:v>
      </x:c>
      <x:c r="C83" s="8" t="str">
        <x:v>named_in_publication_legal_entity_unverified</x:v>
      </x:c>
      <x:c r="D83" s="8" t="str">
        <x:v>FD-N081; FD-N082</x:v>
      </x:c>
      <x:c r="E83" s="8" t="str"/>
      <x:c r="F83" s="8" t="str">
        <x:v>Сопоставить официальный сайт, функцию закупки и владельца задачи; юрлицо подтверждать отдельно.</x:v>
      </x:c>
      <x:c r="G83" s="8" t="str"/>
    </x:row>
    <x:row r="84" ht="34.5" customHeight="1">
      <x:c r="A84" s="8" t="str">
        <x:v>FD-B3d598f3db297da</x:v>
      </x:c>
      <x:c r="B84" s="8" t="str">
        <x:v>Яндекс Практикум</x:v>
      </x:c>
      <x:c r="C84" s="8" t="str">
        <x:v>named_in_publication_legal_entity_unverified</x:v>
      </x:c>
      <x:c r="D84" s="8" t="str">
        <x:v>FD-N083; FD-N084; FD-N151; FD-N152</x:v>
      </x:c>
      <x:c r="E84" s="8" t="str"/>
      <x:c r="F84" s="8" t="str">
        <x:v>Сопоставить официальный сайт, функцию закупки и владельца задачи; юрлицо подтверждать отдельно.</x:v>
      </x:c>
      <x:c r="G84" s="8" t="str"/>
    </x:row>
    <x:row r="85" ht="34.5" customHeight="1">
      <x:c r="A85" s="8" t="str">
        <x:v>FD-Bd402ce0b28c94c</x:v>
      </x:c>
      <x:c r="B85" s="8" t="str">
        <x:v>Ракурс</x:v>
      </x:c>
      <x:c r="C85" s="8" t="str">
        <x:v>named_in_publication_legal_entity_unverified</x:v>
      </x:c>
      <x:c r="D85" s="8" t="str">
        <x:v>FD-N085; FD-N086</x:v>
      </x:c>
      <x:c r="E85" s="8" t="str"/>
      <x:c r="F85" s="8" t="str">
        <x:v>Сопоставить официальный сайт, функцию закупки и владельца задачи; юрлицо подтверждать отдельно.</x:v>
      </x:c>
      <x:c r="G85" s="8" t="str"/>
    </x:row>
    <x:row r="86" ht="34.5" customHeight="1">
      <x:c r="A86" s="8" t="str">
        <x:v>FD-B9f28a630c57b45</x:v>
      </x:c>
      <x:c r="B86" s="8" t="str">
        <x:v>БИЗНЕС ИНСАЙТ</x:v>
      </x:c>
      <x:c r="C86" s="8" t="str">
        <x:v>named_in_publication_legal_entity_unverified</x:v>
      </x:c>
      <x:c r="D86" s="8" t="str">
        <x:v>FD-N087; FD-N088; FD-N153</x:v>
      </x:c>
      <x:c r="E86" s="8" t="str"/>
      <x:c r="F86" s="8" t="str">
        <x:v>Сопоставить официальный сайт, функцию закупки и владельца задачи; юрлицо подтверждать отдельно.</x:v>
      </x:c>
      <x:c r="G86" s="8" t="str"/>
    </x:row>
    <x:row r="87" ht="34.5" customHeight="1">
      <x:c r="A87" s="8" t="str">
        <x:v>FD-Ba426fd58cee901</x:v>
      </x:c>
      <x:c r="B87" s="8" t="str">
        <x:v>ООО «Юнитория»</x:v>
      </x:c>
      <x:c r="C87" s="8" t="str">
        <x:v>named_in_publication_legal_entity_unverified</x:v>
      </x:c>
      <x:c r="D87" s="8" t="str">
        <x:v>FD-N089; FD-N090</x:v>
      </x:c>
      <x:c r="E87" s="8" t="str"/>
      <x:c r="F87" s="8" t="str">
        <x:v>Сопоставить официальный сайт, функцию закупки и владельца задачи; юрлицо подтверждать отдельно.</x:v>
      </x:c>
      <x:c r="G87" s="8" t="str"/>
    </x:row>
    <x:row r="88" ht="34.5" customHeight="1">
      <x:c r="A88" s="8" t="str">
        <x:v>FD-BU091</x:v>
      </x:c>
      <x:c r="B88" s="8" t="str">
        <x:v>Неустановленный заказчик · FD-N091</x:v>
      </x:c>
      <x:c r="C88" s="8" t="str">
        <x:v>anonymous_not_resolved</x:v>
      </x:c>
      <x:c r="D88" s="8" t="str">
        <x:v>FD-N091</x:v>
      </x:c>
      <x:c r="E88" s="8" t="str"/>
      <x:c r="F8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88" s="8" t="str"/>
    </x:row>
    <x:row r="89" ht="34.5" customHeight="1">
      <x:c r="A89" s="8" t="str">
        <x:v>FD-BU092</x:v>
      </x:c>
      <x:c r="B89" s="8" t="str">
        <x:v>Неустановленный заказчик · FD-N092</x:v>
      </x:c>
      <x:c r="C89" s="8" t="str">
        <x:v>anonymous_not_resolved</x:v>
      </x:c>
      <x:c r="D89" s="8" t="str">
        <x:v>FD-N092</x:v>
      </x:c>
      <x:c r="E89" s="8" t="str"/>
      <x:c r="F8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89" s="8" t="str"/>
    </x:row>
    <x:row r="90" ht="34.5" customHeight="1">
      <x:c r="A90" s="8" t="str">
        <x:v>FD-BU093</x:v>
      </x:c>
      <x:c r="B90" s="8" t="str">
        <x:v>Неустановленный заказчик · FD-N093</x:v>
      </x:c>
      <x:c r="C90" s="8" t="str">
        <x:v>anonymous_not_resolved</x:v>
      </x:c>
      <x:c r="D90" s="8" t="str">
        <x:v>FD-N093</x:v>
      </x:c>
      <x:c r="E90" s="8" t="str"/>
      <x:c r="F9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90" s="8" t="str"/>
    </x:row>
    <x:row r="91" ht="34.5" customHeight="1">
      <x:c r="A91" s="8" t="str">
        <x:v>FD-B1532f42b68c890</x:v>
      </x:c>
      <x:c r="B91" s="8" t="str">
        <x:v>CPO Club — Клуб закупщиков</x:v>
      </x:c>
      <x:c r="C91" s="8" t="str">
        <x:v>named_in_publication_legal_entity_unverified</x:v>
      </x:c>
      <x:c r="D91" s="8" t="str">
        <x:v>FD-N094</x:v>
      </x:c>
      <x:c r="E91" s="8" t="str"/>
      <x:c r="F91" s="8" t="str">
        <x:v>Сопоставить официальный сайт, функцию закупки и владельца задачи; юрлицо подтверждать отдельно.</x:v>
      </x:c>
      <x:c r="G91" s="8" t="str"/>
    </x:row>
    <x:row r="92" ht="34.5" customHeight="1">
      <x:c r="A92" s="8" t="str">
        <x:v>FD-Bae78e25a14ed93</x:v>
      </x:c>
      <x:c r="B92" s="8" t="str">
        <x:v>АСУД</x:v>
      </x:c>
      <x:c r="C92" s="8" t="str">
        <x:v>named_in_publication_legal_entity_unverified</x:v>
      </x:c>
      <x:c r="D92" s="8" t="str">
        <x:v>FD-N095</x:v>
      </x:c>
      <x:c r="E92" s="8" t="str"/>
      <x:c r="F92" s="8" t="str">
        <x:v>Сопоставить официальный сайт, функцию закупки и владельца задачи; юрлицо подтверждать отдельно.</x:v>
      </x:c>
      <x:c r="G92" s="8" t="str"/>
    </x:row>
    <x:row r="93" ht="34.5" customHeight="1">
      <x:c r="A93" s="8" t="str">
        <x:v>FD-Be435fb31bca7eb</x:v>
      </x:c>
      <x:c r="B93" s="8" t="str">
        <x:v>Executive.ru</x:v>
      </x:c>
      <x:c r="C93" s="8" t="str">
        <x:v>named_in_publication_legal_entity_unverified</x:v>
      </x:c>
      <x:c r="D93" s="8" t="str">
        <x:v>FD-N096</x:v>
      </x:c>
      <x:c r="E93" s="8" t="str"/>
      <x:c r="F93" s="8" t="str">
        <x:v>Сопоставить официальный сайт, функцию закупки и владельца задачи; юрлицо подтверждать отдельно.</x:v>
      </x:c>
      <x:c r="G93" s="8" t="str"/>
    </x:row>
    <x:row r="94" ht="34.5" customHeight="1">
      <x:c r="A94" s="8" t="str">
        <x:v>FD-B3fa3d61676e5e2</x:v>
      </x:c>
      <x:c r="B94" s="8" t="str">
        <x:v>ООО «Профессиональное издательство», журнал «Кадровые решения»</x:v>
      </x:c>
      <x:c r="C94" s="8" t="str">
        <x:v>named_in_publication_legal_entity_unverified</x:v>
      </x:c>
      <x:c r="D94" s="8" t="str">
        <x:v>FD-N097</x:v>
      </x:c>
      <x:c r="E94" s="8" t="str"/>
      <x:c r="F94" s="8" t="str">
        <x:v>Сопоставить официальный сайт, функцию закупки и владельца задачи; юрлицо подтверждать отдельно.</x:v>
      </x:c>
      <x:c r="G94" s="8" t="str"/>
    </x:row>
    <x:row r="95" ht="34.5" customHeight="1">
      <x:c r="A95" s="8" t="str">
        <x:v>FD-BU098</x:v>
      </x:c>
      <x:c r="B95" s="8" t="str">
        <x:v>Неустановленный заказчик · FD-N098</x:v>
      </x:c>
      <x:c r="C95" s="8" t="str">
        <x:v>anonymous_not_resolved</x:v>
      </x:c>
      <x:c r="D95" s="8" t="str">
        <x:v>FD-N098</x:v>
      </x:c>
      <x:c r="E95" s="8" t="str"/>
      <x:c r="F9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95" s="8" t="str"/>
    </x:row>
    <x:row r="96" ht="34.5" customHeight="1">
      <x:c r="A96" s="8" t="str">
        <x:v>FD-BU099</x:v>
      </x:c>
      <x:c r="B96" s="8" t="str">
        <x:v>Неустановленный заказчик · FD-N099</x:v>
      </x:c>
      <x:c r="C96" s="8" t="str">
        <x:v>anonymous_not_resolved</x:v>
      </x:c>
      <x:c r="D96" s="8" t="str">
        <x:v>FD-N099</x:v>
      </x:c>
      <x:c r="E96" s="8" t="str"/>
      <x:c r="F9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96" s="8" t="str"/>
    </x:row>
    <x:row r="97" ht="34.5" customHeight="1">
      <x:c r="A97" s="8" t="str">
        <x:v>FD-BU100</x:v>
      </x:c>
      <x:c r="B97" s="8" t="str">
        <x:v>Неустановленный заказчик · FD-N100</x:v>
      </x:c>
      <x:c r="C97" s="8" t="str">
        <x:v>anonymous_not_resolved</x:v>
      </x:c>
      <x:c r="D97" s="8" t="str">
        <x:v>FD-N100</x:v>
      </x:c>
      <x:c r="E97" s="8" t="str"/>
      <x:c r="F9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97" s="8" t="str"/>
    </x:row>
    <x:row r="98" ht="34.5" customHeight="1">
      <x:c r="A98" s="8" t="str">
        <x:v>FD-BU101</x:v>
      </x:c>
      <x:c r="B98" s="8" t="str">
        <x:v>Неустановленный заказчик · FD-N101</x:v>
      </x:c>
      <x:c r="C98" s="8" t="str">
        <x:v>anonymous_not_resolved</x:v>
      </x:c>
      <x:c r="D98" s="8" t="str">
        <x:v>FD-N101</x:v>
      </x:c>
      <x:c r="E98" s="8" t="str"/>
      <x:c r="F9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98" s="8" t="str"/>
    </x:row>
    <x:row r="99" ht="34.5" customHeight="1">
      <x:c r="A99" s="8" t="str">
        <x:v>FD-Be1ce7b0f1a6586</x:v>
      </x:c>
      <x:c r="B99" s="8" t="str">
        <x:v>ТОО «МЦФЭР–Казахстан»</x:v>
      </x:c>
      <x:c r="C99" s="8" t="str">
        <x:v>named_in_publication_legal_entity_unverified</x:v>
      </x:c>
      <x:c r="D99" s="8" t="str">
        <x:v>FD-N102</x:v>
      </x:c>
      <x:c r="E99" s="8" t="str"/>
      <x:c r="F99" s="8" t="str">
        <x:v>Сопоставить официальный сайт, функцию закупки и владельца задачи; юрлицо подтверждать отдельно.</x:v>
      </x:c>
      <x:c r="G99" s="8" t="str"/>
    </x:row>
    <x:row r="100" ht="34.5" customHeight="1">
      <x:c r="A100" s="8" t="str">
        <x:v>FD-B792c3004f1a0b7</x:v>
      </x:c>
      <x:c r="B100" s="8" t="str">
        <x:v>Академия технического регулирования ATSSM</x:v>
      </x:c>
      <x:c r="C100" s="8" t="str">
        <x:v>named_in_publication_legal_entity_unverified</x:v>
      </x:c>
      <x:c r="D100" s="8" t="str">
        <x:v>FD-N103</x:v>
      </x:c>
      <x:c r="E100" s="8" t="str"/>
      <x:c r="F100" s="8" t="str">
        <x:v>Сопоставить официальный сайт, функцию закупки и владельца задачи; юрлицо подтверждать отдельно.</x:v>
      </x:c>
      <x:c r="G100" s="8" t="str"/>
    </x:row>
    <x:row r="101" ht="34.5" customHeight="1">
      <x:c r="A101" s="8" t="str">
        <x:v>FD-B9c7266f070dbbc</x:v>
      </x:c>
      <x:c r="B101" s="8" t="str">
        <x:v>ООО «Глэбис Про»</x:v>
      </x:c>
      <x:c r="C101" s="8" t="str">
        <x:v>named_in_publication_legal_entity_unverified</x:v>
      </x:c>
      <x:c r="D101" s="8" t="str">
        <x:v>FD-N104</x:v>
      </x:c>
      <x:c r="E101" s="8" t="str"/>
      <x:c r="F101" s="8" t="str">
        <x:v>Сопоставить официальный сайт, функцию закупки и владельца задачи; юрлицо подтверждать отдельно.</x:v>
      </x:c>
      <x:c r="G101" s="8" t="str"/>
    </x:row>
    <x:row r="102" ht="34.5" customHeight="1">
      <x:c r="A102" s="8" t="str">
        <x:v>FD-B19e09a97165337</x:v>
      </x:c>
      <x:c r="B102" s="8" t="str">
        <x:v>ОДО «СОЮЗ-эксперт»</x:v>
      </x:c>
      <x:c r="C102" s="8" t="str">
        <x:v>named_in_publication_legal_entity_unverified</x:v>
      </x:c>
      <x:c r="D102" s="8" t="str">
        <x:v>FD-N105</x:v>
      </x:c>
      <x:c r="E102" s="8" t="str"/>
      <x:c r="F102" s="8" t="str">
        <x:v>Сопоставить официальный сайт, функцию закупки и владельца задачи; юрлицо подтверждать отдельно.</x:v>
      </x:c>
      <x:c r="G102" s="8" t="str"/>
    </x:row>
    <x:row r="103" ht="34.5" customHeight="1">
      <x:c r="A103" s="8" t="str">
        <x:v>FD-B8a774a5144a0c0</x:v>
      </x:c>
      <x:c r="B103" s="8" t="str">
        <x:v>Белорусская торгово-промышленная палата</x:v>
      </x:c>
      <x:c r="C103" s="8" t="str">
        <x:v>named_in_publication_legal_entity_unverified</x:v>
      </x:c>
      <x:c r="D103" s="8" t="str">
        <x:v>FD-N106</x:v>
      </x:c>
      <x:c r="E103" s="8" t="str"/>
      <x:c r="F103" s="8" t="str">
        <x:v>Сопоставить официальный сайт, функцию закупки и владельца задачи; юрлицо подтверждать отдельно.</x:v>
      </x:c>
      <x:c r="G103" s="8" t="str"/>
    </x:row>
    <x:row r="104" ht="34.5" customHeight="1">
      <x:c r="A104" s="8" t="str">
        <x:v>FD-Be5234089c5ca2e</x:v>
      </x:c>
      <x:c r="B104" s="8" t="str">
        <x:v>РРБ-клуб / Банк РРБ</x:v>
      </x:c>
      <x:c r="C104" s="8" t="str">
        <x:v>named_in_publication_legal_entity_unverified</x:v>
      </x:c>
      <x:c r="D104" s="8" t="str">
        <x:v>FD-N107; FD-N108</x:v>
      </x:c>
      <x:c r="E104" s="8" t="str"/>
      <x:c r="F104" s="8" t="str">
        <x:v>Сопоставить официальный сайт, функцию закупки и владельца задачи; юрлицо подтверждать отдельно.</x:v>
      </x:c>
      <x:c r="G104" s="8" t="str"/>
    </x:row>
    <x:row r="105" ht="34.5" customHeight="1">
      <x:c r="A105" s="8" t="str">
        <x:v>FD-B2ec5671daf5c5c</x:v>
      </x:c>
      <x:c r="B105" s="8" t="str">
        <x:v>ASSET HR</x:v>
      </x:c>
      <x:c r="C105" s="8" t="str">
        <x:v>named_in_publication_legal_entity_unverified</x:v>
      </x:c>
      <x:c r="D105" s="8" t="str">
        <x:v>FD-N109</x:v>
      </x:c>
      <x:c r="E105" s="8" t="str"/>
      <x:c r="F105" s="8" t="str">
        <x:v>Сопоставить официальный сайт, функцию закупки и владельца задачи; юрлицо подтверждать отдельно.</x:v>
      </x:c>
      <x:c r="G105" s="8" t="str"/>
    </x:row>
    <x:row r="106" ht="34.5" customHeight="1">
      <x:c r="A106" s="8" t="str">
        <x:v>FD-Bf063be6f97aaaa</x:v>
      </x:c>
      <x:c r="B106" s="8" t="str">
        <x:v>Tele2 Kazakhstan; Freedom Broker — организации представленных кейсов</x:v>
      </x:c>
      <x:c r="C106" s="8" t="str">
        <x:v>named_in_publication_legal_entity_unverified</x:v>
      </x:c>
      <x:c r="D106" s="8" t="str">
        <x:v>FD-N110</x:v>
      </x:c>
      <x:c r="E106" s="8" t="str"/>
      <x:c r="F106" s="8" t="str">
        <x:v>Сопоставить официальный сайт, функцию закупки и владельца задачи; юрлицо подтверждать отдельно.</x:v>
      </x:c>
      <x:c r="G106" s="8" t="str"/>
    </x:row>
    <x:row r="107" ht="34.5" customHeight="1">
      <x:c r="A107" s="8" t="str">
        <x:v>FD-B6627876dd7ea84</x:v>
      </x:c>
      <x:c r="B107" s="8" t="str">
        <x:v>Ассоциация KAZENERGY и Bureau Veritas</x:v>
      </x:c>
      <x:c r="C107" s="8" t="str">
        <x:v>named_in_publication_legal_entity_unverified</x:v>
      </x:c>
      <x:c r="D107" s="8" t="str">
        <x:v>FD-N111</x:v>
      </x:c>
      <x:c r="E107" s="8" t="str"/>
      <x:c r="F107" s="8" t="str">
        <x:v>Сопоставить официальный сайт, функцию закупки и владельца задачи; юрлицо подтверждать отдельно.</x:v>
      </x:c>
      <x:c r="G107" s="8" t="str"/>
    </x:row>
    <x:row r="108" ht="34.5" customHeight="1">
      <x:c r="A108" s="8" t="str">
        <x:v>FD-Bbb8b64546af41e</x:v>
      </x:c>
      <x:c r="B108" s="8" t="str">
        <x:v>KAZENERGY; КазМунайГаз; QazaqGaz</x:v>
      </x:c>
      <x:c r="C108" s="8" t="str">
        <x:v>named_in_publication_legal_entity_unverified</x:v>
      </x:c>
      <x:c r="D108" s="8" t="str">
        <x:v>FD-N112</x:v>
      </x:c>
      <x:c r="E108" s="8" t="str"/>
      <x:c r="F108" s="8" t="str">
        <x:v>Сопоставить официальный сайт, функцию закупки и владельца задачи; юрлицо подтверждать отдельно.</x:v>
      </x:c>
      <x:c r="G108" s="8" t="str"/>
    </x:row>
    <x:row r="109" ht="34.5" customHeight="1">
      <x:c r="A109" s="8" t="str">
        <x:v>FD-B639d24bfece873</x:v>
      </x:c>
      <x:c r="B109" s="8" t="str">
        <x:v>InterForum</x:v>
      </x:c>
      <x:c r="C109" s="8" t="str">
        <x:v>named_in_publication_legal_entity_unverified</x:v>
      </x:c>
      <x:c r="D109" s="8" t="str">
        <x:v>FD-N113</x:v>
      </x:c>
      <x:c r="E109" s="8" t="str"/>
      <x:c r="F109" s="8" t="str">
        <x:v>Сопоставить официальный сайт, функцию закупки и владельца задачи; юрлицо подтверждать отдельно.</x:v>
      </x:c>
      <x:c r="G109" s="8" t="str"/>
    </x:row>
    <x:row r="110" ht="34.5" customHeight="1">
      <x:c r="A110" s="8" t="str">
        <x:v>FD-Bd55222ffb1a657</x:v>
      </x:c>
      <x:c r="B110" s="8" t="str">
        <x:v>Auditorium Conference Group</x:v>
      </x:c>
      <x:c r="C110" s="8" t="str">
        <x:v>named_in_publication_legal_entity_unverified</x:v>
      </x:c>
      <x:c r="D110" s="8" t="str">
        <x:v>FD-N114</x:v>
      </x:c>
      <x:c r="E110" s="8" t="str"/>
      <x:c r="F110" s="8" t="str">
        <x:v>Сопоставить официальный сайт, функцию закупки и владельца задачи; юрлицо подтверждать отдельно.</x:v>
      </x:c>
      <x:c r="G110" s="8" t="str"/>
    </x:row>
    <x:row r="111" ht="34.5" customHeight="1">
      <x:c r="A111" s="8" t="str">
        <x:v>FD-B7c61f26c75bebc</x:v>
      </x:c>
      <x:c r="B111" s="8" t="str">
        <x:v>Ведомости.Конференции</x:v>
      </x:c>
      <x:c r="C111" s="8" t="str">
        <x:v>named_in_publication_legal_entity_unverified</x:v>
      </x:c>
      <x:c r="D111" s="8" t="str">
        <x:v>FD-N115</x:v>
      </x:c>
      <x:c r="E111" s="8" t="str"/>
      <x:c r="F111" s="8" t="str">
        <x:v>Сопоставить официальный сайт, функцию закупки и владельца задачи; юрлицо подтверждать отдельно.</x:v>
      </x:c>
      <x:c r="G111" s="8" t="str"/>
    </x:row>
    <x:row r="112" ht="34.5" customHeight="1">
      <x:c r="A112" s="8" t="str">
        <x:v>FD-B91d3672e63c0b1</x:v>
      </x:c>
      <x:c r="B112" s="8" t="str">
        <x:v>GAME &amp; LEARN</x:v>
      </x:c>
      <x:c r="C112" s="8" t="str">
        <x:v>named_in_publication_legal_entity_unverified</x:v>
      </x:c>
      <x:c r="D112" s="8" t="str">
        <x:v>FD-N116</x:v>
      </x:c>
      <x:c r="E112" s="8" t="str"/>
      <x:c r="F112" s="8" t="str">
        <x:v>Сопоставить официальный сайт, функцию закупки и владельца задачи; юрлицо подтверждать отдельно.</x:v>
      </x:c>
      <x:c r="G112" s="8" t="str"/>
    </x:row>
    <x:row r="113" ht="34.5" customHeight="1">
      <x:c r="A113" s="8" t="str">
        <x:v>FD-B89f2d0d2776800</x:v>
      </x:c>
      <x:c r="B113" s="8" t="str">
        <x:v>Learning Elements</x:v>
      </x:c>
      <x:c r="C113" s="8" t="str">
        <x:v>named_in_publication_legal_entity_unverified</x:v>
      </x:c>
      <x:c r="D113" s="8" t="str">
        <x:v>FD-N118</x:v>
      </x:c>
      <x:c r="E113" s="8" t="str"/>
      <x:c r="F113" s="8" t="str">
        <x:v>Сопоставить официальный сайт, функцию закупки и владельца задачи; юрлицо подтверждать отдельно.</x:v>
      </x:c>
      <x:c r="G113" s="8" t="str"/>
    </x:row>
    <x:row r="114" ht="34.5" customHeight="1">
      <x:c r="A114" s="8" t="str">
        <x:v>FD-Ba8106445e38680</x:v>
      </x:c>
      <x:c r="B114" s="8" t="str">
        <x:v>WhiteConf / «Ивентология»</x:v>
      </x:c>
      <x:c r="C114" s="8" t="str">
        <x:v>named_in_publication_legal_entity_unverified</x:v>
      </x:c>
      <x:c r="D114" s="8" t="str">
        <x:v>FD-N119</x:v>
      </x:c>
      <x:c r="E114" s="8" t="str"/>
      <x:c r="F114" s="8" t="str">
        <x:v>Сопоставить официальный сайт, функцию закупки и владельца задачи; юрлицо подтверждать отдельно.</x:v>
      </x:c>
      <x:c r="G114" s="8" t="str"/>
    </x:row>
    <x:row r="115" ht="34.5" customHeight="1">
      <x:c r="A115" s="8" t="str">
        <x:v>FD-Bd9081b20b304e0</x:v>
      </x:c>
      <x:c r="B115" s="8" t="str">
        <x:v>МК-Конференции / ООО «МК Групп»</x:v>
      </x:c>
      <x:c r="C115" s="8" t="str">
        <x:v>named_in_publication_legal_entity_unverified</x:v>
      </x:c>
      <x:c r="D115" s="8" t="str">
        <x:v>FD-N120; FD-N121; FD-N183</x:v>
      </x:c>
      <x:c r="E115" s="8" t="str"/>
      <x:c r="F115" s="8" t="str">
        <x:v>Сопоставить официальный сайт, функцию закупки и владельца задачи; юрлицо подтверждать отдельно.</x:v>
      </x:c>
      <x:c r="G115" s="8" t="str"/>
    </x:row>
    <x:row r="116" ht="34.5" customHeight="1">
      <x:c r="A116" s="8" t="str">
        <x:v>FD-B38f15b81bec1b5</x:v>
      </x:c>
      <x:c r="B116" s="8" t="str">
        <x:v>FiNPLACE</x:v>
      </x:c>
      <x:c r="C116" s="8" t="str">
        <x:v>named_in_publication_legal_entity_unverified</x:v>
      </x:c>
      <x:c r="D116" s="8" t="str">
        <x:v>FD-N122</x:v>
      </x:c>
      <x:c r="E116" s="8" t="str"/>
      <x:c r="F116" s="8" t="str">
        <x:v>Сопоставить официальный сайт, функцию закупки и владельца задачи; юрлицо подтверждать отдельно.</x:v>
      </x:c>
      <x:c r="G116" s="8" t="str"/>
    </x:row>
    <x:row r="117" ht="34.5" customHeight="1">
      <x:c r="A117" s="8" t="str">
        <x:v>FD-B886eef24db04a1</x:v>
      </x:c>
      <x:c r="B117" s="8" t="str">
        <x:v>Российская ассоциация бизнес-образования</x:v>
      </x:c>
      <x:c r="C117" s="8" t="str">
        <x:v>named_in_publication_legal_entity_unverified</x:v>
      </x:c>
      <x:c r="D117" s="8" t="str">
        <x:v>FD-N123</x:v>
      </x:c>
      <x:c r="E117" s="8" t="str"/>
      <x:c r="F117" s="8" t="str">
        <x:v>Сопоставить официальный сайт, функцию закупки и владельца задачи; юрлицо подтверждать отдельно.</x:v>
      </x:c>
      <x:c r="G117" s="8" t="str"/>
    </x:row>
    <x:row r="118" ht="34.5" customHeight="1">
      <x:c r="A118" s="8" t="str">
        <x:v>FD-B0973b59424a2ab</x:v>
      </x:c>
      <x:c r="B118" s="8" t="str">
        <x:v>Школа экспорта РЭЦ</x:v>
      </x:c>
      <x:c r="C118" s="8" t="str">
        <x:v>named_in_publication_legal_entity_unverified</x:v>
      </x:c>
      <x:c r="D118" s="8" t="str">
        <x:v>FD-N124</x:v>
      </x:c>
      <x:c r="E118" s="8" t="str"/>
      <x:c r="F118" s="8" t="str">
        <x:v>Сопоставить официальный сайт, функцию закупки и владельца задачи; юрлицо подтверждать отдельно.</x:v>
      </x:c>
      <x:c r="G118" s="8" t="str"/>
    </x:row>
    <x:row r="119" ht="34.5" customHeight="1">
      <x:c r="A119" s="8" t="str">
        <x:v>FD-B287aff467d8639</x:v>
      </x:c>
      <x:c r="B119" s="8" t="str">
        <x:v>Мой бизнес Югра</x:v>
      </x:c>
      <x:c r="C119" s="8" t="str">
        <x:v>named_in_publication_legal_entity_unverified</x:v>
      </x:c>
      <x:c r="D119" s="8" t="str">
        <x:v>FD-N125</x:v>
      </x:c>
      <x:c r="E119" s="8" t="str"/>
      <x:c r="F119" s="8" t="str">
        <x:v>Сопоставить официальный сайт, функцию закупки и владельца задачи; юрлицо подтверждать отдельно.</x:v>
      </x:c>
      <x:c r="G119" s="8" t="str"/>
    </x:row>
    <x:row r="120" ht="34.5" customHeight="1">
      <x:c r="A120" s="8" t="str">
        <x:v>FD-B4aa0f5887ef6b4</x:v>
      </x:c>
      <x:c r="B120" s="8" t="str">
        <x:v>Международная консалтинговая компания «Дмитрий Чуприна &amp; Партнеры»</x:v>
      </x:c>
      <x:c r="C120" s="8" t="str">
        <x:v>named_in_publication_legal_entity_unverified</x:v>
      </x:c>
      <x:c r="D120" s="8" t="str">
        <x:v>FD-N126</x:v>
      </x:c>
      <x:c r="E120" s="8" t="str"/>
      <x:c r="F120" s="8" t="str">
        <x:v>Сопоставить официальный сайт, функцию закупки и владельца задачи; юрлицо подтверждать отдельно.</x:v>
      </x:c>
      <x:c r="G120" s="8" t="str"/>
    </x:row>
    <x:row r="121" ht="34.5" customHeight="1">
      <x:c r="A121" s="8" t="str">
        <x:v>FD-B80050f7f558fd1</x:v>
      </x:c>
      <x:c r="B121" s="8" t="str">
        <x:v>Яндекс (указано в карточке)</x:v>
      </x:c>
      <x:c r="C121" s="8" t="str">
        <x:v>named_in_publication_legal_entity_unverified</x:v>
      </x:c>
      <x:c r="D121" s="8" t="str">
        <x:v>FD-N127</x:v>
      </x:c>
      <x:c r="E121" s="8" t="str"/>
      <x:c r="F121" s="8" t="str">
        <x:v>Сопоставить официальный сайт, функцию закупки и владельца задачи; юрлицо подтверждать отдельно.</x:v>
      </x:c>
      <x:c r="G121" s="8" t="str"/>
    </x:row>
    <x:row r="122" ht="34.5" customHeight="1">
      <x:c r="A122" s="8" t="str">
        <x:v>FD-B10a5cb1fa87c55</x:v>
      </x:c>
      <x:c r="B122" s="8" t="str">
        <x:v>Сбербанк (указано в карточке)</x:v>
      </x:c>
      <x:c r="C122" s="8" t="str">
        <x:v>named_in_publication_legal_entity_unverified</x:v>
      </x:c>
      <x:c r="D122" s="8" t="str">
        <x:v>FD-N128</x:v>
      </x:c>
      <x:c r="E122" s="8" t="str"/>
      <x:c r="F122" s="8" t="str">
        <x:v>Сопоставить официальный сайт, функцию закупки и владельца задачи; юрлицо подтверждать отдельно.</x:v>
      </x:c>
      <x:c r="G122" s="8" t="str"/>
    </x:row>
    <x:row r="123" ht="34.5" customHeight="1">
      <x:c r="A123" s="8" t="str">
        <x:v>FD-BU129</x:v>
      </x:c>
      <x:c r="B123" s="8" t="str">
        <x:v>Неустановленный заказчик · FD-N129</x:v>
      </x:c>
      <x:c r="C123" s="8" t="str">
        <x:v>anonymous_not_resolved</x:v>
      </x:c>
      <x:c r="D123" s="8" t="str">
        <x:v>FD-N129</x:v>
      </x:c>
      <x:c r="E123" s="8" t="str"/>
      <x:c r="F12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23" s="8" t="str"/>
    </x:row>
    <x:row r="124" ht="34.5" customHeight="1">
      <x:c r="A124" s="8" t="str">
        <x:v>FD-BU130</x:v>
      </x:c>
      <x:c r="B124" s="8" t="str">
        <x:v>Неустановленный заказчик · FD-N130</x:v>
      </x:c>
      <x:c r="C124" s="8" t="str">
        <x:v>anonymous_not_resolved</x:v>
      </x:c>
      <x:c r="D124" s="8" t="str">
        <x:v>FD-N130</x:v>
      </x:c>
      <x:c r="E124" s="8" t="str"/>
      <x:c r="F12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24" s="8" t="str"/>
    </x:row>
    <x:row r="125" ht="34.5" customHeight="1">
      <x:c r="A125" s="8" t="str">
        <x:v>FD-BU131</x:v>
      </x:c>
      <x:c r="B125" s="8" t="str">
        <x:v>Неустановленный заказчик · FD-N131</x:v>
      </x:c>
      <x:c r="C125" s="8" t="str">
        <x:v>anonymous_not_resolved</x:v>
      </x:c>
      <x:c r="D125" s="8" t="str">
        <x:v>FD-N131</x:v>
      </x:c>
      <x:c r="E125" s="8" t="str"/>
      <x:c r="F12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25" s="8" t="str"/>
    </x:row>
    <x:row r="126" ht="34.5" customHeight="1">
      <x:c r="A126" s="8" t="str">
        <x:v>FD-BU132</x:v>
      </x:c>
      <x:c r="B126" s="8" t="str">
        <x:v>Неустановленный заказчик · FD-N132</x:v>
      </x:c>
      <x:c r="C126" s="8" t="str">
        <x:v>anonymous_not_resolved</x:v>
      </x:c>
      <x:c r="D126" s="8" t="str">
        <x:v>FD-N132</x:v>
      </x:c>
      <x:c r="E126" s="8" t="str"/>
      <x:c r="F12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26" s="8" t="str"/>
    </x:row>
    <x:row r="127" ht="34.5" customHeight="1">
      <x:c r="A127" s="8" t="str">
        <x:v>FD-B28f4f52263b74a</x:v>
      </x:c>
      <x:c r="B127" s="8" t="str">
        <x:v>MaxCapital Максима Петрова</x:v>
      </x:c>
      <x:c r="C127" s="8" t="str">
        <x:v>named_in_publication_legal_entity_unverified</x:v>
      </x:c>
      <x:c r="D127" s="8" t="str">
        <x:v>FD-N133</x:v>
      </x:c>
      <x:c r="E127" s="8" t="str"/>
      <x:c r="F127" s="8" t="str">
        <x:v>Сопоставить официальный сайт, функцию закупки и владельца задачи; юрлицо подтверждать отдельно.</x:v>
      </x:c>
      <x:c r="G127" s="8" t="str"/>
    </x:row>
    <x:row r="128" ht="34.5" customHeight="1">
      <x:c r="A128" s="8" t="str">
        <x:v>FD-BU134</x:v>
      </x:c>
      <x:c r="B128" s="8" t="str">
        <x:v>Неустановленный заказчик · FD-N134</x:v>
      </x:c>
      <x:c r="C128" s="8" t="str">
        <x:v>anonymous_not_resolved</x:v>
      </x:c>
      <x:c r="D128" s="8" t="str">
        <x:v>FD-N134</x:v>
      </x:c>
      <x:c r="E128" s="8" t="str"/>
      <x:c r="F12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28" s="8" t="str"/>
    </x:row>
    <x:row r="129" ht="34.5" customHeight="1">
      <x:c r="A129" s="8" t="str">
        <x:v>FD-B07b2b0d7b95c59</x:v>
      </x:c>
      <x:c r="B129" s="8" t="str">
        <x:v>Корпоративный университет Правительства Приморского края</x:v>
      </x:c>
      <x:c r="C129" s="8" t="str">
        <x:v>official_site_matched_legal_entity_unverified</x:v>
      </x:c>
      <x:c r="D129" s="8" t="str">
        <x:v>FD-N135</x:v>
      </x:c>
      <x:c r="E129" s="8" t="str">
        <x:v>Общий контакт КУ; kuppk@dapr-pk.ru; +7 (423) 286-00-66</x:v>
      </x:c>
      <x:c r="F129" s="8" t="str">
        <x:v>Сопоставить официальный сайт, функцию закупки и владельца задачи; юрлицо подтверждать отдельно.</x:v>
      </x:c>
      <x:c r="G129" s="8" t="str">
        <x:v>https://xn----stbbtav.xn--p1ai/</x:v>
      </x:c>
    </x:row>
    <x:row r="130" ht="34.5" customHeight="1">
      <x:c r="A130" s="8" t="str">
        <x:v>FD-BU136</x:v>
      </x:c>
      <x:c r="B130" s="8" t="str">
        <x:v>Неустановленный заказчик · FD-N136</x:v>
      </x:c>
      <x:c r="C130" s="8" t="str">
        <x:v>anonymous_not_resolved</x:v>
      </x:c>
      <x:c r="D130" s="8" t="str">
        <x:v>FD-N136</x:v>
      </x:c>
      <x:c r="E130" s="8" t="str"/>
      <x:c r="F13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0" s="8" t="str"/>
    </x:row>
    <x:row r="131" ht="34.5" customHeight="1">
      <x:c r="A131" s="8" t="str">
        <x:v>FD-BU137</x:v>
      </x:c>
      <x:c r="B131" s="8" t="str">
        <x:v>Неустановленный заказчик · FD-N137</x:v>
      </x:c>
      <x:c r="C131" s="8" t="str">
        <x:v>anonymous_not_resolved</x:v>
      </x:c>
      <x:c r="D131" s="8" t="str">
        <x:v>FD-N137</x:v>
      </x:c>
      <x:c r="E131" s="8" t="str"/>
      <x:c r="F13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1" s="8" t="str"/>
    </x:row>
    <x:row r="132" ht="34.5" customHeight="1">
      <x:c r="A132" s="8" t="str">
        <x:v>FD-BU138</x:v>
      </x:c>
      <x:c r="B132" s="8" t="str">
        <x:v>Неустановленный заказчик · FD-N138</x:v>
      </x:c>
      <x:c r="C132" s="8" t="str">
        <x:v>anonymous_not_resolved</x:v>
      </x:c>
      <x:c r="D132" s="8" t="str">
        <x:v>FD-N138</x:v>
      </x:c>
      <x:c r="E132" s="8" t="str"/>
      <x:c r="F13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2" s="8" t="str"/>
    </x:row>
    <x:row r="133" ht="34.5" customHeight="1">
      <x:c r="A133" s="8" t="str">
        <x:v>FD-BU139</x:v>
      </x:c>
      <x:c r="B133" s="8" t="str">
        <x:v>Неустановленный заказчик · FD-N139</x:v>
      </x:c>
      <x:c r="C133" s="8" t="str">
        <x:v>anonymous_not_resolved</x:v>
      </x:c>
      <x:c r="D133" s="8" t="str">
        <x:v>FD-N139</x:v>
      </x:c>
      <x:c r="E133" s="8" t="str"/>
      <x:c r="F13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3" s="8" t="str"/>
    </x:row>
    <x:row r="134" ht="34.5" customHeight="1">
      <x:c r="A134" s="8" t="str">
        <x:v>FD-BU140</x:v>
      </x:c>
      <x:c r="B134" s="8" t="str">
        <x:v>Неустановленный заказчик · FD-N140</x:v>
      </x:c>
      <x:c r="C134" s="8" t="str">
        <x:v>anonymous_not_resolved</x:v>
      </x:c>
      <x:c r="D134" s="8" t="str">
        <x:v>FD-N140</x:v>
      </x:c>
      <x:c r="E134" s="8" t="str"/>
      <x:c r="F13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4" s="8" t="str"/>
    </x:row>
    <x:row r="135" ht="34.5" customHeight="1">
      <x:c r="A135" s="8" t="str">
        <x:v>FD-BU141</x:v>
      </x:c>
      <x:c r="B135" s="8" t="str">
        <x:v>Неустановленный заказчик · FD-N141</x:v>
      </x:c>
      <x:c r="C135" s="8" t="str">
        <x:v>anonymous_not_resolved</x:v>
      </x:c>
      <x:c r="D135" s="8" t="str">
        <x:v>FD-N141</x:v>
      </x:c>
      <x:c r="E135" s="8" t="str"/>
      <x:c r="F13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5" s="8" t="str"/>
    </x:row>
    <x:row r="136" ht="34.5" customHeight="1">
      <x:c r="A136" s="8" t="str">
        <x:v>FD-BU142</x:v>
      </x:c>
      <x:c r="B136" s="8" t="str">
        <x:v>Неустановленный заказчик · FD-N142</x:v>
      </x:c>
      <x:c r="C136" s="8" t="str">
        <x:v>anonymous_not_resolved</x:v>
      </x:c>
      <x:c r="D136" s="8" t="str">
        <x:v>FD-N142</x:v>
      </x:c>
      <x:c r="E136" s="8" t="str"/>
      <x:c r="F13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6" s="8" t="str"/>
    </x:row>
    <x:row r="137" ht="34.5" customHeight="1">
      <x:c r="A137" s="8" t="str">
        <x:v>FD-BU143</x:v>
      </x:c>
      <x:c r="B137" s="8" t="str">
        <x:v>Неустановленный заказчик · FD-N143</x:v>
      </x:c>
      <x:c r="C137" s="8" t="str">
        <x:v>anonymous_not_resolved</x:v>
      </x:c>
      <x:c r="D137" s="8" t="str">
        <x:v>FD-N143</x:v>
      </x:c>
      <x:c r="E137" s="8" t="str"/>
      <x:c r="F13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7" s="8" t="str"/>
    </x:row>
    <x:row r="138" ht="34.5" customHeight="1">
      <x:c r="A138" s="8" t="str">
        <x:v>FD-B31834512be2219</x:v>
      </x:c>
      <x:c r="B138" s="8" t="str">
        <x:v>Сообщество предпринимателей «На вершину»</x:v>
      </x:c>
      <x:c r="C138" s="8" t="str">
        <x:v>named_in_publication_legal_entity_unverified</x:v>
      </x:c>
      <x:c r="D138" s="8" t="str">
        <x:v>FD-N144</x:v>
      </x:c>
      <x:c r="E138" s="8" t="str"/>
      <x:c r="F138" s="8" t="str">
        <x:v>Сопоставить официальный сайт, функцию закупки и владельца задачи; юрлицо подтверждать отдельно.</x:v>
      </x:c>
      <x:c r="G138" s="8" t="str"/>
    </x:row>
    <x:row r="139" ht="34.5" customHeight="1">
      <x:c r="A139" s="8" t="str">
        <x:v>FD-BU145</x:v>
      </x:c>
      <x:c r="B139" s="8" t="str">
        <x:v>Неустановленный заказчик · FD-N145</x:v>
      </x:c>
      <x:c r="C139" s="8" t="str">
        <x:v>anonymous_not_resolved</x:v>
      </x:c>
      <x:c r="D139" s="8" t="str">
        <x:v>FD-N145</x:v>
      </x:c>
      <x:c r="E139" s="8" t="str"/>
      <x:c r="F13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39" s="8" t="str"/>
    </x:row>
    <x:row r="140" ht="34.5" customHeight="1">
      <x:c r="A140" s="8" t="str">
        <x:v>FD-BU146</x:v>
      </x:c>
      <x:c r="B140" s="8" t="str">
        <x:v>Неустановленный заказчик · FD-N146</x:v>
      </x:c>
      <x:c r="C140" s="8" t="str">
        <x:v>anonymous_not_resolved</x:v>
      </x:c>
      <x:c r="D140" s="8" t="str">
        <x:v>FD-N146</x:v>
      </x:c>
      <x:c r="E140" s="8" t="str"/>
      <x:c r="F14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40" s="8" t="str"/>
    </x:row>
    <x:row r="141" ht="34.5" customHeight="1">
      <x:c r="A141" s="8" t="str">
        <x:v>FD-BU147</x:v>
      </x:c>
      <x:c r="B141" s="8" t="str">
        <x:v>Неустановленный заказчик · FD-N147</x:v>
      </x:c>
      <x:c r="C141" s="8" t="str">
        <x:v>anonymous_not_resolved</x:v>
      </x:c>
      <x:c r="D141" s="8" t="str">
        <x:v>FD-N147</x:v>
      </x:c>
      <x:c r="E141" s="8" t="str"/>
      <x:c r="F14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41" s="8" t="str"/>
    </x:row>
    <x:row r="142" ht="34.5" customHeight="1">
      <x:c r="A142" s="8" t="str">
        <x:v>FD-BU148</x:v>
      </x:c>
      <x:c r="B142" s="8" t="str">
        <x:v>Неустановленный заказчик · FD-N148</x:v>
      </x:c>
      <x:c r="C142" s="8" t="str">
        <x:v>anonymous_not_resolved</x:v>
      </x:c>
      <x:c r="D142" s="8" t="str">
        <x:v>FD-N148</x:v>
      </x:c>
      <x:c r="E142" s="8" t="str"/>
      <x:c r="F14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42" s="8" t="str"/>
    </x:row>
    <x:row r="143" ht="34.5" customHeight="1">
      <x:c r="A143" s="8" t="str">
        <x:v>FD-Befb345594c40a6</x:v>
      </x:c>
      <x:c r="B143" s="8" t="str">
        <x:v>Центр преподавательского мастерства ВШМ СПбГУ</x:v>
      </x:c>
      <x:c r="C143" s="8" t="str">
        <x:v>named_in_publication_legal_entity_unverified</x:v>
      </x:c>
      <x:c r="D143" s="8" t="str">
        <x:v>FD-N149</x:v>
      </x:c>
      <x:c r="E143" s="8" t="str"/>
      <x:c r="F143" s="8" t="str">
        <x:v>Сопоставить официальный сайт, функцию закупки и владельца задачи; юрлицо подтверждать отдельно.</x:v>
      </x:c>
      <x:c r="G143" s="8" t="str"/>
    </x:row>
    <x:row r="144" ht="34.5" customHeight="1">
      <x:c r="A144" s="8" t="str">
        <x:v>FD-Baa439a4c2b4328</x:v>
      </x:c>
      <x:c r="B144" s="8" t="str">
        <x:v>ООО «Динамика Ортопедические Технологии»</x:v>
      </x:c>
      <x:c r="C144" s="8" t="str">
        <x:v>named_in_publication_legal_entity_unverified</x:v>
      </x:c>
      <x:c r="D144" s="8" t="str">
        <x:v>FD-N150</x:v>
      </x:c>
      <x:c r="E144" s="8" t="str"/>
      <x:c r="F144" s="8" t="str">
        <x:v>Сопоставить официальный сайт, функцию закупки и владельца задачи; юрлицо подтверждать отдельно.</x:v>
      </x:c>
      <x:c r="G144" s="8" t="str"/>
    </x:row>
    <x:row r="145" ht="34.5" customHeight="1">
      <x:c r="A145" s="8" t="str">
        <x:v>FD-BU154</x:v>
      </x:c>
      <x:c r="B145" s="8" t="str">
        <x:v>Неустановленный заказчик · FD-N154</x:v>
      </x:c>
      <x:c r="C145" s="8" t="str">
        <x:v>anonymous_not_resolved</x:v>
      </x:c>
      <x:c r="D145" s="8" t="str">
        <x:v>FD-N154</x:v>
      </x:c>
      <x:c r="E145" s="8" t="str"/>
      <x:c r="F145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45" s="8" t="str"/>
    </x:row>
    <x:row r="146" ht="34.5" customHeight="1">
      <x:c r="A146" s="8" t="str">
        <x:v>FD-BU155</x:v>
      </x:c>
      <x:c r="B146" s="8" t="str">
        <x:v>Неустановленный заказчик · FD-N155</x:v>
      </x:c>
      <x:c r="C146" s="8" t="str">
        <x:v>anonymous_not_resolved</x:v>
      </x:c>
      <x:c r="D146" s="8" t="str">
        <x:v>FD-N155</x:v>
      </x:c>
      <x:c r="E146" s="8" t="str"/>
      <x:c r="F146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46" s="8" t="str"/>
    </x:row>
    <x:row r="147" ht="34.5" customHeight="1">
      <x:c r="A147" s="8" t="str">
        <x:v>FD-B4c0ccaa7602908</x:v>
      </x:c>
      <x:c r="B147" s="8" t="str">
        <x:v>Коворкинг Юргенс PAGE</x:v>
      </x:c>
      <x:c r="C147" s="8" t="str">
        <x:v>named_in_publication_legal_entity_unverified</x:v>
      </x:c>
      <x:c r="D147" s="8" t="str">
        <x:v>FD-N156</x:v>
      </x:c>
      <x:c r="E147" s="8" t="str"/>
      <x:c r="F147" s="8" t="str">
        <x:v>Сопоставить официальный сайт, функцию закупки и владельца задачи; юрлицо подтверждать отдельно.</x:v>
      </x:c>
      <x:c r="G147" s="8" t="str"/>
    </x:row>
    <x:row r="148" ht="34.5" customHeight="1">
      <x:c r="A148" s="8" t="str">
        <x:v>FD-Ba7fac13817be9f</x:v>
      </x:c>
      <x:c r="B148" s="8" t="str">
        <x:v>GORA ACADEMY</x:v>
      </x:c>
      <x:c r="C148" s="8" t="str">
        <x:v>named_in_publication_legal_entity_unverified</x:v>
      </x:c>
      <x:c r="D148" s="8" t="str">
        <x:v>FD-N157</x:v>
      </x:c>
      <x:c r="E148" s="8" t="str"/>
      <x:c r="F148" s="8" t="str">
        <x:v>Сопоставить официальный сайт, функцию закупки и владельца задачи; юрлицо подтверждать отдельно.</x:v>
      </x:c>
      <x:c r="G148" s="8" t="str"/>
    </x:row>
    <x:row r="149" ht="34.5" customHeight="1">
      <x:c r="A149" s="8" t="str">
        <x:v>FD-BU158</x:v>
      </x:c>
      <x:c r="B149" s="8" t="str">
        <x:v>Неустановленный заказчик · FD-N158</x:v>
      </x:c>
      <x:c r="C149" s="8" t="str">
        <x:v>anonymous_not_resolved</x:v>
      </x:c>
      <x:c r="D149" s="8" t="str">
        <x:v>FD-N158</x:v>
      </x:c>
      <x:c r="E149" s="8" t="str"/>
      <x:c r="F14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49" s="8" t="str"/>
    </x:row>
    <x:row r="150" ht="34.5" customHeight="1">
      <x:c r="A150" s="8" t="str">
        <x:v>FD-BU159</x:v>
      </x:c>
      <x:c r="B150" s="8" t="str">
        <x:v>Неустановленный заказчик · FD-N159</x:v>
      </x:c>
      <x:c r="C150" s="8" t="str">
        <x:v>anonymous_not_resolved</x:v>
      </x:c>
      <x:c r="D150" s="8" t="str">
        <x:v>FD-N159</x:v>
      </x:c>
      <x:c r="E150" s="8" t="str"/>
      <x:c r="F15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0" s="8" t="str"/>
    </x:row>
    <x:row r="151" ht="34.5" customHeight="1">
      <x:c r="A151" s="8" t="str">
        <x:v>FD-BU160</x:v>
      </x:c>
      <x:c r="B151" s="8" t="str">
        <x:v>Неустановленный заказчик · FD-N160</x:v>
      </x:c>
      <x:c r="C151" s="8" t="str">
        <x:v>anonymous_not_resolved</x:v>
      </x:c>
      <x:c r="D151" s="8" t="str">
        <x:v>FD-N160</x:v>
      </x:c>
      <x:c r="E151" s="8" t="str"/>
      <x:c r="F15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1" s="8" t="str"/>
    </x:row>
    <x:row r="152" ht="34.5" customHeight="1">
      <x:c r="A152" s="8" t="str">
        <x:v>FD-BU161</x:v>
      </x:c>
      <x:c r="B152" s="8" t="str">
        <x:v>Неустановленный заказчик · FD-N161</x:v>
      </x:c>
      <x:c r="C152" s="8" t="str">
        <x:v>anonymous_not_resolved</x:v>
      </x:c>
      <x:c r="D152" s="8" t="str">
        <x:v>FD-N161</x:v>
      </x:c>
      <x:c r="E152" s="8" t="str"/>
      <x:c r="F15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2" s="8" t="str"/>
    </x:row>
    <x:row r="153" ht="34.5" customHeight="1">
      <x:c r="A153" s="8" t="str">
        <x:v>FD-BU162</x:v>
      </x:c>
      <x:c r="B153" s="8" t="str">
        <x:v>Неустановленный заказчик · FD-N162</x:v>
      </x:c>
      <x:c r="C153" s="8" t="str">
        <x:v>anonymous_not_resolved</x:v>
      </x:c>
      <x:c r="D153" s="8" t="str">
        <x:v>FD-N162</x:v>
      </x:c>
      <x:c r="E153" s="8" t="str"/>
      <x:c r="F15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3" s="8" t="str"/>
    </x:row>
    <x:row r="154" ht="34.5" customHeight="1">
      <x:c r="A154" s="8" t="str">
        <x:v>FD-BU163</x:v>
      </x:c>
      <x:c r="B154" s="8" t="str">
        <x:v>Неустановленный заказчик · FD-N163</x:v>
      </x:c>
      <x:c r="C154" s="8" t="str">
        <x:v>anonymous_not_resolved</x:v>
      </x:c>
      <x:c r="D154" s="8" t="str">
        <x:v>FD-N163</x:v>
      </x:c>
      <x:c r="E154" s="8" t="str"/>
      <x:c r="F15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4" s="8" t="str"/>
    </x:row>
    <x:row r="155" ht="34.5" customHeight="1">
      <x:c r="A155" s="8" t="str">
        <x:v>FD-Bc7963b54f3192d</x:v>
      </x:c>
      <x:c r="B155" s="8" t="str">
        <x:v>Проект MIGRANT ID</x:v>
      </x:c>
      <x:c r="C155" s="8" t="str">
        <x:v>named_in_publication_legal_entity_unverified</x:v>
      </x:c>
      <x:c r="D155" s="8" t="str">
        <x:v>FD-N164</x:v>
      </x:c>
      <x:c r="E155" s="8" t="str"/>
      <x:c r="F155" s="8" t="str">
        <x:v>Сопоставить официальный сайт, функцию закупки и владельца задачи; юрлицо подтверждать отдельно.</x:v>
      </x:c>
      <x:c r="G155" s="8" t="str"/>
    </x:row>
    <x:row r="156" ht="34.5" customHeight="1">
      <x:c r="A156" s="8" t="str">
        <x:v>FD-Bff858b0d4f159d</x:v>
      </x:c>
      <x:c r="B156" s="8" t="str">
        <x:v>Комитет по развитию мужского предпринимательства МГО «Опора России»</x:v>
      </x:c>
      <x:c r="C156" s="8" t="str">
        <x:v>named_in_publication_legal_entity_unverified</x:v>
      </x:c>
      <x:c r="D156" s="8" t="str">
        <x:v>FD-N165</x:v>
      </x:c>
      <x:c r="E156" s="8" t="str"/>
      <x:c r="F156" s="8" t="str">
        <x:v>Сопоставить официальный сайт, функцию закупки и владельца задачи; юрлицо подтверждать отдельно.</x:v>
      </x:c>
      <x:c r="G156" s="8" t="str"/>
    </x:row>
    <x:row r="157" ht="34.5" customHeight="1">
      <x:c r="A157" s="8" t="str">
        <x:v>FD-BU171</x:v>
      </x:c>
      <x:c r="B157" s="8" t="str">
        <x:v>Неустановленный заказчик · FD-N171</x:v>
      </x:c>
      <x:c r="C157" s="8" t="str">
        <x:v>anonymous_not_resolved</x:v>
      </x:c>
      <x:c r="D157" s="8" t="str">
        <x:v>FD-N171</x:v>
      </x:c>
      <x:c r="E157" s="8" t="str"/>
      <x:c r="F15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7" s="8" t="str"/>
    </x:row>
    <x:row r="158" ht="34.5" customHeight="1">
      <x:c r="A158" s="8" t="str">
        <x:v>FD-BU172</x:v>
      </x:c>
      <x:c r="B158" s="8" t="str">
        <x:v>Неустановленный заказчик · FD-N172</x:v>
      </x:c>
      <x:c r="C158" s="8" t="str">
        <x:v>anonymous_not_resolved</x:v>
      </x:c>
      <x:c r="D158" s="8" t="str">
        <x:v>FD-N172</x:v>
      </x:c>
      <x:c r="E158" s="8" t="str"/>
      <x:c r="F15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8" s="8" t="str"/>
    </x:row>
    <x:row r="159" ht="34.5" customHeight="1">
      <x:c r="A159" s="8" t="str">
        <x:v>FD-BU173</x:v>
      </x:c>
      <x:c r="B159" s="8" t="str">
        <x:v>Неустановленный заказчик · FD-N173</x:v>
      </x:c>
      <x:c r="C159" s="8" t="str">
        <x:v>anonymous_not_resolved</x:v>
      </x:c>
      <x:c r="D159" s="8" t="str">
        <x:v>FD-N173</x:v>
      </x:c>
      <x:c r="E159" s="8" t="str"/>
      <x:c r="F15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59" s="8" t="str"/>
    </x:row>
    <x:row r="160" ht="34.5" customHeight="1">
      <x:c r="A160" s="8" t="str">
        <x:v>FD-BU174</x:v>
      </x:c>
      <x:c r="B160" s="8" t="str">
        <x:v>Неустановленный заказчик · FD-N174</x:v>
      </x:c>
      <x:c r="C160" s="8" t="str">
        <x:v>anonymous_not_resolved</x:v>
      </x:c>
      <x:c r="D160" s="8" t="str">
        <x:v>FD-N174</x:v>
      </x:c>
      <x:c r="E160" s="8" t="str"/>
      <x:c r="F16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60" s="8" t="str"/>
    </x:row>
    <x:row r="161" ht="34.5" customHeight="1">
      <x:c r="A161" s="8" t="str">
        <x:v>FD-B901d734ddc5093</x:v>
      </x:c>
      <x:c r="B161" s="8" t="str">
        <x:v>Ассоциация корпоративных казначеев</x:v>
      </x:c>
      <x:c r="C161" s="8" t="str">
        <x:v>named_in_publication_legal_entity_unverified</x:v>
      </x:c>
      <x:c r="D161" s="8" t="str">
        <x:v>FD-N175</x:v>
      </x:c>
      <x:c r="E161" s="8" t="str"/>
      <x:c r="F161" s="8" t="str">
        <x:v>Сопоставить официальный сайт, функцию закупки и владельца задачи; юрлицо подтверждать отдельно.</x:v>
      </x:c>
      <x:c r="G161" s="8" t="str"/>
    </x:row>
    <x:row r="162" ht="34.5" customHeight="1">
      <x:c r="A162" s="8" t="str">
        <x:v>FD-BU176</x:v>
      </x:c>
      <x:c r="B162" s="8" t="str">
        <x:v>Неустановленный заказчик · FD-N176</x:v>
      </x:c>
      <x:c r="C162" s="8" t="str">
        <x:v>anonymous_not_resolved</x:v>
      </x:c>
      <x:c r="D162" s="8" t="str">
        <x:v>FD-N176</x:v>
      </x:c>
      <x:c r="E162" s="8" t="str"/>
      <x:c r="F16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62" s="8" t="str"/>
    </x:row>
    <x:row r="163" ht="34.5" customHeight="1">
      <x:c r="A163" s="8" t="str">
        <x:v>FD-BU177</x:v>
      </x:c>
      <x:c r="B163" s="8" t="str">
        <x:v>Неустановленный заказчик · FD-N177</x:v>
      </x:c>
      <x:c r="C163" s="8" t="str">
        <x:v>anonymous_not_resolved</x:v>
      </x:c>
      <x:c r="D163" s="8" t="str">
        <x:v>FD-N177</x:v>
      </x:c>
      <x:c r="E163" s="8" t="str"/>
      <x:c r="F16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63" s="8" t="str"/>
    </x:row>
    <x:row r="164" ht="34.5" customHeight="1">
      <x:c r="A164" s="8" t="str">
        <x:v>FD-B07e53001f91dfd</x:v>
      </x:c>
      <x:c r="B164" s="8" t="str">
        <x:v>HR AREA / Attech Central Asia</x:v>
      </x:c>
      <x:c r="C164" s="8" t="str">
        <x:v>named_in_publication_legal_entity_unverified</x:v>
      </x:c>
      <x:c r="D164" s="8" t="str">
        <x:v>FD-N178</x:v>
      </x:c>
      <x:c r="E164" s="8" t="str"/>
      <x:c r="F164" s="8" t="str">
        <x:v>Сопоставить официальный сайт, функцию закупки и владельца задачи; юрлицо подтверждать отдельно.</x:v>
      </x:c>
      <x:c r="G164" s="8" t="str"/>
    </x:row>
    <x:row r="165" ht="34.5" customHeight="1">
      <x:c r="A165" s="8" t="str">
        <x:v>FD-B5666799ea2e13d</x:v>
      </x:c>
      <x:c r="B165" s="8" t="str">
        <x:v>HR4People Forum</x:v>
      </x:c>
      <x:c r="C165" s="8" t="str">
        <x:v>named_in_publication_legal_entity_unverified</x:v>
      </x:c>
      <x:c r="D165" s="8" t="str">
        <x:v>FD-N179</x:v>
      </x:c>
      <x:c r="E165" s="8" t="str"/>
      <x:c r="F165" s="8" t="str">
        <x:v>Сопоставить официальный сайт, функцию закупки и владельца задачи; юрлицо подтверждать отдельно.</x:v>
      </x:c>
      <x:c r="G165" s="8" t="str"/>
    </x:row>
    <x:row r="166" ht="34.5" customHeight="1">
      <x:c r="A166" s="8" t="str">
        <x:v>FD-Baa1414b18c533d</x:v>
      </x:c>
      <x:c r="B166" s="8" t="str">
        <x:v>Auditorium CG</x:v>
      </x:c>
      <x:c r="C166" s="8" t="str">
        <x:v>named_in_publication_legal_entity_unverified</x:v>
      </x:c>
      <x:c r="D166" s="8" t="str">
        <x:v>FD-N180; FD-N181; FD-N182</x:v>
      </x:c>
      <x:c r="E166" s="8" t="str"/>
      <x:c r="F166" s="8" t="str">
        <x:v>Сопоставить официальный сайт, функцию закупки и владельца задачи; юрлицо подтверждать отдельно.</x:v>
      </x:c>
      <x:c r="G166" s="8" t="str"/>
    </x:row>
    <x:row r="167" ht="34.5" customHeight="1">
      <x:c r="A167" s="8" t="str">
        <x:v>FD-BU184</x:v>
      </x:c>
      <x:c r="B167" s="8" t="str">
        <x:v>Неустановленный заказчик · FD-N184</x:v>
      </x:c>
      <x:c r="C167" s="8" t="str">
        <x:v>anonymous_not_resolved</x:v>
      </x:c>
      <x:c r="D167" s="8" t="str">
        <x:v>FD-N184</x:v>
      </x:c>
      <x:c r="E167" s="8" t="str"/>
      <x:c r="F16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67" s="8" t="str"/>
    </x:row>
    <x:row r="168" ht="34.5" customHeight="1">
      <x:c r="A168" s="8" t="str">
        <x:v>FD-BU185</x:v>
      </x:c>
      <x:c r="B168" s="8" t="str">
        <x:v>Неустановленный заказчик · FD-N185</x:v>
      </x:c>
      <x:c r="C168" s="8" t="str">
        <x:v>anonymous_not_resolved</x:v>
      </x:c>
      <x:c r="D168" s="8" t="str">
        <x:v>FD-N185</x:v>
      </x:c>
      <x:c r="E168" s="8" t="str"/>
      <x:c r="F168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68" s="8" t="str"/>
    </x:row>
    <x:row r="169" ht="34.5" customHeight="1">
      <x:c r="A169" s="8" t="str">
        <x:v>FD-BU186</x:v>
      </x:c>
      <x:c r="B169" s="8" t="str">
        <x:v>Неустановленный заказчик · FD-N186</x:v>
      </x:c>
      <x:c r="C169" s="8" t="str">
        <x:v>anonymous_not_resolved</x:v>
      </x:c>
      <x:c r="D169" s="8" t="str">
        <x:v>FD-N186</x:v>
      </x:c>
      <x:c r="E169" s="8" t="str"/>
      <x:c r="F169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69" s="8" t="str"/>
    </x:row>
    <x:row r="170" ht="34.5" customHeight="1">
      <x:c r="A170" s="8" t="str">
        <x:v>FD-BU187</x:v>
      </x:c>
      <x:c r="B170" s="8" t="str">
        <x:v>Неустановленный заказчик · FD-N187</x:v>
      </x:c>
      <x:c r="C170" s="8" t="str">
        <x:v>anonymous_not_resolved</x:v>
      </x:c>
      <x:c r="D170" s="8" t="str">
        <x:v>FD-N187</x:v>
      </x:c>
      <x:c r="E170" s="8" t="str"/>
      <x:c r="F170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70" s="8" t="str"/>
    </x:row>
    <x:row r="171" ht="34.5" customHeight="1">
      <x:c r="A171" s="8" t="str">
        <x:v>FD-BU188</x:v>
      </x:c>
      <x:c r="B171" s="8" t="str">
        <x:v>Неустановленный заказчик · FD-N188</x:v>
      </x:c>
      <x:c r="C171" s="8" t="str">
        <x:v>anonymous_not_resolved</x:v>
      </x:c>
      <x:c r="D171" s="8" t="str">
        <x:v>FD-N188</x:v>
      </x:c>
      <x:c r="E171" s="8" t="str"/>
      <x:c r="F171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71" s="8" t="str"/>
    </x:row>
    <x:row r="172" ht="34.5" customHeight="1">
      <x:c r="A172" s="8" t="str">
        <x:v>FD-BU189</x:v>
      </x:c>
      <x:c r="B172" s="8" t="str">
        <x:v>Неустановленный заказчик · FD-N189</x:v>
      </x:c>
      <x:c r="C172" s="8" t="str">
        <x:v>anonymous_not_resolved</x:v>
      </x:c>
      <x:c r="D172" s="8" t="str">
        <x:v>FD-N189</x:v>
      </x:c>
      <x:c r="E172" s="8" t="str"/>
      <x:c r="F172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72" s="8" t="str"/>
    </x:row>
    <x:row r="173" ht="34.5" customHeight="1">
      <x:c r="A173" s="8" t="str">
        <x:v>FD-BU190</x:v>
      </x:c>
      <x:c r="B173" s="8" t="str">
        <x:v>Неустановленный заказчик · FD-N190</x:v>
      </x:c>
      <x:c r="C173" s="8" t="str">
        <x:v>anonymous_not_resolved</x:v>
      </x:c>
      <x:c r="D173" s="8" t="str">
        <x:v>FD-N190</x:v>
      </x:c>
      <x:c r="E173" s="8" t="str"/>
      <x:c r="F173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73" s="8" t="str"/>
    </x:row>
    <x:row r="174" ht="34.5" customHeight="1">
      <x:c r="A174" s="8" t="str">
        <x:v>FD-BU191</x:v>
      </x:c>
      <x:c r="B174" s="8" t="str">
        <x:v>Неустановленный заказчик · FD-N191</x:v>
      </x:c>
      <x:c r="C174" s="8" t="str">
        <x:v>anonymous_not_resolved</x:v>
      </x:c>
      <x:c r="D174" s="8" t="str">
        <x:v>FD-N191</x:v>
      </x:c>
      <x:c r="E174" s="8" t="str"/>
      <x:c r="F174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74" s="8" t="str"/>
    </x:row>
    <x:row r="175" ht="34.5" customHeight="1">
      <x:c r="A175" s="8" t="str">
        <x:v>FD-B74658dd9dd2fb7</x:v>
      </x:c>
      <x:c r="B175" s="8" t="str">
        <x:v>Emerging Travel Group</x:v>
      </x:c>
      <x:c r="C175" s="8" t="str">
        <x:v>named_in_publication_legal_entity_unverified</x:v>
      </x:c>
      <x:c r="D175" s="8" t="str">
        <x:v>FD-N192</x:v>
      </x:c>
      <x:c r="E175" s="8" t="str"/>
      <x:c r="F175" s="8" t="str">
        <x:v>Сопоставить официальный сайт, функцию закупки и владельца задачи; юрлицо подтверждать отдельно.</x:v>
      </x:c>
      <x:c r="G175" s="8" t="str"/>
    </x:row>
    <x:row r="176" ht="34.5" customHeight="1">
      <x:c r="A176" s="8" t="str">
        <x:v>FD-B3375b63adc3d31</x:v>
      </x:c>
      <x:c r="B176" s="8" t="str">
        <x:v>Skillbox</x:v>
      </x:c>
      <x:c r="C176" s="8" t="str">
        <x:v>named_in_publication_legal_entity_unverified</x:v>
      </x:c>
      <x:c r="D176" s="8" t="str">
        <x:v>FD-N193</x:v>
      </x:c>
      <x:c r="E176" s="8" t="str"/>
      <x:c r="F176" s="8" t="str">
        <x:v>Сопоставить официальный сайт, функцию закупки и владельца задачи; юрлицо подтверждать отдельно.</x:v>
      </x:c>
      <x:c r="G176" s="8" t="str"/>
    </x:row>
    <x:row r="177" ht="34.5" customHeight="1">
      <x:c r="A177" s="8" t="str">
        <x:v>FD-BU194</x:v>
      </x:c>
      <x:c r="B177" s="8" t="str">
        <x:v>Неустановленный заказчик · FD-N194</x:v>
      </x:c>
      <x:c r="C177" s="8" t="str">
        <x:v>anonymous_not_resolved</x:v>
      </x:c>
      <x:c r="D177" s="8" t="str">
        <x:v>FD-N194</x:v>
      </x:c>
      <x:c r="E177" s="8" t="str"/>
      <x:c r="F177" s="8" t="str">
        <x:v>Из брифа выписать отрасль, город, роль и контекст; искать публичный первоисточник. Совпадение признаков не считать идентификацией.</x:v>
      </x:c>
      <x:c r="G177" s="8" t="str"/>
    </x:row>
    <x:row r="178" ht="34.5" customHeight="1">
      <x:c r="A178" s="8" t="str">
        <x:v>FD-Bde6bf6147f9fa0</x:v>
      </x:c>
      <x:c r="B178" s="8" t="str">
        <x:v>ГБУ «Малый бизнес Москвы»</x:v>
      </x:c>
      <x:c r="C178" s="8" t="str">
        <x:v>named_in_publication_legal_entity_unverified</x:v>
      </x:c>
      <x:c r="D178" s="8" t="str">
        <x:v>FD-N195</x:v>
      </x:c>
      <x:c r="E178" s="8" t="str"/>
      <x:c r="F178" s="8" t="str">
        <x:v>Сопоставить официальный сайт, функцию закупки и владельца задачи; юрлицо подтверждать отдельно.</x:v>
      </x:c>
      <x:c r="G178" s="8" t="str"/>
    </x:row>
    <x:row r="179" ht="34.5" customHeight="1">
      <x:c r="A179" s="8" t="str">
        <x:v>FD-Bc974ae260107a2</x:v>
      </x:c>
      <x:c r="B179" s="8" t="str">
        <x:v>Федеральный центр компетенций; Школа управления Сколково</x:v>
      </x:c>
      <x:c r="C179" s="8" t="str">
        <x:v>named_in_publication_legal_entity_unverified</x:v>
      </x:c>
      <x:c r="D179" s="8" t="str">
        <x:v>FD-N196</x:v>
      </x:c>
      <x:c r="E179" s="8" t="str"/>
      <x:c r="F179" s="8" t="str">
        <x:v>Сопоставить официальный сайт, функцию закупки и владельца задачи; юрлицо подтверждать отдельно.</x:v>
      </x:c>
      <x:c r="G179" s="8" t="str"/>
    </x:row>
  </x:sheetData>
  <x:pageMargins left="0.7" right="0.7" top="0.75" bottom="0.75" header="0.3" footer="0.3"/>
  <x:tableParts count="1">
    <x:tablePart xmlns:r="http://schemas.openxmlformats.org/officeDocument/2006/relationships" r:id="R9875d68825e642c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.780000686645508" hidden="0" customWidth="1"/>
    <x:col min="2" max="2" width="38.88999938964844" hidden="0" customWidth="1"/>
    <x:col min="3" max="3" width="20" hidden="0" customWidth="1"/>
    <x:col min="4" max="4" width="31.110000610351562" hidden="0" customWidth="1"/>
    <x:col min="5" max="5" width="28.889999389648438" hidden="0" customWidth="1"/>
    <x:col min="6" max="6" width="35.560001373291016" hidden="0" customWidth="1"/>
  </x:cols>
  <x:sheetData>
    <x:row r="1">
      <x:c r="A1" s="2"/>
      <x:c r="B1" s="2"/>
      <x:c r="C1" s="2"/>
      <x:c r="D1" s="2"/>
      <x:c r="E1" s="2"/>
      <x:c r="F1" s="2"/>
    </x:row>
    <x:row r="2" ht="24" customHeight="1">
      <x:c r="A2" s="3" t="str">
        <x:v>19 семейств предложений</x:v>
      </x:c>
      <x:c r="B2" s="2"/>
      <x:c r="C2" s="2"/>
      <x:c r="D2" s="2"/>
      <x:c r="E2" s="2"/>
      <x:c r="F2" s="2"/>
    </x:row>
    <x:row r="3" ht="22.5" customHeight="1">
      <x:c r="A3" s="4" t="str">
        <x:v>Соответствие теме — гипотеза; преподаватель, сроки и корпоративная цена требуют проверки.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3.75" customHeight="1">
      <x:c r="A5" s="7" t="str">
        <x:v>Код v6</x:v>
      </x:c>
      <x:c r="B5" s="7" t="str">
        <x:v>Тема — кратко</x:v>
      </x:c>
      <x:c r="C5" s="7" t="str">
        <x:v>Код каталога</x:v>
      </x:c>
      <x:c r="D5" s="7" t="str">
        <x:v>Аудитория</x:v>
      </x:c>
      <x:c r="E5" s="7" t="str">
        <x:v>Готовность исполнить</x:v>
      </x:c>
      <x:c r="F5" s="7" t="str">
        <x:v>Официальный источник</x:v>
      </x:c>
    </x:row>
    <x:row r="6" ht="31.5" customHeight="1">
      <x:c r="A6" s="8" t="str">
        <x:v>HR_LD</x:v>
      </x:c>
      <x:c r="B6" s="8" t="str">
        <x:v>Развитие и обучение персонала</x:v>
      </x:c>
      <x:c r="C6" s="8" t="str">
        <x:v>76 1001 229</x:v>
      </x:c>
      <x:c r="D6" s="8" t="str">
        <x:v>HR, L&amp;D</x:v>
      </x:c>
      <x:c r="E6" s="8" t="str">
        <x:v>Не подтверждена</x:v>
      </x:c>
      <x:c r="F6" s="8" t="str">
        <x:v>https://mmbi.ru/</x:v>
      </x:c>
    </x:row>
    <x:row r="7" ht="31.5" customHeight="1">
      <x:c r="A7" s="8" t="str">
        <x:v>HR_RECRUIT</x:v>
      </x:c>
      <x:c r="B7" s="8" t="str">
        <x:v>Подбор и удержание</x:v>
      </x:c>
      <x:c r="C7" s="8" t="str">
        <x:v>76 1001 230</x:v>
      </x:c>
      <x:c r="D7" s="8" t="str">
        <x:v>HR, рекрутинг</x:v>
      </x:c>
      <x:c r="E7" s="8" t="str">
        <x:v>Не подтверждена</x:v>
      </x:c>
      <x:c r="F7" s="8" t="str">
        <x:v>https://mmbi.ru/</x:v>
      </x:c>
    </x:row>
    <x:row r="8" ht="31.5" customHeight="1">
      <x:c r="A8" s="8" t="str">
        <x:v>HR_LAW</x:v>
      </x:c>
      <x:c r="B8" s="8" t="str">
        <x:v>Трудовые отношения</x:v>
      </x:c>
      <x:c r="C8" s="8" t="str">
        <x:v>76 1001 228</x:v>
      </x:c>
      <x:c r="D8" s="8" t="str">
        <x:v>HR, юристы</x:v>
      </x:c>
      <x:c r="E8" s="8" t="str">
        <x:v>Не подтверждена</x:v>
      </x:c>
      <x:c r="F8" s="8" t="str">
        <x:v>https://mmbi.ru/</x:v>
      </x:c>
    </x:row>
    <x:row r="9" ht="31.5" customHeight="1">
      <x:c r="A9" s="8" t="str">
        <x:v>MANAGE</x:v>
      </x:c>
      <x:c r="B9" s="8" t="str">
        <x:v>Управление подразделением</x:v>
      </x:c>
      <x:c r="C9" s="8" t="str">
        <x:v>76 1103 042</x:v>
      </x:c>
      <x:c r="D9" s="8" t="str">
        <x:v>Руководители</x:v>
      </x:c>
      <x:c r="E9" s="8" t="str">
        <x:v>Не подтверждена</x:v>
      </x:c>
      <x:c r="F9" s="8" t="str">
        <x:v>https://mmbi.ru/</x:v>
      </x:c>
    </x:row>
    <x:row r="10" ht="31.5" customHeight="1">
      <x:c r="A10" s="8" t="str">
        <x:v>LEAD</x:v>
      </x:c>
      <x:c r="B10" s="8" t="str">
        <x:v>Лидерство и команда</x:v>
      </x:c>
      <x:c r="C10" s="8" t="str">
        <x:v>76 1104 030</x:v>
      </x:c>
      <x:c r="D10" s="8" t="str">
        <x:v>Руководители</x:v>
      </x:c>
      <x:c r="E10" s="8" t="str">
        <x:v>Не подтверждена</x:v>
      </x:c>
      <x:c r="F10" s="8" t="str">
        <x:v>https://mmbi.ru/</x:v>
      </x:c>
    </x:row>
    <x:row r="11" ht="31.5" customHeight="1">
      <x:c r="A11" s="8" t="str">
        <x:v>COMPETENCE</x:v>
      </x:c>
      <x:c r="B11" s="8" t="str">
        <x:v>Навыки руководителя</x:v>
      </x:c>
      <x:c r="C11" s="8" t="str">
        <x:v>76 1103 043</x:v>
      </x:c>
      <x:c r="D11" s="8" t="str">
        <x:v>Руководители</x:v>
      </x:c>
      <x:c r="E11" s="8" t="str">
        <x:v>Не подтверждена</x:v>
      </x:c>
      <x:c r="F11" s="8" t="str">
        <x:v>https://mmbi.ru/</x:v>
      </x:c>
    </x:row>
    <x:row r="12" ht="31.5" customHeight="1">
      <x:c r="A12" s="8" t="str">
        <x:v>RISK</x:v>
      </x:c>
      <x:c r="B12" s="8" t="str">
        <x:v>Управление рисками</x:v>
      </x:c>
      <x:c r="C12" s="8" t="str">
        <x:v>76 1103 044</x:v>
      </x:c>
      <x:c r="D12" s="8" t="str">
        <x:v>Руководители, риск</x:v>
      </x:c>
      <x:c r="E12" s="8" t="str">
        <x:v>Не подтверждена</x:v>
      </x:c>
      <x:c r="F12" s="8" t="str">
        <x:v>https://mmbi.ru/</x:v>
      </x:c>
    </x:row>
    <x:row r="13" ht="31.5" customHeight="1">
      <x:c r="A13" s="8" t="str">
        <x:v>DECIDE</x:v>
      </x:c>
      <x:c r="B13" s="8" t="str">
        <x:v>Управленческие решения</x:v>
      </x:c>
      <x:c r="C13" s="8" t="str">
        <x:v>76 1103 045</x:v>
      </x:c>
      <x:c r="D13" s="8" t="str">
        <x:v>Руководители</x:v>
      </x:c>
      <x:c r="E13" s="8" t="str">
        <x:v>Не подтверждена</x:v>
      </x:c>
      <x:c r="F13" s="8" t="str">
        <x:v>https://mmbi.ru/</x:v>
      </x:c>
    </x:row>
    <x:row r="14" ht="31.5" customHeight="1">
      <x:c r="A14" s="8" t="str">
        <x:v>THINK</x:v>
      </x:c>
      <x:c r="B14" s="8" t="str">
        <x:v>Системное мышление</x:v>
      </x:c>
      <x:c r="C14" s="8" t="str">
        <x:v>76 1104 031</x:v>
      </x:c>
      <x:c r="D14" s="8" t="str">
        <x:v>Руководители</x:v>
      </x:c>
      <x:c r="E14" s="8" t="str">
        <x:v>Не подтверждена</x:v>
      </x:c>
      <x:c r="F14" s="8" t="str">
        <x:v>https://mmbi.ru/</x:v>
      </x:c>
    </x:row>
    <x:row r="15" ht="31.5" customHeight="1">
      <x:c r="A15" s="8" t="str">
        <x:v>CONFLICT</x:v>
      </x:c>
      <x:c r="B15" s="8" t="str">
        <x:v>Работа с конфликтами</x:v>
      </x:c>
      <x:c r="C15" s="8" t="str">
        <x:v>76 1104 032</x:v>
      </x:c>
      <x:c r="D15" s="8" t="str">
        <x:v>Руководители, HR</x:v>
      </x:c>
      <x:c r="E15" s="8" t="str">
        <x:v>Не подтверждена</x:v>
      </x:c>
      <x:c r="F15" s="8" t="str">
        <x:v>https://mmbi.ru/</x:v>
      </x:c>
    </x:row>
    <x:row r="16" ht="31.5" customHeight="1">
      <x:c r="A16" s="8" t="str">
        <x:v>COMM</x:v>
      </x:c>
      <x:c r="B16" s="8" t="str">
        <x:v>Деловое общение</x:v>
      </x:c>
      <x:c r="C16" s="8" t="str">
        <x:v>76 1104 033</x:v>
      </x:c>
      <x:c r="D16" s="8" t="str">
        <x:v>Руководители, продажи</x:v>
      </x:c>
      <x:c r="E16" s="8" t="str">
        <x:v>Не подтверждена</x:v>
      </x:c>
      <x:c r="F16" s="8" t="str">
        <x:v>https://mmbi.ru/</x:v>
      </x:c>
    </x:row>
    <x:row r="17" ht="31.5" customHeight="1">
      <x:c r="A17" s="8" t="str">
        <x:v>NEGOTIATE</x:v>
      </x:c>
      <x:c r="B17" s="8" t="str">
        <x:v>Переговоры</x:v>
      </x:c>
      <x:c r="C17" s="8" t="str">
        <x:v>76 1104 034</x:v>
      </x:c>
      <x:c r="D17" s="8" t="str">
        <x:v>Руководители, продажи</x:v>
      </x:c>
      <x:c r="E17" s="8" t="str">
        <x:v>Не подтверждена</x:v>
      </x:c>
      <x:c r="F17" s="8" t="str">
        <x:v>https://mmbi.ru/</x:v>
      </x:c>
    </x:row>
    <x:row r="18" ht="31.5" customHeight="1">
      <x:c r="A18" s="8" t="str">
        <x:v>MOTIVATE</x:v>
      </x:c>
      <x:c r="B18" s="8" t="str">
        <x:v>Мотивация сотрудников</x:v>
      </x:c>
      <x:c r="C18" s="8" t="str">
        <x:v>76 1103 048</x:v>
      </x:c>
      <x:c r="D18" s="8" t="str">
        <x:v>Руководители, HR</x:v>
      </x:c>
      <x:c r="E18" s="8" t="str">
        <x:v>Не подтверждена</x:v>
      </x:c>
      <x:c r="F18" s="8" t="str">
        <x:v>https://mmbi.ru/</x:v>
      </x:c>
    </x:row>
    <x:row r="19" ht="31.5" customHeight="1">
      <x:c r="A19" s="8" t="str">
        <x:v>TEAM</x:v>
      </x:c>
      <x:c r="B19" s="8" t="str">
        <x:v>Развитие команды</x:v>
      </x:c>
      <x:c r="C19" s="8" t="str">
        <x:v>76 1103 049</x:v>
      </x:c>
      <x:c r="D19" s="8" t="str">
        <x:v>Руководители</x:v>
      </x:c>
      <x:c r="E19" s="8" t="str">
        <x:v>Не подтверждена</x:v>
      </x:c>
      <x:c r="F19" s="8" t="str">
        <x:v>https://mmbi.ru/</x:v>
      </x:c>
    </x:row>
    <x:row r="20" ht="31.5" customHeight="1">
      <x:c r="A20" s="8" t="str">
        <x:v>OFFICE</x:v>
      </x:c>
      <x:c r="B20" s="8" t="str">
        <x:v>Работа с офисными данными</x:v>
      </x:c>
      <x:c r="C20" s="8" t="str">
        <x:v>76 1004 224</x:v>
      </x:c>
      <x:c r="D20" s="8" t="str">
        <x:v>Специалисты</x:v>
      </x:c>
      <x:c r="E20" s="8" t="str">
        <x:v>Не подтверждена</x:v>
      </x:c>
      <x:c r="F20" s="8" t="str">
        <x:v>https://mmbi.ru/</x:v>
      </x:c>
    </x:row>
    <x:row r="21" ht="31.5" customHeight="1">
      <x:c r="A21" s="8" t="str">
        <x:v>FINANCE</x:v>
      </x:c>
      <x:c r="B21" s="8" t="str">
        <x:v>Финансы предприятия</x:v>
      </x:c>
      <x:c r="C21" s="8" t="str">
        <x:v>76 0604 062</x:v>
      </x:c>
      <x:c r="D21" s="8" t="str">
        <x:v>Финансы</x:v>
      </x:c>
      <x:c r="E21" s="8" t="str">
        <x:v>Не подтверждена</x:v>
      </x:c>
      <x:c r="F21" s="8" t="str">
        <x:v>https://mmbi.ru/</x:v>
      </x:c>
    </x:row>
    <x:row r="22" ht="31.5" customHeight="1">
      <x:c r="A22" s="8" t="str">
        <x:v>PROCURE</x:v>
      </x:c>
      <x:c r="B22" s="8" t="str">
        <x:v>Закупочная деятельность</x:v>
      </x:c>
      <x:c r="C22" s="8" t="str">
        <x:v>76 0603 188</x:v>
      </x:c>
      <x:c r="D22" s="8" t="str">
        <x:v>Закупки</x:v>
      </x:c>
      <x:c r="E22" s="8" t="str">
        <x:v>Не подтверждена</x:v>
      </x:c>
      <x:c r="F22" s="8" t="str">
        <x:v>https://mmbi.ru/</x:v>
      </x:c>
    </x:row>
    <x:row r="23" ht="31.5" customHeight="1">
      <x:c r="A23" s="8" t="str">
        <x:v>ECO</x:v>
      </x:c>
      <x:c r="B23" s="8" t="str">
        <x:v>Экология предприятия</x:v>
      </x:c>
      <x:c r="C23" s="8" t="str">
        <x:v>76 1007 075</x:v>
      </x:c>
      <x:c r="D23" s="8" t="str">
        <x:v>Экология</x:v>
      </x:c>
      <x:c r="E23" s="8" t="str">
        <x:v>Не подтверждена</x:v>
      </x:c>
      <x:c r="F23" s="8" t="str">
        <x:v>https://mmbi.ru/</x:v>
      </x:c>
    </x:row>
    <x:row r="24" ht="31.5" customHeight="1">
      <x:c r="A24" s="8" t="str">
        <x:v>ESTIMATE</x:v>
      </x:c>
      <x:c r="B24" s="8" t="str">
        <x:v>Сметная работа</x:v>
      </x:c>
      <x:c r="C24" s="8" t="str">
        <x:v>76 0601 187</x:v>
      </x:c>
      <x:c r="D24" s="8" t="str">
        <x:v>Строительство</x:v>
      </x:c>
      <x:c r="E24" s="8" t="str">
        <x:v>Не подтверждена</x:v>
      </x:c>
      <x:c r="F24" s="8" t="str">
        <x:v>https://mmbi.ru/</x:v>
      </x:c>
    </x:row>
  </x:sheetData>
  <x:pageMargins left="0.7" right="0.7" top="0.75" bottom="0.75" header="0.3" footer="0.3"/>
  <x:tableParts count="1">
    <x:tablePart xmlns:r="http://schemas.openxmlformats.org/officeDocument/2006/relationships" r:id="R81f2de1d986c4b7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110000610351562" hidden="0" customWidth="1"/>
    <x:col min="2" max="2" width="15.5600004196167" hidden="0" customWidth="1"/>
    <x:col min="3" max="3" width="27.219999313354492" hidden="0" customWidth="1"/>
    <x:col min="4" max="4" width="71.11000061035156" hidden="0" customWidth="1"/>
    <x:col min="5" max="5" width="10" hidden="0" customWidth="1"/>
    <x:col min="6" max="6" width="15.5600004196167" hidden="0" customWidth="1"/>
    <x:col min="7" max="7" width="58.88999938964844" hidden="0" customWidth="1"/>
    <x:col min="8" max="8" width="58.8899993896484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37 проверок • 48 попыток чтения</x:v>
      </x:c>
      <x:c r="B2" s="2"/>
      <x:c r="C2" s="2"/>
      <x:c r="D2" s="2"/>
      <x:c r="E2" s="2"/>
      <x:c r="F2" s="2"/>
      <x:c r="G2" s="2"/>
      <x:c r="H2" s="2"/>
    </x:row>
    <x:row r="3" ht="22.5" customHeight="1">
      <x:c r="A3" s="4" t="str">
        <x:v>Повторная попытка выполнена для 11 ошибок. Доступность страницы не означает открытый заказ.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3.75" customHeight="1">
      <x:c r="A5" s="7" t="str">
        <x:v>Проверка ID</x:v>
      </x:c>
      <x:c r="B5" s="7" t="str">
        <x:v>Потребность ID</x:v>
      </x:c>
      <x:c r="C5" s="7" t="str">
        <x:v>Результат чтения</x:v>
      </x:c>
      <x:c r="D5" s="7" t="str">
        <x:v>Примечание</x:v>
      </x:c>
      <x:c r="E5" s="7" t="str">
        <x:v>Попыток</x:v>
      </x:c>
      <x:c r="F5" s="7" t="str">
        <x:v>Дата проверки</x:v>
      </x:c>
      <x:c r="G5" s="7" t="str">
        <x:v>URL</x:v>
      </x:c>
      <x:c r="H5" s="7" t="str">
        <x:v>Дополнительное свидетельство</x:v>
      </x:c>
    </x:row>
    <x:row r="6" ht="58.5" customHeight="1">
      <x:c r="A6" s="8" t="str">
        <x:v>V6-C135</x:v>
      </x:c>
      <x:c r="B6" s="8" t="str">
        <x:v>FD-N135</x:v>
      </x:c>
      <x:c r="C6" s="8" t="str">
        <x:v>public_teaser_restricted</x:v>
      </x:c>
      <x:c r="D6" s="8" t="str">
        <x:v>Прочитан краткий запрос; полный текст и контакт ограничены. Свободный слот не подтвержден. Официальная программа помечена завершенной; связанная новость называет 28 и 30 сентября и выбранного тренера. Совпадение с запросом №2628 вероятно, но не подтверждено заказчиком.</x:v>
      </x:c>
      <x:c r="E6" s="8" t="n">
        <x:v>1</x:v>
      </x:c>
      <x:c r="F6" s="8" t="str">
        <x:v>2026-10-01</x:v>
      </x:c>
      <x:c r="G6" s="8" t="str">
        <x:v>https://projectexperts.ru/poisk-spikera-%E2%84%962628-est-gonorar/</x:v>
      </x:c>
      <x:c r="H6" s="8" t="str">
        <x:v>https://xn----stbbtav.xn--p1ai/program/Krizisnoe-upravlenie-dejstviya-v-nestandartnyh-situaciyah; https://xn----stbbtav.xn--p1ai/page/Krizisnoe-upravlenie-dejstviya-v-nestandartnyh-situaciyah</x:v>
      </x:c>
    </x:row>
    <x:row r="7" ht="31.5" customHeight="1">
      <x:c r="A7" s="8" t="str">
        <x:v>V6-C006</x:v>
      </x:c>
      <x:c r="B7" s="8" t="str">
        <x:v>FD-N006</x:v>
      </x:c>
      <x:c r="C7" s="8" t="str">
        <x:v>request_body_read</x:v>
      </x:c>
      <x:c r="D7" s="8" t="str">
        <x:v>Прочитано описание запроса; наличие страницы не подтверждает текущую готовность купить.</x:v>
      </x:c>
      <x:c r="E7" s="8" t="n">
        <x:v>1</x:v>
      </x:c>
      <x:c r="F7" s="8" t="str">
        <x:v>2026-10-01</x:v>
      </x:c>
      <x:c r="G7" s="8" t="str">
        <x:v>https://hrtime.ru/proekt/trening-po-massovomu-podboru-174432/</x:v>
      </x:c>
      <x:c r="H7" s="8" t="str"/>
    </x:row>
    <x:row r="8" ht="31.5" customHeight="1">
      <x:c r="A8" s="8" t="str">
        <x:v>V6-C009</x:v>
      </x:c>
      <x:c r="B8" s="8" t="str">
        <x:v>FD-N009</x:v>
      </x:c>
      <x:c r="C8" s="8" t="str">
        <x:v>request_body_read</x:v>
      </x:c>
      <x:c r="D8" s="8" t="str">
        <x:v>Прочитано описание запроса; наличие страницы не подтверждает текущую готовность купить.</x:v>
      </x:c>
      <x:c r="E8" s="8" t="n">
        <x:v>1</x:v>
      </x:c>
      <x:c r="F8" s="8" t="str">
        <x:v>2026-10-01</x:v>
      </x:c>
      <x:c r="G8" s="8" t="str">
        <x:v>https://hrtime.ru/proekt/trening-po-ustoychivosti-v-konfliktakh-174332/</x:v>
      </x:c>
      <x:c r="H8" s="8" t="str"/>
    </x:row>
    <x:row r="9" ht="31.5" customHeight="1">
      <x:c r="A9" s="8" t="str">
        <x:v>V6-C010</x:v>
      </x:c>
      <x:c r="B9" s="8" t="str">
        <x:v>FD-N010</x:v>
      </x:c>
      <x:c r="C9" s="8" t="str">
        <x:v>request_body_read</x:v>
      </x:c>
      <x:c r="D9" s="8" t="str">
        <x:v>Прочитано описание запроса; наличие страницы не подтверждает текущую готовность купить.</x:v>
      </x:c>
      <x:c r="E9" s="8" t="n">
        <x:v>1</x:v>
      </x:c>
      <x:c r="F9" s="8" t="str">
        <x:v>2026-10-01</x:v>
      </x:c>
      <x:c r="G9" s="8" t="str">
        <x:v>https://hrtime.ru/proekt/trening-po-upravlencheskim-navykam-174316/</x:v>
      </x:c>
      <x:c r="H9" s="8" t="str"/>
    </x:row>
    <x:row r="10" ht="34.5" customHeight="1">
      <x:c r="A10" s="8" t="str">
        <x:v>V6-C011</x:v>
      </x:c>
      <x:c r="B10" s="8" t="str">
        <x:v>FD-N011</x:v>
      </x:c>
      <x:c r="C10" s="8" t="str">
        <x:v>request_body_read</x:v>
      </x:c>
      <x:c r="D10" s="8" t="str">
        <x:v>Прочитано описание запроса; наличие страницы не подтверждает текущую готовность купить.</x:v>
      </x:c>
      <x:c r="E10" s="8" t="n">
        <x:v>1</x:v>
      </x:c>
      <x:c r="F10" s="8" t="str">
        <x:v>2026-10-01</x:v>
      </x:c>
      <x:c r="G10" s="8" t="str">
        <x:v>https://hrtime.ru/proekt/trening-dlia-rukovoditeley-i-po-komandoobrazovaniiu-174289/</x:v>
      </x:c>
      <x:c r="H10" s="8" t="str"/>
    </x:row>
    <x:row r="11" ht="46.5" customHeight="1">
      <x:c r="A11" s="8" t="str">
        <x:v>V6-C131</x:v>
      </x:c>
      <x:c r="B11" s="8" t="str">
        <x:v>FD-N131</x:v>
      </x:c>
      <x:c r="C11" s="8" t="str">
        <x:v>request_body_read</x:v>
      </x:c>
      <x:c r="D11" s="8" t="str">
        <x:v>Прочитано описание запроса; наличие страницы не подтверждает текущую готовность купить. В брифе срок предложения 09.10.2026; отклики ограничены. Елена Козлова указана как руководитель по персоналу; юрлицо не установлено.</x:v>
      </x:c>
      <x:c r="E11" s="8" t="n">
        <x:v>1</x:v>
      </x:c>
      <x:c r="F11" s="8" t="str">
        <x:v>2026-10-01</x:v>
      </x:c>
      <x:c r="G11" s="8" t="str">
        <x:v>https://hrtime.ru/proekt/trening-vzaimodeystvie-mezhdu-otdelami-vstat-na-storonu-drugogo-podr-174054/</x:v>
      </x:c>
      <x:c r="H11" s="8" t="str"/>
    </x:row>
    <x:row r="12" ht="46.5" customHeight="1">
      <x:c r="A12" s="8" t="str">
        <x:v>V6-C001</x:v>
      </x:c>
      <x:c r="B12" s="8" t="str">
        <x:v>FD-N001</x:v>
      </x:c>
      <x:c r="C12" s="8" t="str">
        <x:v>reader_error</x:v>
      </x:c>
      <x:c r="D12" s="8" t="str">
        <x:v>Повторное чтение не удалось; прежнее свидетельство сохранено, закрытие не доказано. Страница заказа недоступна при двух чтениях; официальный общий HR-контакт РМК подтвержден, владелец потребности не установлен.</x:v>
      </x:c>
      <x:c r="E12" s="8" t="n">
        <x:v>2</x:v>
      </x:c>
      <x:c r="F12" s="8" t="str">
        <x:v>2026-10-01</x:v>
      </x:c>
      <x:c r="G12" s="8" t="str">
        <x:v>https://hrtime.ru/proekt/obuchenie-sotrudnikov-po-programme-kouching-v-upravlenii-174533/</x:v>
      </x:c>
      <x:c r="H12" s="8" t="str">
        <x:v>https://www.rmk-group.ru/contacts/</x:v>
      </x:c>
    </x:row>
    <x:row r="13" ht="34.5" customHeight="1">
      <x:c r="A13" s="8" t="str">
        <x:v>V6-C024</x:v>
      </x:c>
      <x:c r="B13" s="8" t="str">
        <x:v>FD-N024</x:v>
      </x:c>
      <x:c r="C13" s="8" t="str">
        <x:v>public_teaser_restricted</x:v>
      </x:c>
      <x:c r="D13" s="8" t="str">
        <x:v>Прочитан краткий запрос; полный текст и контакт ограничены. Свободный слот не подтвержден.</x:v>
      </x:c>
      <x:c r="E13" s="8" t="n">
        <x:v>1</x:v>
      </x:c>
      <x:c r="F13" s="8" t="str">
        <x:v>2026-10-01</x:v>
      </x:c>
      <x:c r="G13" s="8" t="str">
        <x:v>https://projectexperts.ru/poisk-spikera-%E2%84%962631/</x:v>
      </x:c>
      <x:c r="H13" s="8" t="str"/>
    </x:row>
    <x:row r="14" ht="34.5" customHeight="1">
      <x:c r="A14" s="8" t="str">
        <x:v>V6-C025</x:v>
      </x:c>
      <x:c r="B14" s="8" t="str">
        <x:v>FD-N025</x:v>
      </x:c>
      <x:c r="C14" s="8" t="str">
        <x:v>public_teaser_restricted</x:v>
      </x:c>
      <x:c r="D14" s="8" t="str">
        <x:v>Прочитан краткий запрос; полный текст и контакт ограничены. Свободный слот не подтвержден.</x:v>
      </x:c>
      <x:c r="E14" s="8" t="n">
        <x:v>1</x:v>
      </x:c>
      <x:c r="F14" s="8" t="str">
        <x:v>2026-10-01</x:v>
      </x:c>
      <x:c r="G14" s="8" t="str">
        <x:v>https://projectexperts.ru/poisk-spikera-%E2%84%962639/</x:v>
      </x:c>
      <x:c r="H14" s="8" t="str"/>
    </x:row>
    <x:row r="15" ht="34.5" customHeight="1">
      <x:c r="A15" s="8" t="str">
        <x:v>V6-C021</x:v>
      </x:c>
      <x:c r="B15" s="8" t="str">
        <x:v>FD-N021</x:v>
      </x:c>
      <x:c r="C15" s="8" t="str">
        <x:v>public_teaser_restricted</x:v>
      </x:c>
      <x:c r="D15" s="8" t="str">
        <x:v>Прочитан краткий запрос; полный текст и контакт ограничены. Свободный слот не подтвержден. Программа уже началась; запрос эксперта может относиться к оставшемуся слоту.</x:v>
      </x:c>
      <x:c r="E15" s="8" t="n">
        <x:v>1</x:v>
      </x:c>
      <x:c r="F15" s="8" t="str">
        <x:v>2026-10-01</x:v>
      </x:c>
      <x:c r="G15" s="8" t="str">
        <x:v>https://projectexperts.ru/poisk-spikera-%E2%84%962637-est-gonorar/</x:v>
      </x:c>
      <x:c r="H15" s="8" t="str"/>
    </x:row>
    <x:row r="16" ht="46.5" customHeight="1">
      <x:c r="A16" s="8" t="str">
        <x:v>V6-C008</x:v>
      </x:c>
      <x:c r="B16" s="8" t="str">
        <x:v>FD-N008</x:v>
      </x:c>
      <x:c r="C16" s="8" t="str">
        <x:v>request_body_read</x:v>
      </x:c>
      <x:c r="D16" s="8" t="str">
        <x:v>Прочитано описание запроса; наличие страницы не подтверждает текущую готовность купить. Событие 2 октября, срок площадки 18 октября: использовать дату события для срочности. Год 2026 интерпретирован по контексту.</x:v>
      </x:c>
      <x:c r="E16" s="8" t="n">
        <x:v>1</x:v>
      </x:c>
      <x:c r="F16" s="8" t="str">
        <x:v>2026-10-01</x:v>
      </x:c>
      <x:c r="G16" s="8" t="str">
        <x:v>https://hrtime.ru/proekt/trening-taktika-i-strategiia-raboty-s-private-banking-klientami-174313/</x:v>
      </x:c>
      <x:c r="H16" s="8" t="str"/>
    </x:row>
    <x:row r="17" ht="34.5" customHeight="1">
      <x:c r="A17" s="8" t="str">
        <x:v>V6-C020</x:v>
      </x:c>
      <x:c r="B17" s="8" t="str">
        <x:v>FD-N020</x:v>
      </x:c>
      <x:c r="C17" s="8" t="str">
        <x:v>public_teaser_restricted</x:v>
      </x:c>
      <x:c r="D17" s="8" t="str">
        <x:v>Прочитан краткий запрос; полный текст и контакт ограничены. Свободный слот не подтвержден.</x:v>
      </x:c>
      <x:c r="E17" s="8" t="n">
        <x:v>1</x:v>
      </x:c>
      <x:c r="F17" s="8" t="str">
        <x:v>2026-10-01</x:v>
      </x:c>
      <x:c r="G17" s="8" t="str">
        <x:v>https://projectexperts.ru/poisk-spikera-%E2%84%962638-est-gonorar/</x:v>
      </x:c>
      <x:c r="H17" s="8" t="str"/>
    </x:row>
    <x:row r="18" ht="34.5" customHeight="1">
      <x:c r="A18" s="8" t="str">
        <x:v>V6-C022</x:v>
      </x:c>
      <x:c r="B18" s="8" t="str">
        <x:v>FD-N022</x:v>
      </x:c>
      <x:c r="C18" s="8" t="str">
        <x:v>public_teaser_restricted</x:v>
      </x:c>
      <x:c r="D18" s="8" t="str">
        <x:v>Прочитан краткий запрос; полный текст и контакт ограничены. Свободный слот не подтвержден.</x:v>
      </x:c>
      <x:c r="E18" s="8" t="n">
        <x:v>1</x:v>
      </x:c>
      <x:c r="F18" s="8" t="str">
        <x:v>2026-10-01</x:v>
      </x:c>
      <x:c r="G18" s="8" t="str">
        <x:v>https://projectexperts.ru/poisk-spikera-%E2%84%962636-est-gonorar/</x:v>
      </x:c>
      <x:c r="H18" s="8" t="str"/>
    </x:row>
    <x:row r="19" ht="46.5" customHeight="1">
      <x:c r="A19" s="8" t="str">
        <x:v>V6-C026</x:v>
      </x:c>
      <x:c r="B19" s="8" t="str">
        <x:v>FD-N026</x:v>
      </x:c>
      <x:c r="C19" s="8" t="str">
        <x:v>public_teaser_restricted</x:v>
      </x:c>
      <x:c r="D19" s="8" t="str">
        <x:v>Прочитан краткий запрос; полный текст и контакт ограничены. Свободный слот не подтвержден. 40 млн руб. относятся ко всему мероприятию с агентской комиссией, а не к обучению или спикеру.</x:v>
      </x:c>
      <x:c r="E19" s="8" t="n">
        <x:v>1</x:v>
      </x:c>
      <x:c r="F19" s="8" t="str">
        <x:v>2026-10-01</x:v>
      </x:c>
      <x:c r="G19" s="8" t="str">
        <x:v>https://projectexperts.ru/poisk-spikera-%E2%84%962640-est-gonorar/</x:v>
      </x:c>
      <x:c r="H19" s="8" t="str"/>
    </x:row>
    <x:row r="20" ht="34.5" customHeight="1">
      <x:c r="A20" s="8" t="str">
        <x:v>V6-C037</x:v>
      </x:c>
      <x:c r="B20" s="8" t="str">
        <x:v>FD-N037</x:v>
      </x:c>
      <x:c r="C20" s="8" t="str">
        <x:v>public_teaser_restricted</x:v>
      </x:c>
      <x:c r="D20" s="8" t="str">
        <x:v>Прочитан краткий запрос; полный текст и контакт ограничены. Свободный слот не подтвержден.</x:v>
      </x:c>
      <x:c r="E20" s="8" t="n">
        <x:v>1</x:v>
      </x:c>
      <x:c r="F20" s="8" t="str">
        <x:v>2026-10-01</x:v>
      </x:c>
      <x:c r="G20" s="8" t="str">
        <x:v>https://projectexperts.ru/poisk-spikera-%E2%84%962612/</x:v>
      </x:c>
      <x:c r="H20" s="8" t="str"/>
    </x:row>
    <x:row r="21" ht="34.5" customHeight="1">
      <x:c r="A21" s="8" t="str">
        <x:v>V6-C136</x:v>
      </x:c>
      <x:c r="B21" s="8" t="str">
        <x:v>FD-N136</x:v>
      </x:c>
      <x:c r="C21" s="8" t="str">
        <x:v>public_teaser_restricted</x:v>
      </x:c>
      <x:c r="D21" s="8" t="str">
        <x:v>Прочитан краткий запрос; полный текст и контакт ограничены. Свободный слот не подтвержден.</x:v>
      </x:c>
      <x:c r="E21" s="8" t="n">
        <x:v>1</x:v>
      </x:c>
      <x:c r="F21" s="8" t="str">
        <x:v>2026-10-01</x:v>
      </x:c>
      <x:c r="G21" s="8" t="str">
        <x:v>https://projectexperts.ru/poisk-spikera-%E2%84%962626/</x:v>
      </x:c>
      <x:c r="H21" s="8" t="str"/>
    </x:row>
    <x:row r="22" ht="34.5" customHeight="1">
      <x:c r="A22" s="8" t="str">
        <x:v>V6-C142</x:v>
      </x:c>
      <x:c r="B22" s="8" t="str">
        <x:v>FD-N142</x:v>
      </x:c>
      <x:c r="C22" s="8" t="str">
        <x:v>public_teaser_restricted</x:v>
      </x:c>
      <x:c r="D22" s="8" t="str">
        <x:v>Прочитан краткий запрос; полный текст и контакт ограничены. Свободный слот не подтвержден.</x:v>
      </x:c>
      <x:c r="E22" s="8" t="n">
        <x:v>1</x:v>
      </x:c>
      <x:c r="F22" s="8" t="str">
        <x:v>2026-10-01</x:v>
      </x:c>
      <x:c r="G22" s="8" t="str">
        <x:v>https://projectexperts.ru/poisk-spikera-%E2%84%962620/</x:v>
      </x:c>
      <x:c r="H22" s="8" t="str"/>
    </x:row>
    <x:row r="23" ht="34.5" customHeight="1">
      <x:c r="A23" s="8" t="str">
        <x:v>V6-C146</x:v>
      </x:c>
      <x:c r="B23" s="8" t="str">
        <x:v>FD-N146</x:v>
      </x:c>
      <x:c r="C23" s="8" t="str">
        <x:v>public_teaser_restricted</x:v>
      </x:c>
      <x:c r="D23" s="8" t="str">
        <x:v>Прочитан краткий запрос; полный текст и контакт ограничены. Свободный слот не подтвержден.</x:v>
      </x:c>
      <x:c r="E23" s="8" t="n">
        <x:v>1</x:v>
      </x:c>
      <x:c r="F23" s="8" t="str">
        <x:v>2026-10-01</x:v>
      </x:c>
      <x:c r="G23" s="8" t="str">
        <x:v>https://projectexperts.ru/poisk-spikera-%E2%84%962616/</x:v>
      </x:c>
      <x:c r="H23" s="8" t="str"/>
    </x:row>
    <x:row r="24" ht="34.5" customHeight="1">
      <x:c r="A24" s="8" t="str">
        <x:v>V6-C148</x:v>
      </x:c>
      <x:c r="B24" s="8" t="str">
        <x:v>FD-N148</x:v>
      </x:c>
      <x:c r="C24" s="8" t="str">
        <x:v>public_teaser_restricted</x:v>
      </x:c>
      <x:c r="D24" s="8" t="str">
        <x:v>Прочитан краткий запрос; полный текст и контакт ограничены. Свободный слот не подтвержден.</x:v>
      </x:c>
      <x:c r="E24" s="8" t="n">
        <x:v>1</x:v>
      </x:c>
      <x:c r="F24" s="8" t="str">
        <x:v>2026-10-01</x:v>
      </x:c>
      <x:c r="G24" s="8" t="str">
        <x:v>https://projectexperts.ru/poisk-spikera-%E2%84%962614/</x:v>
      </x:c>
      <x:c r="H24" s="8" t="str"/>
    </x:row>
    <x:row r="25" ht="46.5" customHeight="1">
      <x:c r="A25" s="8" t="str">
        <x:v>V6-C007</x:v>
      </x:c>
      <x:c r="B25" s="8" t="str">
        <x:v>FD-N007</x:v>
      </x:c>
      <x:c r="C25" s="8" t="str">
        <x:v>request_body_read</x:v>
      </x:c>
      <x:c r="D25" s="8" t="str">
        <x:v>Прочитано описание запроса; наличие страницы не подтверждает текущую готовность купить. Смешанная аудитория и длительное сопровождение на месте; управленческую часть выделить в отдельное предложение.</x:v>
      </x:c>
      <x:c r="E25" s="8" t="n">
        <x:v>1</x:v>
      </x:c>
      <x:c r="F25" s="8" t="str">
        <x:v>2026-10-01</x:v>
      </x:c>
      <x:c r="G25" s="8" t="str">
        <x:v>https://hrtime.ru/proekt/trening-po-prodazham-i-uvelicheniiu-srednego-cheka-174372/</x:v>
      </x:c>
      <x:c r="H25" s="8" t="str"/>
    </x:row>
    <x:row r="26" ht="31.5" customHeight="1">
      <x:c r="A26" s="8" t="str">
        <x:v>V6-C002</x:v>
      </x:c>
      <x:c r="B26" s="8" t="str">
        <x:v>FD-N002</x:v>
      </x:c>
      <x:c r="C26" s="8" t="str">
        <x:v>reader_error</x:v>
      </x:c>
      <x:c r="D26" s="8" t="str">
        <x:v>Повторное чтение не удалось; прежнее свидетельство сохранено, закрытие не доказано.</x:v>
      </x:c>
      <x:c r="E26" s="8" t="n">
        <x:v>2</x:v>
      </x:c>
      <x:c r="F26" s="8" t="str">
        <x:v>2026-10-01</x:v>
      </x:c>
      <x:c r="G26" s="8" t="str">
        <x:v>https://hrtime.ru/proekt/trening-po-zvonkam-v-b2c-174469/</x:v>
      </x:c>
      <x:c r="H26" s="8" t="str"/>
    </x:row>
    <x:row r="27" ht="31.5" customHeight="1">
      <x:c r="A27" s="8" t="str">
        <x:v>V6-C004</x:v>
      </x:c>
      <x:c r="B27" s="8" t="str">
        <x:v>FD-N004</x:v>
      </x:c>
      <x:c r="C27" s="8" t="str">
        <x:v>reader_error</x:v>
      </x:c>
      <x:c r="D27" s="8" t="str">
        <x:v>Повторное чтение не удалось; прежнее свидетельство сохранено, закрытие не доказано.</x:v>
      </x:c>
      <x:c r="E27" s="8" t="n">
        <x:v>2</x:v>
      </x:c>
      <x:c r="F27" s="8" t="str">
        <x:v>2026-10-01</x:v>
      </x:c>
      <x:c r="G27" s="8" t="str">
        <x:v>https://hrtime.ru/proekt/trebuetsia-moderatorfasilitator-174487/</x:v>
      </x:c>
      <x:c r="H27" s="8" t="str"/>
    </x:row>
    <x:row r="28" ht="31.5" customHeight="1">
      <x:c r="A28" s="8" t="str">
        <x:v>V6-C005</x:v>
      </x:c>
      <x:c r="B28" s="8" t="str">
        <x:v>FD-N005</x:v>
      </x:c>
      <x:c r="C28" s="8" t="str">
        <x:v>reader_error</x:v>
      </x:c>
      <x:c r="D28" s="8" t="str">
        <x:v>Повторное чтение не удалось; прежнее свидетельство сохранено, закрытие не доказано.</x:v>
      </x:c>
      <x:c r="E28" s="8" t="n">
        <x:v>2</x:v>
      </x:c>
      <x:c r="F28" s="8" t="str">
        <x:v>2026-10-01</x:v>
      </x:c>
      <x:c r="G28" s="8" t="str">
        <x:v>https://hrtime.ru/proekt/obuchenie-po-prodazham-avtotekhniki-174483/</x:v>
      </x:c>
      <x:c r="H28" s="8" t="str"/>
    </x:row>
    <x:row r="29" ht="31.5" customHeight="1">
      <x:c r="A29" s="8" t="str">
        <x:v>V6-C014</x:v>
      </x:c>
      <x:c r="B29" s="8" t="str">
        <x:v>FD-N014</x:v>
      </x:c>
      <x:c r="C29" s="8" t="str">
        <x:v>reader_error</x:v>
      </x:c>
      <x:c r="D29" s="8" t="str">
        <x:v>Повторное чтение не удалось; прежнее свидетельство сохранено, закрытие не доказано.</x:v>
      </x:c>
      <x:c r="E29" s="8" t="n">
        <x:v>2</x:v>
      </x:c>
      <x:c r="F29" s="8" t="str">
        <x:v>2026-10-01</x:v>
      </x:c>
      <x:c r="G29" s="8" t="str">
        <x:v>https://hrtime.ru/proekt/provedenie-strategicheskoy-sessii-174434/</x:v>
      </x:c>
      <x:c r="H29" s="8" t="str"/>
    </x:row>
    <x:row r="30" ht="34.5" customHeight="1">
      <x:c r="A30" s="8" t="str">
        <x:v>V6-C023</x:v>
      </x:c>
      <x:c r="B30" s="8" t="str">
        <x:v>FD-N023</x:v>
      </x:c>
      <x:c r="C30" s="8" t="str">
        <x:v>public_teaser_restricted</x:v>
      </x:c>
      <x:c r="D30" s="8" t="str">
        <x:v>Прочитан краткий запрос; полный текст и контакт ограничены. Свободный слот не подтвержден.</x:v>
      </x:c>
      <x:c r="E30" s="8" t="n">
        <x:v>1</x:v>
      </x:c>
      <x:c r="F30" s="8" t="str">
        <x:v>2026-10-01</x:v>
      </x:c>
      <x:c r="G30" s="8" t="str">
        <x:v>https://projectexperts.ru/poisk-spikera-%E2%84%962633-est-gonorar/</x:v>
      </x:c>
      <x:c r="H30" s="8" t="str"/>
    </x:row>
    <x:row r="31" ht="31.5" customHeight="1">
      <x:c r="A31" s="8" t="str">
        <x:v>V6-C036</x:v>
      </x:c>
      <x:c r="B31" s="8" t="str">
        <x:v>FD-N036</x:v>
      </x:c>
      <x:c r="C31" s="8" t="str">
        <x:v>reader_error</x:v>
      </x:c>
      <x:c r="D31" s="8" t="str">
        <x:v>Повторное чтение не удалось; прежнее свидетельство сохранено, закрытие не доказано.</x:v>
      </x:c>
      <x:c r="E31" s="8" t="n">
        <x:v>2</x:v>
      </x:c>
      <x:c r="F31" s="8" t="str">
        <x:v>2026-10-01</x:v>
      </x:c>
      <x:c r="G31" s="8" t="str">
        <x:v>https://projectexperts.ru/poisk-spikera-%E2%84%962613/</x:v>
      </x:c>
      <x:c r="H31" s="8" t="str"/>
    </x:row>
    <x:row r="32" ht="31.5" customHeight="1">
      <x:c r="A32" s="8" t="str">
        <x:v>V6-C140</x:v>
      </x:c>
      <x:c r="B32" s="8" t="str">
        <x:v>FD-N140</x:v>
      </x:c>
      <x:c r="C32" s="8" t="str">
        <x:v>reader_error</x:v>
      </x:c>
      <x:c r="D32" s="8" t="str">
        <x:v>Повторное чтение не удалось; прежнее свидетельство сохранено, закрытие не доказано.</x:v>
      </x:c>
      <x:c r="E32" s="8" t="n">
        <x:v>2</x:v>
      </x:c>
      <x:c r="F32" s="8" t="str">
        <x:v>2026-10-01</x:v>
      </x:c>
      <x:c r="G32" s="8" t="str">
        <x:v>https://projectexperts.ru/poisk-spikera-%E2%84%962622/</x:v>
      </x:c>
      <x:c r="H32" s="8" t="str"/>
    </x:row>
    <x:row r="33" ht="31.5" customHeight="1">
      <x:c r="A33" s="8" t="str">
        <x:v>V6-C141</x:v>
      </x:c>
      <x:c r="B33" s="8" t="str">
        <x:v>FD-N141</x:v>
      </x:c>
      <x:c r="C33" s="8" t="str">
        <x:v>reader_error</x:v>
      </x:c>
      <x:c r="D33" s="8" t="str">
        <x:v>Повторное чтение не удалось; прежнее свидетельство сохранено, закрытие не доказано.</x:v>
      </x:c>
      <x:c r="E33" s="8" t="n">
        <x:v>2</x:v>
      </x:c>
      <x:c r="F33" s="8" t="str">
        <x:v>2026-10-01</x:v>
      </x:c>
      <x:c r="G33" s="8" t="str">
        <x:v>https://projectexperts.ru/poisk-spikera-%E2%84%962621/</x:v>
      </x:c>
      <x:c r="H33" s="8" t="str"/>
    </x:row>
    <x:row r="34" ht="31.5" customHeight="1">
      <x:c r="A34" s="8" t="str">
        <x:v>V6-C147</x:v>
      </x:c>
      <x:c r="B34" s="8" t="str">
        <x:v>FD-N147</x:v>
      </x:c>
      <x:c r="C34" s="8" t="str">
        <x:v>reader_error</x:v>
      </x:c>
      <x:c r="D34" s="8" t="str">
        <x:v>Повторное чтение не удалось; прежнее свидетельство сохранено, закрытие не доказано.</x:v>
      </x:c>
      <x:c r="E34" s="8" t="n">
        <x:v>2</x:v>
      </x:c>
      <x:c r="F34" s="8" t="str">
        <x:v>2026-10-01</x:v>
      </x:c>
      <x:c r="G34" s="8" t="str">
        <x:v>https://projectexperts.ru/poisk-spikera-%E2%84%962615-est-gonorar/</x:v>
      </x:c>
      <x:c r="H34" s="8" t="str"/>
    </x:row>
    <x:row r="35" ht="34.5" customHeight="1">
      <x:c r="A35" s="8" t="str">
        <x:v>V6-C038</x:v>
      </x:c>
      <x:c r="B35" s="8" t="str">
        <x:v>FD-N038</x:v>
      </x:c>
      <x:c r="C35" s="8" t="str">
        <x:v>public_teaser_restricted</x:v>
      </x:c>
      <x:c r="D35" s="8" t="str">
        <x:v>Прочитан краткий запрос; полный текст и контакт ограничены. Свободный слот не подтвержден.</x:v>
      </x:c>
      <x:c r="E35" s="8" t="n">
        <x:v>1</x:v>
      </x:c>
      <x:c r="F35" s="8" t="str">
        <x:v>2026-10-01</x:v>
      </x:c>
      <x:c r="G35" s="8" t="str">
        <x:v>https://projectexperts.ru/poisk-spikera-%E2%84%962611/</x:v>
      </x:c>
      <x:c r="H35" s="8" t="str"/>
    </x:row>
    <x:row r="36" ht="34.5" customHeight="1">
      <x:c r="A36" s="8" t="str">
        <x:v>V6-C133</x:v>
      </x:c>
      <x:c r="B36" s="8" t="str">
        <x:v>FD-N133</x:v>
      </x:c>
      <x:c r="C36" s="8" t="str">
        <x:v>public_teaser_restricted</x:v>
      </x:c>
      <x:c r="D36" s="8" t="str">
        <x:v>Прочитан краткий запрос; полный текст и контакт ограничены. Свободный слот не подтвержден.</x:v>
      </x:c>
      <x:c r="E36" s="8" t="n">
        <x:v>1</x:v>
      </x:c>
      <x:c r="F36" s="8" t="str">
        <x:v>2026-10-01</x:v>
      </x:c>
      <x:c r="G36" s="8" t="str">
        <x:v>https://projectexperts.ru/poisk-spikera-%E2%84%962630/</x:v>
      </x:c>
      <x:c r="H36" s="8" t="str"/>
    </x:row>
    <x:row r="37" ht="34.5" customHeight="1">
      <x:c r="A37" s="8" t="str">
        <x:v>V6-C137</x:v>
      </x:c>
      <x:c r="B37" s="8" t="str">
        <x:v>FD-N137</x:v>
      </x:c>
      <x:c r="C37" s="8" t="str">
        <x:v>public_teaser_restricted</x:v>
      </x:c>
      <x:c r="D37" s="8" t="str">
        <x:v>Прочитан краткий запрос; полный текст и контакт ограничены. Свободный слот не подтвержден.</x:v>
      </x:c>
      <x:c r="E37" s="8" t="n">
        <x:v>1</x:v>
      </x:c>
      <x:c r="F37" s="8" t="str">
        <x:v>2026-10-01</x:v>
      </x:c>
      <x:c r="G37" s="8" t="str">
        <x:v>https://projectexperts.ru/poisk-spikera-%E2%84%962625/</x:v>
      </x:c>
      <x:c r="H37" s="8" t="str"/>
    </x:row>
    <x:row r="38" ht="34.5" customHeight="1">
      <x:c r="A38" s="8" t="str">
        <x:v>V6-C139</x:v>
      </x:c>
      <x:c r="B38" s="8" t="str">
        <x:v>FD-N139</x:v>
      </x:c>
      <x:c r="C38" s="8" t="str">
        <x:v>public_teaser_restricted</x:v>
      </x:c>
      <x:c r="D38" s="8" t="str">
        <x:v>Прочитан краткий запрос; полный текст и контакт ограничены. Свободный слот не подтвержден.</x:v>
      </x:c>
      <x:c r="E38" s="8" t="n">
        <x:v>1</x:v>
      </x:c>
      <x:c r="F38" s="8" t="str">
        <x:v>2026-10-01</x:v>
      </x:c>
      <x:c r="G38" s="8" t="str">
        <x:v>https://projectexperts.ru/poisk-spikera-%E2%84%962623-est-gonorar/</x:v>
      </x:c>
      <x:c r="H38" s="8" t="str"/>
    </x:row>
    <x:row r="39" ht="31.5" customHeight="1">
      <x:c r="A39" s="8" t="str">
        <x:v>V6-C003</x:v>
      </x:c>
      <x:c r="B39" s="8" t="str">
        <x:v>FD-N003</x:v>
      </x:c>
      <x:c r="C39" s="8" t="str">
        <x:v>reader_error</x:v>
      </x:c>
      <x:c r="D39" s="8" t="str">
        <x:v>Повторное чтение не удалось; прежнее свидетельство сохранено, закрытие не доказано.</x:v>
      </x:c>
      <x:c r="E39" s="8" t="n">
        <x:v>2</x:v>
      </x:c>
      <x:c r="F39" s="8" t="str">
        <x:v>2026-10-01</x:v>
      </x:c>
      <x:c r="G39" s="8" t="str">
        <x:v>https://hrtime.ru/proekt/obuchenie-standartam-kachestva-174512/</x:v>
      </x:c>
      <x:c r="H39" s="8" t="str"/>
    </x:row>
    <x:row r="40" ht="31.5" customHeight="1">
      <x:c r="A40" s="8" t="str">
        <x:v>V6-C143</x:v>
      </x:c>
      <x:c r="B40" s="8" t="str">
        <x:v>FD-N143</x:v>
      </x:c>
      <x:c r="C40" s="8" t="str">
        <x:v>reader_error</x:v>
      </x:c>
      <x:c r="D40" s="8" t="str">
        <x:v>Повторное чтение не удалось; прежнее свидетельство сохранено, закрытие не доказано.</x:v>
      </x:c>
      <x:c r="E40" s="8" t="n">
        <x:v>2</x:v>
      </x:c>
      <x:c r="F40" s="8" t="str">
        <x:v>2026-10-01</x:v>
      </x:c>
      <x:c r="G40" s="8" t="str">
        <x:v>https://projectexperts.ru/poisk-spikera-%E2%84%962619-est-gonorar/</x:v>
      </x:c>
      <x:c r="H40" s="8" t="str"/>
    </x:row>
    <x:row r="41" ht="34.5" customHeight="1">
      <x:c r="A41" s="8" t="str">
        <x:v>V6-C132</x:v>
      </x:c>
      <x:c r="B41" s="8" t="str">
        <x:v>FD-N132</x:v>
      </x:c>
      <x:c r="C41" s="8" t="str">
        <x:v>public_teaser_restricted</x:v>
      </x:c>
      <x:c r="D41" s="8" t="str">
        <x:v>Прочитан краткий запрос; полный текст и контакт ограничены. Свободный слот не подтвержден. Консультация по сайту за 2 тыс. руб.; не считать корпоративным обучением.</x:v>
      </x:c>
      <x:c r="E41" s="8" t="n">
        <x:v>1</x:v>
      </x:c>
      <x:c r="F41" s="8" t="str">
        <x:v>2026-10-01</x:v>
      </x:c>
      <x:c r="G41" s="8" t="str">
        <x:v>https://projectexperts.ru/poisk-spikera-%E2%84%962632-est-gonorar/</x:v>
      </x:c>
      <x:c r="H41" s="8" t="str"/>
    </x:row>
    <x:row r="42" ht="31.5" customHeight="1">
      <x:c r="A42" s="8" t="str">
        <x:v>V6-C186</x:v>
      </x:c>
      <x:c r="B42" s="8" t="str">
        <x:v>FD-N186</x:v>
      </x:c>
      <x:c r="C42" s="8" t="str">
        <x:v>generic_page</x:v>
      </x:c>
      <x:c r="D42" s="8" t="str">
        <x:v>Адрес открыл общую регистрацию; исходный заказ по этому URL не подтвержден.</x:v>
      </x:c>
      <x:c r="E42" s="8" t="n">
        <x:v>1</x:v>
      </x:c>
      <x:c r="F42" s="8" t="str">
        <x:v>2026-10-01</x:v>
      </x:c>
      <x:c r="G42" s="8" t="str">
        <x:v>https://profi.ru/registration/it_freelance/marketing/internet-marketing/</x:v>
      </x:c>
      <x:c r="H42" s="8" t="str"/>
    </x:row>
  </x:sheetData>
  <x:pageMargins left="0.7" right="0.7" top="0.75" bottom="0.75" header="0.3" footer="0.3"/>
  <x:tableParts count="1">
    <x:tablePart xmlns:r="http://schemas.openxmlformats.org/officeDocument/2006/relationships" r:id="Rdd110d9f593b4e4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670000076293945" hidden="0" customWidth="1"/>
    <x:col min="2" max="2" width="27.780000686645508" hidden="0" customWidth="1"/>
    <x:col min="3" max="3" width="65.55999755859375" hidden="0" customWidth="1"/>
    <x:col min="4" max="4" width="55.560001373291016" hidden="0" customWidth="1"/>
    <x:col min="5" max="5" width="16.670000076293945" hidden="0" customWidth="1"/>
  </x:cols>
  <x:sheetData>
    <x:row r="1">
      <x:c r="A1" s="2"/>
      <x:c r="B1" s="2"/>
      <x:c r="C1" s="2"/>
      <x:c r="D1" s="2"/>
      <x:c r="E1" s="2"/>
    </x:row>
    <x:row r="2" ht="24" customHeight="1">
      <x:c r="A2" s="3" t="str">
        <x:v>12 проб разных источников</x:v>
      </x:c>
      <x:c r="B2" s="2"/>
      <x:c r="C2" s="2"/>
      <x:c r="D2" s="2"/>
      <x:c r="E2" s="2"/>
    </x:row>
    <x:row r="3" ht="22.5" customHeight="1">
      <x:c r="A3" s="4" t="str">
        <x:v>Выборочная проверка; охват истории за 14 дней не установлен.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3.75" customHeight="1">
      <x:c r="A5" s="7" t="str">
        <x:v>Источник ID</x:v>
      </x:c>
      <x:c r="B5" s="7" t="str">
        <x:v>Результат</x:v>
      </x:c>
      <x:c r="C5" s="7" t="str">
        <x:v>Что обнаружено / ограничение</x:v>
      </x:c>
      <x:c r="D5" s="7" t="str">
        <x:v>URL</x:v>
      </x:c>
      <x:c r="E5" s="7" t="str">
        <x:v>Дата</x:v>
      </x:c>
    </x:row>
    <x:row r="6" ht="31.5" customHeight="1">
      <x:c r="A6" s="8" t="str">
        <x:v>FD-S027</x:v>
      </x:c>
      <x:c r="B6" s="8" t="str">
        <x:v>feed_sample_read</x:v>
      </x:c>
      <x:c r="C6" s="8" t="str">
        <x:v>Есть вопросы HR; полный период и комментарии не просмотрены.</x:v>
      </x:c>
      <x:c r="D6" s="8" t="str">
        <x:v>https://t.me/s/zloihr</x:v>
      </x:c>
      <x:c r="E6" s="8" t="str">
        <x:v>2026-10-01</x:v>
      </x:c>
    </x:row>
    <x:row r="7" ht="31.5" customHeight="1">
      <x:c r="A7" s="8" t="str">
        <x:v>FD-S029</x:v>
      </x:c>
      <x:c r="B7" s="8" t="str">
        <x:v>feed_sample_read</x:v>
      </x:c>
      <x:c r="C7" s="8" t="str">
        <x:v>Есть приглашение задавать вопросы в комментариях; комментарии не прочитаны.</x:v>
      </x:c>
      <x:c r="D7" s="8" t="str">
        <x:v>https://t.me/s/corp_edu</x:v>
      </x:c>
      <x:c r="E7" s="8" t="str">
        <x:v>2026-10-01</x:v>
      </x:c>
    </x:row>
    <x:row r="8" ht="31.5" customHeight="1">
      <x:c r="A8" s="8" t="str">
        <x:v>FD-S087</x:v>
      </x:c>
      <x:c r="B8" s="8" t="str">
        <x:v>reader_error</x:v>
      </x:c>
      <x:c r="C8" s="8" t="str">
        <x:v>Повторить через доступный официальный маршрут.</x:v>
      </x:c>
      <x:c r="D8" s="8" t="str">
        <x:v>https://t.me/s/tdh_channel</x:v>
      </x:c>
      <x:c r="E8" s="8" t="str">
        <x:v>2026-10-01</x:v>
      </x:c>
    </x:row>
    <x:row r="9" ht="31.5" customHeight="1">
      <x:c r="A9" s="8" t="str">
        <x:v>FD-S088</x:v>
      </x:c>
      <x:c r="B9" s="8" t="str">
        <x:v>chat_preview_only</x:v>
      </x:c>
      <x:c r="C9" s="8" t="str">
        <x:v>Видна карточка сообщества, сообщения не прочитаны.</x:v>
      </x:c>
      <x:c r="D9" s="8" t="str">
        <x:v>https://t.me/hrkaz</x:v>
      </x:c>
      <x:c r="E9" s="8" t="str">
        <x:v>2026-10-01</x:v>
      </x:c>
    </x:row>
    <x:row r="10" ht="31.5" customHeight="1">
      <x:c r="A10" s="8" t="str">
        <x:v>FD-S091</x:v>
      </x:c>
      <x:c r="B10" s="8" t="str">
        <x:v>reader_error</x:v>
      </x:c>
      <x:c r="C10" s="8" t="str">
        <x:v>Содержимое не получено.</x:v>
      </x:c>
      <x:c r="D10" s="8" t="str">
        <x:v>https://t.me/HRBreakfast</x:v>
      </x:c>
      <x:c r="E10" s="8" t="str">
        <x:v>2026-10-01</x:v>
      </x:c>
    </x:row>
    <x:row r="11" ht="34.5" customHeight="1">
      <x:c r="A11" s="8" t="str">
        <x:v>FD-S047</x:v>
      </x:c>
      <x:c r="B11" s="8" t="str">
        <x:v>partner_invitation</x:v>
      </x:c>
      <x:c r="C11" s="8" t="str">
        <x:v>Mirapolis приглашает разработчиков курсов и HR-партнеров; partners@mirapolis.ru. Конкретный заказ не найден.</x:v>
      </x:c>
      <x:c r="D11" s="8" t="str">
        <x:v>https://www.mirapolis.ru/for-partners/</x:v>
      </x:c>
      <x:c r="E11" s="8" t="str">
        <x:v>2026-10-01</x:v>
      </x:c>
    </x:row>
    <x:row r="12" ht="31.5" customHeight="1">
      <x:c r="A12" s="8" t="str">
        <x:v>FD-S048</x:v>
      </x:c>
      <x:c r="B12" s="8" t="str">
        <x:v>adjacent_reseller_program</x:v>
      </x:c>
      <x:c r="C12" s="8" t="str">
        <x:v>Программа продажи ПО; не считать приглашением купить обучение.</x:v>
      </x:c>
      <x:c r="D12" s="8" t="str">
        <x:v>https://www.ispring.ru/company/reseller-program</x:v>
      </x:c>
      <x:c r="E12" s="8" t="str">
        <x:v>2026-10-01</x:v>
      </x:c>
    </x:row>
    <x:row r="13" ht="31.5" customHeight="1">
      <x:c r="A13" s="8" t="str">
        <x:v>FD-S093</x:v>
      </x:c>
      <x:c r="B13" s="8" t="str">
        <x:v>reader_error</x:v>
      </x:c>
      <x:c r="C13" s="8" t="str">
        <x:v>Ошибка перенаправления; содержимое не получено.</x:v>
      </x:c>
      <x:c r="D13" s="8" t="str">
        <x:v>https://seminar.mcfr.kz/sotrudnichesrvo</x:v>
      </x:c>
      <x:c r="E13" s="8" t="str">
        <x:v>2026-10-01</x:v>
      </x:c>
    </x:row>
    <x:row r="14" ht="31.5" customHeight="1">
      <x:c r="A14" s="8" t="str">
        <x:v>FD-S060</x:v>
      </x:c>
      <x:c r="B14" s="8" t="str">
        <x:v>captcha</x:v>
      </x:c>
      <x:c r="C14" s="8" t="str">
        <x:v>CAPTCHA; содержание страницы экспертов не прочитано.</x:v>
      </x:c>
      <x:c r="D14" s="8" t="str">
        <x:v>https://netology.ru/experts</x:v>
      </x:c>
      <x:c r="E14" s="8" t="str">
        <x:v>2026-10-01</x:v>
      </x:c>
    </x:row>
    <x:row r="15" ht="31.5" customHeight="1">
      <x:c r="A15" s="8" t="str">
        <x:v>FD-S079</x:v>
      </x:c>
      <x:c r="B15" s="8" t="str">
        <x:v>community_landing</x:v>
      </x:c>
      <x:c r="C15" s="8" t="str">
        <x:v>Сообщество закупщиков; конкретный заказ не подтвержден.</x:v>
      </x:c>
      <x:c r="D15" s="8" t="str">
        <x:v>https://cpoclub.ru/</x:v>
      </x:c>
      <x:c r="E15" s="8" t="str">
        <x:v>2026-10-01</x:v>
      </x:c>
    </x:row>
    <x:row r="16" ht="31.5" customHeight="1">
      <x:c r="A16" s="8" t="str">
        <x:v>FD-S097</x:v>
      </x:c>
      <x:c r="B16" s="8" t="str">
        <x:v>provider_offer</x:v>
      </x:c>
      <x:c r="C16" s="8" t="str">
        <x:v>Предложение обучения от провайдера; не запрос покупателя.</x:v>
      </x:c>
      <x:c r="D16" s="8" t="str">
        <x:v>https://www.belab.by/education</x:v>
      </x:c>
      <x:c r="E16" s="8" t="str">
        <x:v>2026-10-01</x:v>
      </x:c>
    </x:row>
    <x:row r="17" ht="31.5" customHeight="1">
      <x:c r="A17" s="8" t="str">
        <x:v>FD-S105</x:v>
      </x:c>
      <x:c r="B17" s="8" t="str">
        <x:v>empty_extraction</x:v>
      </x:c>
      <x:c r="C17" s="8" t="str">
        <x:v>JS-страница без извлеченного текста; отсутствие спроса не доказано.</x:v>
      </x:c>
      <x:c r="D17" s="8" t="str">
        <x:v>https://edu.astanahub.com/</x:v>
      </x:c>
      <x:c r="E17" s="8" t="str">
        <x:v>2026-10-01</x:v>
      </x:c>
    </x:row>
  </x:sheetData>
  <x:pageMargins left="0.7" right="0.7" top="0.75" bottom="0.75" header="0.3" footer="0.3"/>
  <x:tableParts count="1">
    <x:tablePart xmlns:r="http://schemas.openxmlformats.org/officeDocument/2006/relationships" r:id="R574f291ea9d04ad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41.11000061035156" hidden="0" customWidth="1"/>
    <x:col min="3" max="3" width="27.780000686645508" hidden="0" customWidth="1"/>
    <x:col min="4" max="4" width="26.110000610351562" hidden="0" customWidth="1"/>
    <x:col min="5" max="5" width="24.440000534057617" hidden="0" customWidth="1"/>
    <x:col min="6" max="6" width="53.33000183105469" hidden="0" customWidth="1"/>
    <x:col min="7" max="7" width="53.33000183105469" hidden="0" customWidth="1"/>
    <x:col min="8" max="8" width="55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198 задач • 33 источника × 6 поверхностей</x:v>
      </x:c>
      <x:c r="B2" s="2"/>
      <x:c r="C2" s="2"/>
      <x:c r="D2" s="2"/>
      <x:c r="E2" s="2"/>
      <x:c r="F2" s="2"/>
      <x:c r="G2" s="2"/>
      <x:c r="H2" s="2"/>
    </x:row>
    <x:row r="3" ht="22.5" customHeight="1">
      <x:c r="A3" s="4" t="str">
        <x:v>Применимость поверхностей проверяется. Пустой точный URL означает задачу поиска, а не готовый коннектор.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3.75" customHeight="1">
      <x:c r="A5" s="7" t="str">
        <x:v>Источник ID</x:v>
      </x:c>
      <x:c r="B5" s="7" t="str">
        <x:v>Название</x:v>
      </x:c>
      <x:c r="C5" s="7" t="str">
        <x:v>Поверхность</x:v>
      </x:c>
      <x:c r="D5" s="7" t="str">
        <x:v>Состояние доступа</x:v>
      </x:c>
      <x:c r="E5" s="7" t="str">
        <x:v>Охват 14 дней</x:v>
      </x:c>
      <x:c r="F5" s="7" t="str">
        <x:v>Входной URL</x:v>
      </x:c>
      <x:c r="G5" s="7" t="str">
        <x:v>Точный URL</x:v>
      </x:c>
      <x:c r="H5" s="7" t="str">
        <x:v>Следующее действие</x:v>
      </x:c>
    </x:row>
    <x:row r="6" ht="34.5" customHeight="1">
      <x:c r="A6" s="8" t="str">
        <x:v>FD-S001</x:v>
      </x:c>
      <x:c r="B6" s="8" t="str">
        <x:v>HRTime — заказы на обучение и развитие</x:v>
      </x:c>
      <x:c r="C6" s="8" t="str">
        <x:v>feed_or_requests</x:v>
      </x:c>
      <x:c r="D6" s="8" t="str">
        <x:v>not_checked</x:v>
      </x:c>
      <x:c r="E6" s="8" t="str">
        <x:v>not_established</x:v>
      </x:c>
      <x:c r="F6" s="8" t="str">
        <x:v>https://hrtime.ru/ispolnitelu/</x:v>
      </x:c>
      <x:c r="G6" s="8"/>
      <x:c r="H6" s="8" t="str">
        <x:v>Найти точную поверхность и проверить доступ; записать границы дат и пагинации.</x:v>
      </x:c>
    </x:row>
    <x:row r="7" ht="34.5" customHeight="1">
      <x:c r="A7" s="8" t="str">
        <x:v>FD-S001</x:v>
      </x:c>
      <x:c r="B7" s="8" t="str">
        <x:v>HRTime — заказы на обучение и развитие</x:v>
      </x:c>
      <x:c r="C7" s="8" t="str">
        <x:v>comments_or_discussions</x:v>
      </x:c>
      <x:c r="D7" s="8" t="str">
        <x:v>not_checked</x:v>
      </x:c>
      <x:c r="E7" s="8" t="str">
        <x:v>not_established</x:v>
      </x:c>
      <x:c r="F7" s="8" t="str">
        <x:v>https://hrtime.ru/ispolnitelu/</x:v>
      </x:c>
      <x:c r="G7" s="8"/>
      <x:c r="H7" s="8" t="str">
        <x:v>Найти точную поверхность и проверить доступ; записать границы дат и пагинации.</x:v>
      </x:c>
    </x:row>
    <x:row r="8" ht="34.5" customHeight="1">
      <x:c r="A8" s="8" t="str">
        <x:v>FD-S001</x:v>
      </x:c>
      <x:c r="B8" s="8" t="str">
        <x:v>HRTime — заказы на обучение и развитие</x:v>
      </x:c>
      <x:c r="C8" s="8" t="str">
        <x:v>attachments</x:v>
      </x:c>
      <x:c r="D8" s="8" t="str">
        <x:v>not_checked</x:v>
      </x:c>
      <x:c r="E8" s="8" t="str">
        <x:v>not_established</x:v>
      </x:c>
      <x:c r="F8" s="8" t="str">
        <x:v>https://hrtime.ru/ispolnitelu/</x:v>
      </x:c>
      <x:c r="G8" s="8"/>
      <x:c r="H8" s="8" t="str">
        <x:v>Найти точную поверхность и проверить доступ; записать границы дат и пагинации.</x:v>
      </x:c>
    </x:row>
    <x:row r="9" ht="34.5" customHeight="1">
      <x:c r="A9" s="8" t="str">
        <x:v>FD-S001</x:v>
      </x:c>
      <x:c r="B9" s="8" t="str">
        <x:v>HRTime — заказы на обучение и развитие</x:v>
      </x:c>
      <x:c r="C9" s="8" t="str">
        <x:v>pinned_or_partner_pages</x:v>
      </x:c>
      <x:c r="D9" s="8" t="str">
        <x:v>not_checked</x:v>
      </x:c>
      <x:c r="E9" s="8" t="str">
        <x:v>not_established</x:v>
      </x:c>
      <x:c r="F9" s="8" t="str">
        <x:v>https://hrtime.ru/ispolnitelu/</x:v>
      </x:c>
      <x:c r="G9" s="8"/>
      <x:c r="H9" s="8" t="str">
        <x:v>Найти точную поверхность и проверить доступ; записать границы дат и пагинации.</x:v>
      </x:c>
    </x:row>
    <x:row r="10" ht="34.5" customHeight="1">
      <x:c r="A10" s="8" t="str">
        <x:v>FD-S001</x:v>
      </x:c>
      <x:c r="B10" s="8" t="str">
        <x:v>HRTime — заказы на обучение и развитие</x:v>
      </x:c>
      <x:c r="C10" s="8" t="str">
        <x:v>author_or_buyer_profile</x:v>
      </x:c>
      <x:c r="D10" s="8" t="str">
        <x:v>not_checked</x:v>
      </x:c>
      <x:c r="E10" s="8" t="str">
        <x:v>not_established</x:v>
      </x:c>
      <x:c r="F10" s="8" t="str">
        <x:v>https://hrtime.ru/ispolnitelu/</x:v>
      </x:c>
      <x:c r="G10" s="8"/>
      <x:c r="H10" s="8" t="str">
        <x:v>Найти точную поверхность и проверить доступ; записать границы дат и пагинации.</x:v>
      </x:c>
    </x:row>
    <x:row r="11" ht="34.5" customHeight="1">
      <x:c r="A11" s="8" t="str">
        <x:v>FD-S001</x:v>
      </x:c>
      <x:c r="B11" s="8" t="str">
        <x:v>HRTime — заказы на обучение и развитие</x:v>
      </x:c>
      <x:c r="C11" s="8" t="str">
        <x:v>outbound_primary_links</x:v>
      </x:c>
      <x:c r="D11" s="8" t="str">
        <x:v>not_checked</x:v>
      </x:c>
      <x:c r="E11" s="8" t="str">
        <x:v>not_established</x:v>
      </x:c>
      <x:c r="F11" s="8" t="str">
        <x:v>https://hrtime.ru/ispolnitelu/</x:v>
      </x:c>
      <x:c r="G11" s="8"/>
      <x:c r="H11" s="8" t="str">
        <x:v>Найти точную поверхность и проверить доступ; записать границы дат и пагинации.</x:v>
      </x:c>
    </x:row>
    <x:row r="12" ht="34.5" customHeight="1">
      <x:c r="A12" s="8" t="str">
        <x:v>FD-S002</x:v>
      </x:c>
      <x:c r="B12" s="8" t="str">
        <x:v>FL.ru — проекты и субподряд</x:v>
      </x:c>
      <x:c r="C12" s="8" t="str">
        <x:v>feed_or_requests</x:v>
      </x:c>
      <x:c r="D12" s="8" t="str">
        <x:v>not_checked</x:v>
      </x:c>
      <x:c r="E12" s="8" t="str">
        <x:v>not_established</x:v>
      </x:c>
      <x:c r="F12" s="8" t="str">
        <x:v>https://www.fl.ru/projects/</x:v>
      </x:c>
      <x:c r="G12" s="8"/>
      <x:c r="H12" s="8" t="str">
        <x:v>Найти точную поверхность и проверить доступ; записать границы дат и пагинации.</x:v>
      </x:c>
    </x:row>
    <x:row r="13" ht="34.5" customHeight="1">
      <x:c r="A13" s="8" t="str">
        <x:v>FD-S002</x:v>
      </x:c>
      <x:c r="B13" s="8" t="str">
        <x:v>FL.ru — проекты и субподряд</x:v>
      </x:c>
      <x:c r="C13" s="8" t="str">
        <x:v>comments_or_discussions</x:v>
      </x:c>
      <x:c r="D13" s="8" t="str">
        <x:v>not_checked</x:v>
      </x:c>
      <x:c r="E13" s="8" t="str">
        <x:v>not_established</x:v>
      </x:c>
      <x:c r="F13" s="8" t="str">
        <x:v>https://www.fl.ru/projects/</x:v>
      </x:c>
      <x:c r="G13" s="8"/>
      <x:c r="H13" s="8" t="str">
        <x:v>Найти точную поверхность и проверить доступ; записать границы дат и пагинации.</x:v>
      </x:c>
    </x:row>
    <x:row r="14" ht="34.5" customHeight="1">
      <x:c r="A14" s="8" t="str">
        <x:v>FD-S002</x:v>
      </x:c>
      <x:c r="B14" s="8" t="str">
        <x:v>FL.ru — проекты и субподряд</x:v>
      </x:c>
      <x:c r="C14" s="8" t="str">
        <x:v>attachments</x:v>
      </x:c>
      <x:c r="D14" s="8" t="str">
        <x:v>not_checked</x:v>
      </x:c>
      <x:c r="E14" s="8" t="str">
        <x:v>not_established</x:v>
      </x:c>
      <x:c r="F14" s="8" t="str">
        <x:v>https://www.fl.ru/projects/</x:v>
      </x:c>
      <x:c r="G14" s="8"/>
      <x:c r="H14" s="8" t="str">
        <x:v>Найти точную поверхность и проверить доступ; записать границы дат и пагинации.</x:v>
      </x:c>
    </x:row>
    <x:row r="15" ht="34.5" customHeight="1">
      <x:c r="A15" s="8" t="str">
        <x:v>FD-S002</x:v>
      </x:c>
      <x:c r="B15" s="8" t="str">
        <x:v>FL.ru — проекты и субподряд</x:v>
      </x:c>
      <x:c r="C15" s="8" t="str">
        <x:v>pinned_or_partner_pages</x:v>
      </x:c>
      <x:c r="D15" s="8" t="str">
        <x:v>not_checked</x:v>
      </x:c>
      <x:c r="E15" s="8" t="str">
        <x:v>not_established</x:v>
      </x:c>
      <x:c r="F15" s="8" t="str">
        <x:v>https://www.fl.ru/projects/</x:v>
      </x:c>
      <x:c r="G15" s="8"/>
      <x:c r="H15" s="8" t="str">
        <x:v>Найти точную поверхность и проверить доступ; записать границы дат и пагинации.</x:v>
      </x:c>
    </x:row>
    <x:row r="16" ht="34.5" customHeight="1">
      <x:c r="A16" s="8" t="str">
        <x:v>FD-S002</x:v>
      </x:c>
      <x:c r="B16" s="8" t="str">
        <x:v>FL.ru — проекты и субподряд</x:v>
      </x:c>
      <x:c r="C16" s="8" t="str">
        <x:v>author_or_buyer_profile</x:v>
      </x:c>
      <x:c r="D16" s="8" t="str">
        <x:v>not_checked</x:v>
      </x:c>
      <x:c r="E16" s="8" t="str">
        <x:v>not_established</x:v>
      </x:c>
      <x:c r="F16" s="8" t="str">
        <x:v>https://www.fl.ru/projects/</x:v>
      </x:c>
      <x:c r="G16" s="8"/>
      <x:c r="H16" s="8" t="str">
        <x:v>Найти точную поверхность и проверить доступ; записать границы дат и пагинации.</x:v>
      </x:c>
    </x:row>
    <x:row r="17" ht="34.5" customHeight="1">
      <x:c r="A17" s="8" t="str">
        <x:v>FD-S002</x:v>
      </x:c>
      <x:c r="B17" s="8" t="str">
        <x:v>FL.ru — проекты и субподряд</x:v>
      </x:c>
      <x:c r="C17" s="8" t="str">
        <x:v>outbound_primary_links</x:v>
      </x:c>
      <x:c r="D17" s="8" t="str">
        <x:v>not_checked</x:v>
      </x:c>
      <x:c r="E17" s="8" t="str">
        <x:v>not_established</x:v>
      </x:c>
      <x:c r="F17" s="8" t="str">
        <x:v>https://www.fl.ru/projects/</x:v>
      </x:c>
      <x:c r="G17" s="8"/>
      <x:c r="H17" s="8" t="str">
        <x:v>Найти точную поверхность и проверить доступ; записать границы дат и пагинации.</x:v>
      </x:c>
    </x:row>
    <x:row r="18" ht="34.5" customHeight="1">
      <x:c r="A18" s="8" t="str">
        <x:v>FD-S007</x:v>
      </x:c>
      <x:c r="B18" s="8" t="str">
        <x:v>СПИКЕРСКАЯ</x:v>
      </x:c>
      <x:c r="C18" s="8" t="str">
        <x:v>feed_or_requests</x:v>
      </x:c>
      <x:c r="D18" s="8" t="str">
        <x:v>not_checked</x:v>
      </x:c>
      <x:c r="E18" s="8" t="str">
        <x:v>not_established</x:v>
      </x:c>
      <x:c r="F18" s="8" t="str">
        <x:v>https://t.me/s/speakers_l</x:v>
      </x:c>
      <x:c r="G18" s="8"/>
      <x:c r="H18" s="8" t="str">
        <x:v>Найти точную поверхность и проверить доступ; записать границы дат и пагинации.</x:v>
      </x:c>
    </x:row>
    <x:row r="19" ht="34.5" customHeight="1">
      <x:c r="A19" s="8" t="str">
        <x:v>FD-S007</x:v>
      </x:c>
      <x:c r="B19" s="8" t="str">
        <x:v>СПИКЕРСКАЯ</x:v>
      </x:c>
      <x:c r="C19" s="8" t="str">
        <x:v>comments_or_discussions</x:v>
      </x:c>
      <x:c r="D19" s="8" t="str">
        <x:v>not_checked</x:v>
      </x:c>
      <x:c r="E19" s="8" t="str">
        <x:v>not_established</x:v>
      </x:c>
      <x:c r="F19" s="8" t="str">
        <x:v>https://t.me/s/speakers_l</x:v>
      </x:c>
      <x:c r="G19" s="8"/>
      <x:c r="H19" s="8" t="str">
        <x:v>Найти точную поверхность и проверить доступ; записать границы дат и пагинации.</x:v>
      </x:c>
    </x:row>
    <x:row r="20" ht="34.5" customHeight="1">
      <x:c r="A20" s="8" t="str">
        <x:v>FD-S007</x:v>
      </x:c>
      <x:c r="B20" s="8" t="str">
        <x:v>СПИКЕРСКАЯ</x:v>
      </x:c>
      <x:c r="C20" s="8" t="str">
        <x:v>attachments</x:v>
      </x:c>
      <x:c r="D20" s="8" t="str">
        <x:v>not_checked</x:v>
      </x:c>
      <x:c r="E20" s="8" t="str">
        <x:v>not_established</x:v>
      </x:c>
      <x:c r="F20" s="8" t="str">
        <x:v>https://t.me/s/speakers_l</x:v>
      </x:c>
      <x:c r="G20" s="8"/>
      <x:c r="H20" s="8" t="str">
        <x:v>Найти точную поверхность и проверить доступ; записать границы дат и пагинации.</x:v>
      </x:c>
    </x:row>
    <x:row r="21" ht="34.5" customHeight="1">
      <x:c r="A21" s="8" t="str">
        <x:v>FD-S007</x:v>
      </x:c>
      <x:c r="B21" s="8" t="str">
        <x:v>СПИКЕРСКАЯ</x:v>
      </x:c>
      <x:c r="C21" s="8" t="str">
        <x:v>pinned_or_partner_pages</x:v>
      </x:c>
      <x:c r="D21" s="8" t="str">
        <x:v>not_checked</x:v>
      </x:c>
      <x:c r="E21" s="8" t="str">
        <x:v>not_established</x:v>
      </x:c>
      <x:c r="F21" s="8" t="str">
        <x:v>https://t.me/s/speakers_l</x:v>
      </x:c>
      <x:c r="G21" s="8"/>
      <x:c r="H21" s="8" t="str">
        <x:v>Найти точную поверхность и проверить доступ; записать границы дат и пагинации.</x:v>
      </x:c>
    </x:row>
    <x:row r="22" ht="34.5" customHeight="1">
      <x:c r="A22" s="8" t="str">
        <x:v>FD-S007</x:v>
      </x:c>
      <x:c r="B22" s="8" t="str">
        <x:v>СПИКЕРСКАЯ</x:v>
      </x:c>
      <x:c r="C22" s="8" t="str">
        <x:v>author_or_buyer_profile</x:v>
      </x:c>
      <x:c r="D22" s="8" t="str">
        <x:v>not_checked</x:v>
      </x:c>
      <x:c r="E22" s="8" t="str">
        <x:v>not_established</x:v>
      </x:c>
      <x:c r="F22" s="8" t="str">
        <x:v>https://t.me/s/speakers_l</x:v>
      </x:c>
      <x:c r="G22" s="8"/>
      <x:c r="H22" s="8" t="str">
        <x:v>Найти точную поверхность и проверить доступ; записать границы дат и пагинации.</x:v>
      </x:c>
    </x:row>
    <x:row r="23" ht="34.5" customHeight="1">
      <x:c r="A23" s="8" t="str">
        <x:v>FD-S007</x:v>
      </x:c>
      <x:c r="B23" s="8" t="str">
        <x:v>СПИКЕРСКАЯ</x:v>
      </x:c>
      <x:c r="C23" s="8" t="str">
        <x:v>outbound_primary_links</x:v>
      </x:c>
      <x:c r="D23" s="8" t="str">
        <x:v>not_checked</x:v>
      </x:c>
      <x:c r="E23" s="8" t="str">
        <x:v>not_established</x:v>
      </x:c>
      <x:c r="F23" s="8" t="str">
        <x:v>https://t.me/s/speakers_l</x:v>
      </x:c>
      <x:c r="G23" s="8"/>
      <x:c r="H23" s="8" t="str">
        <x:v>Найти точную поверхность и проверить доступ; записать границы дат и пагинации.</x:v>
      </x:c>
    </x:row>
    <x:row r="24" ht="34.5" customHeight="1">
      <x:c r="A24" s="8" t="str">
        <x:v>FD-S009</x:v>
      </x:c>
      <x:c r="B24" s="8" t="str">
        <x:v>Digital Learning — DL Marketplace</x:v>
      </x:c>
      <x:c r="C24" s="8" t="str">
        <x:v>feed_or_requests</x:v>
      </x:c>
      <x:c r="D24" s="8" t="str">
        <x:v>not_checked</x:v>
      </x:c>
      <x:c r="E24" s="8" t="str">
        <x:v>not_established</x:v>
      </x:c>
      <x:c r="F24" s="8" t="str">
        <x:v>https://t.me/dl_marketplace</x:v>
      </x:c>
      <x:c r="G24" s="8"/>
      <x:c r="H24" s="8" t="str">
        <x:v>Найти точную поверхность и проверить доступ; записать границы дат и пагинации.</x:v>
      </x:c>
    </x:row>
    <x:row r="25" ht="34.5" customHeight="1">
      <x:c r="A25" s="8" t="str">
        <x:v>FD-S009</x:v>
      </x:c>
      <x:c r="B25" s="8" t="str">
        <x:v>Digital Learning — DL Marketplace</x:v>
      </x:c>
      <x:c r="C25" s="8" t="str">
        <x:v>comments_or_discussions</x:v>
      </x:c>
      <x:c r="D25" s="8" t="str">
        <x:v>not_checked</x:v>
      </x:c>
      <x:c r="E25" s="8" t="str">
        <x:v>not_established</x:v>
      </x:c>
      <x:c r="F25" s="8" t="str">
        <x:v>https://t.me/dl_marketplace</x:v>
      </x:c>
      <x:c r="G25" s="8"/>
      <x:c r="H25" s="8" t="str">
        <x:v>Найти точную поверхность и проверить доступ; записать границы дат и пагинации.</x:v>
      </x:c>
    </x:row>
    <x:row r="26" ht="34.5" customHeight="1">
      <x:c r="A26" s="8" t="str">
        <x:v>FD-S009</x:v>
      </x:c>
      <x:c r="B26" s="8" t="str">
        <x:v>Digital Learning — DL Marketplace</x:v>
      </x:c>
      <x:c r="C26" s="8" t="str">
        <x:v>attachments</x:v>
      </x:c>
      <x:c r="D26" s="8" t="str">
        <x:v>not_checked</x:v>
      </x:c>
      <x:c r="E26" s="8" t="str">
        <x:v>not_established</x:v>
      </x:c>
      <x:c r="F26" s="8" t="str">
        <x:v>https://t.me/dl_marketplace</x:v>
      </x:c>
      <x:c r="G26" s="8"/>
      <x:c r="H26" s="8" t="str">
        <x:v>Найти точную поверхность и проверить доступ; записать границы дат и пагинации.</x:v>
      </x:c>
    </x:row>
    <x:row r="27" ht="34.5" customHeight="1">
      <x:c r="A27" s="8" t="str">
        <x:v>FD-S009</x:v>
      </x:c>
      <x:c r="B27" s="8" t="str">
        <x:v>Digital Learning — DL Marketplace</x:v>
      </x:c>
      <x:c r="C27" s="8" t="str">
        <x:v>pinned_or_partner_pages</x:v>
      </x:c>
      <x:c r="D27" s="8" t="str">
        <x:v>not_checked</x:v>
      </x:c>
      <x:c r="E27" s="8" t="str">
        <x:v>not_established</x:v>
      </x:c>
      <x:c r="F27" s="8" t="str">
        <x:v>https://t.me/dl_marketplace</x:v>
      </x:c>
      <x:c r="G27" s="8"/>
      <x:c r="H27" s="8" t="str">
        <x:v>Найти точную поверхность и проверить доступ; записать границы дат и пагинации.</x:v>
      </x:c>
    </x:row>
    <x:row r="28" ht="34.5" customHeight="1">
      <x:c r="A28" s="8" t="str">
        <x:v>FD-S009</x:v>
      </x:c>
      <x:c r="B28" s="8" t="str">
        <x:v>Digital Learning — DL Marketplace</x:v>
      </x:c>
      <x:c r="C28" s="8" t="str">
        <x:v>author_or_buyer_profile</x:v>
      </x:c>
      <x:c r="D28" s="8" t="str">
        <x:v>not_checked</x:v>
      </x:c>
      <x:c r="E28" s="8" t="str">
        <x:v>not_established</x:v>
      </x:c>
      <x:c r="F28" s="8" t="str">
        <x:v>https://t.me/dl_marketplace</x:v>
      </x:c>
      <x:c r="G28" s="8"/>
      <x:c r="H28" s="8" t="str">
        <x:v>Найти точную поверхность и проверить доступ; записать границы дат и пагинации.</x:v>
      </x:c>
    </x:row>
    <x:row r="29" ht="34.5" customHeight="1">
      <x:c r="A29" s="8" t="str">
        <x:v>FD-S009</x:v>
      </x:c>
      <x:c r="B29" s="8" t="str">
        <x:v>Digital Learning — DL Marketplace</x:v>
      </x:c>
      <x:c r="C29" s="8" t="str">
        <x:v>outbound_primary_links</x:v>
      </x:c>
      <x:c r="D29" s="8" t="str">
        <x:v>not_checked</x:v>
      </x:c>
      <x:c r="E29" s="8" t="str">
        <x:v>not_established</x:v>
      </x:c>
      <x:c r="F29" s="8" t="str">
        <x:v>https://t.me/dl_marketplace</x:v>
      </x:c>
      <x:c r="G29" s="8"/>
      <x:c r="H29" s="8" t="str">
        <x:v>Найти точную поверхность и проверить доступ; записать границы дат и пагинации.</x:v>
      </x:c>
    </x:row>
    <x:row r="30" ht="34.5" customHeight="1">
      <x:c r="A30" s="8" t="str">
        <x:v>FD-S011</x:v>
      </x:c>
      <x:c r="B30" s="8" t="str">
        <x:v>BestSpeakers — Telegram с запросами</x:v>
      </x:c>
      <x:c r="C30" s="8" t="str">
        <x:v>feed_or_requests</x:v>
      </x:c>
      <x:c r="D30" s="8" t="str">
        <x:v>not_checked</x:v>
      </x:c>
      <x:c r="E30" s="8" t="str">
        <x:v>not_established</x:v>
      </x:c>
      <x:c r="F30" s="8" t="str">
        <x:v>https://t.me/Project_Best_Speakers</x:v>
      </x:c>
      <x:c r="G30" s="8"/>
      <x:c r="H30" s="8" t="str">
        <x:v>Найти точную поверхность и проверить доступ; записать границы дат и пагинации.</x:v>
      </x:c>
    </x:row>
    <x:row r="31" ht="34.5" customHeight="1">
      <x:c r="A31" s="8" t="str">
        <x:v>FD-S011</x:v>
      </x:c>
      <x:c r="B31" s="8" t="str">
        <x:v>BestSpeakers — Telegram с запросами</x:v>
      </x:c>
      <x:c r="C31" s="8" t="str">
        <x:v>comments_or_discussions</x:v>
      </x:c>
      <x:c r="D31" s="8" t="str">
        <x:v>not_checked</x:v>
      </x:c>
      <x:c r="E31" s="8" t="str">
        <x:v>not_established</x:v>
      </x:c>
      <x:c r="F31" s="8" t="str">
        <x:v>https://t.me/Project_Best_Speakers</x:v>
      </x:c>
      <x:c r="G31" s="8"/>
      <x:c r="H31" s="8" t="str">
        <x:v>Найти точную поверхность и проверить доступ; записать границы дат и пагинации.</x:v>
      </x:c>
    </x:row>
    <x:row r="32" ht="34.5" customHeight="1">
      <x:c r="A32" s="8" t="str">
        <x:v>FD-S011</x:v>
      </x:c>
      <x:c r="B32" s="8" t="str">
        <x:v>BestSpeakers — Telegram с запросами</x:v>
      </x:c>
      <x:c r="C32" s="8" t="str">
        <x:v>attachments</x:v>
      </x:c>
      <x:c r="D32" s="8" t="str">
        <x:v>not_checked</x:v>
      </x:c>
      <x:c r="E32" s="8" t="str">
        <x:v>not_established</x:v>
      </x:c>
      <x:c r="F32" s="8" t="str">
        <x:v>https://t.me/Project_Best_Speakers</x:v>
      </x:c>
      <x:c r="G32" s="8"/>
      <x:c r="H32" s="8" t="str">
        <x:v>Найти точную поверхность и проверить доступ; записать границы дат и пагинации.</x:v>
      </x:c>
    </x:row>
    <x:row r="33" ht="34.5" customHeight="1">
      <x:c r="A33" s="8" t="str">
        <x:v>FD-S011</x:v>
      </x:c>
      <x:c r="B33" s="8" t="str">
        <x:v>BestSpeakers — Telegram с запросами</x:v>
      </x:c>
      <x:c r="C33" s="8" t="str">
        <x:v>pinned_or_partner_pages</x:v>
      </x:c>
      <x:c r="D33" s="8" t="str">
        <x:v>not_checked</x:v>
      </x:c>
      <x:c r="E33" s="8" t="str">
        <x:v>not_established</x:v>
      </x:c>
      <x:c r="F33" s="8" t="str">
        <x:v>https://t.me/Project_Best_Speakers</x:v>
      </x:c>
      <x:c r="G33" s="8"/>
      <x:c r="H33" s="8" t="str">
        <x:v>Найти точную поверхность и проверить доступ; записать границы дат и пагинации.</x:v>
      </x:c>
    </x:row>
    <x:row r="34" ht="34.5" customHeight="1">
      <x:c r="A34" s="8" t="str">
        <x:v>FD-S011</x:v>
      </x:c>
      <x:c r="B34" s="8" t="str">
        <x:v>BestSpeakers — Telegram с запросами</x:v>
      </x:c>
      <x:c r="C34" s="8" t="str">
        <x:v>author_or_buyer_profile</x:v>
      </x:c>
      <x:c r="D34" s="8" t="str">
        <x:v>not_checked</x:v>
      </x:c>
      <x:c r="E34" s="8" t="str">
        <x:v>not_established</x:v>
      </x:c>
      <x:c r="F34" s="8" t="str">
        <x:v>https://t.me/Project_Best_Speakers</x:v>
      </x:c>
      <x:c r="G34" s="8"/>
      <x:c r="H34" s="8" t="str">
        <x:v>Найти точную поверхность и проверить доступ; записать границы дат и пагинации.</x:v>
      </x:c>
    </x:row>
    <x:row r="35" ht="34.5" customHeight="1">
      <x:c r="A35" s="8" t="str">
        <x:v>FD-S011</x:v>
      </x:c>
      <x:c r="B35" s="8" t="str">
        <x:v>BestSpeakers — Telegram с запросами</x:v>
      </x:c>
      <x:c r="C35" s="8" t="str">
        <x:v>outbound_primary_links</x:v>
      </x:c>
      <x:c r="D35" s="8" t="str">
        <x:v>not_checked</x:v>
      </x:c>
      <x:c r="E35" s="8" t="str">
        <x:v>not_established</x:v>
      </x:c>
      <x:c r="F35" s="8" t="str">
        <x:v>https://t.me/Project_Best_Speakers</x:v>
      </x:c>
      <x:c r="G35" s="8"/>
      <x:c r="H35" s="8" t="str">
        <x:v>Найти точную поверхность и проверить доступ; записать границы дат и пагинации.</x:v>
      </x:c>
    </x:row>
    <x:row r="36" ht="34.5" customHeight="1">
      <x:c r="A36" s="8" t="str">
        <x:v>FD-S013</x:v>
      </x:c>
      <x:c r="B36" s="8" t="str">
        <x:v>Digital Learning — основной новостной Telegram</x:v>
      </x:c>
      <x:c r="C36" s="8" t="str">
        <x:v>feed_or_requests</x:v>
      </x:c>
      <x:c r="D36" s="8" t="str">
        <x:v>not_checked</x:v>
      </x:c>
      <x:c r="E36" s="8" t="str">
        <x:v>not_established</x:v>
      </x:c>
      <x:c r="F36" s="8" t="str">
        <x:v>https://t.me/ielearning</x:v>
      </x:c>
      <x:c r="G36" s="8"/>
      <x:c r="H36" s="8" t="str">
        <x:v>Найти точную поверхность и проверить доступ; записать границы дат и пагинации.</x:v>
      </x:c>
    </x:row>
    <x:row r="37" ht="34.5" customHeight="1">
      <x:c r="A37" s="8" t="str">
        <x:v>FD-S013</x:v>
      </x:c>
      <x:c r="B37" s="8" t="str">
        <x:v>Digital Learning — основной новостной Telegram</x:v>
      </x:c>
      <x:c r="C37" s="8" t="str">
        <x:v>comments_or_discussions</x:v>
      </x:c>
      <x:c r="D37" s="8" t="str">
        <x:v>not_checked</x:v>
      </x:c>
      <x:c r="E37" s="8" t="str">
        <x:v>not_established</x:v>
      </x:c>
      <x:c r="F37" s="8" t="str">
        <x:v>https://t.me/ielearning</x:v>
      </x:c>
      <x:c r="G37" s="8"/>
      <x:c r="H37" s="8" t="str">
        <x:v>Найти точную поверхность и проверить доступ; записать границы дат и пагинации.</x:v>
      </x:c>
    </x:row>
    <x:row r="38" ht="34.5" customHeight="1">
      <x:c r="A38" s="8" t="str">
        <x:v>FD-S013</x:v>
      </x:c>
      <x:c r="B38" s="8" t="str">
        <x:v>Digital Learning — основной новостной Telegram</x:v>
      </x:c>
      <x:c r="C38" s="8" t="str">
        <x:v>attachments</x:v>
      </x:c>
      <x:c r="D38" s="8" t="str">
        <x:v>not_checked</x:v>
      </x:c>
      <x:c r="E38" s="8" t="str">
        <x:v>not_established</x:v>
      </x:c>
      <x:c r="F38" s="8" t="str">
        <x:v>https://t.me/ielearning</x:v>
      </x:c>
      <x:c r="G38" s="8"/>
      <x:c r="H38" s="8" t="str">
        <x:v>Найти точную поверхность и проверить доступ; записать границы дат и пагинации.</x:v>
      </x:c>
    </x:row>
    <x:row r="39" ht="34.5" customHeight="1">
      <x:c r="A39" s="8" t="str">
        <x:v>FD-S013</x:v>
      </x:c>
      <x:c r="B39" s="8" t="str">
        <x:v>Digital Learning — основной новостной Telegram</x:v>
      </x:c>
      <x:c r="C39" s="8" t="str">
        <x:v>pinned_or_partner_pages</x:v>
      </x:c>
      <x:c r="D39" s="8" t="str">
        <x:v>not_checked</x:v>
      </x:c>
      <x:c r="E39" s="8" t="str">
        <x:v>not_established</x:v>
      </x:c>
      <x:c r="F39" s="8" t="str">
        <x:v>https://t.me/ielearning</x:v>
      </x:c>
      <x:c r="G39" s="8"/>
      <x:c r="H39" s="8" t="str">
        <x:v>Найти точную поверхность и проверить доступ; записать границы дат и пагинации.</x:v>
      </x:c>
    </x:row>
    <x:row r="40" ht="34.5" customHeight="1">
      <x:c r="A40" s="8" t="str">
        <x:v>FD-S013</x:v>
      </x:c>
      <x:c r="B40" s="8" t="str">
        <x:v>Digital Learning — основной новостной Telegram</x:v>
      </x:c>
      <x:c r="C40" s="8" t="str">
        <x:v>author_or_buyer_profile</x:v>
      </x:c>
      <x:c r="D40" s="8" t="str">
        <x:v>not_checked</x:v>
      </x:c>
      <x:c r="E40" s="8" t="str">
        <x:v>not_established</x:v>
      </x:c>
      <x:c r="F40" s="8" t="str">
        <x:v>https://t.me/ielearning</x:v>
      </x:c>
      <x:c r="G40" s="8"/>
      <x:c r="H40" s="8" t="str">
        <x:v>Найти точную поверхность и проверить доступ; записать границы дат и пагинации.</x:v>
      </x:c>
    </x:row>
    <x:row r="41" ht="34.5" customHeight="1">
      <x:c r="A41" s="8" t="str">
        <x:v>FD-S013</x:v>
      </x:c>
      <x:c r="B41" s="8" t="str">
        <x:v>Digital Learning — основной новостной Telegram</x:v>
      </x:c>
      <x:c r="C41" s="8" t="str">
        <x:v>outbound_primary_links</x:v>
      </x:c>
      <x:c r="D41" s="8" t="str">
        <x:v>not_checked</x:v>
      </x:c>
      <x:c r="E41" s="8" t="str">
        <x:v>not_established</x:v>
      </x:c>
      <x:c r="F41" s="8" t="str">
        <x:v>https://t.me/ielearning</x:v>
      </x:c>
      <x:c r="G41" s="8"/>
      <x:c r="H41" s="8" t="str">
        <x:v>Найти точную поверхность и проверить доступ; записать границы дат и пагинации.</x:v>
      </x:c>
    </x:row>
    <x:row r="42" ht="34.5" customHeight="1">
      <x:c r="A42" s="8" t="str">
        <x:v>FD-S014</x:v>
      </x:c>
      <x:c r="B42" s="8" t="str">
        <x:v>Методический кружок Digital Learning</x:v>
      </x:c>
      <x:c r="C42" s="8" t="str">
        <x:v>feed_or_requests</x:v>
      </x:c>
      <x:c r="D42" s="8" t="str">
        <x:v>not_checked</x:v>
      </x:c>
      <x:c r="E42" s="8" t="str">
        <x:v>not_established</x:v>
      </x:c>
      <x:c r="F42" s="8" t="str">
        <x:v>https://t.me/metod_krug</x:v>
      </x:c>
      <x:c r="G42" s="8"/>
      <x:c r="H42" s="8" t="str">
        <x:v>Найти точную поверхность и проверить доступ; записать границы дат и пагинации.</x:v>
      </x:c>
    </x:row>
    <x:row r="43" ht="34.5" customHeight="1">
      <x:c r="A43" s="8" t="str">
        <x:v>FD-S014</x:v>
      </x:c>
      <x:c r="B43" s="8" t="str">
        <x:v>Методический кружок Digital Learning</x:v>
      </x:c>
      <x:c r="C43" s="8" t="str">
        <x:v>comments_or_discussions</x:v>
      </x:c>
      <x:c r="D43" s="8" t="str">
        <x:v>not_checked</x:v>
      </x:c>
      <x:c r="E43" s="8" t="str">
        <x:v>not_established</x:v>
      </x:c>
      <x:c r="F43" s="8" t="str">
        <x:v>https://t.me/metod_krug</x:v>
      </x:c>
      <x:c r="G43" s="8"/>
      <x:c r="H43" s="8" t="str">
        <x:v>Найти точную поверхность и проверить доступ; записать границы дат и пагинации.</x:v>
      </x:c>
    </x:row>
    <x:row r="44" ht="34.5" customHeight="1">
      <x:c r="A44" s="8" t="str">
        <x:v>FD-S014</x:v>
      </x:c>
      <x:c r="B44" s="8" t="str">
        <x:v>Методический кружок Digital Learning</x:v>
      </x:c>
      <x:c r="C44" s="8" t="str">
        <x:v>attachments</x:v>
      </x:c>
      <x:c r="D44" s="8" t="str">
        <x:v>not_checked</x:v>
      </x:c>
      <x:c r="E44" s="8" t="str">
        <x:v>not_established</x:v>
      </x:c>
      <x:c r="F44" s="8" t="str">
        <x:v>https://t.me/metod_krug</x:v>
      </x:c>
      <x:c r="G44" s="8"/>
      <x:c r="H44" s="8" t="str">
        <x:v>Найти точную поверхность и проверить доступ; записать границы дат и пагинации.</x:v>
      </x:c>
    </x:row>
    <x:row r="45" ht="34.5" customHeight="1">
      <x:c r="A45" s="8" t="str">
        <x:v>FD-S014</x:v>
      </x:c>
      <x:c r="B45" s="8" t="str">
        <x:v>Методический кружок Digital Learning</x:v>
      </x:c>
      <x:c r="C45" s="8" t="str">
        <x:v>pinned_or_partner_pages</x:v>
      </x:c>
      <x:c r="D45" s="8" t="str">
        <x:v>not_checked</x:v>
      </x:c>
      <x:c r="E45" s="8" t="str">
        <x:v>not_established</x:v>
      </x:c>
      <x:c r="F45" s="8" t="str">
        <x:v>https://t.me/metod_krug</x:v>
      </x:c>
      <x:c r="G45" s="8"/>
      <x:c r="H45" s="8" t="str">
        <x:v>Найти точную поверхность и проверить доступ; записать границы дат и пагинации.</x:v>
      </x:c>
    </x:row>
    <x:row r="46" ht="34.5" customHeight="1">
      <x:c r="A46" s="8" t="str">
        <x:v>FD-S014</x:v>
      </x:c>
      <x:c r="B46" s="8" t="str">
        <x:v>Методический кружок Digital Learning</x:v>
      </x:c>
      <x:c r="C46" s="8" t="str">
        <x:v>author_or_buyer_profile</x:v>
      </x:c>
      <x:c r="D46" s="8" t="str">
        <x:v>not_checked</x:v>
      </x:c>
      <x:c r="E46" s="8" t="str">
        <x:v>not_established</x:v>
      </x:c>
      <x:c r="F46" s="8" t="str">
        <x:v>https://t.me/metod_krug</x:v>
      </x:c>
      <x:c r="G46" s="8"/>
      <x:c r="H46" s="8" t="str">
        <x:v>Найти точную поверхность и проверить доступ; записать границы дат и пагинации.</x:v>
      </x:c>
    </x:row>
    <x:row r="47" ht="34.5" customHeight="1">
      <x:c r="A47" s="8" t="str">
        <x:v>FD-S014</x:v>
      </x:c>
      <x:c r="B47" s="8" t="str">
        <x:v>Методический кружок Digital Learning</x:v>
      </x:c>
      <x:c r="C47" s="8" t="str">
        <x:v>outbound_primary_links</x:v>
      </x:c>
      <x:c r="D47" s="8" t="str">
        <x:v>not_checked</x:v>
      </x:c>
      <x:c r="E47" s="8" t="str">
        <x:v>not_established</x:v>
      </x:c>
      <x:c r="F47" s="8" t="str">
        <x:v>https://t.me/metod_krug</x:v>
      </x:c>
      <x:c r="G47" s="8"/>
      <x:c r="H47" s="8" t="str">
        <x:v>Найти точную поверхность и проверить доступ; записать границы дат и пагинации.</x:v>
      </x:c>
    </x:row>
    <x:row r="48" ht="34.5" customHeight="1">
      <x:c r="A48" s="8" t="str">
        <x:v>FD-S019</x:v>
      </x:c>
      <x:c r="B48" s="8" t="str">
        <x:v>JobDelivery — вакансии экосистемы LessonDelivery</x:v>
      </x:c>
      <x:c r="C48" s="8" t="str">
        <x:v>feed_or_requests</x:v>
      </x:c>
      <x:c r="D48" s="8" t="str">
        <x:v>not_checked</x:v>
      </x:c>
      <x:c r="E48" s="8" t="str">
        <x:v>not_established</x:v>
      </x:c>
      <x:c r="F48" s="8" t="str">
        <x:v>https://t.me/JobDelivery</x:v>
      </x:c>
      <x:c r="G48" s="8"/>
      <x:c r="H48" s="8" t="str">
        <x:v>Найти точную поверхность и проверить доступ; записать границы дат и пагинации.</x:v>
      </x:c>
    </x:row>
    <x:row r="49" ht="34.5" customHeight="1">
      <x:c r="A49" s="8" t="str">
        <x:v>FD-S019</x:v>
      </x:c>
      <x:c r="B49" s="8" t="str">
        <x:v>JobDelivery — вакансии экосистемы LessonDelivery</x:v>
      </x:c>
      <x:c r="C49" s="8" t="str">
        <x:v>comments_or_discussions</x:v>
      </x:c>
      <x:c r="D49" s="8" t="str">
        <x:v>not_checked</x:v>
      </x:c>
      <x:c r="E49" s="8" t="str">
        <x:v>not_established</x:v>
      </x:c>
      <x:c r="F49" s="8" t="str">
        <x:v>https://t.me/JobDelivery</x:v>
      </x:c>
      <x:c r="G49" s="8"/>
      <x:c r="H49" s="8" t="str">
        <x:v>Найти точную поверхность и проверить доступ; записать границы дат и пагинации.</x:v>
      </x:c>
    </x:row>
    <x:row r="50" ht="34.5" customHeight="1">
      <x:c r="A50" s="8" t="str">
        <x:v>FD-S019</x:v>
      </x:c>
      <x:c r="B50" s="8" t="str">
        <x:v>JobDelivery — вакансии экосистемы LessonDelivery</x:v>
      </x:c>
      <x:c r="C50" s="8" t="str">
        <x:v>attachments</x:v>
      </x:c>
      <x:c r="D50" s="8" t="str">
        <x:v>not_checked</x:v>
      </x:c>
      <x:c r="E50" s="8" t="str">
        <x:v>not_established</x:v>
      </x:c>
      <x:c r="F50" s="8" t="str">
        <x:v>https://t.me/JobDelivery</x:v>
      </x:c>
      <x:c r="G50" s="8"/>
      <x:c r="H50" s="8" t="str">
        <x:v>Найти точную поверхность и проверить доступ; записать границы дат и пагинации.</x:v>
      </x:c>
    </x:row>
    <x:row r="51" ht="34.5" customHeight="1">
      <x:c r="A51" s="8" t="str">
        <x:v>FD-S019</x:v>
      </x:c>
      <x:c r="B51" s="8" t="str">
        <x:v>JobDelivery — вакансии экосистемы LessonDelivery</x:v>
      </x:c>
      <x:c r="C51" s="8" t="str">
        <x:v>pinned_or_partner_pages</x:v>
      </x:c>
      <x:c r="D51" s="8" t="str">
        <x:v>not_checked</x:v>
      </x:c>
      <x:c r="E51" s="8" t="str">
        <x:v>not_established</x:v>
      </x:c>
      <x:c r="F51" s="8" t="str">
        <x:v>https://t.me/JobDelivery</x:v>
      </x:c>
      <x:c r="G51" s="8"/>
      <x:c r="H51" s="8" t="str">
        <x:v>Найти точную поверхность и проверить доступ; записать границы дат и пагинации.</x:v>
      </x:c>
    </x:row>
    <x:row r="52" ht="34.5" customHeight="1">
      <x:c r="A52" s="8" t="str">
        <x:v>FD-S019</x:v>
      </x:c>
      <x:c r="B52" s="8" t="str">
        <x:v>JobDelivery — вакансии экосистемы LessonDelivery</x:v>
      </x:c>
      <x:c r="C52" s="8" t="str">
        <x:v>author_or_buyer_profile</x:v>
      </x:c>
      <x:c r="D52" s="8" t="str">
        <x:v>not_checked</x:v>
      </x:c>
      <x:c r="E52" s="8" t="str">
        <x:v>not_established</x:v>
      </x:c>
      <x:c r="F52" s="8" t="str">
        <x:v>https://t.me/JobDelivery</x:v>
      </x:c>
      <x:c r="G52" s="8"/>
      <x:c r="H52" s="8" t="str">
        <x:v>Найти точную поверхность и проверить доступ; записать границы дат и пагинации.</x:v>
      </x:c>
    </x:row>
    <x:row r="53" ht="34.5" customHeight="1">
      <x:c r="A53" s="8" t="str">
        <x:v>FD-S019</x:v>
      </x:c>
      <x:c r="B53" s="8" t="str">
        <x:v>JobDelivery — вакансии экосистемы LessonDelivery</x:v>
      </x:c>
      <x:c r="C53" s="8" t="str">
        <x:v>outbound_primary_links</x:v>
      </x:c>
      <x:c r="D53" s="8" t="str">
        <x:v>not_checked</x:v>
      </x:c>
      <x:c r="E53" s="8" t="str">
        <x:v>not_established</x:v>
      </x:c>
      <x:c r="F53" s="8" t="str">
        <x:v>https://t.me/JobDelivery</x:v>
      </x:c>
      <x:c r="G53" s="8"/>
      <x:c r="H53" s="8" t="str">
        <x:v>Найти точную поверхность и проверить доступ; записать границы дат и пагинации.</x:v>
      </x:c>
    </x:row>
    <x:row r="54" ht="34.5" customHeight="1">
      <x:c r="A54" s="8" t="str">
        <x:v>FD-S022</x:v>
      </x:c>
      <x:c r="B54" s="8" t="str">
        <x:v>Живое обучение — канал Елены Тихомировой</x:v>
      </x:c>
      <x:c r="C54" s="8" t="str">
        <x:v>feed_or_requests</x:v>
      </x:c>
      <x:c r="D54" s="8" t="str">
        <x:v>not_checked</x:v>
      </x:c>
      <x:c r="E54" s="8" t="str">
        <x:v>not_established</x:v>
      </x:c>
      <x:c r="F54" s="8" t="str">
        <x:v>https://t.me/prolearning</x:v>
      </x:c>
      <x:c r="G54" s="8"/>
      <x:c r="H54" s="8" t="str">
        <x:v>Найти точную поверхность и проверить доступ; записать границы дат и пагинации.</x:v>
      </x:c>
    </x:row>
    <x:row r="55" ht="34.5" customHeight="1">
      <x:c r="A55" s="8" t="str">
        <x:v>FD-S022</x:v>
      </x:c>
      <x:c r="B55" s="8" t="str">
        <x:v>Живое обучение — канал Елены Тихомировой</x:v>
      </x:c>
      <x:c r="C55" s="8" t="str">
        <x:v>comments_or_discussions</x:v>
      </x:c>
      <x:c r="D55" s="8" t="str">
        <x:v>not_checked</x:v>
      </x:c>
      <x:c r="E55" s="8" t="str">
        <x:v>not_established</x:v>
      </x:c>
      <x:c r="F55" s="8" t="str">
        <x:v>https://t.me/prolearning</x:v>
      </x:c>
      <x:c r="G55" s="8"/>
      <x:c r="H55" s="8" t="str">
        <x:v>Найти точную поверхность и проверить доступ; записать границы дат и пагинации.</x:v>
      </x:c>
    </x:row>
    <x:row r="56" ht="34.5" customHeight="1">
      <x:c r="A56" s="8" t="str">
        <x:v>FD-S022</x:v>
      </x:c>
      <x:c r="B56" s="8" t="str">
        <x:v>Живое обучение — канал Елены Тихомировой</x:v>
      </x:c>
      <x:c r="C56" s="8" t="str">
        <x:v>attachments</x:v>
      </x:c>
      <x:c r="D56" s="8" t="str">
        <x:v>not_checked</x:v>
      </x:c>
      <x:c r="E56" s="8" t="str">
        <x:v>not_established</x:v>
      </x:c>
      <x:c r="F56" s="8" t="str">
        <x:v>https://t.me/prolearning</x:v>
      </x:c>
      <x:c r="G56" s="8"/>
      <x:c r="H56" s="8" t="str">
        <x:v>Найти точную поверхность и проверить доступ; записать границы дат и пагинации.</x:v>
      </x:c>
    </x:row>
    <x:row r="57" ht="34.5" customHeight="1">
      <x:c r="A57" s="8" t="str">
        <x:v>FD-S022</x:v>
      </x:c>
      <x:c r="B57" s="8" t="str">
        <x:v>Живое обучение — канал Елены Тихомировой</x:v>
      </x:c>
      <x:c r="C57" s="8" t="str">
        <x:v>pinned_or_partner_pages</x:v>
      </x:c>
      <x:c r="D57" s="8" t="str">
        <x:v>not_checked</x:v>
      </x:c>
      <x:c r="E57" s="8" t="str">
        <x:v>not_established</x:v>
      </x:c>
      <x:c r="F57" s="8" t="str">
        <x:v>https://t.me/prolearning</x:v>
      </x:c>
      <x:c r="G57" s="8"/>
      <x:c r="H57" s="8" t="str">
        <x:v>Найти точную поверхность и проверить доступ; записать границы дат и пагинации.</x:v>
      </x:c>
    </x:row>
    <x:row r="58" ht="34.5" customHeight="1">
      <x:c r="A58" s="8" t="str">
        <x:v>FD-S022</x:v>
      </x:c>
      <x:c r="B58" s="8" t="str">
        <x:v>Живое обучение — канал Елены Тихомировой</x:v>
      </x:c>
      <x:c r="C58" s="8" t="str">
        <x:v>author_or_buyer_profile</x:v>
      </x:c>
      <x:c r="D58" s="8" t="str">
        <x:v>not_checked</x:v>
      </x:c>
      <x:c r="E58" s="8" t="str">
        <x:v>not_established</x:v>
      </x:c>
      <x:c r="F58" s="8" t="str">
        <x:v>https://t.me/prolearning</x:v>
      </x:c>
      <x:c r="G58" s="8"/>
      <x:c r="H58" s="8" t="str">
        <x:v>Найти точную поверхность и проверить доступ; записать границы дат и пагинации.</x:v>
      </x:c>
    </x:row>
    <x:row r="59" ht="34.5" customHeight="1">
      <x:c r="A59" s="8" t="str">
        <x:v>FD-S022</x:v>
      </x:c>
      <x:c r="B59" s="8" t="str">
        <x:v>Живое обучение — канал Елены Тихомировой</x:v>
      </x:c>
      <x:c r="C59" s="8" t="str">
        <x:v>outbound_primary_links</x:v>
      </x:c>
      <x:c r="D59" s="8" t="str">
        <x:v>not_checked</x:v>
      </x:c>
      <x:c r="E59" s="8" t="str">
        <x:v>not_established</x:v>
      </x:c>
      <x:c r="F59" s="8" t="str">
        <x:v>https://t.me/prolearning</x:v>
      </x:c>
      <x:c r="G59" s="8"/>
      <x:c r="H59" s="8" t="str">
        <x:v>Найти точную поверхность и проверить доступ; записать границы дат и пагинации.</x:v>
      </x:c>
    </x:row>
    <x:row r="60" ht="34.5" customHeight="1">
      <x:c r="A60" s="8" t="str">
        <x:v>FD-S027</x:v>
      </x:c>
      <x:c r="B60" s="8" t="str">
        <x:v>Злой HR</x:v>
      </x:c>
      <x:c r="C60" s="8" t="str">
        <x:v>feed_or_requests</x:v>
      </x:c>
      <x:c r="D60" s="8" t="str">
        <x:v>feed_sample_read</x:v>
      </x:c>
      <x:c r="E60" s="8" t="str">
        <x:v>not_established</x:v>
      </x:c>
      <x:c r="F60" s="8" t="str">
        <x:v>https://t.me/s/zloihr</x:v>
      </x:c>
      <x:c r="G60" s="8" t="str">
        <x:v>https://t.me/s/zloihr</x:v>
      </x:c>
      <x:c r="H60" s="8" t="str">
        <x:v>Найти точную поверхность и проверить доступ; записать границы дат и пагинации.</x:v>
      </x:c>
    </x:row>
    <x:row r="61" ht="34.5" customHeight="1">
      <x:c r="A61" s="8" t="str">
        <x:v>FD-S027</x:v>
      </x:c>
      <x:c r="B61" s="8" t="str">
        <x:v>Злой HR</x:v>
      </x:c>
      <x:c r="C61" s="8" t="str">
        <x:v>comments_or_discussions</x:v>
      </x:c>
      <x:c r="D61" s="8" t="str">
        <x:v>not_checked</x:v>
      </x:c>
      <x:c r="E61" s="8" t="str">
        <x:v>not_established</x:v>
      </x:c>
      <x:c r="F61" s="8" t="str">
        <x:v>https://t.me/s/zloihr</x:v>
      </x:c>
      <x:c r="G61" s="8"/>
      <x:c r="H61" s="8" t="str">
        <x:v>Найти точную поверхность и проверить доступ; записать границы дат и пагинации.</x:v>
      </x:c>
    </x:row>
    <x:row r="62" ht="34.5" customHeight="1">
      <x:c r="A62" s="8" t="str">
        <x:v>FD-S027</x:v>
      </x:c>
      <x:c r="B62" s="8" t="str">
        <x:v>Злой HR</x:v>
      </x:c>
      <x:c r="C62" s="8" t="str">
        <x:v>attachments</x:v>
      </x:c>
      <x:c r="D62" s="8" t="str">
        <x:v>not_checked</x:v>
      </x:c>
      <x:c r="E62" s="8" t="str">
        <x:v>not_established</x:v>
      </x:c>
      <x:c r="F62" s="8" t="str">
        <x:v>https://t.me/s/zloihr</x:v>
      </x:c>
      <x:c r="G62" s="8"/>
      <x:c r="H62" s="8" t="str">
        <x:v>Найти точную поверхность и проверить доступ; записать границы дат и пагинации.</x:v>
      </x:c>
    </x:row>
    <x:row r="63" ht="34.5" customHeight="1">
      <x:c r="A63" s="8" t="str">
        <x:v>FD-S027</x:v>
      </x:c>
      <x:c r="B63" s="8" t="str">
        <x:v>Злой HR</x:v>
      </x:c>
      <x:c r="C63" s="8" t="str">
        <x:v>pinned_or_partner_pages</x:v>
      </x:c>
      <x:c r="D63" s="8" t="str">
        <x:v>not_checked</x:v>
      </x:c>
      <x:c r="E63" s="8" t="str">
        <x:v>not_established</x:v>
      </x:c>
      <x:c r="F63" s="8" t="str">
        <x:v>https://t.me/s/zloihr</x:v>
      </x:c>
      <x:c r="G63" s="8"/>
      <x:c r="H63" s="8" t="str">
        <x:v>Найти точную поверхность и проверить доступ; записать границы дат и пагинации.</x:v>
      </x:c>
    </x:row>
    <x:row r="64" ht="34.5" customHeight="1">
      <x:c r="A64" s="8" t="str">
        <x:v>FD-S027</x:v>
      </x:c>
      <x:c r="B64" s="8" t="str">
        <x:v>Злой HR</x:v>
      </x:c>
      <x:c r="C64" s="8" t="str">
        <x:v>author_or_buyer_profile</x:v>
      </x:c>
      <x:c r="D64" s="8" t="str">
        <x:v>not_checked</x:v>
      </x:c>
      <x:c r="E64" s="8" t="str">
        <x:v>not_established</x:v>
      </x:c>
      <x:c r="F64" s="8" t="str">
        <x:v>https://t.me/s/zloihr</x:v>
      </x:c>
      <x:c r="G64" s="8"/>
      <x:c r="H64" s="8" t="str">
        <x:v>Найти точную поверхность и проверить доступ; записать границы дат и пагинации.</x:v>
      </x:c>
    </x:row>
    <x:row r="65" ht="34.5" customHeight="1">
      <x:c r="A65" s="8" t="str">
        <x:v>FD-S027</x:v>
      </x:c>
      <x:c r="B65" s="8" t="str">
        <x:v>Злой HR</x:v>
      </x:c>
      <x:c r="C65" s="8" t="str">
        <x:v>outbound_primary_links</x:v>
      </x:c>
      <x:c r="D65" s="8" t="str">
        <x:v>not_checked</x:v>
      </x:c>
      <x:c r="E65" s="8" t="str">
        <x:v>not_established</x:v>
      </x:c>
      <x:c r="F65" s="8" t="str">
        <x:v>https://t.me/s/zloihr</x:v>
      </x:c>
      <x:c r="G65" s="8"/>
      <x:c r="H65" s="8" t="str">
        <x:v>Найти точную поверхность и проверить доступ; записать границы дат и пагинации.</x:v>
      </x:c>
    </x:row>
    <x:row r="66" ht="34.5" customHeight="1">
      <x:c r="A66" s="8" t="str">
        <x:v>FD-S029</x:v>
      </x:c>
      <x:c r="B66" s="8" t="str">
        <x:v>Кто взял кликер — корпоративное обучение</x:v>
      </x:c>
      <x:c r="C66" s="8" t="str">
        <x:v>feed_or_requests</x:v>
      </x:c>
      <x:c r="D66" s="8" t="str">
        <x:v>feed_sample_read</x:v>
      </x:c>
      <x:c r="E66" s="8" t="str">
        <x:v>not_established</x:v>
      </x:c>
      <x:c r="F66" s="8" t="str">
        <x:v>https://t.me/s/corp_edu</x:v>
      </x:c>
      <x:c r="G66" s="8" t="str">
        <x:v>https://t.me/s/corp_edu</x:v>
      </x:c>
      <x:c r="H66" s="8" t="str">
        <x:v>Найти точную поверхность и проверить доступ; записать границы дат и пагинации.</x:v>
      </x:c>
    </x:row>
    <x:row r="67" ht="34.5" customHeight="1">
      <x:c r="A67" s="8" t="str">
        <x:v>FD-S029</x:v>
      </x:c>
      <x:c r="B67" s="8" t="str">
        <x:v>Кто взял кликер — корпоративное обучение</x:v>
      </x:c>
      <x:c r="C67" s="8" t="str">
        <x:v>comments_or_discussions</x:v>
      </x:c>
      <x:c r="D67" s="8" t="str">
        <x:v>not_checked</x:v>
      </x:c>
      <x:c r="E67" s="8" t="str">
        <x:v>not_established</x:v>
      </x:c>
      <x:c r="F67" s="8" t="str">
        <x:v>https://t.me/s/corp_edu</x:v>
      </x:c>
      <x:c r="G67" s="8"/>
      <x:c r="H67" s="8" t="str">
        <x:v>Найти точную поверхность и проверить доступ; записать границы дат и пагинации.</x:v>
      </x:c>
    </x:row>
    <x:row r="68" ht="34.5" customHeight="1">
      <x:c r="A68" s="8" t="str">
        <x:v>FD-S029</x:v>
      </x:c>
      <x:c r="B68" s="8" t="str">
        <x:v>Кто взял кликер — корпоративное обучение</x:v>
      </x:c>
      <x:c r="C68" s="8" t="str">
        <x:v>attachments</x:v>
      </x:c>
      <x:c r="D68" s="8" t="str">
        <x:v>not_checked</x:v>
      </x:c>
      <x:c r="E68" s="8" t="str">
        <x:v>not_established</x:v>
      </x:c>
      <x:c r="F68" s="8" t="str">
        <x:v>https://t.me/s/corp_edu</x:v>
      </x:c>
      <x:c r="G68" s="8"/>
      <x:c r="H68" s="8" t="str">
        <x:v>Найти точную поверхность и проверить доступ; записать границы дат и пагинации.</x:v>
      </x:c>
    </x:row>
    <x:row r="69" ht="34.5" customHeight="1">
      <x:c r="A69" s="8" t="str">
        <x:v>FD-S029</x:v>
      </x:c>
      <x:c r="B69" s="8" t="str">
        <x:v>Кто взял кликер — корпоративное обучение</x:v>
      </x:c>
      <x:c r="C69" s="8" t="str">
        <x:v>pinned_or_partner_pages</x:v>
      </x:c>
      <x:c r="D69" s="8" t="str">
        <x:v>not_checked</x:v>
      </x:c>
      <x:c r="E69" s="8" t="str">
        <x:v>not_established</x:v>
      </x:c>
      <x:c r="F69" s="8" t="str">
        <x:v>https://t.me/s/corp_edu</x:v>
      </x:c>
      <x:c r="G69" s="8"/>
      <x:c r="H69" s="8" t="str">
        <x:v>Найти точную поверхность и проверить доступ; записать границы дат и пагинации.</x:v>
      </x:c>
    </x:row>
    <x:row r="70" ht="34.5" customHeight="1">
      <x:c r="A70" s="8" t="str">
        <x:v>FD-S029</x:v>
      </x:c>
      <x:c r="B70" s="8" t="str">
        <x:v>Кто взял кликер — корпоративное обучение</x:v>
      </x:c>
      <x:c r="C70" s="8" t="str">
        <x:v>author_or_buyer_profile</x:v>
      </x:c>
      <x:c r="D70" s="8" t="str">
        <x:v>not_checked</x:v>
      </x:c>
      <x:c r="E70" s="8" t="str">
        <x:v>not_established</x:v>
      </x:c>
      <x:c r="F70" s="8" t="str">
        <x:v>https://t.me/s/corp_edu</x:v>
      </x:c>
      <x:c r="G70" s="8"/>
      <x:c r="H70" s="8" t="str">
        <x:v>Найти точную поверхность и проверить доступ; записать границы дат и пагинации.</x:v>
      </x:c>
    </x:row>
    <x:row r="71" ht="34.5" customHeight="1">
      <x:c r="A71" s="8" t="str">
        <x:v>FD-S029</x:v>
      </x:c>
      <x:c r="B71" s="8" t="str">
        <x:v>Кто взял кликер — корпоративное обучение</x:v>
      </x:c>
      <x:c r="C71" s="8" t="str">
        <x:v>outbound_primary_links</x:v>
      </x:c>
      <x:c r="D71" s="8" t="str">
        <x:v>not_checked</x:v>
      </x:c>
      <x:c r="E71" s="8" t="str">
        <x:v>not_established</x:v>
      </x:c>
      <x:c r="F71" s="8" t="str">
        <x:v>https://t.me/s/corp_edu</x:v>
      </x:c>
      <x:c r="G71" s="8"/>
      <x:c r="H71" s="8" t="str">
        <x:v>Найти точную поверхность и проверить доступ; записать границы дат и пагинации.</x:v>
      </x:c>
    </x:row>
    <x:row r="72" ht="34.5" customHeight="1">
      <x:c r="A72" s="8" t="str">
        <x:v>FD-S031</x:v>
      </x:c>
      <x:c r="B72" s="8" t="str">
        <x:v>Курсы, рок и T&amp;D — Talent Rocks</x:v>
      </x:c>
      <x:c r="C72" s="8" t="str">
        <x:v>feed_or_requests</x:v>
      </x:c>
      <x:c r="D72" s="8" t="str">
        <x:v>not_checked</x:v>
      </x:c>
      <x:c r="E72" s="8" t="str">
        <x:v>not_established</x:v>
      </x:c>
      <x:c r="F72" s="8" t="str">
        <x:v>https://t.me/talent_rocks</x:v>
      </x:c>
      <x:c r="G72" s="8"/>
      <x:c r="H72" s="8" t="str">
        <x:v>Найти точную поверхность и проверить доступ; записать границы дат и пагинации.</x:v>
      </x:c>
    </x:row>
    <x:row r="73" ht="34.5" customHeight="1">
      <x:c r="A73" s="8" t="str">
        <x:v>FD-S031</x:v>
      </x:c>
      <x:c r="B73" s="8" t="str">
        <x:v>Курсы, рок и T&amp;D — Talent Rocks</x:v>
      </x:c>
      <x:c r="C73" s="8" t="str">
        <x:v>comments_or_discussions</x:v>
      </x:c>
      <x:c r="D73" s="8" t="str">
        <x:v>not_checked</x:v>
      </x:c>
      <x:c r="E73" s="8" t="str">
        <x:v>not_established</x:v>
      </x:c>
      <x:c r="F73" s="8" t="str">
        <x:v>https://t.me/talent_rocks</x:v>
      </x:c>
      <x:c r="G73" s="8"/>
      <x:c r="H73" s="8" t="str">
        <x:v>Найти точную поверхность и проверить доступ; записать границы дат и пагинации.</x:v>
      </x:c>
    </x:row>
    <x:row r="74" ht="34.5" customHeight="1">
      <x:c r="A74" s="8" t="str">
        <x:v>FD-S031</x:v>
      </x:c>
      <x:c r="B74" s="8" t="str">
        <x:v>Курсы, рок и T&amp;D — Talent Rocks</x:v>
      </x:c>
      <x:c r="C74" s="8" t="str">
        <x:v>attachments</x:v>
      </x:c>
      <x:c r="D74" s="8" t="str">
        <x:v>not_checked</x:v>
      </x:c>
      <x:c r="E74" s="8" t="str">
        <x:v>not_established</x:v>
      </x:c>
      <x:c r="F74" s="8" t="str">
        <x:v>https://t.me/talent_rocks</x:v>
      </x:c>
      <x:c r="G74" s="8"/>
      <x:c r="H74" s="8" t="str">
        <x:v>Найти точную поверхность и проверить доступ; записать границы дат и пагинации.</x:v>
      </x:c>
    </x:row>
    <x:row r="75" ht="34.5" customHeight="1">
      <x:c r="A75" s="8" t="str">
        <x:v>FD-S031</x:v>
      </x:c>
      <x:c r="B75" s="8" t="str">
        <x:v>Курсы, рок и T&amp;D — Talent Rocks</x:v>
      </x:c>
      <x:c r="C75" s="8" t="str">
        <x:v>pinned_or_partner_pages</x:v>
      </x:c>
      <x:c r="D75" s="8" t="str">
        <x:v>not_checked</x:v>
      </x:c>
      <x:c r="E75" s="8" t="str">
        <x:v>not_established</x:v>
      </x:c>
      <x:c r="F75" s="8" t="str">
        <x:v>https://t.me/talent_rocks</x:v>
      </x:c>
      <x:c r="G75" s="8"/>
      <x:c r="H75" s="8" t="str">
        <x:v>Найти точную поверхность и проверить доступ; записать границы дат и пагинации.</x:v>
      </x:c>
    </x:row>
    <x:row r="76" ht="34.5" customHeight="1">
      <x:c r="A76" s="8" t="str">
        <x:v>FD-S031</x:v>
      </x:c>
      <x:c r="B76" s="8" t="str">
        <x:v>Курсы, рок и T&amp;D — Talent Rocks</x:v>
      </x:c>
      <x:c r="C76" s="8" t="str">
        <x:v>author_or_buyer_profile</x:v>
      </x:c>
      <x:c r="D76" s="8" t="str">
        <x:v>not_checked</x:v>
      </x:c>
      <x:c r="E76" s="8" t="str">
        <x:v>not_established</x:v>
      </x:c>
      <x:c r="F76" s="8" t="str">
        <x:v>https://t.me/talent_rocks</x:v>
      </x:c>
      <x:c r="G76" s="8"/>
      <x:c r="H76" s="8" t="str">
        <x:v>Найти точную поверхность и проверить доступ; записать границы дат и пагинации.</x:v>
      </x:c>
    </x:row>
    <x:row r="77" ht="34.5" customHeight="1">
      <x:c r="A77" s="8" t="str">
        <x:v>FD-S031</x:v>
      </x:c>
      <x:c r="B77" s="8" t="str">
        <x:v>Курсы, рок и T&amp;D — Talent Rocks</x:v>
      </x:c>
      <x:c r="C77" s="8" t="str">
        <x:v>outbound_primary_links</x:v>
      </x:c>
      <x:c r="D77" s="8" t="str">
        <x:v>not_checked</x:v>
      </x:c>
      <x:c r="E77" s="8" t="str">
        <x:v>not_established</x:v>
      </x:c>
      <x:c r="F77" s="8" t="str">
        <x:v>https://t.me/talent_rocks</x:v>
      </x:c>
      <x:c r="G77" s="8"/>
      <x:c r="H77" s="8" t="str">
        <x:v>Найти точную поверхность и проверить доступ; записать границы дат и пагинации.</x:v>
      </x:c>
    </x:row>
    <x:row r="78" ht="34.5" customHeight="1">
      <x:c r="A78" s="8" t="str">
        <x:v>FD-S033</x:v>
      </x:c>
      <x:c r="B78" s="8" t="str">
        <x:v>Про людей | HRme</x:v>
      </x:c>
      <x:c r="C78" s="8" t="str">
        <x:v>feed_or_requests</x:v>
      </x:c>
      <x:c r="D78" s="8" t="str">
        <x:v>not_checked</x:v>
      </x:c>
      <x:c r="E78" s="8" t="str">
        <x:v>not_established</x:v>
      </x:c>
      <x:c r="F78" s="8" t="str">
        <x:v>https://t.me/hr_me_community</x:v>
      </x:c>
      <x:c r="G78" s="8"/>
      <x:c r="H78" s="8" t="str">
        <x:v>Найти точную поверхность и проверить доступ; записать границы дат и пагинации.</x:v>
      </x:c>
    </x:row>
    <x:row r="79" ht="34.5" customHeight="1">
      <x:c r="A79" s="8" t="str">
        <x:v>FD-S033</x:v>
      </x:c>
      <x:c r="B79" s="8" t="str">
        <x:v>Про людей | HRme</x:v>
      </x:c>
      <x:c r="C79" s="8" t="str">
        <x:v>comments_or_discussions</x:v>
      </x:c>
      <x:c r="D79" s="8" t="str">
        <x:v>not_checked</x:v>
      </x:c>
      <x:c r="E79" s="8" t="str">
        <x:v>not_established</x:v>
      </x:c>
      <x:c r="F79" s="8" t="str">
        <x:v>https://t.me/hr_me_community</x:v>
      </x:c>
      <x:c r="G79" s="8"/>
      <x:c r="H79" s="8" t="str">
        <x:v>Найти точную поверхность и проверить доступ; записать границы дат и пагинации.</x:v>
      </x:c>
    </x:row>
    <x:row r="80" ht="34.5" customHeight="1">
      <x:c r="A80" s="8" t="str">
        <x:v>FD-S033</x:v>
      </x:c>
      <x:c r="B80" s="8" t="str">
        <x:v>Про людей | HRme</x:v>
      </x:c>
      <x:c r="C80" s="8" t="str">
        <x:v>attachments</x:v>
      </x:c>
      <x:c r="D80" s="8" t="str">
        <x:v>not_checked</x:v>
      </x:c>
      <x:c r="E80" s="8" t="str">
        <x:v>not_established</x:v>
      </x:c>
      <x:c r="F80" s="8" t="str">
        <x:v>https://t.me/hr_me_community</x:v>
      </x:c>
      <x:c r="G80" s="8"/>
      <x:c r="H80" s="8" t="str">
        <x:v>Найти точную поверхность и проверить доступ; записать границы дат и пагинации.</x:v>
      </x:c>
    </x:row>
    <x:row r="81" ht="34.5" customHeight="1">
      <x:c r="A81" s="8" t="str">
        <x:v>FD-S033</x:v>
      </x:c>
      <x:c r="B81" s="8" t="str">
        <x:v>Про людей | HRme</x:v>
      </x:c>
      <x:c r="C81" s="8" t="str">
        <x:v>pinned_or_partner_pages</x:v>
      </x:c>
      <x:c r="D81" s="8" t="str">
        <x:v>not_checked</x:v>
      </x:c>
      <x:c r="E81" s="8" t="str">
        <x:v>not_established</x:v>
      </x:c>
      <x:c r="F81" s="8" t="str">
        <x:v>https://t.me/hr_me_community</x:v>
      </x:c>
      <x:c r="G81" s="8"/>
      <x:c r="H81" s="8" t="str">
        <x:v>Найти точную поверхность и проверить доступ; записать границы дат и пагинации.</x:v>
      </x:c>
    </x:row>
    <x:row r="82" ht="34.5" customHeight="1">
      <x:c r="A82" s="8" t="str">
        <x:v>FD-S033</x:v>
      </x:c>
      <x:c r="B82" s="8" t="str">
        <x:v>Про людей | HRme</x:v>
      </x:c>
      <x:c r="C82" s="8" t="str">
        <x:v>author_or_buyer_profile</x:v>
      </x:c>
      <x:c r="D82" s="8" t="str">
        <x:v>not_checked</x:v>
      </x:c>
      <x:c r="E82" s="8" t="str">
        <x:v>not_established</x:v>
      </x:c>
      <x:c r="F82" s="8" t="str">
        <x:v>https://t.me/hr_me_community</x:v>
      </x:c>
      <x:c r="G82" s="8"/>
      <x:c r="H82" s="8" t="str">
        <x:v>Найти точную поверхность и проверить доступ; записать границы дат и пагинации.</x:v>
      </x:c>
    </x:row>
    <x:row r="83" ht="34.5" customHeight="1">
      <x:c r="A83" s="8" t="str">
        <x:v>FD-S033</x:v>
      </x:c>
      <x:c r="B83" s="8" t="str">
        <x:v>Про людей | HRme</x:v>
      </x:c>
      <x:c r="C83" s="8" t="str">
        <x:v>outbound_primary_links</x:v>
      </x:c>
      <x:c r="D83" s="8" t="str">
        <x:v>not_checked</x:v>
      </x:c>
      <x:c r="E83" s="8" t="str">
        <x:v>not_established</x:v>
      </x:c>
      <x:c r="F83" s="8" t="str">
        <x:v>https://t.me/hr_me_community</x:v>
      </x:c>
      <x:c r="G83" s="8"/>
      <x:c r="H83" s="8" t="str">
        <x:v>Найти точную поверхность и проверить доступ; записать границы дат и пагинации.</x:v>
      </x:c>
    </x:row>
    <x:row r="84" ht="34.5" customHeight="1">
      <x:c r="A84" s="8" t="str">
        <x:v>FD-S035</x:v>
      </x:c>
      <x:c r="B84" s="8" t="str">
        <x:v>Отдел обучения — профессиональный канал</x:v>
      </x:c>
      <x:c r="C84" s="8" t="str">
        <x:v>feed_or_requests</x:v>
      </x:c>
      <x:c r="D84" s="8" t="str">
        <x:v>not_checked</x:v>
      </x:c>
      <x:c r="E84" s="8" t="str">
        <x:v>not_established</x:v>
      </x:c>
      <x:c r="F84" s="8" t="str">
        <x:v>https://t.me/td_department</x:v>
      </x:c>
      <x:c r="G84" s="8"/>
      <x:c r="H84" s="8" t="str">
        <x:v>Найти точную поверхность и проверить доступ; записать границы дат и пагинации.</x:v>
      </x:c>
    </x:row>
    <x:row r="85" ht="34.5" customHeight="1">
      <x:c r="A85" s="8" t="str">
        <x:v>FD-S035</x:v>
      </x:c>
      <x:c r="B85" s="8" t="str">
        <x:v>Отдел обучения — профессиональный канал</x:v>
      </x:c>
      <x:c r="C85" s="8" t="str">
        <x:v>comments_or_discussions</x:v>
      </x:c>
      <x:c r="D85" s="8" t="str">
        <x:v>not_checked</x:v>
      </x:c>
      <x:c r="E85" s="8" t="str">
        <x:v>not_established</x:v>
      </x:c>
      <x:c r="F85" s="8" t="str">
        <x:v>https://t.me/td_department</x:v>
      </x:c>
      <x:c r="G85" s="8"/>
      <x:c r="H85" s="8" t="str">
        <x:v>Найти точную поверхность и проверить доступ; записать границы дат и пагинации.</x:v>
      </x:c>
    </x:row>
    <x:row r="86" ht="34.5" customHeight="1">
      <x:c r="A86" s="8" t="str">
        <x:v>FD-S035</x:v>
      </x:c>
      <x:c r="B86" s="8" t="str">
        <x:v>Отдел обучения — профессиональный канал</x:v>
      </x:c>
      <x:c r="C86" s="8" t="str">
        <x:v>attachments</x:v>
      </x:c>
      <x:c r="D86" s="8" t="str">
        <x:v>not_checked</x:v>
      </x:c>
      <x:c r="E86" s="8" t="str">
        <x:v>not_established</x:v>
      </x:c>
      <x:c r="F86" s="8" t="str">
        <x:v>https://t.me/td_department</x:v>
      </x:c>
      <x:c r="G86" s="8"/>
      <x:c r="H86" s="8" t="str">
        <x:v>Найти точную поверхность и проверить доступ; записать границы дат и пагинации.</x:v>
      </x:c>
    </x:row>
    <x:row r="87" ht="34.5" customHeight="1">
      <x:c r="A87" s="8" t="str">
        <x:v>FD-S035</x:v>
      </x:c>
      <x:c r="B87" s="8" t="str">
        <x:v>Отдел обучения — профессиональный канал</x:v>
      </x:c>
      <x:c r="C87" s="8" t="str">
        <x:v>pinned_or_partner_pages</x:v>
      </x:c>
      <x:c r="D87" s="8" t="str">
        <x:v>not_checked</x:v>
      </x:c>
      <x:c r="E87" s="8" t="str">
        <x:v>not_established</x:v>
      </x:c>
      <x:c r="F87" s="8" t="str">
        <x:v>https://t.me/td_department</x:v>
      </x:c>
      <x:c r="G87" s="8"/>
      <x:c r="H87" s="8" t="str">
        <x:v>Найти точную поверхность и проверить доступ; записать границы дат и пагинации.</x:v>
      </x:c>
    </x:row>
    <x:row r="88" ht="34.5" customHeight="1">
      <x:c r="A88" s="8" t="str">
        <x:v>FD-S035</x:v>
      </x:c>
      <x:c r="B88" s="8" t="str">
        <x:v>Отдел обучения — профессиональный канал</x:v>
      </x:c>
      <x:c r="C88" s="8" t="str">
        <x:v>author_or_buyer_profile</x:v>
      </x:c>
      <x:c r="D88" s="8" t="str">
        <x:v>not_checked</x:v>
      </x:c>
      <x:c r="E88" s="8" t="str">
        <x:v>not_established</x:v>
      </x:c>
      <x:c r="F88" s="8" t="str">
        <x:v>https://t.me/td_department</x:v>
      </x:c>
      <x:c r="G88" s="8"/>
      <x:c r="H88" s="8" t="str">
        <x:v>Найти точную поверхность и проверить доступ; записать границы дат и пагинации.</x:v>
      </x:c>
    </x:row>
    <x:row r="89" ht="34.5" customHeight="1">
      <x:c r="A89" s="8" t="str">
        <x:v>FD-S035</x:v>
      </x:c>
      <x:c r="B89" s="8" t="str">
        <x:v>Отдел обучения — профессиональный канал</x:v>
      </x:c>
      <x:c r="C89" s="8" t="str">
        <x:v>outbound_primary_links</x:v>
      </x:c>
      <x:c r="D89" s="8" t="str">
        <x:v>not_checked</x:v>
      </x:c>
      <x:c r="E89" s="8" t="str">
        <x:v>not_established</x:v>
      </x:c>
      <x:c r="F89" s="8" t="str">
        <x:v>https://t.me/td_department</x:v>
      </x:c>
      <x:c r="G89" s="8"/>
      <x:c r="H89" s="8" t="str">
        <x:v>Найти точную поверхность и проверить доступ; записать границы дат и пагинации.</x:v>
      </x:c>
    </x:row>
    <x:row r="90" ht="34.5" customHeight="1">
      <x:c r="A90" s="8" t="str">
        <x:v>FD-S036</x:v>
      </x:c>
      <x:c r="B90" s="8" t="str">
        <x:v>Recruitment for Friends — профессиональный чат</x:v>
      </x:c>
      <x:c r="C90" s="8" t="str">
        <x:v>feed_or_requests</x:v>
      </x:c>
      <x:c r="D90" s="8" t="str">
        <x:v>not_checked</x:v>
      </x:c>
      <x:c r="E90" s="8" t="str">
        <x:v>not_established</x:v>
      </x:c>
      <x:c r="F90" s="8" t="str">
        <x:v>https://t.me/rff_chat</x:v>
      </x:c>
      <x:c r="G90" s="8"/>
      <x:c r="H90" s="8" t="str">
        <x:v>Найти точную поверхность и проверить доступ; записать границы дат и пагинации.</x:v>
      </x:c>
    </x:row>
    <x:row r="91" ht="34.5" customHeight="1">
      <x:c r="A91" s="8" t="str">
        <x:v>FD-S036</x:v>
      </x:c>
      <x:c r="B91" s="8" t="str">
        <x:v>Recruitment for Friends — профессиональный чат</x:v>
      </x:c>
      <x:c r="C91" s="8" t="str">
        <x:v>comments_or_discussions</x:v>
      </x:c>
      <x:c r="D91" s="8" t="str">
        <x:v>not_checked</x:v>
      </x:c>
      <x:c r="E91" s="8" t="str">
        <x:v>not_established</x:v>
      </x:c>
      <x:c r="F91" s="8" t="str">
        <x:v>https://t.me/rff_chat</x:v>
      </x:c>
      <x:c r="G91" s="8"/>
      <x:c r="H91" s="8" t="str">
        <x:v>Найти точную поверхность и проверить доступ; записать границы дат и пагинации.</x:v>
      </x:c>
    </x:row>
    <x:row r="92" ht="34.5" customHeight="1">
      <x:c r="A92" s="8" t="str">
        <x:v>FD-S036</x:v>
      </x:c>
      <x:c r="B92" s="8" t="str">
        <x:v>Recruitment for Friends — профессиональный чат</x:v>
      </x:c>
      <x:c r="C92" s="8" t="str">
        <x:v>attachments</x:v>
      </x:c>
      <x:c r="D92" s="8" t="str">
        <x:v>not_checked</x:v>
      </x:c>
      <x:c r="E92" s="8" t="str">
        <x:v>not_established</x:v>
      </x:c>
      <x:c r="F92" s="8" t="str">
        <x:v>https://t.me/rff_chat</x:v>
      </x:c>
      <x:c r="G92" s="8"/>
      <x:c r="H92" s="8" t="str">
        <x:v>Найти точную поверхность и проверить доступ; записать границы дат и пагинации.</x:v>
      </x:c>
    </x:row>
    <x:row r="93" ht="34.5" customHeight="1">
      <x:c r="A93" s="8" t="str">
        <x:v>FD-S036</x:v>
      </x:c>
      <x:c r="B93" s="8" t="str">
        <x:v>Recruitment for Friends — профессиональный чат</x:v>
      </x:c>
      <x:c r="C93" s="8" t="str">
        <x:v>pinned_or_partner_pages</x:v>
      </x:c>
      <x:c r="D93" s="8" t="str">
        <x:v>not_checked</x:v>
      </x:c>
      <x:c r="E93" s="8" t="str">
        <x:v>not_established</x:v>
      </x:c>
      <x:c r="F93" s="8" t="str">
        <x:v>https://t.me/rff_chat</x:v>
      </x:c>
      <x:c r="G93" s="8"/>
      <x:c r="H93" s="8" t="str">
        <x:v>Найти точную поверхность и проверить доступ; записать границы дат и пагинации.</x:v>
      </x:c>
    </x:row>
    <x:row r="94" ht="34.5" customHeight="1">
      <x:c r="A94" s="8" t="str">
        <x:v>FD-S036</x:v>
      </x:c>
      <x:c r="B94" s="8" t="str">
        <x:v>Recruitment for Friends — профессиональный чат</x:v>
      </x:c>
      <x:c r="C94" s="8" t="str">
        <x:v>author_or_buyer_profile</x:v>
      </x:c>
      <x:c r="D94" s="8" t="str">
        <x:v>not_checked</x:v>
      </x:c>
      <x:c r="E94" s="8" t="str">
        <x:v>not_established</x:v>
      </x:c>
      <x:c r="F94" s="8" t="str">
        <x:v>https://t.me/rff_chat</x:v>
      </x:c>
      <x:c r="G94" s="8"/>
      <x:c r="H94" s="8" t="str">
        <x:v>Найти точную поверхность и проверить доступ; записать границы дат и пагинации.</x:v>
      </x:c>
    </x:row>
    <x:row r="95" ht="34.5" customHeight="1">
      <x:c r="A95" s="8" t="str">
        <x:v>FD-S036</x:v>
      </x:c>
      <x:c r="B95" s="8" t="str">
        <x:v>Recruitment for Friends — профессиональный чат</x:v>
      </x:c>
      <x:c r="C95" s="8" t="str">
        <x:v>outbound_primary_links</x:v>
      </x:c>
      <x:c r="D95" s="8" t="str">
        <x:v>not_checked</x:v>
      </x:c>
      <x:c r="E95" s="8" t="str">
        <x:v>not_established</x:v>
      </x:c>
      <x:c r="F95" s="8" t="str">
        <x:v>https://t.me/rff_chat</x:v>
      </x:c>
      <x:c r="G95" s="8"/>
      <x:c r="H95" s="8" t="str">
        <x:v>Найти точную поверхность и проверить доступ; записать границы дат и пагинации.</x:v>
      </x:c>
    </x:row>
    <x:row r="96" ht="34.5" customHeight="1">
      <x:c r="A96" s="8" t="str">
        <x:v>FD-S037</x:v>
      </x:c>
      <x:c r="B96" s="8" t="str">
        <x:v>HR сообщество — communityHR</x:v>
      </x:c>
      <x:c r="C96" s="8" t="str">
        <x:v>feed_or_requests</x:v>
      </x:c>
      <x:c r="D96" s="8" t="str">
        <x:v>not_checked</x:v>
      </x:c>
      <x:c r="E96" s="8" t="str">
        <x:v>not_established</x:v>
      </x:c>
      <x:c r="F96" s="8" t="str">
        <x:v>https://t.me/communityHR</x:v>
      </x:c>
      <x:c r="G96" s="8"/>
      <x:c r="H96" s="8" t="str">
        <x:v>Найти точную поверхность и проверить доступ; записать границы дат и пагинации.</x:v>
      </x:c>
    </x:row>
    <x:row r="97" ht="34.5" customHeight="1">
      <x:c r="A97" s="8" t="str">
        <x:v>FD-S037</x:v>
      </x:c>
      <x:c r="B97" s="8" t="str">
        <x:v>HR сообщество — communityHR</x:v>
      </x:c>
      <x:c r="C97" s="8" t="str">
        <x:v>comments_or_discussions</x:v>
      </x:c>
      <x:c r="D97" s="8" t="str">
        <x:v>not_checked</x:v>
      </x:c>
      <x:c r="E97" s="8" t="str">
        <x:v>not_established</x:v>
      </x:c>
      <x:c r="F97" s="8" t="str">
        <x:v>https://t.me/communityHR</x:v>
      </x:c>
      <x:c r="G97" s="8"/>
      <x:c r="H97" s="8" t="str">
        <x:v>Найти точную поверхность и проверить доступ; записать границы дат и пагинации.</x:v>
      </x:c>
    </x:row>
    <x:row r="98" ht="34.5" customHeight="1">
      <x:c r="A98" s="8" t="str">
        <x:v>FD-S037</x:v>
      </x:c>
      <x:c r="B98" s="8" t="str">
        <x:v>HR сообщество — communityHR</x:v>
      </x:c>
      <x:c r="C98" s="8" t="str">
        <x:v>attachments</x:v>
      </x:c>
      <x:c r="D98" s="8" t="str">
        <x:v>not_checked</x:v>
      </x:c>
      <x:c r="E98" s="8" t="str">
        <x:v>not_established</x:v>
      </x:c>
      <x:c r="F98" s="8" t="str">
        <x:v>https://t.me/communityHR</x:v>
      </x:c>
      <x:c r="G98" s="8"/>
      <x:c r="H98" s="8" t="str">
        <x:v>Найти точную поверхность и проверить доступ; записать границы дат и пагинации.</x:v>
      </x:c>
    </x:row>
    <x:row r="99" ht="34.5" customHeight="1">
      <x:c r="A99" s="8" t="str">
        <x:v>FD-S037</x:v>
      </x:c>
      <x:c r="B99" s="8" t="str">
        <x:v>HR сообщество — communityHR</x:v>
      </x:c>
      <x:c r="C99" s="8" t="str">
        <x:v>pinned_or_partner_pages</x:v>
      </x:c>
      <x:c r="D99" s="8" t="str">
        <x:v>not_checked</x:v>
      </x:c>
      <x:c r="E99" s="8" t="str">
        <x:v>not_established</x:v>
      </x:c>
      <x:c r="F99" s="8" t="str">
        <x:v>https://t.me/communityHR</x:v>
      </x:c>
      <x:c r="G99" s="8"/>
      <x:c r="H99" s="8" t="str">
        <x:v>Найти точную поверхность и проверить доступ; записать границы дат и пагинации.</x:v>
      </x:c>
    </x:row>
    <x:row r="100" ht="34.5" customHeight="1">
      <x:c r="A100" s="8" t="str">
        <x:v>FD-S037</x:v>
      </x:c>
      <x:c r="B100" s="8" t="str">
        <x:v>HR сообщество — communityHR</x:v>
      </x:c>
      <x:c r="C100" s="8" t="str">
        <x:v>author_or_buyer_profile</x:v>
      </x:c>
      <x:c r="D100" s="8" t="str">
        <x:v>not_checked</x:v>
      </x:c>
      <x:c r="E100" s="8" t="str">
        <x:v>not_established</x:v>
      </x:c>
      <x:c r="F100" s="8" t="str">
        <x:v>https://t.me/communityHR</x:v>
      </x:c>
      <x:c r="G100" s="8"/>
      <x:c r="H100" s="8" t="str">
        <x:v>Найти точную поверхность и проверить доступ; записать границы дат и пагинации.</x:v>
      </x:c>
    </x:row>
    <x:row r="101" ht="34.5" customHeight="1">
      <x:c r="A101" s="8" t="str">
        <x:v>FD-S037</x:v>
      </x:c>
      <x:c r="B101" s="8" t="str">
        <x:v>HR сообщество — communityHR</x:v>
      </x:c>
      <x:c r="C101" s="8" t="str">
        <x:v>outbound_primary_links</x:v>
      </x:c>
      <x:c r="D101" s="8" t="str">
        <x:v>not_checked</x:v>
      </x:c>
      <x:c r="E101" s="8" t="str">
        <x:v>not_established</x:v>
      </x:c>
      <x:c r="F101" s="8" t="str">
        <x:v>https://t.me/communityHR</x:v>
      </x:c>
      <x:c r="G101" s="8"/>
      <x:c r="H101" s="8" t="str">
        <x:v>Найти точную поверхность и проверить доступ; записать границы дат и пагинации.</x:v>
      </x:c>
    </x:row>
    <x:row r="102" ht="34.5" customHeight="1">
      <x:c r="A102" s="8" t="str">
        <x:v>FD-S047</x:v>
      </x:c>
      <x:c r="B102" s="8" t="str">
        <x:v>Mirapolis — вход в партнёрскую сеть для разработчиков курсов</x:v>
      </x:c>
      <x:c r="C102" s="8" t="str">
        <x:v>feed_or_requests</x:v>
      </x:c>
      <x:c r="D102" s="8" t="str">
        <x:v>partner_invitation</x:v>
      </x:c>
      <x:c r="E102" s="8" t="str">
        <x:v>not_established</x:v>
      </x:c>
      <x:c r="F102" s="8" t="str">
        <x:v>https://www.mirapolis.ru/for-partners/</x:v>
      </x:c>
      <x:c r="G102" s="8" t="str">
        <x:v>https://www.mirapolis.ru/for-partners/</x:v>
      </x:c>
      <x:c r="H102" s="8" t="str">
        <x:v>Найти точную поверхность и проверить доступ; записать границы дат и пагинации.</x:v>
      </x:c>
    </x:row>
    <x:row r="103" ht="34.5" customHeight="1">
      <x:c r="A103" s="8" t="str">
        <x:v>FD-S047</x:v>
      </x:c>
      <x:c r="B103" s="8" t="str">
        <x:v>Mirapolis — вход в партнёрскую сеть для разработчиков курсов</x:v>
      </x:c>
      <x:c r="C103" s="8" t="str">
        <x:v>comments_or_discussions</x:v>
      </x:c>
      <x:c r="D103" s="8" t="str">
        <x:v>not_checked</x:v>
      </x:c>
      <x:c r="E103" s="8" t="str">
        <x:v>not_established</x:v>
      </x:c>
      <x:c r="F103" s="8" t="str">
        <x:v>https://www.mirapolis.ru/for-partners/</x:v>
      </x:c>
      <x:c r="G103" s="8"/>
      <x:c r="H103" s="8" t="str">
        <x:v>Найти точную поверхность и проверить доступ; записать границы дат и пагинации.</x:v>
      </x:c>
    </x:row>
    <x:row r="104" ht="34.5" customHeight="1">
      <x:c r="A104" s="8" t="str">
        <x:v>FD-S047</x:v>
      </x:c>
      <x:c r="B104" s="8" t="str">
        <x:v>Mirapolis — вход в партнёрскую сеть для разработчиков курсов</x:v>
      </x:c>
      <x:c r="C104" s="8" t="str">
        <x:v>attachments</x:v>
      </x:c>
      <x:c r="D104" s="8" t="str">
        <x:v>not_checked</x:v>
      </x:c>
      <x:c r="E104" s="8" t="str">
        <x:v>not_established</x:v>
      </x:c>
      <x:c r="F104" s="8" t="str">
        <x:v>https://www.mirapolis.ru/for-partners/</x:v>
      </x:c>
      <x:c r="G104" s="8"/>
      <x:c r="H104" s="8" t="str">
        <x:v>Найти точную поверхность и проверить доступ; записать границы дат и пагинации.</x:v>
      </x:c>
    </x:row>
    <x:row r="105" ht="34.5" customHeight="1">
      <x:c r="A105" s="8" t="str">
        <x:v>FD-S047</x:v>
      </x:c>
      <x:c r="B105" s="8" t="str">
        <x:v>Mirapolis — вход в партнёрскую сеть для разработчиков курсов</x:v>
      </x:c>
      <x:c r="C105" s="8" t="str">
        <x:v>pinned_or_partner_pages</x:v>
      </x:c>
      <x:c r="D105" s="8" t="str">
        <x:v>not_checked</x:v>
      </x:c>
      <x:c r="E105" s="8" t="str">
        <x:v>not_established</x:v>
      </x:c>
      <x:c r="F105" s="8" t="str">
        <x:v>https://www.mirapolis.ru/for-partners/</x:v>
      </x:c>
      <x:c r="G105" s="8"/>
      <x:c r="H105" s="8" t="str">
        <x:v>Найти точную поверхность и проверить доступ; записать границы дат и пагинации.</x:v>
      </x:c>
    </x:row>
    <x:row r="106" ht="34.5" customHeight="1">
      <x:c r="A106" s="8" t="str">
        <x:v>FD-S047</x:v>
      </x:c>
      <x:c r="B106" s="8" t="str">
        <x:v>Mirapolis — вход в партнёрскую сеть для разработчиков курсов</x:v>
      </x:c>
      <x:c r="C106" s="8" t="str">
        <x:v>author_or_buyer_profile</x:v>
      </x:c>
      <x:c r="D106" s="8" t="str">
        <x:v>not_checked</x:v>
      </x:c>
      <x:c r="E106" s="8" t="str">
        <x:v>not_established</x:v>
      </x:c>
      <x:c r="F106" s="8" t="str">
        <x:v>https://www.mirapolis.ru/for-partners/</x:v>
      </x:c>
      <x:c r="G106" s="8"/>
      <x:c r="H106" s="8" t="str">
        <x:v>Найти точную поверхность и проверить доступ; записать границы дат и пагинации.</x:v>
      </x:c>
    </x:row>
    <x:row r="107" ht="34.5" customHeight="1">
      <x:c r="A107" s="8" t="str">
        <x:v>FD-S047</x:v>
      </x:c>
      <x:c r="B107" s="8" t="str">
        <x:v>Mirapolis — вход в партнёрскую сеть для разработчиков курсов</x:v>
      </x:c>
      <x:c r="C107" s="8" t="str">
        <x:v>outbound_primary_links</x:v>
      </x:c>
      <x:c r="D107" s="8" t="str">
        <x:v>not_checked</x:v>
      </x:c>
      <x:c r="E107" s="8" t="str">
        <x:v>not_established</x:v>
      </x:c>
      <x:c r="F107" s="8" t="str">
        <x:v>https://www.mirapolis.ru/for-partners/</x:v>
      </x:c>
      <x:c r="G107" s="8"/>
      <x:c r="H107" s="8" t="str">
        <x:v>Найти точную поверхность и проверить доступ; записать границы дат и пагинации.</x:v>
      </x:c>
    </x:row>
    <x:row r="108" ht="34.5" customHeight="1">
      <x:c r="A108" s="8" t="str">
        <x:v>FD-S048</x:v>
      </x:c>
      <x:c r="B108" s="8" t="str">
        <x:v>iSpring — партнёрская программа и сеть реселлеров</x:v>
      </x:c>
      <x:c r="C108" s="8" t="str">
        <x:v>feed_or_requests</x:v>
      </x:c>
      <x:c r="D108" s="8" t="str">
        <x:v>adjacent_reseller_program</x:v>
      </x:c>
      <x:c r="E108" s="8" t="str">
        <x:v>not_established</x:v>
      </x:c>
      <x:c r="F108" s="8" t="str">
        <x:v>https://www.ispring.ru/company/reseller-program</x:v>
      </x:c>
      <x:c r="G108" s="8" t="str">
        <x:v>https://www.ispring.ru/company/reseller-program</x:v>
      </x:c>
      <x:c r="H108" s="8" t="str">
        <x:v>Найти точную поверхность и проверить доступ; записать границы дат и пагинации.</x:v>
      </x:c>
    </x:row>
    <x:row r="109" ht="34.5" customHeight="1">
      <x:c r="A109" s="8" t="str">
        <x:v>FD-S048</x:v>
      </x:c>
      <x:c r="B109" s="8" t="str">
        <x:v>iSpring — партнёрская программа и сеть реселлеров</x:v>
      </x:c>
      <x:c r="C109" s="8" t="str">
        <x:v>comments_or_discussions</x:v>
      </x:c>
      <x:c r="D109" s="8" t="str">
        <x:v>not_checked</x:v>
      </x:c>
      <x:c r="E109" s="8" t="str">
        <x:v>not_established</x:v>
      </x:c>
      <x:c r="F109" s="8" t="str">
        <x:v>https://www.ispring.ru/company/reseller-program</x:v>
      </x:c>
      <x:c r="G109" s="8"/>
      <x:c r="H109" s="8" t="str">
        <x:v>Найти точную поверхность и проверить доступ; записать границы дат и пагинации.</x:v>
      </x:c>
    </x:row>
    <x:row r="110" ht="34.5" customHeight="1">
      <x:c r="A110" s="8" t="str">
        <x:v>FD-S048</x:v>
      </x:c>
      <x:c r="B110" s="8" t="str">
        <x:v>iSpring — партнёрская программа и сеть реселлеров</x:v>
      </x:c>
      <x:c r="C110" s="8" t="str">
        <x:v>attachments</x:v>
      </x:c>
      <x:c r="D110" s="8" t="str">
        <x:v>not_checked</x:v>
      </x:c>
      <x:c r="E110" s="8" t="str">
        <x:v>not_established</x:v>
      </x:c>
      <x:c r="F110" s="8" t="str">
        <x:v>https://www.ispring.ru/company/reseller-program</x:v>
      </x:c>
      <x:c r="G110" s="8"/>
      <x:c r="H110" s="8" t="str">
        <x:v>Найти точную поверхность и проверить доступ; записать границы дат и пагинации.</x:v>
      </x:c>
    </x:row>
    <x:row r="111" ht="34.5" customHeight="1">
      <x:c r="A111" s="8" t="str">
        <x:v>FD-S048</x:v>
      </x:c>
      <x:c r="B111" s="8" t="str">
        <x:v>iSpring — партнёрская программа и сеть реселлеров</x:v>
      </x:c>
      <x:c r="C111" s="8" t="str">
        <x:v>pinned_or_partner_pages</x:v>
      </x:c>
      <x:c r="D111" s="8" t="str">
        <x:v>not_checked</x:v>
      </x:c>
      <x:c r="E111" s="8" t="str">
        <x:v>not_established</x:v>
      </x:c>
      <x:c r="F111" s="8" t="str">
        <x:v>https://www.ispring.ru/company/reseller-program</x:v>
      </x:c>
      <x:c r="G111" s="8"/>
      <x:c r="H111" s="8" t="str">
        <x:v>Найти точную поверхность и проверить доступ; записать границы дат и пагинации.</x:v>
      </x:c>
    </x:row>
    <x:row r="112" ht="34.5" customHeight="1">
      <x:c r="A112" s="8" t="str">
        <x:v>FD-S048</x:v>
      </x:c>
      <x:c r="B112" s="8" t="str">
        <x:v>iSpring — партнёрская программа и сеть реселлеров</x:v>
      </x:c>
      <x:c r="C112" s="8" t="str">
        <x:v>author_or_buyer_profile</x:v>
      </x:c>
      <x:c r="D112" s="8" t="str">
        <x:v>not_checked</x:v>
      </x:c>
      <x:c r="E112" s="8" t="str">
        <x:v>not_established</x:v>
      </x:c>
      <x:c r="F112" s="8" t="str">
        <x:v>https://www.ispring.ru/company/reseller-program</x:v>
      </x:c>
      <x:c r="G112" s="8"/>
      <x:c r="H112" s="8" t="str">
        <x:v>Найти точную поверхность и проверить доступ; записать границы дат и пагинации.</x:v>
      </x:c>
    </x:row>
    <x:row r="113" ht="34.5" customHeight="1">
      <x:c r="A113" s="8" t="str">
        <x:v>FD-S048</x:v>
      </x:c>
      <x:c r="B113" s="8" t="str">
        <x:v>iSpring — партнёрская программа и сеть реселлеров</x:v>
      </x:c>
      <x:c r="C113" s="8" t="str">
        <x:v>outbound_primary_links</x:v>
      </x:c>
      <x:c r="D113" s="8" t="str">
        <x:v>not_checked</x:v>
      </x:c>
      <x:c r="E113" s="8" t="str">
        <x:v>not_established</x:v>
      </x:c>
      <x:c r="F113" s="8" t="str">
        <x:v>https://www.ispring.ru/company/reseller-program</x:v>
      </x:c>
      <x:c r="G113" s="8"/>
      <x:c r="H113" s="8" t="str">
        <x:v>Найти точную поверхность и проверить доступ; записать границы дат и пагинации.</x:v>
      </x:c>
    </x:row>
    <x:row r="114" ht="34.5" customHeight="1">
      <x:c r="A114" s="8" t="str">
        <x:v>FD-S050</x:v>
      </x:c>
      <x:c r="B114" s="8" t="str">
        <x:v>Ecourse Studio — проекты курсов и рамочные работы</x:v>
      </x:c>
      <x:c r="C114" s="8" t="str">
        <x:v>feed_or_requests</x:v>
      </x:c>
      <x:c r="D114" s="8" t="str">
        <x:v>not_checked</x:v>
      </x:c>
      <x:c r="E114" s="8" t="str">
        <x:v>not_established</x:v>
      </x:c>
      <x:c r="F114" s="8" t="str">
        <x:v>https://ecourse.studio/</x:v>
      </x:c>
      <x:c r="G114" s="8"/>
      <x:c r="H114" s="8" t="str">
        <x:v>Найти точную поверхность и проверить доступ; записать границы дат и пагинации.</x:v>
      </x:c>
    </x:row>
    <x:row r="115" ht="34.5" customHeight="1">
      <x:c r="A115" s="8" t="str">
        <x:v>FD-S050</x:v>
      </x:c>
      <x:c r="B115" s="8" t="str">
        <x:v>Ecourse Studio — проекты курсов и рамочные работы</x:v>
      </x:c>
      <x:c r="C115" s="8" t="str">
        <x:v>comments_or_discussions</x:v>
      </x:c>
      <x:c r="D115" s="8" t="str">
        <x:v>not_checked</x:v>
      </x:c>
      <x:c r="E115" s="8" t="str">
        <x:v>not_established</x:v>
      </x:c>
      <x:c r="F115" s="8" t="str">
        <x:v>https://ecourse.studio/</x:v>
      </x:c>
      <x:c r="G115" s="8"/>
      <x:c r="H115" s="8" t="str">
        <x:v>Найти точную поверхность и проверить доступ; записать границы дат и пагинации.</x:v>
      </x:c>
    </x:row>
    <x:row r="116" ht="34.5" customHeight="1">
      <x:c r="A116" s="8" t="str">
        <x:v>FD-S050</x:v>
      </x:c>
      <x:c r="B116" s="8" t="str">
        <x:v>Ecourse Studio — проекты курсов и рамочные работы</x:v>
      </x:c>
      <x:c r="C116" s="8" t="str">
        <x:v>attachments</x:v>
      </x:c>
      <x:c r="D116" s="8" t="str">
        <x:v>not_checked</x:v>
      </x:c>
      <x:c r="E116" s="8" t="str">
        <x:v>not_established</x:v>
      </x:c>
      <x:c r="F116" s="8" t="str">
        <x:v>https://ecourse.studio/</x:v>
      </x:c>
      <x:c r="G116" s="8"/>
      <x:c r="H116" s="8" t="str">
        <x:v>Найти точную поверхность и проверить доступ; записать границы дат и пагинации.</x:v>
      </x:c>
    </x:row>
    <x:row r="117" ht="34.5" customHeight="1">
      <x:c r="A117" s="8" t="str">
        <x:v>FD-S050</x:v>
      </x:c>
      <x:c r="B117" s="8" t="str">
        <x:v>Ecourse Studio — проекты курсов и рамочные работы</x:v>
      </x:c>
      <x:c r="C117" s="8" t="str">
        <x:v>pinned_or_partner_pages</x:v>
      </x:c>
      <x:c r="D117" s="8" t="str">
        <x:v>not_checked</x:v>
      </x:c>
      <x:c r="E117" s="8" t="str">
        <x:v>not_established</x:v>
      </x:c>
      <x:c r="F117" s="8" t="str">
        <x:v>https://ecourse.studio/</x:v>
      </x:c>
      <x:c r="G117" s="8"/>
      <x:c r="H117" s="8" t="str">
        <x:v>Найти точную поверхность и проверить доступ; записать границы дат и пагинации.</x:v>
      </x:c>
    </x:row>
    <x:row r="118" ht="34.5" customHeight="1">
      <x:c r="A118" s="8" t="str">
        <x:v>FD-S050</x:v>
      </x:c>
      <x:c r="B118" s="8" t="str">
        <x:v>Ecourse Studio — проекты курсов и рамочные работы</x:v>
      </x:c>
      <x:c r="C118" s="8" t="str">
        <x:v>author_or_buyer_profile</x:v>
      </x:c>
      <x:c r="D118" s="8" t="str">
        <x:v>not_checked</x:v>
      </x:c>
      <x:c r="E118" s="8" t="str">
        <x:v>not_established</x:v>
      </x:c>
      <x:c r="F118" s="8" t="str">
        <x:v>https://ecourse.studio/</x:v>
      </x:c>
      <x:c r="G118" s="8"/>
      <x:c r="H118" s="8" t="str">
        <x:v>Найти точную поверхность и проверить доступ; записать границы дат и пагинации.</x:v>
      </x:c>
    </x:row>
    <x:row r="119" ht="34.5" customHeight="1">
      <x:c r="A119" s="8" t="str">
        <x:v>FD-S050</x:v>
      </x:c>
      <x:c r="B119" s="8" t="str">
        <x:v>Ecourse Studio — проекты курсов и рамочные работы</x:v>
      </x:c>
      <x:c r="C119" s="8" t="str">
        <x:v>outbound_primary_links</x:v>
      </x:c>
      <x:c r="D119" s="8" t="str">
        <x:v>not_checked</x:v>
      </x:c>
      <x:c r="E119" s="8" t="str">
        <x:v>not_established</x:v>
      </x:c>
      <x:c r="F119" s="8" t="str">
        <x:v>https://ecourse.studio/</x:v>
      </x:c>
      <x:c r="G119" s="8"/>
      <x:c r="H119" s="8" t="str">
        <x:v>Найти точную поверхность и проверить доступ; записать границы дат и пагинации.</x:v>
      </x:c>
    </x:row>
    <x:row r="120" ht="34.5" customHeight="1">
      <x:c r="A120" s="8" t="str">
        <x:v>FD-S060</x:v>
      </x:c>
      <x:c r="B120" s="8" t="str">
        <x:v>Нетология — набор экспертов в программы обучения</x:v>
      </x:c>
      <x:c r="C120" s="8" t="str">
        <x:v>feed_or_requests</x:v>
      </x:c>
      <x:c r="D120" s="8" t="str">
        <x:v>captcha</x:v>
      </x:c>
      <x:c r="E120" s="8" t="str">
        <x:v>not_established</x:v>
      </x:c>
      <x:c r="F120" s="8" t="str">
        <x:v>https://netology.ru/experts</x:v>
      </x:c>
      <x:c r="G120" s="8" t="str">
        <x:v>https://netology.ru/experts</x:v>
      </x:c>
      <x:c r="H120" s="8" t="str">
        <x:v>Найти точную поверхность и проверить доступ; записать границы дат и пагинации.</x:v>
      </x:c>
    </x:row>
    <x:row r="121" ht="34.5" customHeight="1">
      <x:c r="A121" s="8" t="str">
        <x:v>FD-S060</x:v>
      </x:c>
      <x:c r="B121" s="8" t="str">
        <x:v>Нетология — набор экспертов в программы обучения</x:v>
      </x:c>
      <x:c r="C121" s="8" t="str">
        <x:v>comments_or_discussions</x:v>
      </x:c>
      <x:c r="D121" s="8" t="str">
        <x:v>not_checked</x:v>
      </x:c>
      <x:c r="E121" s="8" t="str">
        <x:v>not_established</x:v>
      </x:c>
      <x:c r="F121" s="8" t="str">
        <x:v>https://netology.ru/experts</x:v>
      </x:c>
      <x:c r="G121" s="8"/>
      <x:c r="H121" s="8" t="str">
        <x:v>Найти точную поверхность и проверить доступ; записать границы дат и пагинации.</x:v>
      </x:c>
    </x:row>
    <x:row r="122" ht="34.5" customHeight="1">
      <x:c r="A122" s="8" t="str">
        <x:v>FD-S060</x:v>
      </x:c>
      <x:c r="B122" s="8" t="str">
        <x:v>Нетология — набор экспертов в программы обучения</x:v>
      </x:c>
      <x:c r="C122" s="8" t="str">
        <x:v>attachments</x:v>
      </x:c>
      <x:c r="D122" s="8" t="str">
        <x:v>not_checked</x:v>
      </x:c>
      <x:c r="E122" s="8" t="str">
        <x:v>not_established</x:v>
      </x:c>
      <x:c r="F122" s="8" t="str">
        <x:v>https://netology.ru/experts</x:v>
      </x:c>
      <x:c r="G122" s="8"/>
      <x:c r="H122" s="8" t="str">
        <x:v>Найти точную поверхность и проверить доступ; записать границы дат и пагинации.</x:v>
      </x:c>
    </x:row>
    <x:row r="123" ht="34.5" customHeight="1">
      <x:c r="A123" s="8" t="str">
        <x:v>FD-S060</x:v>
      </x:c>
      <x:c r="B123" s="8" t="str">
        <x:v>Нетология — набор экспертов в программы обучения</x:v>
      </x:c>
      <x:c r="C123" s="8" t="str">
        <x:v>pinned_or_partner_pages</x:v>
      </x:c>
      <x:c r="D123" s="8" t="str">
        <x:v>not_checked</x:v>
      </x:c>
      <x:c r="E123" s="8" t="str">
        <x:v>not_established</x:v>
      </x:c>
      <x:c r="F123" s="8" t="str">
        <x:v>https://netology.ru/experts</x:v>
      </x:c>
      <x:c r="G123" s="8"/>
      <x:c r="H123" s="8" t="str">
        <x:v>Найти точную поверхность и проверить доступ; записать границы дат и пагинации.</x:v>
      </x:c>
    </x:row>
    <x:row r="124" ht="34.5" customHeight="1">
      <x:c r="A124" s="8" t="str">
        <x:v>FD-S060</x:v>
      </x:c>
      <x:c r="B124" s="8" t="str">
        <x:v>Нетология — набор экспертов в программы обучения</x:v>
      </x:c>
      <x:c r="C124" s="8" t="str">
        <x:v>author_or_buyer_profile</x:v>
      </x:c>
      <x:c r="D124" s="8" t="str">
        <x:v>not_checked</x:v>
      </x:c>
      <x:c r="E124" s="8" t="str">
        <x:v>not_established</x:v>
      </x:c>
      <x:c r="F124" s="8" t="str">
        <x:v>https://netology.ru/experts</x:v>
      </x:c>
      <x:c r="G124" s="8"/>
      <x:c r="H124" s="8" t="str">
        <x:v>Найти точную поверхность и проверить доступ; записать границы дат и пагинации.</x:v>
      </x:c>
    </x:row>
    <x:row r="125" ht="34.5" customHeight="1">
      <x:c r="A125" s="8" t="str">
        <x:v>FD-S060</x:v>
      </x:c>
      <x:c r="B125" s="8" t="str">
        <x:v>Нетология — набор экспертов в программы обучения</x:v>
      </x:c>
      <x:c r="C125" s="8" t="str">
        <x:v>outbound_primary_links</x:v>
      </x:c>
      <x:c r="D125" s="8" t="str">
        <x:v>not_checked</x:v>
      </x:c>
      <x:c r="E125" s="8" t="str">
        <x:v>not_established</x:v>
      </x:c>
      <x:c r="F125" s="8" t="str">
        <x:v>https://netology.ru/experts</x:v>
      </x:c>
      <x:c r="G125" s="8"/>
      <x:c r="H125" s="8" t="str">
        <x:v>Найти точную поверхность и проверить доступ; записать границы дат и пагинации.</x:v>
      </x:c>
    </x:row>
    <x:row r="126" ht="34.5" customHeight="1">
      <x:c r="A126" s="8" t="str">
        <x:v>FD-S067</x:v>
      </x:c>
      <x:c r="B126" s="8" t="str">
        <x:v>Бухонлайн — форум</x:v>
      </x:c>
      <x:c r="C126" s="8" t="str">
        <x:v>feed_or_requests</x:v>
      </x:c>
      <x:c r="D126" s="8" t="str">
        <x:v>not_checked</x:v>
      </x:c>
      <x:c r="E126" s="8" t="str">
        <x:v>not_established</x:v>
      </x:c>
      <x:c r="F126" s="8" t="str">
        <x:v>https://www.buhonline.ru/forum/</x:v>
      </x:c>
      <x:c r="G126" s="8"/>
      <x:c r="H126" s="8" t="str">
        <x:v>Найти точную поверхность и проверить доступ; записать границы дат и пагинации.</x:v>
      </x:c>
    </x:row>
    <x:row r="127" ht="34.5" customHeight="1">
      <x:c r="A127" s="8" t="str">
        <x:v>FD-S067</x:v>
      </x:c>
      <x:c r="B127" s="8" t="str">
        <x:v>Бухонлайн — форум</x:v>
      </x:c>
      <x:c r="C127" s="8" t="str">
        <x:v>comments_or_discussions</x:v>
      </x:c>
      <x:c r="D127" s="8" t="str">
        <x:v>not_checked</x:v>
      </x:c>
      <x:c r="E127" s="8" t="str">
        <x:v>not_established</x:v>
      </x:c>
      <x:c r="F127" s="8" t="str">
        <x:v>https://www.buhonline.ru/forum/</x:v>
      </x:c>
      <x:c r="G127" s="8"/>
      <x:c r="H127" s="8" t="str">
        <x:v>Найти точную поверхность и проверить доступ; записать границы дат и пагинации.</x:v>
      </x:c>
    </x:row>
    <x:row r="128" ht="34.5" customHeight="1">
      <x:c r="A128" s="8" t="str">
        <x:v>FD-S067</x:v>
      </x:c>
      <x:c r="B128" s="8" t="str">
        <x:v>Бухонлайн — форум</x:v>
      </x:c>
      <x:c r="C128" s="8" t="str">
        <x:v>attachments</x:v>
      </x:c>
      <x:c r="D128" s="8" t="str">
        <x:v>not_checked</x:v>
      </x:c>
      <x:c r="E128" s="8" t="str">
        <x:v>not_established</x:v>
      </x:c>
      <x:c r="F128" s="8" t="str">
        <x:v>https://www.buhonline.ru/forum/</x:v>
      </x:c>
      <x:c r="G128" s="8"/>
      <x:c r="H128" s="8" t="str">
        <x:v>Найти точную поверхность и проверить доступ; записать границы дат и пагинации.</x:v>
      </x:c>
    </x:row>
    <x:row r="129" ht="34.5" customHeight="1">
      <x:c r="A129" s="8" t="str">
        <x:v>FD-S067</x:v>
      </x:c>
      <x:c r="B129" s="8" t="str">
        <x:v>Бухонлайн — форум</x:v>
      </x:c>
      <x:c r="C129" s="8" t="str">
        <x:v>pinned_or_partner_pages</x:v>
      </x:c>
      <x:c r="D129" s="8" t="str">
        <x:v>not_checked</x:v>
      </x:c>
      <x:c r="E129" s="8" t="str">
        <x:v>not_established</x:v>
      </x:c>
      <x:c r="F129" s="8" t="str">
        <x:v>https://www.buhonline.ru/forum/</x:v>
      </x:c>
      <x:c r="G129" s="8"/>
      <x:c r="H129" s="8" t="str">
        <x:v>Найти точную поверхность и проверить доступ; записать границы дат и пагинации.</x:v>
      </x:c>
    </x:row>
    <x:row r="130" ht="34.5" customHeight="1">
      <x:c r="A130" s="8" t="str">
        <x:v>FD-S067</x:v>
      </x:c>
      <x:c r="B130" s="8" t="str">
        <x:v>Бухонлайн — форум</x:v>
      </x:c>
      <x:c r="C130" s="8" t="str">
        <x:v>author_or_buyer_profile</x:v>
      </x:c>
      <x:c r="D130" s="8" t="str">
        <x:v>not_checked</x:v>
      </x:c>
      <x:c r="E130" s="8" t="str">
        <x:v>not_established</x:v>
      </x:c>
      <x:c r="F130" s="8" t="str">
        <x:v>https://www.buhonline.ru/forum/</x:v>
      </x:c>
      <x:c r="G130" s="8"/>
      <x:c r="H130" s="8" t="str">
        <x:v>Найти точную поверхность и проверить доступ; записать границы дат и пагинации.</x:v>
      </x:c>
    </x:row>
    <x:row r="131" ht="34.5" customHeight="1">
      <x:c r="A131" s="8" t="str">
        <x:v>FD-S067</x:v>
      </x:c>
      <x:c r="B131" s="8" t="str">
        <x:v>Бухонлайн — форум</x:v>
      </x:c>
      <x:c r="C131" s="8" t="str">
        <x:v>outbound_primary_links</x:v>
      </x:c>
      <x:c r="D131" s="8" t="str">
        <x:v>not_checked</x:v>
      </x:c>
      <x:c r="E131" s="8" t="str">
        <x:v>not_established</x:v>
      </x:c>
      <x:c r="F131" s="8" t="str">
        <x:v>https://www.buhonline.ru/forum/</x:v>
      </x:c>
      <x:c r="G131" s="8"/>
      <x:c r="H131" s="8" t="str">
        <x:v>Найти точную поверхность и проверить доступ; записать границы дат и пагинации.</x:v>
      </x:c>
    </x:row>
    <x:row r="132" ht="34.5" customHeight="1">
      <x:c r="A132" s="8" t="str">
        <x:v>FD-S072</x:v>
      </x:c>
      <x:c r="B132" s="8" t="str">
        <x:v>Executive.ru — сообщество менеджеров</x:v>
      </x:c>
      <x:c r="C132" s="8" t="str">
        <x:v>feed_or_requests</x:v>
      </x:c>
      <x:c r="D132" s="8" t="str">
        <x:v>not_checked</x:v>
      </x:c>
      <x:c r="E132" s="8" t="str">
        <x:v>not_established</x:v>
      </x:c>
      <x:c r="F132" s="8" t="str">
        <x:v>https://www.e-xecutive.ru/community</x:v>
      </x:c>
      <x:c r="G132" s="8"/>
      <x:c r="H132" s="8" t="str">
        <x:v>Найти точную поверхность и проверить доступ; записать границы дат и пагинации.</x:v>
      </x:c>
    </x:row>
    <x:row r="133" ht="34.5" customHeight="1">
      <x:c r="A133" s="8" t="str">
        <x:v>FD-S072</x:v>
      </x:c>
      <x:c r="B133" s="8" t="str">
        <x:v>Executive.ru — сообщество менеджеров</x:v>
      </x:c>
      <x:c r="C133" s="8" t="str">
        <x:v>comments_or_discussions</x:v>
      </x:c>
      <x:c r="D133" s="8" t="str">
        <x:v>not_checked</x:v>
      </x:c>
      <x:c r="E133" s="8" t="str">
        <x:v>not_established</x:v>
      </x:c>
      <x:c r="F133" s="8" t="str">
        <x:v>https://www.e-xecutive.ru/community</x:v>
      </x:c>
      <x:c r="G133" s="8"/>
      <x:c r="H133" s="8" t="str">
        <x:v>Найти точную поверхность и проверить доступ; записать границы дат и пагинации.</x:v>
      </x:c>
    </x:row>
    <x:row r="134" ht="34.5" customHeight="1">
      <x:c r="A134" s="8" t="str">
        <x:v>FD-S072</x:v>
      </x:c>
      <x:c r="B134" s="8" t="str">
        <x:v>Executive.ru — сообщество менеджеров</x:v>
      </x:c>
      <x:c r="C134" s="8" t="str">
        <x:v>attachments</x:v>
      </x:c>
      <x:c r="D134" s="8" t="str">
        <x:v>not_checked</x:v>
      </x:c>
      <x:c r="E134" s="8" t="str">
        <x:v>not_established</x:v>
      </x:c>
      <x:c r="F134" s="8" t="str">
        <x:v>https://www.e-xecutive.ru/community</x:v>
      </x:c>
      <x:c r="G134" s="8"/>
      <x:c r="H134" s="8" t="str">
        <x:v>Найти точную поверхность и проверить доступ; записать границы дат и пагинации.</x:v>
      </x:c>
    </x:row>
    <x:row r="135" ht="34.5" customHeight="1">
      <x:c r="A135" s="8" t="str">
        <x:v>FD-S072</x:v>
      </x:c>
      <x:c r="B135" s="8" t="str">
        <x:v>Executive.ru — сообщество менеджеров</x:v>
      </x:c>
      <x:c r="C135" s="8" t="str">
        <x:v>pinned_or_partner_pages</x:v>
      </x:c>
      <x:c r="D135" s="8" t="str">
        <x:v>not_checked</x:v>
      </x:c>
      <x:c r="E135" s="8" t="str">
        <x:v>not_established</x:v>
      </x:c>
      <x:c r="F135" s="8" t="str">
        <x:v>https://www.e-xecutive.ru/community</x:v>
      </x:c>
      <x:c r="G135" s="8"/>
      <x:c r="H135" s="8" t="str">
        <x:v>Найти точную поверхность и проверить доступ; записать границы дат и пагинации.</x:v>
      </x:c>
    </x:row>
    <x:row r="136" ht="34.5" customHeight="1">
      <x:c r="A136" s="8" t="str">
        <x:v>FD-S072</x:v>
      </x:c>
      <x:c r="B136" s="8" t="str">
        <x:v>Executive.ru — сообщество менеджеров</x:v>
      </x:c>
      <x:c r="C136" s="8" t="str">
        <x:v>author_or_buyer_profile</x:v>
      </x:c>
      <x:c r="D136" s="8" t="str">
        <x:v>not_checked</x:v>
      </x:c>
      <x:c r="E136" s="8" t="str">
        <x:v>not_established</x:v>
      </x:c>
      <x:c r="F136" s="8" t="str">
        <x:v>https://www.e-xecutive.ru/community</x:v>
      </x:c>
      <x:c r="G136" s="8"/>
      <x:c r="H136" s="8" t="str">
        <x:v>Найти точную поверхность и проверить доступ; записать границы дат и пагинации.</x:v>
      </x:c>
    </x:row>
    <x:row r="137" ht="34.5" customHeight="1">
      <x:c r="A137" s="8" t="str">
        <x:v>FD-S072</x:v>
      </x:c>
      <x:c r="B137" s="8" t="str">
        <x:v>Executive.ru — сообщество менеджеров</x:v>
      </x:c>
      <x:c r="C137" s="8" t="str">
        <x:v>outbound_primary_links</x:v>
      </x:c>
      <x:c r="D137" s="8" t="str">
        <x:v>not_checked</x:v>
      </x:c>
      <x:c r="E137" s="8" t="str">
        <x:v>not_established</x:v>
      </x:c>
      <x:c r="F137" s="8" t="str">
        <x:v>https://www.e-xecutive.ru/community</x:v>
      </x:c>
      <x:c r="G137" s="8"/>
      <x:c r="H137" s="8" t="str">
        <x:v>Найти точную поверхность и проверить доступ; записать границы дат и пагинации.</x:v>
      </x:c>
    </x:row>
    <x:row r="138" ht="34.5" customHeight="1">
      <x:c r="A138" s="8" t="str">
        <x:v>FD-S078</x:v>
      </x:c>
      <x:c r="B138" s="8" t="str">
        <x:v>HR-Portal — форум</x:v>
      </x:c>
      <x:c r="C138" s="8" t="str">
        <x:v>feed_or_requests</x:v>
      </x:c>
      <x:c r="D138" s="8" t="str">
        <x:v>not_checked</x:v>
      </x:c>
      <x:c r="E138" s="8" t="str">
        <x:v>not_established</x:v>
      </x:c>
      <x:c r="F138" s="8" t="str">
        <x:v>https://hr-portal.ru/forum</x:v>
      </x:c>
      <x:c r="G138" s="8"/>
      <x:c r="H138" s="8" t="str">
        <x:v>Найти точную поверхность и проверить доступ; записать границы дат и пагинации.</x:v>
      </x:c>
    </x:row>
    <x:row r="139" ht="34.5" customHeight="1">
      <x:c r="A139" s="8" t="str">
        <x:v>FD-S078</x:v>
      </x:c>
      <x:c r="B139" s="8" t="str">
        <x:v>HR-Portal — форум</x:v>
      </x:c>
      <x:c r="C139" s="8" t="str">
        <x:v>comments_or_discussions</x:v>
      </x:c>
      <x:c r="D139" s="8" t="str">
        <x:v>not_checked</x:v>
      </x:c>
      <x:c r="E139" s="8" t="str">
        <x:v>not_established</x:v>
      </x:c>
      <x:c r="F139" s="8" t="str">
        <x:v>https://hr-portal.ru/forum</x:v>
      </x:c>
      <x:c r="G139" s="8"/>
      <x:c r="H139" s="8" t="str">
        <x:v>Найти точную поверхность и проверить доступ; записать границы дат и пагинации.</x:v>
      </x:c>
    </x:row>
    <x:row r="140" ht="34.5" customHeight="1">
      <x:c r="A140" s="8" t="str">
        <x:v>FD-S078</x:v>
      </x:c>
      <x:c r="B140" s="8" t="str">
        <x:v>HR-Portal — форум</x:v>
      </x:c>
      <x:c r="C140" s="8" t="str">
        <x:v>attachments</x:v>
      </x:c>
      <x:c r="D140" s="8" t="str">
        <x:v>not_checked</x:v>
      </x:c>
      <x:c r="E140" s="8" t="str">
        <x:v>not_established</x:v>
      </x:c>
      <x:c r="F140" s="8" t="str">
        <x:v>https://hr-portal.ru/forum</x:v>
      </x:c>
      <x:c r="G140" s="8"/>
      <x:c r="H140" s="8" t="str">
        <x:v>Найти точную поверхность и проверить доступ; записать границы дат и пагинации.</x:v>
      </x:c>
    </x:row>
    <x:row r="141" ht="34.5" customHeight="1">
      <x:c r="A141" s="8" t="str">
        <x:v>FD-S078</x:v>
      </x:c>
      <x:c r="B141" s="8" t="str">
        <x:v>HR-Portal — форум</x:v>
      </x:c>
      <x:c r="C141" s="8" t="str">
        <x:v>pinned_or_partner_pages</x:v>
      </x:c>
      <x:c r="D141" s="8" t="str">
        <x:v>not_checked</x:v>
      </x:c>
      <x:c r="E141" s="8" t="str">
        <x:v>not_established</x:v>
      </x:c>
      <x:c r="F141" s="8" t="str">
        <x:v>https://hr-portal.ru/forum</x:v>
      </x:c>
      <x:c r="G141" s="8"/>
      <x:c r="H141" s="8" t="str">
        <x:v>Найти точную поверхность и проверить доступ; записать границы дат и пагинации.</x:v>
      </x:c>
    </x:row>
    <x:row r="142" ht="34.5" customHeight="1">
      <x:c r="A142" s="8" t="str">
        <x:v>FD-S078</x:v>
      </x:c>
      <x:c r="B142" s="8" t="str">
        <x:v>HR-Portal — форум</x:v>
      </x:c>
      <x:c r="C142" s="8" t="str">
        <x:v>author_or_buyer_profile</x:v>
      </x:c>
      <x:c r="D142" s="8" t="str">
        <x:v>not_checked</x:v>
      </x:c>
      <x:c r="E142" s="8" t="str">
        <x:v>not_established</x:v>
      </x:c>
      <x:c r="F142" s="8" t="str">
        <x:v>https://hr-portal.ru/forum</x:v>
      </x:c>
      <x:c r="G142" s="8"/>
      <x:c r="H142" s="8" t="str">
        <x:v>Найти точную поверхность и проверить доступ; записать границы дат и пагинации.</x:v>
      </x:c>
    </x:row>
    <x:row r="143" ht="34.5" customHeight="1">
      <x:c r="A143" s="8" t="str">
        <x:v>FD-S078</x:v>
      </x:c>
      <x:c r="B143" s="8" t="str">
        <x:v>HR-Portal — форум</x:v>
      </x:c>
      <x:c r="C143" s="8" t="str">
        <x:v>outbound_primary_links</x:v>
      </x:c>
      <x:c r="D143" s="8" t="str">
        <x:v>not_checked</x:v>
      </x:c>
      <x:c r="E143" s="8" t="str">
        <x:v>not_established</x:v>
      </x:c>
      <x:c r="F143" s="8" t="str">
        <x:v>https://hr-portal.ru/forum</x:v>
      </x:c>
      <x:c r="G143" s="8"/>
      <x:c r="H143" s="8" t="str">
        <x:v>Найти точную поверхность и проверить доступ; записать границы дат и пагинации.</x:v>
      </x:c>
    </x:row>
    <x:row r="144" ht="34.5" customHeight="1">
      <x:c r="A144" s="8" t="str">
        <x:v>FD-S079</x:v>
      </x:c>
      <x:c r="B144" s="8" t="str">
        <x:v>Ассоциация директоров по закупкам — CPO Club</x:v>
      </x:c>
      <x:c r="C144" s="8" t="str">
        <x:v>feed_or_requests</x:v>
      </x:c>
      <x:c r="D144" s="8" t="str">
        <x:v>community_landing</x:v>
      </x:c>
      <x:c r="E144" s="8" t="str">
        <x:v>not_established</x:v>
      </x:c>
      <x:c r="F144" s="8" t="str">
        <x:v>https://cpoclub.ru/</x:v>
      </x:c>
      <x:c r="G144" s="8" t="str">
        <x:v>https://cpoclub.ru/</x:v>
      </x:c>
      <x:c r="H144" s="8" t="str">
        <x:v>Найти точную поверхность и проверить доступ; записать границы дат и пагинации.</x:v>
      </x:c>
    </x:row>
    <x:row r="145" ht="34.5" customHeight="1">
      <x:c r="A145" s="8" t="str">
        <x:v>FD-S079</x:v>
      </x:c>
      <x:c r="B145" s="8" t="str">
        <x:v>Ассоциация директоров по закупкам — CPO Club</x:v>
      </x:c>
      <x:c r="C145" s="8" t="str">
        <x:v>comments_or_discussions</x:v>
      </x:c>
      <x:c r="D145" s="8" t="str">
        <x:v>not_checked</x:v>
      </x:c>
      <x:c r="E145" s="8" t="str">
        <x:v>not_established</x:v>
      </x:c>
      <x:c r="F145" s="8" t="str">
        <x:v>https://cpoclub.ru/</x:v>
      </x:c>
      <x:c r="G145" s="8"/>
      <x:c r="H145" s="8" t="str">
        <x:v>Найти точную поверхность и проверить доступ; записать границы дат и пагинации.</x:v>
      </x:c>
    </x:row>
    <x:row r="146" ht="34.5" customHeight="1">
      <x:c r="A146" s="8" t="str">
        <x:v>FD-S079</x:v>
      </x:c>
      <x:c r="B146" s="8" t="str">
        <x:v>Ассоциация директоров по закупкам — CPO Club</x:v>
      </x:c>
      <x:c r="C146" s="8" t="str">
        <x:v>attachments</x:v>
      </x:c>
      <x:c r="D146" s="8" t="str">
        <x:v>not_checked</x:v>
      </x:c>
      <x:c r="E146" s="8" t="str">
        <x:v>not_established</x:v>
      </x:c>
      <x:c r="F146" s="8" t="str">
        <x:v>https://cpoclub.ru/</x:v>
      </x:c>
      <x:c r="G146" s="8"/>
      <x:c r="H146" s="8" t="str">
        <x:v>Найти точную поверхность и проверить доступ; записать границы дат и пагинации.</x:v>
      </x:c>
    </x:row>
    <x:row r="147" ht="34.5" customHeight="1">
      <x:c r="A147" s="8" t="str">
        <x:v>FD-S079</x:v>
      </x:c>
      <x:c r="B147" s="8" t="str">
        <x:v>Ассоциация директоров по закупкам — CPO Club</x:v>
      </x:c>
      <x:c r="C147" s="8" t="str">
        <x:v>pinned_or_partner_pages</x:v>
      </x:c>
      <x:c r="D147" s="8" t="str">
        <x:v>not_checked</x:v>
      </x:c>
      <x:c r="E147" s="8" t="str">
        <x:v>not_established</x:v>
      </x:c>
      <x:c r="F147" s="8" t="str">
        <x:v>https://cpoclub.ru/</x:v>
      </x:c>
      <x:c r="G147" s="8"/>
      <x:c r="H147" s="8" t="str">
        <x:v>Найти точную поверхность и проверить доступ; записать границы дат и пагинации.</x:v>
      </x:c>
    </x:row>
    <x:row r="148" ht="34.5" customHeight="1">
      <x:c r="A148" s="8" t="str">
        <x:v>FD-S079</x:v>
      </x:c>
      <x:c r="B148" s="8" t="str">
        <x:v>Ассоциация директоров по закупкам — CPO Club</x:v>
      </x:c>
      <x:c r="C148" s="8" t="str">
        <x:v>author_or_buyer_profile</x:v>
      </x:c>
      <x:c r="D148" s="8" t="str">
        <x:v>not_checked</x:v>
      </x:c>
      <x:c r="E148" s="8" t="str">
        <x:v>not_established</x:v>
      </x:c>
      <x:c r="F148" s="8" t="str">
        <x:v>https://cpoclub.ru/</x:v>
      </x:c>
      <x:c r="G148" s="8"/>
      <x:c r="H148" s="8" t="str">
        <x:v>Найти точную поверхность и проверить доступ; записать границы дат и пагинации.</x:v>
      </x:c>
    </x:row>
    <x:row r="149" ht="34.5" customHeight="1">
      <x:c r="A149" s="8" t="str">
        <x:v>FD-S079</x:v>
      </x:c>
      <x:c r="B149" s="8" t="str">
        <x:v>Ассоциация директоров по закупкам — CPO Club</x:v>
      </x:c>
      <x:c r="C149" s="8" t="str">
        <x:v>outbound_primary_links</x:v>
      </x:c>
      <x:c r="D149" s="8" t="str">
        <x:v>not_checked</x:v>
      </x:c>
      <x:c r="E149" s="8" t="str">
        <x:v>not_established</x:v>
      </x:c>
      <x:c r="F149" s="8" t="str">
        <x:v>https://cpoclub.ru/</x:v>
      </x:c>
      <x:c r="G149" s="8"/>
      <x:c r="H149" s="8" t="str">
        <x:v>Найти точную поверхность и проверить доступ; записать границы дат и пагинации.</x:v>
      </x:c>
    </x:row>
    <x:row r="150" ht="34.5" customHeight="1">
      <x:c r="A150" s="8" t="str">
        <x:v>FD-S080</x:v>
      </x:c>
      <x:c r="B150" s="8" t="str">
        <x:v>Ассоциация корпоративных казначеев</x:v>
      </x:c>
      <x:c r="C150" s="8" t="str">
        <x:v>feed_or_requests</x:v>
      </x:c>
      <x:c r="D150" s="8" t="str">
        <x:v>not_checked</x:v>
      </x:c>
      <x:c r="E150" s="8" t="str">
        <x:v>not_established</x:v>
      </x:c>
      <x:c r="F150" s="8" t="str">
        <x:v>https://corptreasury.ru/all/news/</x:v>
      </x:c>
      <x:c r="G150" s="8"/>
      <x:c r="H150" s="8" t="str">
        <x:v>Найти точную поверхность и проверить доступ; записать границы дат и пагинации.</x:v>
      </x:c>
    </x:row>
    <x:row r="151" ht="34.5" customHeight="1">
      <x:c r="A151" s="8" t="str">
        <x:v>FD-S080</x:v>
      </x:c>
      <x:c r="B151" s="8" t="str">
        <x:v>Ассоциация корпоративных казначеев</x:v>
      </x:c>
      <x:c r="C151" s="8" t="str">
        <x:v>comments_or_discussions</x:v>
      </x:c>
      <x:c r="D151" s="8" t="str">
        <x:v>not_checked</x:v>
      </x:c>
      <x:c r="E151" s="8" t="str">
        <x:v>not_established</x:v>
      </x:c>
      <x:c r="F151" s="8" t="str">
        <x:v>https://corptreasury.ru/all/news/</x:v>
      </x:c>
      <x:c r="G151" s="8"/>
      <x:c r="H151" s="8" t="str">
        <x:v>Найти точную поверхность и проверить доступ; записать границы дат и пагинации.</x:v>
      </x:c>
    </x:row>
    <x:row r="152" ht="34.5" customHeight="1">
      <x:c r="A152" s="8" t="str">
        <x:v>FD-S080</x:v>
      </x:c>
      <x:c r="B152" s="8" t="str">
        <x:v>Ассоциация корпоративных казначеев</x:v>
      </x:c>
      <x:c r="C152" s="8" t="str">
        <x:v>attachments</x:v>
      </x:c>
      <x:c r="D152" s="8" t="str">
        <x:v>not_checked</x:v>
      </x:c>
      <x:c r="E152" s="8" t="str">
        <x:v>not_established</x:v>
      </x:c>
      <x:c r="F152" s="8" t="str">
        <x:v>https://corptreasury.ru/all/news/</x:v>
      </x:c>
      <x:c r="G152" s="8"/>
      <x:c r="H152" s="8" t="str">
        <x:v>Найти точную поверхность и проверить доступ; записать границы дат и пагинации.</x:v>
      </x:c>
    </x:row>
    <x:row r="153" ht="34.5" customHeight="1">
      <x:c r="A153" s="8" t="str">
        <x:v>FD-S080</x:v>
      </x:c>
      <x:c r="B153" s="8" t="str">
        <x:v>Ассоциация корпоративных казначеев</x:v>
      </x:c>
      <x:c r="C153" s="8" t="str">
        <x:v>pinned_or_partner_pages</x:v>
      </x:c>
      <x:c r="D153" s="8" t="str">
        <x:v>not_checked</x:v>
      </x:c>
      <x:c r="E153" s="8" t="str">
        <x:v>not_established</x:v>
      </x:c>
      <x:c r="F153" s="8" t="str">
        <x:v>https://corptreasury.ru/all/news/</x:v>
      </x:c>
      <x:c r="G153" s="8"/>
      <x:c r="H153" s="8" t="str">
        <x:v>Найти точную поверхность и проверить доступ; записать границы дат и пагинации.</x:v>
      </x:c>
    </x:row>
    <x:row r="154" ht="34.5" customHeight="1">
      <x:c r="A154" s="8" t="str">
        <x:v>FD-S080</x:v>
      </x:c>
      <x:c r="B154" s="8" t="str">
        <x:v>Ассоциация корпоративных казначеев</x:v>
      </x:c>
      <x:c r="C154" s="8" t="str">
        <x:v>author_or_buyer_profile</x:v>
      </x:c>
      <x:c r="D154" s="8" t="str">
        <x:v>not_checked</x:v>
      </x:c>
      <x:c r="E154" s="8" t="str">
        <x:v>not_established</x:v>
      </x:c>
      <x:c r="F154" s="8" t="str">
        <x:v>https://corptreasury.ru/all/news/</x:v>
      </x:c>
      <x:c r="G154" s="8"/>
      <x:c r="H154" s="8" t="str">
        <x:v>Найти точную поверхность и проверить доступ; записать границы дат и пагинации.</x:v>
      </x:c>
    </x:row>
    <x:row r="155" ht="34.5" customHeight="1">
      <x:c r="A155" s="8" t="str">
        <x:v>FD-S080</x:v>
      </x:c>
      <x:c r="B155" s="8" t="str">
        <x:v>Ассоциация корпоративных казначеев</x:v>
      </x:c>
      <x:c r="C155" s="8" t="str">
        <x:v>outbound_primary_links</x:v>
      </x:c>
      <x:c r="D155" s="8" t="str">
        <x:v>not_checked</x:v>
      </x:c>
      <x:c r="E155" s="8" t="str">
        <x:v>not_established</x:v>
      </x:c>
      <x:c r="F155" s="8" t="str">
        <x:v>https://corptreasury.ru/all/news/</x:v>
      </x:c>
      <x:c r="G155" s="8"/>
      <x:c r="H155" s="8" t="str">
        <x:v>Найти точную поверхность и проверить доступ; записать границы дат и пагинации.</x:v>
      </x:c>
    </x:row>
    <x:row r="156" ht="34.5" customHeight="1">
      <x:c r="A156" s="8" t="str">
        <x:v>FD-S087</x:v>
      </x:c>
      <x:c r="B156" s="8" t="str">
        <x:v>Training@Development Hub — T&amp;D Казахстан</x:v>
      </x:c>
      <x:c r="C156" s="8" t="str">
        <x:v>feed_or_requests</x:v>
      </x:c>
      <x:c r="D156" s="8" t="str">
        <x:v>reader_error</x:v>
      </x:c>
      <x:c r="E156" s="8" t="str">
        <x:v>not_established</x:v>
      </x:c>
      <x:c r="F156" s="8" t="str">
        <x:v>https://t.me/tdh_channel</x:v>
      </x:c>
      <x:c r="G156" s="8" t="str">
        <x:v>https://t.me/s/tdh_channel</x:v>
      </x:c>
      <x:c r="H156" s="8" t="str">
        <x:v>Найти точную поверхность и проверить доступ; записать границы дат и пагинации.</x:v>
      </x:c>
    </x:row>
    <x:row r="157" ht="34.5" customHeight="1">
      <x:c r="A157" s="8" t="str">
        <x:v>FD-S087</x:v>
      </x:c>
      <x:c r="B157" s="8" t="str">
        <x:v>Training@Development Hub — T&amp;D Казахстан</x:v>
      </x:c>
      <x:c r="C157" s="8" t="str">
        <x:v>comments_or_discussions</x:v>
      </x:c>
      <x:c r="D157" s="8" t="str">
        <x:v>not_checked</x:v>
      </x:c>
      <x:c r="E157" s="8" t="str">
        <x:v>not_established</x:v>
      </x:c>
      <x:c r="F157" s="8" t="str">
        <x:v>https://t.me/tdh_channel</x:v>
      </x:c>
      <x:c r="G157" s="8"/>
      <x:c r="H157" s="8" t="str">
        <x:v>Найти точную поверхность и проверить доступ; записать границы дат и пагинации.</x:v>
      </x:c>
    </x:row>
    <x:row r="158" ht="34.5" customHeight="1">
      <x:c r="A158" s="8" t="str">
        <x:v>FD-S087</x:v>
      </x:c>
      <x:c r="B158" s="8" t="str">
        <x:v>Training@Development Hub — T&amp;D Казахстан</x:v>
      </x:c>
      <x:c r="C158" s="8" t="str">
        <x:v>attachments</x:v>
      </x:c>
      <x:c r="D158" s="8" t="str">
        <x:v>not_checked</x:v>
      </x:c>
      <x:c r="E158" s="8" t="str">
        <x:v>not_established</x:v>
      </x:c>
      <x:c r="F158" s="8" t="str">
        <x:v>https://t.me/tdh_channel</x:v>
      </x:c>
      <x:c r="G158" s="8"/>
      <x:c r="H158" s="8" t="str">
        <x:v>Найти точную поверхность и проверить доступ; записать границы дат и пагинации.</x:v>
      </x:c>
    </x:row>
    <x:row r="159" ht="34.5" customHeight="1">
      <x:c r="A159" s="8" t="str">
        <x:v>FD-S087</x:v>
      </x:c>
      <x:c r="B159" s="8" t="str">
        <x:v>Training@Development Hub — T&amp;D Казахстан</x:v>
      </x:c>
      <x:c r="C159" s="8" t="str">
        <x:v>pinned_or_partner_pages</x:v>
      </x:c>
      <x:c r="D159" s="8" t="str">
        <x:v>not_checked</x:v>
      </x:c>
      <x:c r="E159" s="8" t="str">
        <x:v>not_established</x:v>
      </x:c>
      <x:c r="F159" s="8" t="str">
        <x:v>https://t.me/tdh_channel</x:v>
      </x:c>
      <x:c r="G159" s="8"/>
      <x:c r="H159" s="8" t="str">
        <x:v>Найти точную поверхность и проверить доступ; записать границы дат и пагинации.</x:v>
      </x:c>
    </x:row>
    <x:row r="160" ht="34.5" customHeight="1">
      <x:c r="A160" s="8" t="str">
        <x:v>FD-S087</x:v>
      </x:c>
      <x:c r="B160" s="8" t="str">
        <x:v>Training@Development Hub — T&amp;D Казахстан</x:v>
      </x:c>
      <x:c r="C160" s="8" t="str">
        <x:v>author_or_buyer_profile</x:v>
      </x:c>
      <x:c r="D160" s="8" t="str">
        <x:v>not_checked</x:v>
      </x:c>
      <x:c r="E160" s="8" t="str">
        <x:v>not_established</x:v>
      </x:c>
      <x:c r="F160" s="8" t="str">
        <x:v>https://t.me/tdh_channel</x:v>
      </x:c>
      <x:c r="G160" s="8"/>
      <x:c r="H160" s="8" t="str">
        <x:v>Найти точную поверхность и проверить доступ; записать границы дат и пагинации.</x:v>
      </x:c>
    </x:row>
    <x:row r="161" ht="34.5" customHeight="1">
      <x:c r="A161" s="8" t="str">
        <x:v>FD-S087</x:v>
      </x:c>
      <x:c r="B161" s="8" t="str">
        <x:v>Training@Development Hub — T&amp;D Казахстан</x:v>
      </x:c>
      <x:c r="C161" s="8" t="str">
        <x:v>outbound_primary_links</x:v>
      </x:c>
      <x:c r="D161" s="8" t="str">
        <x:v>not_checked</x:v>
      </x:c>
      <x:c r="E161" s="8" t="str">
        <x:v>not_established</x:v>
      </x:c>
      <x:c r="F161" s="8" t="str">
        <x:v>https://t.me/tdh_channel</x:v>
      </x:c>
      <x:c r="G161" s="8"/>
      <x:c r="H161" s="8" t="str">
        <x:v>Найти точную поверхность и проверить доступ; записать границы дат и пагинации.</x:v>
      </x:c>
    </x:row>
    <x:row r="162" ht="34.5" customHeight="1">
      <x:c r="A162" s="8" t="str">
        <x:v>FD-S088</x:v>
      </x:c>
      <x:c r="B162" s="8" t="str">
        <x:v>HR Казахстан — чат HR-специалистов</x:v>
      </x:c>
      <x:c r="C162" s="8" t="str">
        <x:v>feed_or_requests</x:v>
      </x:c>
      <x:c r="D162" s="8" t="str">
        <x:v>chat_preview_only</x:v>
      </x:c>
      <x:c r="E162" s="8" t="str">
        <x:v>not_established</x:v>
      </x:c>
      <x:c r="F162" s="8" t="str">
        <x:v>https://t.me/hrkaz</x:v>
      </x:c>
      <x:c r="G162" s="8" t="str">
        <x:v>https://t.me/hrkaz</x:v>
      </x:c>
      <x:c r="H162" s="8" t="str">
        <x:v>Найти точную поверхность и проверить доступ; записать границы дат и пагинации.</x:v>
      </x:c>
    </x:row>
    <x:row r="163" ht="34.5" customHeight="1">
      <x:c r="A163" s="8" t="str">
        <x:v>FD-S088</x:v>
      </x:c>
      <x:c r="B163" s="8" t="str">
        <x:v>HR Казахстан — чат HR-специалистов</x:v>
      </x:c>
      <x:c r="C163" s="8" t="str">
        <x:v>comments_or_discussions</x:v>
      </x:c>
      <x:c r="D163" s="8" t="str">
        <x:v>not_checked</x:v>
      </x:c>
      <x:c r="E163" s="8" t="str">
        <x:v>not_established</x:v>
      </x:c>
      <x:c r="F163" s="8" t="str">
        <x:v>https://t.me/hrkaz</x:v>
      </x:c>
      <x:c r="G163" s="8"/>
      <x:c r="H163" s="8" t="str">
        <x:v>Найти точную поверхность и проверить доступ; записать границы дат и пагинации.</x:v>
      </x:c>
    </x:row>
    <x:row r="164" ht="34.5" customHeight="1">
      <x:c r="A164" s="8" t="str">
        <x:v>FD-S088</x:v>
      </x:c>
      <x:c r="B164" s="8" t="str">
        <x:v>HR Казахстан — чат HR-специалистов</x:v>
      </x:c>
      <x:c r="C164" s="8" t="str">
        <x:v>attachments</x:v>
      </x:c>
      <x:c r="D164" s="8" t="str">
        <x:v>not_checked</x:v>
      </x:c>
      <x:c r="E164" s="8" t="str">
        <x:v>not_established</x:v>
      </x:c>
      <x:c r="F164" s="8" t="str">
        <x:v>https://t.me/hrkaz</x:v>
      </x:c>
      <x:c r="G164" s="8"/>
      <x:c r="H164" s="8" t="str">
        <x:v>Найти точную поверхность и проверить доступ; записать границы дат и пагинации.</x:v>
      </x:c>
    </x:row>
    <x:row r="165" ht="34.5" customHeight="1">
      <x:c r="A165" s="8" t="str">
        <x:v>FD-S088</x:v>
      </x:c>
      <x:c r="B165" s="8" t="str">
        <x:v>HR Казахстан — чат HR-специалистов</x:v>
      </x:c>
      <x:c r="C165" s="8" t="str">
        <x:v>pinned_or_partner_pages</x:v>
      </x:c>
      <x:c r="D165" s="8" t="str">
        <x:v>not_checked</x:v>
      </x:c>
      <x:c r="E165" s="8" t="str">
        <x:v>not_established</x:v>
      </x:c>
      <x:c r="F165" s="8" t="str">
        <x:v>https://t.me/hrkaz</x:v>
      </x:c>
      <x:c r="G165" s="8"/>
      <x:c r="H165" s="8" t="str">
        <x:v>Найти точную поверхность и проверить доступ; записать границы дат и пагинации.</x:v>
      </x:c>
    </x:row>
    <x:row r="166" ht="34.5" customHeight="1">
      <x:c r="A166" s="8" t="str">
        <x:v>FD-S088</x:v>
      </x:c>
      <x:c r="B166" s="8" t="str">
        <x:v>HR Казахстан — чат HR-специалистов</x:v>
      </x:c>
      <x:c r="C166" s="8" t="str">
        <x:v>author_or_buyer_profile</x:v>
      </x:c>
      <x:c r="D166" s="8" t="str">
        <x:v>not_checked</x:v>
      </x:c>
      <x:c r="E166" s="8" t="str">
        <x:v>not_established</x:v>
      </x:c>
      <x:c r="F166" s="8" t="str">
        <x:v>https://t.me/hrkaz</x:v>
      </x:c>
      <x:c r="G166" s="8"/>
      <x:c r="H166" s="8" t="str">
        <x:v>Найти точную поверхность и проверить доступ; записать границы дат и пагинации.</x:v>
      </x:c>
    </x:row>
    <x:row r="167" ht="34.5" customHeight="1">
      <x:c r="A167" s="8" t="str">
        <x:v>FD-S088</x:v>
      </x:c>
      <x:c r="B167" s="8" t="str">
        <x:v>HR Казахстан — чат HR-специалистов</x:v>
      </x:c>
      <x:c r="C167" s="8" t="str">
        <x:v>outbound_primary_links</x:v>
      </x:c>
      <x:c r="D167" s="8" t="str">
        <x:v>not_checked</x:v>
      </x:c>
      <x:c r="E167" s="8" t="str">
        <x:v>not_established</x:v>
      </x:c>
      <x:c r="F167" s="8" t="str">
        <x:v>https://t.me/hrkaz</x:v>
      </x:c>
      <x:c r="G167" s="8"/>
      <x:c r="H167" s="8" t="str">
        <x:v>Найти точную поверхность и проверить доступ; записать границы дат и пагинации.</x:v>
      </x:c>
    </x:row>
    <x:row r="168" ht="34.5" customHeight="1">
      <x:c r="A168" s="8" t="str">
        <x:v>FD-S091</x:v>
      </x:c>
      <x:c r="B168" s="8" t="str">
        <x:v>HR Breakfast Belarus — основной чат</x:v>
      </x:c>
      <x:c r="C168" s="8" t="str">
        <x:v>feed_or_requests</x:v>
      </x:c>
      <x:c r="D168" s="8" t="str">
        <x:v>reader_error</x:v>
      </x:c>
      <x:c r="E168" s="8" t="str">
        <x:v>not_established</x:v>
      </x:c>
      <x:c r="F168" s="8" t="str">
        <x:v>https://t.me/HRBreakfast</x:v>
      </x:c>
      <x:c r="G168" s="8" t="str">
        <x:v>https://t.me/HRBreakfast</x:v>
      </x:c>
      <x:c r="H168" s="8" t="str">
        <x:v>Найти точную поверхность и проверить доступ; записать границы дат и пагинации.</x:v>
      </x:c>
    </x:row>
    <x:row r="169" ht="34.5" customHeight="1">
      <x:c r="A169" s="8" t="str">
        <x:v>FD-S091</x:v>
      </x:c>
      <x:c r="B169" s="8" t="str">
        <x:v>HR Breakfast Belarus — основной чат</x:v>
      </x:c>
      <x:c r="C169" s="8" t="str">
        <x:v>comments_or_discussions</x:v>
      </x:c>
      <x:c r="D169" s="8" t="str">
        <x:v>not_checked</x:v>
      </x:c>
      <x:c r="E169" s="8" t="str">
        <x:v>not_established</x:v>
      </x:c>
      <x:c r="F169" s="8" t="str">
        <x:v>https://t.me/HRBreakfast</x:v>
      </x:c>
      <x:c r="G169" s="8"/>
      <x:c r="H169" s="8" t="str">
        <x:v>Найти точную поверхность и проверить доступ; записать границы дат и пагинации.</x:v>
      </x:c>
    </x:row>
    <x:row r="170" ht="34.5" customHeight="1">
      <x:c r="A170" s="8" t="str">
        <x:v>FD-S091</x:v>
      </x:c>
      <x:c r="B170" s="8" t="str">
        <x:v>HR Breakfast Belarus — основной чат</x:v>
      </x:c>
      <x:c r="C170" s="8" t="str">
        <x:v>attachments</x:v>
      </x:c>
      <x:c r="D170" s="8" t="str">
        <x:v>not_checked</x:v>
      </x:c>
      <x:c r="E170" s="8" t="str">
        <x:v>not_established</x:v>
      </x:c>
      <x:c r="F170" s="8" t="str">
        <x:v>https://t.me/HRBreakfast</x:v>
      </x:c>
      <x:c r="G170" s="8"/>
      <x:c r="H170" s="8" t="str">
        <x:v>Найти точную поверхность и проверить доступ; записать границы дат и пагинации.</x:v>
      </x:c>
    </x:row>
    <x:row r="171" ht="34.5" customHeight="1">
      <x:c r="A171" s="8" t="str">
        <x:v>FD-S091</x:v>
      </x:c>
      <x:c r="B171" s="8" t="str">
        <x:v>HR Breakfast Belarus — основной чат</x:v>
      </x:c>
      <x:c r="C171" s="8" t="str">
        <x:v>pinned_or_partner_pages</x:v>
      </x:c>
      <x:c r="D171" s="8" t="str">
        <x:v>not_checked</x:v>
      </x:c>
      <x:c r="E171" s="8" t="str">
        <x:v>not_established</x:v>
      </x:c>
      <x:c r="F171" s="8" t="str">
        <x:v>https://t.me/HRBreakfast</x:v>
      </x:c>
      <x:c r="G171" s="8"/>
      <x:c r="H171" s="8" t="str">
        <x:v>Найти точную поверхность и проверить доступ; записать границы дат и пагинации.</x:v>
      </x:c>
    </x:row>
    <x:row r="172" ht="34.5" customHeight="1">
      <x:c r="A172" s="8" t="str">
        <x:v>FD-S091</x:v>
      </x:c>
      <x:c r="B172" s="8" t="str">
        <x:v>HR Breakfast Belarus — основной чат</x:v>
      </x:c>
      <x:c r="C172" s="8" t="str">
        <x:v>author_or_buyer_profile</x:v>
      </x:c>
      <x:c r="D172" s="8" t="str">
        <x:v>not_checked</x:v>
      </x:c>
      <x:c r="E172" s="8" t="str">
        <x:v>not_established</x:v>
      </x:c>
      <x:c r="F172" s="8" t="str">
        <x:v>https://t.me/HRBreakfast</x:v>
      </x:c>
      <x:c r="G172" s="8"/>
      <x:c r="H172" s="8" t="str">
        <x:v>Найти точную поверхность и проверить доступ; записать границы дат и пагинации.</x:v>
      </x:c>
    </x:row>
    <x:row r="173" ht="34.5" customHeight="1">
      <x:c r="A173" s="8" t="str">
        <x:v>FD-S091</x:v>
      </x:c>
      <x:c r="B173" s="8" t="str">
        <x:v>HR Breakfast Belarus — основной чат</x:v>
      </x:c>
      <x:c r="C173" s="8" t="str">
        <x:v>outbound_primary_links</x:v>
      </x:c>
      <x:c r="D173" s="8" t="str">
        <x:v>not_checked</x:v>
      </x:c>
      <x:c r="E173" s="8" t="str">
        <x:v>not_established</x:v>
      </x:c>
      <x:c r="F173" s="8" t="str">
        <x:v>https://t.me/HRBreakfast</x:v>
      </x:c>
      <x:c r="G173" s="8"/>
      <x:c r="H173" s="8" t="str">
        <x:v>Найти точную поверхность и проверить доступ; записать границы дат и пагинации.</x:v>
      </x:c>
    </x:row>
    <x:row r="174" ht="34.5" customHeight="1">
      <x:c r="A174" s="8" t="str">
        <x:v>FD-S093</x:v>
      </x:c>
      <x:c r="B174" s="8" t="str">
        <x:v>МЦФЭР Казахстан — приглашение лекторов семинаров</x:v>
      </x:c>
      <x:c r="C174" s="8" t="str">
        <x:v>feed_or_requests</x:v>
      </x:c>
      <x:c r="D174" s="8" t="str">
        <x:v>reader_error</x:v>
      </x:c>
      <x:c r="E174" s="8" t="str">
        <x:v>not_established</x:v>
      </x:c>
      <x:c r="F174" s="8" t="str">
        <x:v>https://seminar.mcfr.kz/sotrudnichesrvo</x:v>
      </x:c>
      <x:c r="G174" s="8" t="str">
        <x:v>https://seminar.mcfr.kz/sotrudnichesrvo</x:v>
      </x:c>
      <x:c r="H174" s="8" t="str">
        <x:v>Найти точную поверхность и проверить доступ; записать границы дат и пагинации.</x:v>
      </x:c>
    </x:row>
    <x:row r="175" ht="34.5" customHeight="1">
      <x:c r="A175" s="8" t="str">
        <x:v>FD-S093</x:v>
      </x:c>
      <x:c r="B175" s="8" t="str">
        <x:v>МЦФЭР Казахстан — приглашение лекторов семинаров</x:v>
      </x:c>
      <x:c r="C175" s="8" t="str">
        <x:v>comments_or_discussions</x:v>
      </x:c>
      <x:c r="D175" s="8" t="str">
        <x:v>not_checked</x:v>
      </x:c>
      <x:c r="E175" s="8" t="str">
        <x:v>not_established</x:v>
      </x:c>
      <x:c r="F175" s="8" t="str">
        <x:v>https://seminar.mcfr.kz/sotrudnichesrvo</x:v>
      </x:c>
      <x:c r="G175" s="8"/>
      <x:c r="H175" s="8" t="str">
        <x:v>Найти точную поверхность и проверить доступ; записать границы дат и пагинации.</x:v>
      </x:c>
    </x:row>
    <x:row r="176" ht="34.5" customHeight="1">
      <x:c r="A176" s="8" t="str">
        <x:v>FD-S093</x:v>
      </x:c>
      <x:c r="B176" s="8" t="str">
        <x:v>МЦФЭР Казахстан — приглашение лекторов семинаров</x:v>
      </x:c>
      <x:c r="C176" s="8" t="str">
        <x:v>attachments</x:v>
      </x:c>
      <x:c r="D176" s="8" t="str">
        <x:v>not_checked</x:v>
      </x:c>
      <x:c r="E176" s="8" t="str">
        <x:v>not_established</x:v>
      </x:c>
      <x:c r="F176" s="8" t="str">
        <x:v>https://seminar.mcfr.kz/sotrudnichesrvo</x:v>
      </x:c>
      <x:c r="G176" s="8"/>
      <x:c r="H176" s="8" t="str">
        <x:v>Найти точную поверхность и проверить доступ; записать границы дат и пагинации.</x:v>
      </x:c>
    </x:row>
    <x:row r="177" ht="34.5" customHeight="1">
      <x:c r="A177" s="8" t="str">
        <x:v>FD-S093</x:v>
      </x:c>
      <x:c r="B177" s="8" t="str">
        <x:v>МЦФЭР Казахстан — приглашение лекторов семинаров</x:v>
      </x:c>
      <x:c r="C177" s="8" t="str">
        <x:v>pinned_or_partner_pages</x:v>
      </x:c>
      <x:c r="D177" s="8" t="str">
        <x:v>not_checked</x:v>
      </x:c>
      <x:c r="E177" s="8" t="str">
        <x:v>not_established</x:v>
      </x:c>
      <x:c r="F177" s="8" t="str">
        <x:v>https://seminar.mcfr.kz/sotrudnichesrvo</x:v>
      </x:c>
      <x:c r="G177" s="8"/>
      <x:c r="H177" s="8" t="str">
        <x:v>Найти точную поверхность и проверить доступ; записать границы дат и пагинации.</x:v>
      </x:c>
    </x:row>
    <x:row r="178" ht="34.5" customHeight="1">
      <x:c r="A178" s="8" t="str">
        <x:v>FD-S093</x:v>
      </x:c>
      <x:c r="B178" s="8" t="str">
        <x:v>МЦФЭР Казахстан — приглашение лекторов семинаров</x:v>
      </x:c>
      <x:c r="C178" s="8" t="str">
        <x:v>author_or_buyer_profile</x:v>
      </x:c>
      <x:c r="D178" s="8" t="str">
        <x:v>not_checked</x:v>
      </x:c>
      <x:c r="E178" s="8" t="str">
        <x:v>not_established</x:v>
      </x:c>
      <x:c r="F178" s="8" t="str">
        <x:v>https://seminar.mcfr.kz/sotrudnichesrvo</x:v>
      </x:c>
      <x:c r="G178" s="8"/>
      <x:c r="H178" s="8" t="str">
        <x:v>Найти точную поверхность и проверить доступ; записать границы дат и пагинации.</x:v>
      </x:c>
    </x:row>
    <x:row r="179" ht="34.5" customHeight="1">
      <x:c r="A179" s="8" t="str">
        <x:v>FD-S093</x:v>
      </x:c>
      <x:c r="B179" s="8" t="str">
        <x:v>МЦФЭР Казахстан — приглашение лекторов семинаров</x:v>
      </x:c>
      <x:c r="C179" s="8" t="str">
        <x:v>outbound_primary_links</x:v>
      </x:c>
      <x:c r="D179" s="8" t="str">
        <x:v>not_checked</x:v>
      </x:c>
      <x:c r="E179" s="8" t="str">
        <x:v>not_established</x:v>
      </x:c>
      <x:c r="F179" s="8" t="str">
        <x:v>https://seminar.mcfr.kz/sotrudnichesrvo</x:v>
      </x:c>
      <x:c r="G179" s="8"/>
      <x:c r="H179" s="8" t="str">
        <x:v>Найти точную поверхность и проверить доступ; записать границы дат и пагинации.</x:v>
      </x:c>
    </x:row>
    <x:row r="180" ht="34.5" customHeight="1">
      <x:c r="A180" s="8" t="str">
        <x:v>FD-S097</x:v>
      </x:c>
      <x:c r="B180" s="8" t="str">
        <x:v>БелАБ — обучение и аттестация бухгалтеров</x:v>
      </x:c>
      <x:c r="C180" s="8" t="str">
        <x:v>feed_or_requests</x:v>
      </x:c>
      <x:c r="D180" s="8" t="str">
        <x:v>provider_offer</x:v>
      </x:c>
      <x:c r="E180" s="8" t="str">
        <x:v>not_established</x:v>
      </x:c>
      <x:c r="F180" s="8" t="str">
        <x:v>https://www.belab.by/education</x:v>
      </x:c>
      <x:c r="G180" s="8" t="str">
        <x:v>https://www.belab.by/education</x:v>
      </x:c>
      <x:c r="H180" s="8" t="str">
        <x:v>Найти точную поверхность и проверить доступ; записать границы дат и пагинации.</x:v>
      </x:c>
    </x:row>
    <x:row r="181" ht="34.5" customHeight="1">
      <x:c r="A181" s="8" t="str">
        <x:v>FD-S097</x:v>
      </x:c>
      <x:c r="B181" s="8" t="str">
        <x:v>БелАБ — обучение и аттестация бухгалтеров</x:v>
      </x:c>
      <x:c r="C181" s="8" t="str">
        <x:v>comments_or_discussions</x:v>
      </x:c>
      <x:c r="D181" s="8" t="str">
        <x:v>not_checked</x:v>
      </x:c>
      <x:c r="E181" s="8" t="str">
        <x:v>not_established</x:v>
      </x:c>
      <x:c r="F181" s="8" t="str">
        <x:v>https://www.belab.by/education</x:v>
      </x:c>
      <x:c r="G181" s="8"/>
      <x:c r="H181" s="8" t="str">
        <x:v>Найти точную поверхность и проверить доступ; записать границы дат и пагинации.</x:v>
      </x:c>
    </x:row>
    <x:row r="182" ht="34.5" customHeight="1">
      <x:c r="A182" s="8" t="str">
        <x:v>FD-S097</x:v>
      </x:c>
      <x:c r="B182" s="8" t="str">
        <x:v>БелАБ — обучение и аттестация бухгалтеров</x:v>
      </x:c>
      <x:c r="C182" s="8" t="str">
        <x:v>attachments</x:v>
      </x:c>
      <x:c r="D182" s="8" t="str">
        <x:v>not_checked</x:v>
      </x:c>
      <x:c r="E182" s="8" t="str">
        <x:v>not_established</x:v>
      </x:c>
      <x:c r="F182" s="8" t="str">
        <x:v>https://www.belab.by/education</x:v>
      </x:c>
      <x:c r="G182" s="8"/>
      <x:c r="H182" s="8" t="str">
        <x:v>Найти точную поверхность и проверить доступ; записать границы дат и пагинации.</x:v>
      </x:c>
    </x:row>
    <x:row r="183" ht="34.5" customHeight="1">
      <x:c r="A183" s="8" t="str">
        <x:v>FD-S097</x:v>
      </x:c>
      <x:c r="B183" s="8" t="str">
        <x:v>БелАБ — обучение и аттестация бухгалтеров</x:v>
      </x:c>
      <x:c r="C183" s="8" t="str">
        <x:v>pinned_or_partner_pages</x:v>
      </x:c>
      <x:c r="D183" s="8" t="str">
        <x:v>not_checked</x:v>
      </x:c>
      <x:c r="E183" s="8" t="str">
        <x:v>not_established</x:v>
      </x:c>
      <x:c r="F183" s="8" t="str">
        <x:v>https://www.belab.by/education</x:v>
      </x:c>
      <x:c r="G183" s="8"/>
      <x:c r="H183" s="8" t="str">
        <x:v>Найти точную поверхность и проверить доступ; записать границы дат и пагинации.</x:v>
      </x:c>
    </x:row>
    <x:row r="184" ht="34.5" customHeight="1">
      <x:c r="A184" s="8" t="str">
        <x:v>FD-S097</x:v>
      </x:c>
      <x:c r="B184" s="8" t="str">
        <x:v>БелАБ — обучение и аттестация бухгалтеров</x:v>
      </x:c>
      <x:c r="C184" s="8" t="str">
        <x:v>author_or_buyer_profile</x:v>
      </x:c>
      <x:c r="D184" s="8" t="str">
        <x:v>not_checked</x:v>
      </x:c>
      <x:c r="E184" s="8" t="str">
        <x:v>not_established</x:v>
      </x:c>
      <x:c r="F184" s="8" t="str">
        <x:v>https://www.belab.by/education</x:v>
      </x:c>
      <x:c r="G184" s="8"/>
      <x:c r="H184" s="8" t="str">
        <x:v>Найти точную поверхность и проверить доступ; записать границы дат и пагинации.</x:v>
      </x:c>
    </x:row>
    <x:row r="185" ht="34.5" customHeight="1">
      <x:c r="A185" s="8" t="str">
        <x:v>FD-S097</x:v>
      </x:c>
      <x:c r="B185" s="8" t="str">
        <x:v>БелАБ — обучение и аттестация бухгалтеров</x:v>
      </x:c>
      <x:c r="C185" s="8" t="str">
        <x:v>outbound_primary_links</x:v>
      </x:c>
      <x:c r="D185" s="8" t="str">
        <x:v>not_checked</x:v>
      </x:c>
      <x:c r="E185" s="8" t="str">
        <x:v>not_established</x:v>
      </x:c>
      <x:c r="F185" s="8" t="str">
        <x:v>https://www.belab.by/education</x:v>
      </x:c>
      <x:c r="G185" s="8"/>
      <x:c r="H185" s="8" t="str">
        <x:v>Найти точную поверхность и проверить доступ; записать границы дат и пагинации.</x:v>
      </x:c>
    </x:row>
    <x:row r="186" ht="34.5" customHeight="1">
      <x:c r="A186" s="8" t="str">
        <x:v>FD-S099</x:v>
      </x:c>
      <x:c r="B186" s="8" t="str">
        <x:v>Могилевское отделение БелТПП — деловые визиты и семинары</x:v>
      </x:c>
      <x:c r="C186" s="8" t="str">
        <x:v>feed_or_requests</x:v>
      </x:c>
      <x:c r="D186" s="8" t="str">
        <x:v>not_checked</x:v>
      </x:c>
      <x:c r="E186" s="8" t="str">
        <x:v>not_established</x:v>
      </x:c>
      <x:c r="F186" s="8" t="str">
        <x:v>https://mogilevcci.by/organization-of-visits-and-receptions/</x:v>
      </x:c>
      <x:c r="G186" s="8"/>
      <x:c r="H186" s="8" t="str">
        <x:v>Найти точную поверхность и проверить доступ; записать границы дат и пагинации.</x:v>
      </x:c>
    </x:row>
    <x:row r="187" ht="34.5" customHeight="1">
      <x:c r="A187" s="8" t="str">
        <x:v>FD-S099</x:v>
      </x:c>
      <x:c r="B187" s="8" t="str">
        <x:v>Могилевское отделение БелТПП — деловые визиты и семинары</x:v>
      </x:c>
      <x:c r="C187" s="8" t="str">
        <x:v>comments_or_discussions</x:v>
      </x:c>
      <x:c r="D187" s="8" t="str">
        <x:v>not_checked</x:v>
      </x:c>
      <x:c r="E187" s="8" t="str">
        <x:v>not_established</x:v>
      </x:c>
      <x:c r="F187" s="8" t="str">
        <x:v>https://mogilevcci.by/organization-of-visits-and-receptions/</x:v>
      </x:c>
      <x:c r="G187" s="8"/>
      <x:c r="H187" s="8" t="str">
        <x:v>Найти точную поверхность и проверить доступ; записать границы дат и пагинации.</x:v>
      </x:c>
    </x:row>
    <x:row r="188" ht="34.5" customHeight="1">
      <x:c r="A188" s="8" t="str">
        <x:v>FD-S099</x:v>
      </x:c>
      <x:c r="B188" s="8" t="str">
        <x:v>Могилевское отделение БелТПП — деловые визиты и семинары</x:v>
      </x:c>
      <x:c r="C188" s="8" t="str">
        <x:v>attachments</x:v>
      </x:c>
      <x:c r="D188" s="8" t="str">
        <x:v>not_checked</x:v>
      </x:c>
      <x:c r="E188" s="8" t="str">
        <x:v>not_established</x:v>
      </x:c>
      <x:c r="F188" s="8" t="str">
        <x:v>https://mogilevcci.by/organization-of-visits-and-receptions/</x:v>
      </x:c>
      <x:c r="G188" s="8"/>
      <x:c r="H188" s="8" t="str">
        <x:v>Найти точную поверхность и проверить доступ; записать границы дат и пагинации.</x:v>
      </x:c>
    </x:row>
    <x:row r="189" ht="34.5" customHeight="1">
      <x:c r="A189" s="8" t="str">
        <x:v>FD-S099</x:v>
      </x:c>
      <x:c r="B189" s="8" t="str">
        <x:v>Могилевское отделение БелТПП — деловые визиты и семинары</x:v>
      </x:c>
      <x:c r="C189" s="8" t="str">
        <x:v>pinned_or_partner_pages</x:v>
      </x:c>
      <x:c r="D189" s="8" t="str">
        <x:v>not_checked</x:v>
      </x:c>
      <x:c r="E189" s="8" t="str">
        <x:v>not_established</x:v>
      </x:c>
      <x:c r="F189" s="8" t="str">
        <x:v>https://mogilevcci.by/organization-of-visits-and-receptions/</x:v>
      </x:c>
      <x:c r="G189" s="8"/>
      <x:c r="H189" s="8" t="str">
        <x:v>Найти точную поверхность и проверить доступ; записать границы дат и пагинации.</x:v>
      </x:c>
    </x:row>
    <x:row r="190" ht="34.5" customHeight="1">
      <x:c r="A190" s="8" t="str">
        <x:v>FD-S099</x:v>
      </x:c>
      <x:c r="B190" s="8" t="str">
        <x:v>Могилевское отделение БелТПП — деловые визиты и семинары</x:v>
      </x:c>
      <x:c r="C190" s="8" t="str">
        <x:v>author_or_buyer_profile</x:v>
      </x:c>
      <x:c r="D190" s="8" t="str">
        <x:v>not_checked</x:v>
      </x:c>
      <x:c r="E190" s="8" t="str">
        <x:v>not_established</x:v>
      </x:c>
      <x:c r="F190" s="8" t="str">
        <x:v>https://mogilevcci.by/organization-of-visits-and-receptions/</x:v>
      </x:c>
      <x:c r="G190" s="8"/>
      <x:c r="H190" s="8" t="str">
        <x:v>Найти точную поверхность и проверить доступ; записать границы дат и пагинации.</x:v>
      </x:c>
    </x:row>
    <x:row r="191" ht="34.5" customHeight="1">
      <x:c r="A191" s="8" t="str">
        <x:v>FD-S099</x:v>
      </x:c>
      <x:c r="B191" s="8" t="str">
        <x:v>Могилевское отделение БелТПП — деловые визиты и семинары</x:v>
      </x:c>
      <x:c r="C191" s="8" t="str">
        <x:v>outbound_primary_links</x:v>
      </x:c>
      <x:c r="D191" s="8" t="str">
        <x:v>not_checked</x:v>
      </x:c>
      <x:c r="E191" s="8" t="str">
        <x:v>not_established</x:v>
      </x:c>
      <x:c r="F191" s="8" t="str">
        <x:v>https://mogilevcci.by/organization-of-visits-and-receptions/</x:v>
      </x:c>
      <x:c r="G191" s="8"/>
      <x:c r="H191" s="8" t="str">
        <x:v>Найти точную поверхность и проверить доступ; записать границы дат и пагинации.</x:v>
      </x:c>
    </x:row>
    <x:row r="192" ht="34.5" customHeight="1">
      <x:c r="A192" s="8" t="str">
        <x:v>FD-S102</x:v>
      </x:c>
      <x:c r="B192" s="8" t="str">
        <x:v>ASSET HR — HR-Forum Central Asia</x:v>
      </x:c>
      <x:c r="C192" s="8" t="str">
        <x:v>feed_or_requests</x:v>
      </x:c>
      <x:c r="D192" s="8" t="str">
        <x:v>not_checked</x:v>
      </x:c>
      <x:c r="E192" s="8" t="str">
        <x:v>not_established</x:v>
      </x:c>
      <x:c r="F192" s="8" t="str">
        <x:v>https://forum.assethr.kz/</x:v>
      </x:c>
      <x:c r="G192" s="8"/>
      <x:c r="H192" s="8" t="str">
        <x:v>Найти точную поверхность и проверить доступ; записать границы дат и пагинации.</x:v>
      </x:c>
    </x:row>
    <x:row r="193" ht="34.5" customHeight="1">
      <x:c r="A193" s="8" t="str">
        <x:v>FD-S102</x:v>
      </x:c>
      <x:c r="B193" s="8" t="str">
        <x:v>ASSET HR — HR-Forum Central Asia</x:v>
      </x:c>
      <x:c r="C193" s="8" t="str">
        <x:v>comments_or_discussions</x:v>
      </x:c>
      <x:c r="D193" s="8" t="str">
        <x:v>not_checked</x:v>
      </x:c>
      <x:c r="E193" s="8" t="str">
        <x:v>not_established</x:v>
      </x:c>
      <x:c r="F193" s="8" t="str">
        <x:v>https://forum.assethr.kz/</x:v>
      </x:c>
      <x:c r="G193" s="8"/>
      <x:c r="H193" s="8" t="str">
        <x:v>Найти точную поверхность и проверить доступ; записать границы дат и пагинации.</x:v>
      </x:c>
    </x:row>
    <x:row r="194" ht="34.5" customHeight="1">
      <x:c r="A194" s="8" t="str">
        <x:v>FD-S102</x:v>
      </x:c>
      <x:c r="B194" s="8" t="str">
        <x:v>ASSET HR — HR-Forum Central Asia</x:v>
      </x:c>
      <x:c r="C194" s="8" t="str">
        <x:v>attachments</x:v>
      </x:c>
      <x:c r="D194" s="8" t="str">
        <x:v>not_checked</x:v>
      </x:c>
      <x:c r="E194" s="8" t="str">
        <x:v>not_established</x:v>
      </x:c>
      <x:c r="F194" s="8" t="str">
        <x:v>https://forum.assethr.kz/</x:v>
      </x:c>
      <x:c r="G194" s="8"/>
      <x:c r="H194" s="8" t="str">
        <x:v>Найти точную поверхность и проверить доступ; записать границы дат и пагинации.</x:v>
      </x:c>
    </x:row>
    <x:row r="195" ht="34.5" customHeight="1">
      <x:c r="A195" s="8" t="str">
        <x:v>FD-S102</x:v>
      </x:c>
      <x:c r="B195" s="8" t="str">
        <x:v>ASSET HR — HR-Forum Central Asia</x:v>
      </x:c>
      <x:c r="C195" s="8" t="str">
        <x:v>pinned_or_partner_pages</x:v>
      </x:c>
      <x:c r="D195" s="8" t="str">
        <x:v>not_checked</x:v>
      </x:c>
      <x:c r="E195" s="8" t="str">
        <x:v>not_established</x:v>
      </x:c>
      <x:c r="F195" s="8" t="str">
        <x:v>https://forum.assethr.kz/</x:v>
      </x:c>
      <x:c r="G195" s="8"/>
      <x:c r="H195" s="8" t="str">
        <x:v>Найти точную поверхность и проверить доступ; записать границы дат и пагинации.</x:v>
      </x:c>
    </x:row>
    <x:row r="196" ht="34.5" customHeight="1">
      <x:c r="A196" s="8" t="str">
        <x:v>FD-S102</x:v>
      </x:c>
      <x:c r="B196" s="8" t="str">
        <x:v>ASSET HR — HR-Forum Central Asia</x:v>
      </x:c>
      <x:c r="C196" s="8" t="str">
        <x:v>author_or_buyer_profile</x:v>
      </x:c>
      <x:c r="D196" s="8" t="str">
        <x:v>not_checked</x:v>
      </x:c>
      <x:c r="E196" s="8" t="str">
        <x:v>not_established</x:v>
      </x:c>
      <x:c r="F196" s="8" t="str">
        <x:v>https://forum.assethr.kz/</x:v>
      </x:c>
      <x:c r="G196" s="8"/>
      <x:c r="H196" s="8" t="str">
        <x:v>Найти точную поверхность и проверить доступ; записать границы дат и пагинации.</x:v>
      </x:c>
    </x:row>
    <x:row r="197" ht="34.5" customHeight="1">
      <x:c r="A197" s="8" t="str">
        <x:v>FD-S102</x:v>
      </x:c>
      <x:c r="B197" s="8" t="str">
        <x:v>ASSET HR — HR-Forum Central Asia</x:v>
      </x:c>
      <x:c r="C197" s="8" t="str">
        <x:v>outbound_primary_links</x:v>
      </x:c>
      <x:c r="D197" s="8" t="str">
        <x:v>not_checked</x:v>
      </x:c>
      <x:c r="E197" s="8" t="str">
        <x:v>not_established</x:v>
      </x:c>
      <x:c r="F197" s="8" t="str">
        <x:v>https://forum.assethr.kz/</x:v>
      </x:c>
      <x:c r="G197" s="8"/>
      <x:c r="H197" s="8" t="str">
        <x:v>Найти точную поверхность и проверить доступ; записать границы дат и пагинации.</x:v>
      </x:c>
    </x:row>
    <x:row r="198" ht="34.5" customHeight="1">
      <x:c r="A198" s="8" t="str">
        <x:v>FD-S105</x:v>
      </x:c>
      <x:c r="B198" s="8" t="str">
        <x:v>Astana Hub Education — программы и авторы курсов</x:v>
      </x:c>
      <x:c r="C198" s="8" t="str">
        <x:v>feed_or_requests</x:v>
      </x:c>
      <x:c r="D198" s="8" t="str">
        <x:v>empty_extraction</x:v>
      </x:c>
      <x:c r="E198" s="8" t="str">
        <x:v>not_established</x:v>
      </x:c>
      <x:c r="F198" s="8" t="str">
        <x:v>https://edu.astanahub.com/</x:v>
      </x:c>
      <x:c r="G198" s="8" t="str">
        <x:v>https://edu.astanahub.com/</x:v>
      </x:c>
      <x:c r="H198" s="8" t="str">
        <x:v>Найти точную поверхность и проверить доступ; записать границы дат и пагинации.</x:v>
      </x:c>
    </x:row>
    <x:row r="199" ht="34.5" customHeight="1">
      <x:c r="A199" s="8" t="str">
        <x:v>FD-S105</x:v>
      </x:c>
      <x:c r="B199" s="8" t="str">
        <x:v>Astana Hub Education — программы и авторы курсов</x:v>
      </x:c>
      <x:c r="C199" s="8" t="str">
        <x:v>comments_or_discussions</x:v>
      </x:c>
      <x:c r="D199" s="8" t="str">
        <x:v>not_checked</x:v>
      </x:c>
      <x:c r="E199" s="8" t="str">
        <x:v>not_established</x:v>
      </x:c>
      <x:c r="F199" s="8" t="str">
        <x:v>https://edu.astanahub.com/</x:v>
      </x:c>
      <x:c r="G199" s="8"/>
      <x:c r="H199" s="8" t="str">
        <x:v>Найти точную поверхность и проверить доступ; записать границы дат и пагинации.</x:v>
      </x:c>
    </x:row>
    <x:row r="200" ht="34.5" customHeight="1">
      <x:c r="A200" s="8" t="str">
        <x:v>FD-S105</x:v>
      </x:c>
      <x:c r="B200" s="8" t="str">
        <x:v>Astana Hub Education — программы и авторы курсов</x:v>
      </x:c>
      <x:c r="C200" s="8" t="str">
        <x:v>attachments</x:v>
      </x:c>
      <x:c r="D200" s="8" t="str">
        <x:v>not_checked</x:v>
      </x:c>
      <x:c r="E200" s="8" t="str">
        <x:v>not_established</x:v>
      </x:c>
      <x:c r="F200" s="8" t="str">
        <x:v>https://edu.astanahub.com/</x:v>
      </x:c>
      <x:c r="G200" s="8"/>
      <x:c r="H200" s="8" t="str">
        <x:v>Найти точную поверхность и проверить доступ; записать границы дат и пагинации.</x:v>
      </x:c>
    </x:row>
    <x:row r="201" ht="34.5" customHeight="1">
      <x:c r="A201" s="8" t="str">
        <x:v>FD-S105</x:v>
      </x:c>
      <x:c r="B201" s="8" t="str">
        <x:v>Astana Hub Education — программы и авторы курсов</x:v>
      </x:c>
      <x:c r="C201" s="8" t="str">
        <x:v>pinned_or_partner_pages</x:v>
      </x:c>
      <x:c r="D201" s="8" t="str">
        <x:v>not_checked</x:v>
      </x:c>
      <x:c r="E201" s="8" t="str">
        <x:v>not_established</x:v>
      </x:c>
      <x:c r="F201" s="8" t="str">
        <x:v>https://edu.astanahub.com/</x:v>
      </x:c>
      <x:c r="G201" s="8"/>
      <x:c r="H201" s="8" t="str">
        <x:v>Найти точную поверхность и проверить доступ; записать границы дат и пагинации.</x:v>
      </x:c>
    </x:row>
    <x:row r="202" ht="34.5" customHeight="1">
      <x:c r="A202" s="8" t="str">
        <x:v>FD-S105</x:v>
      </x:c>
      <x:c r="B202" s="8" t="str">
        <x:v>Astana Hub Education — программы и авторы курсов</x:v>
      </x:c>
      <x:c r="C202" s="8" t="str">
        <x:v>author_or_buyer_profile</x:v>
      </x:c>
      <x:c r="D202" s="8" t="str">
        <x:v>not_checked</x:v>
      </x:c>
      <x:c r="E202" s="8" t="str">
        <x:v>not_established</x:v>
      </x:c>
      <x:c r="F202" s="8" t="str">
        <x:v>https://edu.astanahub.com/</x:v>
      </x:c>
      <x:c r="G202" s="8"/>
      <x:c r="H202" s="8" t="str">
        <x:v>Найти точную поверхность и проверить доступ; записать границы дат и пагинации.</x:v>
      </x:c>
    </x:row>
    <x:row r="203" ht="34.5" customHeight="1">
      <x:c r="A203" s="8" t="str">
        <x:v>FD-S105</x:v>
      </x:c>
      <x:c r="B203" s="8" t="str">
        <x:v>Astana Hub Education — программы и авторы курсов</x:v>
      </x:c>
      <x:c r="C203" s="8" t="str">
        <x:v>outbound_primary_links</x:v>
      </x:c>
      <x:c r="D203" s="8" t="str">
        <x:v>not_checked</x:v>
      </x:c>
      <x:c r="E203" s="8" t="str">
        <x:v>not_established</x:v>
      </x:c>
      <x:c r="F203" s="8" t="str">
        <x:v>https://edu.astanahub.com/</x:v>
      </x:c>
      <x:c r="G203" s="8"/>
      <x:c r="H203" s="8" t="str">
        <x:v>Найти точную поверхность и проверить доступ; записать границы дат и пагинации.</x:v>
      </x:c>
    </x:row>
  </x:sheetData>
  <x:pageMargins left="0.7" right="0.7" top="0.75" bottom="0.75" header="0.3" footer="0.3"/>
  <x:tableParts count="1">
    <x:tablePart xmlns:r="http://schemas.openxmlformats.org/officeDocument/2006/relationships" r:id="Rf379ae1a56154d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41.11000061035156" hidden="0" customWidth="1"/>
    <x:col min="3" max="3" width="11.670000076293945" hidden="0" customWidth="1"/>
    <x:col min="4" max="4" width="17.219999313354492" hidden="0" customWidth="1"/>
    <x:col min="5" max="5" width="17.780000686645508" hidden="0" customWidth="1"/>
    <x:col min="6" max="6" width="18.889999389648438" hidden="0" customWidth="1"/>
    <x:col min="7" max="7" width="18.889999389648438" hidden="0" customWidth="1"/>
    <x:col min="8" max="8" width="20" hidden="0" customWidth="1"/>
    <x:col min="9" max="9" width="12.220000267028809" hidden="0" customWidth="1"/>
    <x:col min="10" max="10" width="16.110000610351562" hidden="0" customWidth="1"/>
    <x:col min="11" max="11" width="16.110000610351562" hidden="0" customWidth="1"/>
    <x:col min="12" max="12" width="20.559999465942383" hidden="0" customWidth="1"/>
    <x:col min="13" max="13" width="20.559999465942383" hidden="0" customWidth="1"/>
    <x:col min="14" max="14" width="55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136 карточек эффективности источников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.5" customHeight="1">
      <x:c r="A3" s="4" t="str">
        <x:v>Пустые результаты пилота = неизвестно. Исторические находки не являются результатом нового пилота.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3.75" customHeight="1">
      <x:c r="A5" s="7" t="str">
        <x:v>Источник ID</x:v>
      </x:c>
      <x:c r="B5" s="7" t="str">
        <x:v>Название</x:v>
      </x:c>
      <x:c r="C5" s="7" t="str">
        <x:v>В пилоте</x:v>
      </x:c>
      <x:c r="D5" s="7" t="str">
        <x:v>Исторических наблюдений</x:v>
      </x:c>
      <x:c r="E5" s="7" t="str">
        <x:v>Новых наблюдений</x:v>
      </x:c>
      <x:c r="F5" s="7" t="str">
        <x:v>Уникальных возможностей</x:v>
      </x:c>
      <x:c r="G5" s="7" t="str">
        <x:v>Квалифицированных</x:v>
      </x:c>
      <x:c r="H5" s="7" t="str">
        <x:v>Подтверждений покупателя</x:v>
      </x:c>
      <x:c r="I5" s="7" t="str">
        <x:v>Заказов</x:v>
      </x:c>
      <x:c r="J5" s="7" t="str">
        <x:v>Расход, ₽</x:v>
      </x:c>
      <x:c r="K5" s="7" t="str">
        <x:v>Время, мин</x:v>
      </x:c>
      <x:c r="L5" s="7" t="str">
        <x:v>₽ / квалифицированную</x:v>
      </x:c>
      <x:c r="M5" s="7" t="str">
        <x:v>Мин / квалифицированную</x:v>
      </x:c>
      <x:c r="N5" s="7" t="str">
        <x:v>URL</x:v>
      </x:c>
    </x:row>
    <x:row r="6" ht="31.5" customHeight="1">
      <x:c r="A6" s="8" t="str">
        <x:v>FD-S001</x:v>
      </x:c>
      <x:c r="B6" s="8" t="str">
        <x:v>HRTime — заказы на обучение и развитие</x:v>
      </x:c>
      <x:c r="C6" s="8" t="str">
        <x:v>Да</x:v>
      </x:c>
      <x:c r="D6" s="8" t="n">
        <x:v>22</x:v>
      </x:c>
      <x:c r="E6" s="9"/>
      <x:c r="F6" s="9"/>
      <x:c r="G6" s="9"/>
      <x:c r="H6" s="9"/>
      <x:c r="I6" s="9"/>
      <x:c r="J6" s="10"/>
      <x:c r="K6" s="10"/>
      <x:c r="L6" s="11" t="str">
        <x:f>IF(AND(ISNUMBER(J6),ISNUMBER(G6),G6&gt;0),J6/G6,"")</x:f>
      </x:c>
      <x:c r="M6" s="11" t="str">
        <x:f>IF(AND(ISNUMBER(K6),ISNUMBER(G6),G6&gt;0),K6/G6,"")</x:f>
      </x:c>
      <x:c r="N6" s="8" t="str">
        <x:v>https://hrtime.ru/ispolnitelu/</x:v>
      </x:c>
    </x:row>
    <x:row r="7" ht="31.5" customHeight="1">
      <x:c r="A7" s="8" t="str">
        <x:v>FD-S002</x:v>
      </x:c>
      <x:c r="B7" s="8" t="str">
        <x:v>FL.ru — проекты и субподряд</x:v>
      </x:c>
      <x:c r="C7" s="8" t="str">
        <x:v>Да</x:v>
      </x:c>
      <x:c r="D7" s="8" t="n">
        <x:v>2</x:v>
      </x:c>
      <x:c r="E7" s="9"/>
      <x:c r="F7" s="9"/>
      <x:c r="G7" s="9"/>
      <x:c r="H7" s="9"/>
      <x:c r="I7" s="9"/>
      <x:c r="J7" s="10"/>
      <x:c r="K7" s="10"/>
      <x:c r="L7" s="11" t="str">
        <x:f>IF(AND(ISNUMBER(J7),ISNUMBER(G7),G7&gt;0),J7/G7,"")</x:f>
      </x:c>
      <x:c r="M7" s="11" t="str">
        <x:f>IF(AND(ISNUMBER(K7),ISNUMBER(G7),G7&gt;0),K7/G7,"")</x:f>
      </x:c>
      <x:c r="N7" s="8" t="str">
        <x:v>https://www.fl.ru/projects/</x:v>
      </x:c>
    </x:row>
    <x:row r="8" ht="31.5" customHeight="1">
      <x:c r="A8" s="8" t="str">
        <x:v>FD-S003</x:v>
      </x:c>
      <x:c r="B8" s="8" t="str">
        <x:v>Профи — заказы для специалистов</x:v>
      </x:c>
      <x:c r="C8" s="8" t="str">
        <x:v>Нет</x:v>
      </x:c>
      <x:c r="D8" s="8" t="n">
        <x:v>3</x:v>
      </x:c>
      <x:c r="E8" s="9"/>
      <x:c r="F8" s="9"/>
      <x:c r="G8" s="9"/>
      <x:c r="H8" s="9"/>
      <x:c r="I8" s="9"/>
      <x:c r="J8" s="10"/>
      <x:c r="K8" s="10"/>
      <x:c r="L8" s="11" t="str">
        <x:f>IF(AND(ISNUMBER(J8),ISNUMBER(G8),G8&gt;0),J8/G8,"")</x:f>
      </x:c>
      <x:c r="M8" s="11" t="str">
        <x:f>IF(AND(ISNUMBER(K8),ISNUMBER(G8),G8&gt;0),K8/G8,"")</x:f>
      </x:c>
      <x:c r="N8" s="8" t="str">
        <x:v>https://profi.ru/rabota/</x:v>
      </x:c>
    </x:row>
    <x:row r="9" ht="31.5" customHeight="1">
      <x:c r="A9" s="8" t="str">
        <x:v>FD-S004</x:v>
      </x:c>
      <x:c r="B9" s="8" t="str">
        <x:v>YouDo — задания</x:v>
      </x:c>
      <x:c r="C9" s="8" t="str">
        <x:v>Нет</x:v>
      </x:c>
      <x:c r="D9" s="8" t="n">
        <x:v>5</x:v>
      </x:c>
      <x:c r="E9" s="9"/>
      <x:c r="F9" s="9"/>
      <x:c r="G9" s="9"/>
      <x:c r="H9" s="9"/>
      <x:c r="I9" s="9"/>
      <x:c r="J9" s="10"/>
      <x:c r="K9" s="10"/>
      <x:c r="L9" s="11" t="str">
        <x:f>IF(AND(ISNUMBER(J9),ISNUMBER(G9),G9&gt;0),J9/G9,"")</x:f>
      </x:c>
      <x:c r="M9" s="11" t="str">
        <x:f>IF(AND(ISNUMBER(K9),ISNUMBER(G9),G9&gt;0),K9/G9,"")</x:f>
      </x:c>
      <x:c r="N9" s="8" t="str">
        <x:v>https://youdo.com/tasks</x:v>
      </x:c>
    </x:row>
    <x:row r="10" ht="31.5" customHeight="1">
      <x:c r="A10" s="8" t="str">
        <x:v>FD-S005</x:v>
      </x:c>
      <x:c r="B10" s="8" t="str">
        <x:v>Kwork — биржа проектов</x:v>
      </x:c>
      <x:c r="C10" s="8" t="str">
        <x:v>Нет</x:v>
      </x:c>
      <x:c r="D10" s="8" t="n">
        <x:v>0</x:v>
      </x:c>
      <x:c r="E10" s="9"/>
      <x:c r="F10" s="9"/>
      <x:c r="G10" s="9"/>
      <x:c r="H10" s="9"/>
      <x:c r="I10" s="9"/>
      <x:c r="J10" s="10"/>
      <x:c r="K10" s="10"/>
      <x:c r="L10" s="11" t="str">
        <x:f>IF(AND(ISNUMBER(J10),ISNUMBER(G10),G10&gt;0),J10/G10,"")</x:f>
      </x:c>
      <x:c r="M10" s="11" t="str">
        <x:f>IF(AND(ISNUMBER(K10),ISNUMBER(G10),G10&gt;0),K10/G10,"")</x:f>
      </x:c>
      <x:c r="N10" s="8" t="str">
        <x:v>https://kwork.ru/projects</x:v>
      </x:c>
    </x:row>
    <x:row r="11" ht="31.5" customHeight="1">
      <x:c r="A11" s="8" t="str">
        <x:v>FD-S006</x:v>
      </x:c>
      <x:c r="B11" s="8" t="str">
        <x:v>Weblancer — лента проектов</x:v>
      </x:c>
      <x:c r="C11" s="8" t="str">
        <x:v>Нет</x:v>
      </x:c>
      <x:c r="D11" s="8" t="n">
        <x:v>0</x:v>
      </x:c>
      <x:c r="E11" s="9"/>
      <x:c r="F11" s="9"/>
      <x:c r="G11" s="9"/>
      <x:c r="H11" s="9"/>
      <x:c r="I11" s="9"/>
      <x:c r="J11" s="10"/>
      <x:c r="K11" s="10"/>
      <x:c r="L11" s="11" t="str">
        <x:f>IF(AND(ISNUMBER(J11),ISNUMBER(G11),G11&gt;0),J11/G11,"")</x:f>
      </x:c>
      <x:c r="M11" s="11" t="str">
        <x:f>IF(AND(ISNUMBER(K11),ISNUMBER(G11),G11&gt;0),K11/G11,"")</x:f>
      </x:c>
      <x:c r="N11" s="8" t="str">
        <x:v>https://www.weblancer.net/freelance/</x:v>
      </x:c>
    </x:row>
    <x:row r="12" ht="31.5" customHeight="1">
      <x:c r="A12" s="8" t="str">
        <x:v>FD-S007</x:v>
      </x:c>
      <x:c r="B12" s="8" t="str">
        <x:v>СПИКЕРСКАЯ</x:v>
      </x:c>
      <x:c r="C12" s="8" t="str">
        <x:v>Да</x:v>
      </x:c>
      <x:c r="D12" s="8" t="n">
        <x:v>7</x:v>
      </x:c>
      <x:c r="E12" s="9"/>
      <x:c r="F12" s="9"/>
      <x:c r="G12" s="9"/>
      <x:c r="H12" s="9"/>
      <x:c r="I12" s="9"/>
      <x:c r="J12" s="10"/>
      <x:c r="K12" s="10"/>
      <x:c r="L12" s="11" t="str">
        <x:f>IF(AND(ISNUMBER(J12),ISNUMBER(G12),G12&gt;0),J12/G12,"")</x:f>
      </x:c>
      <x:c r="M12" s="11" t="str">
        <x:f>IF(AND(ISNUMBER(K12),ISNUMBER(G12),G12&gt;0),K12/G12,"")</x:f>
      </x:c>
      <x:c r="N12" s="8" t="str">
        <x:v>https://t.me/s/speakers_l</x:v>
      </x:c>
    </x:row>
    <x:row r="13" ht="31.5" customHeight="1">
      <x:c r="A13" s="8" t="str">
        <x:v>FD-S008</x:v>
      </x:c>
      <x:c r="B13" s="8" t="str">
        <x:v>Тренер тренеру — поиск экспертов</x:v>
      </x:c>
      <x:c r="C13" s="8" t="str">
        <x:v>Нет</x:v>
      </x:c>
      <x:c r="D13" s="8" t="n">
        <x:v>13</x:v>
      </x:c>
      <x:c r="E13" s="9"/>
      <x:c r="F13" s="9"/>
      <x:c r="G13" s="9"/>
      <x:c r="H13" s="9"/>
      <x:c r="I13" s="9"/>
      <x:c r="J13" s="10"/>
      <x:c r="K13" s="10"/>
      <x:c r="L13" s="11" t="str">
        <x:f>IF(AND(ISNUMBER(J13),ISNUMBER(G13),G13&gt;0),J13/G13,"")</x:f>
      </x:c>
      <x:c r="M13" s="11" t="str">
        <x:f>IF(AND(ISNUMBER(K13),ISNUMBER(G13),G13&gt;0),K13/G13,"")</x:f>
      </x:c>
      <x:c r="N13" s="8" t="str">
        <x:v>https://t.me/edu_feed</x:v>
      </x:c>
    </x:row>
    <x:row r="14" ht="31.5" customHeight="1">
      <x:c r="A14" s="8" t="str">
        <x:v>FD-S009</x:v>
      </x:c>
      <x:c r="B14" s="8" t="str">
        <x:v>Digital Learning — DL Marketplace</x:v>
      </x:c>
      <x:c r="C14" s="8" t="str">
        <x:v>Да</x:v>
      </x:c>
      <x:c r="D14" s="8" t="n">
        <x:v>0</x:v>
      </x:c>
      <x:c r="E14" s="9"/>
      <x:c r="F14" s="9"/>
      <x:c r="G14" s="9"/>
      <x:c r="H14" s="9"/>
      <x:c r="I14" s="9"/>
      <x:c r="J14" s="10"/>
      <x:c r="K14" s="10"/>
      <x:c r="L14" s="11" t="str">
        <x:f>IF(AND(ISNUMBER(J14),ISNUMBER(G14),G14&gt;0),J14/G14,"")</x:f>
      </x:c>
      <x:c r="M14" s="11" t="str">
        <x:f>IF(AND(ISNUMBER(K14),ISNUMBER(G14),G14&gt;0),K14/G14,"")</x:f>
      </x:c>
      <x:c r="N14" s="8" t="str">
        <x:v>https://t.me/dl_marketplace</x:v>
      </x:c>
    </x:row>
    <x:row r="15" ht="31.5" customHeight="1">
      <x:c r="A15" s="8" t="str">
        <x:v>FD-S010</x:v>
      </x:c>
      <x:c r="B15" s="8" t="str">
        <x:v>Вакансии в образовании — EduJobs</x:v>
      </x:c>
      <x:c r="C15" s="8" t="str">
        <x:v>Нет</x:v>
      </x:c>
      <x:c r="D15" s="8" t="n">
        <x:v>0</x:v>
      </x:c>
      <x:c r="E15" s="9"/>
      <x:c r="F15" s="9"/>
      <x:c r="G15" s="9"/>
      <x:c r="H15" s="9"/>
      <x:c r="I15" s="9"/>
      <x:c r="J15" s="10"/>
      <x:c r="K15" s="10"/>
      <x:c r="L15" s="11" t="str">
        <x:f>IF(AND(ISNUMBER(J15),ISNUMBER(G15),G15&gt;0),J15/G15,"")</x:f>
      </x:c>
      <x:c r="M15" s="11" t="str">
        <x:f>IF(AND(ISNUMBER(K15),ISNUMBER(G15),G15&gt;0),K15/G15,"")</x:f>
      </x:c>
      <x:c r="N15" s="8" t="str">
        <x:v>https://t.me/s/edujobs</x:v>
      </x:c>
    </x:row>
    <x:row r="16" ht="31.5" customHeight="1">
      <x:c r="A16" s="8" t="str">
        <x:v>FD-S011</x:v>
      </x:c>
      <x:c r="B16" s="8" t="str">
        <x:v>BestSpeakers — Telegram с запросами</x:v>
      </x:c>
      <x:c r="C16" s="8" t="str">
        <x:v>Да</x:v>
      </x:c>
      <x:c r="D16" s="8" t="n">
        <x:v>54</x:v>
      </x:c>
      <x:c r="E16" s="9"/>
      <x:c r="F16" s="9"/>
      <x:c r="G16" s="9"/>
      <x:c r="H16" s="9"/>
      <x:c r="I16" s="9"/>
      <x:c r="J16" s="10"/>
      <x:c r="K16" s="10"/>
      <x:c r="L16" s="11" t="str">
        <x:f>IF(AND(ISNUMBER(J16),ISNUMBER(G16),G16&gt;0),J16/G16,"")</x:f>
      </x:c>
      <x:c r="M16" s="11" t="str">
        <x:f>IF(AND(ISNUMBER(K16),ISNUMBER(G16),G16&gt;0),K16/G16,"")</x:f>
      </x:c>
      <x:c r="N16" s="8" t="str">
        <x:v>https://t.me/Project_Best_Speakers</x:v>
      </x:c>
    </x:row>
    <x:row r="17" ht="31.5" customHeight="1">
      <x:c r="A17" s="8" t="str">
        <x:v>FD-S012</x:v>
      </x:c>
      <x:c r="B17" s="8" t="str">
        <x:v>BestSpeakers — профессиональный Telegram-чат</x:v>
      </x:c>
      <x:c r="C17" s="8" t="str">
        <x:v>Нет</x:v>
      </x:c>
      <x:c r="D17" s="8" t="n">
        <x:v>0</x:v>
      </x:c>
      <x:c r="E17" s="9"/>
      <x:c r="F17" s="9"/>
      <x:c r="G17" s="9"/>
      <x:c r="H17" s="9"/>
      <x:c r="I17" s="9"/>
      <x:c r="J17" s="10"/>
      <x:c r="K17" s="10"/>
      <x:c r="L17" s="11" t="str">
        <x:f>IF(AND(ISNUMBER(J17),ISNUMBER(G17),G17&gt;0),J17/G17,"")</x:f>
      </x:c>
      <x:c r="M17" s="11" t="str">
        <x:f>IF(AND(ISNUMBER(K17),ISNUMBER(G17),G17&gt;0),K17/G17,"")</x:f>
      </x:c>
      <x:c r="N17" s="8" t="str">
        <x:v>https://t.me/BestSpeakersRu</x:v>
      </x:c>
    </x:row>
    <x:row r="18" ht="31.5" customHeight="1">
      <x:c r="A18" s="8" t="str">
        <x:v>FD-S013</x:v>
      </x:c>
      <x:c r="B18" s="8" t="str">
        <x:v>Digital Learning — основной новостной Telegram</x:v>
      </x:c>
      <x:c r="C18" s="8" t="str">
        <x:v>Да</x:v>
      </x:c>
      <x:c r="D18" s="8" t="n">
        <x:v>0</x:v>
      </x:c>
      <x:c r="E18" s="9"/>
      <x:c r="F18" s="9"/>
      <x:c r="G18" s="9"/>
      <x:c r="H18" s="9"/>
      <x:c r="I18" s="9"/>
      <x:c r="J18" s="10"/>
      <x:c r="K18" s="10"/>
      <x:c r="L18" s="11" t="str">
        <x:f>IF(AND(ISNUMBER(J18),ISNUMBER(G18),G18&gt;0),J18/G18,"")</x:f>
      </x:c>
      <x:c r="M18" s="11" t="str">
        <x:f>IF(AND(ISNUMBER(K18),ISNUMBER(G18),G18&gt;0),K18/G18,"")</x:f>
      </x:c>
      <x:c r="N18" s="8" t="str">
        <x:v>https://t.me/ielearning</x:v>
      </x:c>
    </x:row>
    <x:row r="19" ht="31.5" customHeight="1">
      <x:c r="A19" s="8" t="str">
        <x:v>FD-S014</x:v>
      </x:c>
      <x:c r="B19" s="8" t="str">
        <x:v>Методический кружок Digital Learning</x:v>
      </x:c>
      <x:c r="C19" s="8" t="str">
        <x:v>Да</x:v>
      </x:c>
      <x:c r="D19" s="8" t="n">
        <x:v>0</x:v>
      </x:c>
      <x:c r="E19" s="9"/>
      <x:c r="F19" s="9"/>
      <x:c r="G19" s="9"/>
      <x:c r="H19" s="9"/>
      <x:c r="I19" s="9"/>
      <x:c r="J19" s="10"/>
      <x:c r="K19" s="10"/>
      <x:c r="L19" s="11" t="str">
        <x:f>IF(AND(ISNUMBER(J19),ISNUMBER(G19),G19&gt;0),J19/G19,"")</x:f>
      </x:c>
      <x:c r="M19" s="11" t="str">
        <x:f>IF(AND(ISNUMBER(K19),ISNUMBER(G19),G19&gt;0),K19/G19,"")</x:f>
      </x:c>
      <x:c r="N19" s="8" t="str">
        <x:v>https://t.me/metod_krug</x:v>
      </x:c>
    </x:row>
    <x:row r="20" ht="31.5" customHeight="1">
      <x:c r="A20" s="8" t="str">
        <x:v>FD-S015</x:v>
      </x:c>
      <x:c r="B20" s="8" t="str">
        <x:v>Лаборатория онлайн-обучения</x:v>
      </x:c>
      <x:c r="C20" s="8" t="str">
        <x:v>Нет</x:v>
      </x:c>
      <x:c r="D20" s="8" t="n">
        <x:v>0</x:v>
      </x:c>
      <x:c r="E20" s="9"/>
      <x:c r="F20" s="9"/>
      <x:c r="G20" s="9"/>
      <x:c r="H20" s="9"/>
      <x:c r="I20" s="9"/>
      <x:c r="J20" s="10"/>
      <x:c r="K20" s="10"/>
      <x:c r="L20" s="11" t="str">
        <x:f>IF(AND(ISNUMBER(J20),ISNUMBER(G20),G20&gt;0),J20/G20,"")</x:f>
      </x:c>
      <x:c r="M20" s="11" t="str">
        <x:f>IF(AND(ISNUMBER(K20),ISNUMBER(G20),G20&gt;0),K20/G20,"")</x:f>
      </x:c>
      <x:c r="N20" s="8" t="str">
        <x:v>https://t.me/educational_lab</x:v>
      </x:c>
    </x:row>
    <x:row r="21" ht="31.5" customHeight="1">
      <x:c r="A21" s="8" t="str">
        <x:v>FD-S016</x:v>
      </x:c>
      <x:c r="B21" s="8" t="str">
        <x:v>Лаборатория вакансий в образовании</x:v>
      </x:c>
      <x:c r="C21" s="8" t="str">
        <x:v>Нет</x:v>
      </x:c>
      <x:c r="D21" s="8" t="n">
        <x:v>1</x:v>
      </x:c>
      <x:c r="E21" s="9"/>
      <x:c r="F21" s="9"/>
      <x:c r="G21" s="9"/>
      <x:c r="H21" s="9"/>
      <x:c r="I21" s="9"/>
      <x:c r="J21" s="10"/>
      <x:c r="K21" s="10"/>
      <x:c r="L21" s="11" t="str">
        <x:f>IF(AND(ISNUMBER(J21),ISNUMBER(G21),G21&gt;0),J21/G21,"")</x:f>
      </x:c>
      <x:c r="M21" s="11" t="str">
        <x:f>IF(AND(ISNUMBER(K21),ISNUMBER(G21),G21&gt;0),K21/G21,"")</x:f>
      </x:c>
      <x:c r="N21" s="8" t="str">
        <x:v>https://t.me/lab_vacancies</x:v>
      </x:c>
    </x:row>
    <x:row r="22" ht="31.5" customHeight="1">
      <x:c r="A22" s="8" t="str">
        <x:v>FD-S017</x:v>
      </x:c>
      <x:c r="B22" s="8" t="str">
        <x:v>Фриланс Таверна — проекты методологов</x:v>
      </x:c>
      <x:c r="C22" s="8" t="str">
        <x:v>Нет</x:v>
      </x:c>
      <x:c r="D22" s="8" t="n">
        <x:v>2</x:v>
      </x:c>
      <x:c r="E22" s="9"/>
      <x:c r="F22" s="9"/>
      <x:c r="G22" s="9"/>
      <x:c r="H22" s="9"/>
      <x:c r="I22" s="9"/>
      <x:c r="J22" s="10"/>
      <x:c r="K22" s="10"/>
      <x:c r="L22" s="11" t="str">
        <x:f>IF(AND(ISNUMBER(J22),ISNUMBER(G22),G22&gt;0),J22/G22,"")</x:f>
      </x:c>
      <x:c r="M22" s="11" t="str">
        <x:f>IF(AND(ISNUMBER(K22),ISNUMBER(G22),G22&gt;0),K22/G22,"")</x:f>
      </x:c>
      <x:c r="N22" s="8" t="str">
        <x:v>https://t.me/freelancetaverna</x:v>
      </x:c>
    </x:row>
    <x:row r="23" ht="31.5" customHeight="1">
      <x:c r="A23" s="8" t="str">
        <x:v>FD-S018</x:v>
      </x:c>
      <x:c r="B23" s="8" t="str">
        <x:v>LessonDelivery — EdTech-чат</x:v>
      </x:c>
      <x:c r="C23" s="8" t="str">
        <x:v>Нет</x:v>
      </x:c>
      <x:c r="D23" s="8" t="n">
        <x:v>0</x:v>
      </x:c>
      <x:c r="E23" s="9"/>
      <x:c r="F23" s="9"/>
      <x:c r="G23" s="9"/>
      <x:c r="H23" s="9"/>
      <x:c r="I23" s="9"/>
      <x:c r="J23" s="10"/>
      <x:c r="K23" s="10"/>
      <x:c r="L23" s="11" t="str">
        <x:f>IF(AND(ISNUMBER(J23),ISNUMBER(G23),G23&gt;0),J23/G23,"")</x:f>
      </x:c>
      <x:c r="M23" s="11" t="str">
        <x:f>IF(AND(ISNUMBER(K23),ISNUMBER(G23),G23&gt;0),K23/G23,"")</x:f>
      </x:c>
      <x:c r="N23" s="8" t="str">
        <x:v>https://t.me/LessonDeliveryChat</x:v>
      </x:c>
    </x:row>
    <x:row r="24" ht="31.5" customHeight="1">
      <x:c r="A24" s="8" t="str">
        <x:v>FD-S019</x:v>
      </x:c>
      <x:c r="B24" s="8" t="str">
        <x:v>JobDelivery — вакансии экосистемы LessonDelivery</x:v>
      </x:c>
      <x:c r="C24" s="8" t="str">
        <x:v>Да</x:v>
      </x:c>
      <x:c r="D24" s="8" t="n">
        <x:v>0</x:v>
      </x:c>
      <x:c r="E24" s="9"/>
      <x:c r="F24" s="9"/>
      <x:c r="G24" s="9"/>
      <x:c r="H24" s="9"/>
      <x:c r="I24" s="9"/>
      <x:c r="J24" s="10"/>
      <x:c r="K24" s="10"/>
      <x:c r="L24" s="11" t="str">
        <x:f>IF(AND(ISNUMBER(J24),ISNUMBER(G24),G24&gt;0),J24/G24,"")</x:f>
      </x:c>
      <x:c r="M24" s="11" t="str">
        <x:f>IF(AND(ISNUMBER(K24),ISNUMBER(G24),G24&gt;0),K24/G24,"")</x:f>
      </x:c>
      <x:c r="N24" s="8" t="str">
        <x:v>https://t.me/JobDelivery</x:v>
      </x:c>
    </x:row>
    <x:row r="25" ht="31.5" customHeight="1">
      <x:c r="A25" s="8" t="str">
        <x:v>FD-S020</x:v>
      </x:c>
      <x:c r="B25" s="8" t="str">
        <x:v>Method Club — сообщество методистов</x:v>
      </x:c>
      <x:c r="C25" s="8" t="str">
        <x:v>Нет</x:v>
      </x:c>
      <x:c r="D25" s="8" t="n">
        <x:v>0</x:v>
      </x:c>
      <x:c r="E25" s="9"/>
      <x:c r="F25" s="9"/>
      <x:c r="G25" s="9"/>
      <x:c r="H25" s="9"/>
      <x:c r="I25" s="9"/>
      <x:c r="J25" s="10"/>
      <x:c r="K25" s="10"/>
      <x:c r="L25" s="11" t="str">
        <x:f>IF(AND(ISNUMBER(J25),ISNUMBER(G25),G25&gt;0),J25/G25,"")</x:f>
      </x:c>
      <x:c r="M25" s="11" t="str">
        <x:f>IF(AND(ISNUMBER(K25),ISNUMBER(G25),G25&gt;0),K25/G25,"")</x:f>
      </x:c>
      <x:c r="N25" s="8" t="str">
        <x:v>https://t.me/methodclub</x:v>
      </x:c>
    </x:row>
    <x:row r="26" ht="31.5" customHeight="1">
      <x:c r="A26" s="8" t="str">
        <x:v>FD-S021</x:v>
      </x:c>
      <x:c r="B26" s="8" t="str">
        <x:v>Сообщество Методистов — отдельный чат</x:v>
      </x:c>
      <x:c r="C26" s="8" t="str">
        <x:v>Нет</x:v>
      </x:c>
      <x:c r="D26" s="8" t="n">
        <x:v>0</x:v>
      </x:c>
      <x:c r="E26" s="9"/>
      <x:c r="F26" s="9"/>
      <x:c r="G26" s="9"/>
      <x:c r="H26" s="9"/>
      <x:c r="I26" s="9"/>
      <x:c r="J26" s="10"/>
      <x:c r="K26" s="10"/>
      <x:c r="L26" s="11" t="str">
        <x:f>IF(AND(ISNUMBER(J26),ISNUMBER(G26),G26&gt;0),J26/G26,"")</x:f>
      </x:c>
      <x:c r="M26" s="11" t="str">
        <x:f>IF(AND(ISNUMBER(K26),ISNUMBER(G26),G26&gt;0),K26/G26,"")</x:f>
      </x:c>
      <x:c r="N26" s="8" t="str">
        <x:v>https://t.me/newmethodologist</x:v>
      </x:c>
    </x:row>
    <x:row r="27" ht="31.5" customHeight="1">
      <x:c r="A27" s="8" t="str">
        <x:v>FD-S022</x:v>
      </x:c>
      <x:c r="B27" s="8" t="str">
        <x:v>Живое обучение — канал Елены Тихомировой</x:v>
      </x:c>
      <x:c r="C27" s="8" t="str">
        <x:v>Да</x:v>
      </x:c>
      <x:c r="D27" s="8" t="n">
        <x:v>1</x:v>
      </x:c>
      <x:c r="E27" s="9"/>
      <x:c r="F27" s="9"/>
      <x:c r="G27" s="9"/>
      <x:c r="H27" s="9"/>
      <x:c r="I27" s="9"/>
      <x:c r="J27" s="10"/>
      <x:c r="K27" s="10"/>
      <x:c r="L27" s="11" t="str">
        <x:f>IF(AND(ISNUMBER(J27),ISNUMBER(G27),G27&gt;0),J27/G27,"")</x:f>
      </x:c>
      <x:c r="M27" s="11" t="str">
        <x:f>IF(AND(ISNUMBER(K27),ISNUMBER(G27),G27&gt;0),K27/G27,"")</x:f>
      </x:c>
      <x:c r="N27" s="8" t="str">
        <x:v>https://t.me/prolearning</x:v>
      </x:c>
    </x:row>
    <x:row r="28" ht="31.5" customHeight="1">
      <x:c r="A28" s="8" t="str">
        <x:v>FD-S023</x:v>
      </x:c>
      <x:c r="B28" s="8" t="str">
        <x:v>Мастерская iSpring — чат разработчиков курсов</x:v>
      </x:c>
      <x:c r="C28" s="8" t="str">
        <x:v>Нет</x:v>
      </x:c>
      <x:c r="D28" s="8" t="n">
        <x:v>0</x:v>
      </x:c>
      <x:c r="E28" s="9"/>
      <x:c r="F28" s="9"/>
      <x:c r="G28" s="9"/>
      <x:c r="H28" s="9"/>
      <x:c r="I28" s="9"/>
      <x:c r="J28" s="10"/>
      <x:c r="K28" s="10"/>
      <x:c r="L28" s="11" t="str">
        <x:f>IF(AND(ISNUMBER(J28),ISNUMBER(G28),G28&gt;0),J28/G28,"")</x:f>
      </x:c>
      <x:c r="M28" s="11" t="str">
        <x:f>IF(AND(ISNUMBER(K28),ISNUMBER(G28),G28&gt;0),K28/G28,"")</x:f>
      </x:c>
      <x:c r="N28" s="8" t="str">
        <x:v>https://t.me/ispring_master</x:v>
      </x:c>
    </x:row>
    <x:row r="29" ht="31.5" customHeight="1">
      <x:c r="A29" s="8" t="str">
        <x:v>FD-S024</x:v>
      </x:c>
      <x:c r="B29" s="8" t="str">
        <x:v>Метод | Method — как преподавать в цифровой среде</x:v>
      </x:c>
      <x:c r="C29" s="8" t="str">
        <x:v>Нет</x:v>
      </x:c>
      <x:c r="D29" s="8" t="n">
        <x:v>1</x:v>
      </x:c>
      <x:c r="E29" s="9"/>
      <x:c r="F29" s="9"/>
      <x:c r="G29" s="9"/>
      <x:c r="H29" s="9"/>
      <x:c r="I29" s="9"/>
      <x:c r="J29" s="10"/>
      <x:c r="K29" s="10"/>
      <x:c r="L29" s="11" t="str">
        <x:f>IF(AND(ISNUMBER(J29),ISNUMBER(G29),G29&gt;0),J29/G29,"")</x:f>
      </x:c>
      <x:c r="M29" s="11" t="str">
        <x:f>IF(AND(ISNUMBER(K29),ISNUMBER(G29),G29&gt;0),K29/G29,"")</x:f>
      </x:c>
      <x:c r="N29" s="8" t="str">
        <x:v>https://t.me/methodgsom</x:v>
      </x:c>
    </x:row>
    <x:row r="30" ht="34.5" customHeight="1">
      <x:c r="A30" s="8" t="str">
        <x:v>FD-S025</x:v>
      </x:c>
      <x:c r="B30" s="8" t="str">
        <x:v>Образовательный клуб — отдельный маршрут экосистемы методологов</x:v>
      </x:c>
      <x:c r="C30" s="8" t="str">
        <x:v>Нет</x:v>
      </x:c>
      <x:c r="D30" s="8" t="n">
        <x:v>0</x:v>
      </x:c>
      <x:c r="E30" s="9"/>
      <x:c r="F30" s="9"/>
      <x:c r="G30" s="9"/>
      <x:c r="H30" s="9"/>
      <x:c r="I30" s="9"/>
      <x:c r="J30" s="10"/>
      <x:c r="K30" s="10"/>
      <x:c r="L30" s="11" t="str">
        <x:f>IF(AND(ISNUMBER(J30),ISNUMBER(G30),G30&gt;0),J30/G30,"")</x:f>
      </x:c>
      <x:c r="M30" s="11" t="str">
        <x:f>IF(AND(ISNUMBER(K30),ISNUMBER(G30),G30&gt;0),K30/G30,"")</x:f>
      </x:c>
      <x:c r="N30" s="8" t="str">
        <x:v>https://t.me/v_ed_club</x:v>
      </x:c>
    </x:row>
    <x:row r="31" ht="31.5" customHeight="1">
      <x:c r="A31" s="8" t="str">
        <x:v>FD-S026</x:v>
      </x:c>
      <x:c r="B31" s="8" t="str">
        <x:v>Learning Elements — канал конференций по обучению</x:v>
      </x:c>
      <x:c r="C31" s="8" t="str">
        <x:v>Нет</x:v>
      </x:c>
      <x:c r="D31" s="8" t="n">
        <x:v>1</x:v>
      </x:c>
      <x:c r="E31" s="9"/>
      <x:c r="F31" s="9"/>
      <x:c r="G31" s="9"/>
      <x:c r="H31" s="9"/>
      <x:c r="I31" s="9"/>
      <x:c r="J31" s="10"/>
      <x:c r="K31" s="10"/>
      <x:c r="L31" s="11" t="str">
        <x:f>IF(AND(ISNUMBER(J31),ISNUMBER(G31),G31&gt;0),J31/G31,"")</x:f>
      </x:c>
      <x:c r="M31" s="11" t="str">
        <x:f>IF(AND(ISNUMBER(K31),ISNUMBER(G31),G31&gt;0),K31/G31,"")</x:f>
      </x:c>
      <x:c r="N31" s="8" t="str">
        <x:v>https://t.me/learningelements</x:v>
      </x:c>
    </x:row>
    <x:row r="32" ht="31.5" customHeight="1">
      <x:c r="A32" s="8" t="str">
        <x:v>FD-S027</x:v>
      </x:c>
      <x:c r="B32" s="8" t="str">
        <x:v>Злой HR</x:v>
      </x:c>
      <x:c r="C32" s="8" t="str">
        <x:v>Да</x:v>
      </x:c>
      <x:c r="D32" s="8" t="n">
        <x:v>3</x:v>
      </x:c>
      <x:c r="E32" s="9"/>
      <x:c r="F32" s="9"/>
      <x:c r="G32" s="9"/>
      <x:c r="H32" s="9"/>
      <x:c r="I32" s="9"/>
      <x:c r="J32" s="10"/>
      <x:c r="K32" s="10"/>
      <x:c r="L32" s="11" t="str">
        <x:f>IF(AND(ISNUMBER(J32),ISNUMBER(G32),G32&gt;0),J32/G32,"")</x:f>
      </x:c>
      <x:c r="M32" s="11" t="str">
        <x:f>IF(AND(ISNUMBER(K32),ISNUMBER(G32),G32&gt;0),K32/G32,"")</x:f>
      </x:c>
      <x:c r="N32" s="8" t="str">
        <x:v>https://t.me/s/zloihr</x:v>
      </x:c>
    </x:row>
    <x:row r="33" ht="31.5" customHeight="1">
      <x:c r="A33" s="8" t="str">
        <x:v>FD-S028</x:v>
      </x:c>
      <x:c r="B33" s="8" t="str">
        <x:v>Digital Learning — основной профессиональный чат</x:v>
      </x:c>
      <x:c r="C33" s="8" t="str">
        <x:v>Нет</x:v>
      </x:c>
      <x:c r="D33" s="8" t="n">
        <x:v>0</x:v>
      </x:c>
      <x:c r="E33" s="9"/>
      <x:c r="F33" s="9"/>
      <x:c r="G33" s="9"/>
      <x:c r="H33" s="9"/>
      <x:c r="I33" s="9"/>
      <x:c r="J33" s="10"/>
      <x:c r="K33" s="10"/>
      <x:c r="L33" s="11" t="str">
        <x:f>IF(AND(ISNUMBER(J33),ISNUMBER(G33),G33&gt;0),J33/G33,"")</x:f>
      </x:c>
      <x:c r="M33" s="11" t="str">
        <x:f>IF(AND(ISNUMBER(K33),ISNUMBER(G33),G33&gt;0),K33/G33,"")</x:f>
      </x:c>
      <x:c r="N33" s="8" t="str">
        <x:v>https://t.me/npsonline</x:v>
      </x:c>
    </x:row>
    <x:row r="34" ht="31.5" customHeight="1">
      <x:c r="A34" s="8" t="str">
        <x:v>FD-S029</x:v>
      </x:c>
      <x:c r="B34" s="8" t="str">
        <x:v>Кто взял кликер — корпоративное обучение</x:v>
      </x:c>
      <x:c r="C34" s="8" t="str">
        <x:v>Да</x:v>
      </x:c>
      <x:c r="D34" s="8" t="n">
        <x:v>0</x:v>
      </x:c>
      <x:c r="E34" s="9"/>
      <x:c r="F34" s="9"/>
      <x:c r="G34" s="9"/>
      <x:c r="H34" s="9"/>
      <x:c r="I34" s="9"/>
      <x:c r="J34" s="10"/>
      <x:c r="K34" s="10"/>
      <x:c r="L34" s="11" t="str">
        <x:f>IF(AND(ISNUMBER(J34),ISNUMBER(G34),G34&gt;0),J34/G34,"")</x:f>
      </x:c>
      <x:c r="M34" s="11" t="str">
        <x:f>IF(AND(ISNUMBER(K34),ISNUMBER(G34),G34&gt;0),K34/G34,"")</x:f>
      </x:c>
      <x:c r="N34" s="8" t="str">
        <x:v>https://t.me/s/corp_edu</x:v>
      </x:c>
    </x:row>
    <x:row r="35" ht="31.5" customHeight="1">
      <x:c r="A35" s="8" t="str">
        <x:v>FD-S030</x:v>
      </x:c>
      <x:c r="B35" s="8" t="str">
        <x:v>HRtrain — чат об обучении HR</x:v>
      </x:c>
      <x:c r="C35" s="8" t="str">
        <x:v>Нет</x:v>
      </x:c>
      <x:c r="D35" s="8" t="n">
        <x:v>0</x:v>
      </x:c>
      <x:c r="E35" s="9"/>
      <x:c r="F35" s="9"/>
      <x:c r="G35" s="9"/>
      <x:c r="H35" s="9"/>
      <x:c r="I35" s="9"/>
      <x:c r="J35" s="10"/>
      <x:c r="K35" s="10"/>
      <x:c r="L35" s="11" t="str">
        <x:f>IF(AND(ISNUMBER(J35),ISNUMBER(G35),G35&gt;0),J35/G35,"")</x:f>
      </x:c>
      <x:c r="M35" s="11" t="str">
        <x:f>IF(AND(ISNUMBER(K35),ISNUMBER(G35),G35&gt;0),K35/G35,"")</x:f>
      </x:c>
      <x:c r="N35" s="8" t="str">
        <x:v>https://t.me/HRtrain</x:v>
      </x:c>
    </x:row>
    <x:row r="36" ht="31.5" customHeight="1">
      <x:c r="A36" s="8" t="str">
        <x:v>FD-S031</x:v>
      </x:c>
      <x:c r="B36" s="8" t="str">
        <x:v>Курсы, рок и T&amp;D — Talent Rocks</x:v>
      </x:c>
      <x:c r="C36" s="8" t="str">
        <x:v>Да</x:v>
      </x:c>
      <x:c r="D36" s="8" t="n">
        <x:v>0</x:v>
      </x:c>
      <x:c r="E36" s="9"/>
      <x:c r="F36" s="9"/>
      <x:c r="G36" s="9"/>
      <x:c r="H36" s="9"/>
      <x:c r="I36" s="9"/>
      <x:c r="J36" s="10"/>
      <x:c r="K36" s="10"/>
      <x:c r="L36" s="11" t="str">
        <x:f>IF(AND(ISNUMBER(J36),ISNUMBER(G36),G36&gt;0),J36/G36,"")</x:f>
      </x:c>
      <x:c r="M36" s="11" t="str">
        <x:f>IF(AND(ISNUMBER(K36),ISNUMBER(G36),G36&gt;0),K36/G36,"")</x:f>
      </x:c>
      <x:c r="N36" s="8" t="str">
        <x:v>https://t.me/talent_rocks</x:v>
      </x:c>
    </x:row>
    <x:row r="37" ht="31.5" customHeight="1">
      <x:c r="A37" s="8" t="str">
        <x:v>FD-S032</x:v>
      </x:c>
      <x:c r="B37" s="8" t="str">
        <x:v>Как делать — сообщество по управлению персоналом</x:v>
      </x:c>
      <x:c r="C37" s="8" t="str">
        <x:v>Нет</x:v>
      </x:c>
      <x:c r="D37" s="8" t="n">
        <x:v>0</x:v>
      </x:c>
      <x:c r="E37" s="9"/>
      <x:c r="F37" s="9"/>
      <x:c r="G37" s="9"/>
      <x:c r="H37" s="9"/>
      <x:c r="I37" s="9"/>
      <x:c r="J37" s="10"/>
      <x:c r="K37" s="10"/>
      <x:c r="L37" s="11" t="str">
        <x:f>IF(AND(ISNUMBER(J37),ISNUMBER(G37),G37&gt;0),J37/G37,"")</x:f>
      </x:c>
      <x:c r="M37" s="11" t="str">
        <x:f>IF(AND(ISNUMBER(K37),ISNUMBER(G37),G37&gt;0),K37/G37,"")</x:f>
      </x:c>
      <x:c r="N37" s="8" t="str">
        <x:v>https://t.me/HR_kak_delat</x:v>
      </x:c>
    </x:row>
    <x:row r="38" ht="31.5" customHeight="1">
      <x:c r="A38" s="8" t="str">
        <x:v>FD-S033</x:v>
      </x:c>
      <x:c r="B38" s="8" t="str">
        <x:v>Про людей | HRme</x:v>
      </x:c>
      <x:c r="C38" s="8" t="str">
        <x:v>Да</x:v>
      </x:c>
      <x:c r="D38" s="8" t="n">
        <x:v>0</x:v>
      </x:c>
      <x:c r="E38" s="9"/>
      <x:c r="F38" s="9"/>
      <x:c r="G38" s="9"/>
      <x:c r="H38" s="9"/>
      <x:c r="I38" s="9"/>
      <x:c r="J38" s="10"/>
      <x:c r="K38" s="10"/>
      <x:c r="L38" s="11" t="str">
        <x:f>IF(AND(ISNUMBER(J38),ISNUMBER(G38),G38&gt;0),J38/G38,"")</x:f>
      </x:c>
      <x:c r="M38" s="11" t="str">
        <x:f>IF(AND(ISNUMBER(K38),ISNUMBER(G38),G38&gt;0),K38/G38,"")</x:f>
      </x:c>
      <x:c r="N38" s="8" t="str">
        <x:v>https://t.me/hr_me_community</x:v>
      </x:c>
    </x:row>
    <x:row r="39" ht="31.5" customHeight="1">
      <x:c r="A39" s="8" t="str">
        <x:v>FD-S034</x:v>
      </x:c>
      <x:c r="B39" s="8" t="str">
        <x:v>Kampus LXP — сообщество L&amp;D</x:v>
      </x:c>
      <x:c r="C39" s="8" t="str">
        <x:v>Нет</x:v>
      </x:c>
      <x:c r="D39" s="8" t="n">
        <x:v>0</x:v>
      </x:c>
      <x:c r="E39" s="9"/>
      <x:c r="F39" s="9"/>
      <x:c r="G39" s="9"/>
      <x:c r="H39" s="9"/>
      <x:c r="I39" s="9"/>
      <x:c r="J39" s="10"/>
      <x:c r="K39" s="10"/>
      <x:c r="L39" s="11" t="str">
        <x:f>IF(AND(ISNUMBER(J39),ISNUMBER(G39),G39&gt;0),J39/G39,"")</x:f>
      </x:c>
      <x:c r="M39" s="11" t="str">
        <x:f>IF(AND(ISNUMBER(K39),ISNUMBER(G39),G39&gt;0),K39/G39,"")</x:f>
      </x:c>
      <x:c r="N39" s="8" t="str">
        <x:v>https://t.me/kampus_team</x:v>
      </x:c>
    </x:row>
    <x:row r="40" ht="31.5" customHeight="1">
      <x:c r="A40" s="8" t="str">
        <x:v>FD-S035</x:v>
      </x:c>
      <x:c r="B40" s="8" t="str">
        <x:v>Отдел обучения — профессиональный канал</x:v>
      </x:c>
      <x:c r="C40" s="8" t="str">
        <x:v>Да</x:v>
      </x:c>
      <x:c r="D40" s="8" t="n">
        <x:v>0</x:v>
      </x:c>
      <x:c r="E40" s="9"/>
      <x:c r="F40" s="9"/>
      <x:c r="G40" s="9"/>
      <x:c r="H40" s="9"/>
      <x:c r="I40" s="9"/>
      <x:c r="J40" s="10"/>
      <x:c r="K40" s="10"/>
      <x:c r="L40" s="11" t="str">
        <x:f>IF(AND(ISNUMBER(J40),ISNUMBER(G40),G40&gt;0),J40/G40,"")</x:f>
      </x:c>
      <x:c r="M40" s="11" t="str">
        <x:f>IF(AND(ISNUMBER(K40),ISNUMBER(G40),G40&gt;0),K40/G40,"")</x:f>
      </x:c>
      <x:c r="N40" s="8" t="str">
        <x:v>https://t.me/td_department</x:v>
      </x:c>
    </x:row>
    <x:row r="41" ht="31.5" customHeight="1">
      <x:c r="A41" s="8" t="str">
        <x:v>FD-S036</x:v>
      </x:c>
      <x:c r="B41" s="8" t="str">
        <x:v>Recruitment for Friends — профессиональный чат</x:v>
      </x:c>
      <x:c r="C41" s="8" t="str">
        <x:v>Да</x:v>
      </x:c>
      <x:c r="D41" s="8" t="n">
        <x:v>1</x:v>
      </x:c>
      <x:c r="E41" s="9"/>
      <x:c r="F41" s="9"/>
      <x:c r="G41" s="9"/>
      <x:c r="H41" s="9"/>
      <x:c r="I41" s="9"/>
      <x:c r="J41" s="10"/>
      <x:c r="K41" s="10"/>
      <x:c r="L41" s="11" t="str">
        <x:f>IF(AND(ISNUMBER(J41),ISNUMBER(G41),G41&gt;0),J41/G41,"")</x:f>
      </x:c>
      <x:c r="M41" s="11" t="str">
        <x:f>IF(AND(ISNUMBER(K41),ISNUMBER(G41),G41&gt;0),K41/G41,"")</x:f>
      </x:c>
      <x:c r="N41" s="8" t="str">
        <x:v>https://t.me/rff_chat</x:v>
      </x:c>
    </x:row>
    <x:row r="42" ht="31.5" customHeight="1">
      <x:c r="A42" s="8" t="str">
        <x:v>FD-S037</x:v>
      </x:c>
      <x:c r="B42" s="8" t="str">
        <x:v>HR сообщество — communityHR</x:v>
      </x:c>
      <x:c r="C42" s="8" t="str">
        <x:v>Да</x:v>
      </x:c>
      <x:c r="D42" s="8" t="n">
        <x:v>0</x:v>
      </x:c>
      <x:c r="E42" s="9"/>
      <x:c r="F42" s="9"/>
      <x:c r="G42" s="9"/>
      <x:c r="H42" s="9"/>
      <x:c r="I42" s="9"/>
      <x:c r="J42" s="10"/>
      <x:c r="K42" s="10"/>
      <x:c r="L42" s="11" t="str">
        <x:f>IF(AND(ISNUMBER(J42),ISNUMBER(G42),G42&gt;0),J42/G42,"")</x:f>
      </x:c>
      <x:c r="M42" s="11" t="str">
        <x:f>IF(AND(ISNUMBER(K42),ISNUMBER(G42),G42&gt;0),K42/G42,"")</x:f>
      </x:c>
      <x:c r="N42" s="8" t="str">
        <x:v>https://t.me/communityHR</x:v>
      </x:c>
    </x:row>
    <x:row r="43" ht="31.5" customHeight="1">
      <x:c r="A43" s="8" t="str">
        <x:v>FD-S038</x:v>
      </x:c>
      <x:c r="B43" s="8" t="str">
        <x:v>Сообщество HR России</x:v>
      </x:c>
      <x:c r="C43" s="8" t="str">
        <x:v>Нет</x:v>
      </x:c>
      <x:c r="D43" s="8" t="n">
        <x:v>0</x:v>
      </x:c>
      <x:c r="E43" s="9"/>
      <x:c r="F43" s="9"/>
      <x:c r="G43" s="9"/>
      <x:c r="H43" s="9"/>
      <x:c r="I43" s="9"/>
      <x:c r="J43" s="10"/>
      <x:c r="K43" s="10"/>
      <x:c r="L43" s="11" t="str">
        <x:f>IF(AND(ISNUMBER(J43),ISNUMBER(G43),G43&gt;0),J43/G43,"")</x:f>
      </x:c>
      <x:c r="M43" s="11" t="str">
        <x:f>IF(AND(ISNUMBER(K43),ISNUMBER(G43),G43&gt;0),K43/G43,"")</x:f>
      </x:c>
      <x:c r="N43" s="8" t="str">
        <x:v>https://t.me/recRussia24</x:v>
      </x:c>
    </x:row>
    <x:row r="44" ht="31.5" customHeight="1">
      <x:c r="A44" s="8" t="str">
        <x:v>FD-S039</x:v>
      </x:c>
      <x:c r="B44" s="8" t="str">
        <x:v>C&amp;B Russia&amp;CIS — функциональное сообщество</x:v>
      </x:c>
      <x:c r="C44" s="8" t="str">
        <x:v>Нет</x:v>
      </x:c>
      <x:c r="D44" s="8" t="n">
        <x:v>0</x:v>
      </x:c>
      <x:c r="E44" s="9"/>
      <x:c r="F44" s="9"/>
      <x:c r="G44" s="9"/>
      <x:c r="H44" s="9"/>
      <x:c r="I44" s="9"/>
      <x:c r="J44" s="10"/>
      <x:c r="K44" s="10"/>
      <x:c r="L44" s="11" t="str">
        <x:f>IF(AND(ISNUMBER(J44),ISNUMBER(G44),G44&gt;0),J44/G44,"")</x:f>
      </x:c>
      <x:c r="M44" s="11" t="str">
        <x:f>IF(AND(ISNUMBER(K44),ISNUMBER(G44),G44&gt;0),K44/G44,"")</x:f>
      </x:c>
      <x:c r="N44" s="8" t="str">
        <x:v>https://t.me/CnBChatRUnCIS</x:v>
      </x:c>
    </x:row>
    <x:row r="45" ht="31.5" customHeight="1">
      <x:c r="A45" s="8" t="str">
        <x:v>FD-S040</x:v>
      </x:c>
      <x:c r="B45" s="8" t="str">
        <x:v>HR-аналитика — профильный канал</x:v>
      </x:c>
      <x:c r="C45" s="8" t="str">
        <x:v>Нет</x:v>
      </x:c>
      <x:c r="D45" s="8" t="n">
        <x:v>0</x:v>
      </x:c>
      <x:c r="E45" s="9"/>
      <x:c r="F45" s="9"/>
      <x:c r="G45" s="9"/>
      <x:c r="H45" s="9"/>
      <x:c r="I45" s="9"/>
      <x:c r="J45" s="10"/>
      <x:c r="K45" s="10"/>
      <x:c r="L45" s="11" t="str">
        <x:f>IF(AND(ISNUMBER(J45),ISNUMBER(G45),G45&gt;0),J45/G45,"")</x:f>
      </x:c>
      <x:c r="M45" s="11" t="str">
        <x:f>IF(AND(ISNUMBER(K45),ISNUMBER(G45),G45&gt;0),K45/G45,"")</x:f>
      </x:c>
      <x:c r="N45" s="8" t="str">
        <x:v>https://t.me/hranalitycs</x:v>
      </x:c>
    </x:row>
    <x:row r="46" ht="31.5" customHeight="1">
      <x:c r="A46" s="8" t="str">
        <x:v>FD-S041</x:v>
      </x:c>
      <x:c r="B46" s="8" t="str">
        <x:v>HR-вебинары и технологии</x:v>
      </x:c>
      <x:c r="C46" s="8" t="str">
        <x:v>Нет</x:v>
      </x:c>
      <x:c r="D46" s="8" t="n">
        <x:v>0</x:v>
      </x:c>
      <x:c r="E46" s="9"/>
      <x:c r="F46" s="9"/>
      <x:c r="G46" s="9"/>
      <x:c r="H46" s="9"/>
      <x:c r="I46" s="9"/>
      <x:c r="J46" s="10"/>
      <x:c r="K46" s="10"/>
      <x:c r="L46" s="11" t="str">
        <x:f>IF(AND(ISNUMBER(J46),ISNUMBER(G46),G46&gt;0),J46/G46,"")</x:f>
      </x:c>
      <x:c r="M46" s="11" t="str">
        <x:f>IF(AND(ISNUMBER(K46),ISNUMBER(G46),G46&gt;0),K46/G46,"")</x:f>
      </x:c>
      <x:c r="N46" s="8" t="str">
        <x:v>https://t.me/webinarforhr</x:v>
      </x:c>
    </x:row>
    <x:row r="47" ht="31.5" customHeight="1">
      <x:c r="A47" s="8" t="str">
        <x:v>FD-S042</x:v>
      </x:c>
      <x:c r="B47" s="8" t="str">
        <x:v>HRафиша — мероприятия и продукты HR</x:v>
      </x:c>
      <x:c r="C47" s="8" t="str">
        <x:v>Нет</x:v>
      </x:c>
      <x:c r="D47" s="8" t="n">
        <x:v>0</x:v>
      </x:c>
      <x:c r="E47" s="9"/>
      <x:c r="F47" s="9"/>
      <x:c r="G47" s="9"/>
      <x:c r="H47" s="9"/>
      <x:c r="I47" s="9"/>
      <x:c r="J47" s="10"/>
      <x:c r="K47" s="10"/>
      <x:c r="L47" s="11" t="str">
        <x:f>IF(AND(ISNUMBER(J47),ISNUMBER(G47),G47&gt;0),J47/G47,"")</x:f>
      </x:c>
      <x:c r="M47" s="11" t="str">
        <x:f>IF(AND(ISNUMBER(K47),ISNUMBER(G47),G47&gt;0),K47/G47,"")</x:f>
      </x:c>
      <x:c r="N47" s="8" t="str">
        <x:v>https://t.me/hrafisha</x:v>
      </x:c>
    </x:row>
    <x:row r="48" ht="31.5" customHeight="1">
      <x:c r="A48" s="8" t="str">
        <x:v>FD-S043</x:v>
      </x:c>
      <x:c r="B48" s="8" t="str">
        <x:v>Вакансии и резюме HR-специалистов</x:v>
      </x:c>
      <x:c r="C48" s="8" t="str">
        <x:v>Нет</x:v>
      </x:c>
      <x:c r="D48" s="8" t="n">
        <x:v>0</x:v>
      </x:c>
      <x:c r="E48" s="9"/>
      <x:c r="F48" s="9"/>
      <x:c r="G48" s="9"/>
      <x:c r="H48" s="9"/>
      <x:c r="I48" s="9"/>
      <x:c r="J48" s="10"/>
      <x:c r="K48" s="10"/>
      <x:c r="L48" s="11" t="str">
        <x:f>IF(AND(ISNUMBER(J48),ISNUMBER(G48),G48&gt;0),J48/G48,"")</x:f>
      </x:c>
      <x:c r="M48" s="11" t="str">
        <x:f>IF(AND(ISNUMBER(K48),ISNUMBER(G48),G48&gt;0),K48/G48,"")</x:f>
      </x:c>
      <x:c r="N48" s="8" t="str">
        <x:v>https://t.me/jobs_vacancy_cv</x:v>
      </x:c>
    </x:row>
    <x:row r="49" ht="31.5" customHeight="1">
      <x:c r="A49" s="8" t="str">
        <x:v>FD-S044</x:v>
      </x:c>
      <x:c r="B49" s="8" t="str">
        <x:v>HR[хаб] вакансии</x:v>
      </x:c>
      <x:c r="C49" s="8" t="str">
        <x:v>Нет</x:v>
      </x:c>
      <x:c r="D49" s="8" t="n">
        <x:v>4</x:v>
      </x:c>
      <x:c r="E49" s="9"/>
      <x:c r="F49" s="9"/>
      <x:c r="G49" s="9"/>
      <x:c r="H49" s="9"/>
      <x:c r="I49" s="9"/>
      <x:c r="J49" s="10"/>
      <x:c r="K49" s="10"/>
      <x:c r="L49" s="11" t="str">
        <x:f>IF(AND(ISNUMBER(J49),ISNUMBER(G49),G49&gt;0),J49/G49,"")</x:f>
      </x:c>
      <x:c r="M49" s="11" t="str">
        <x:f>IF(AND(ISNUMBER(K49),ISNUMBER(G49),G49&gt;0),K49/G49,"")</x:f>
      </x:c>
      <x:c r="N49" s="8" t="str">
        <x:v>https://t.me/s/hrhubvacancy</x:v>
      </x:c>
    </x:row>
    <x:row r="50" ht="31.5" customHeight="1">
      <x:c r="A50" s="8" t="str">
        <x:v>FD-S045</x:v>
      </x:c>
      <x:c r="B50" s="8" t="str">
        <x:v>HRbazaar — группа HR-заказчиков и провайдеров</x:v>
      </x:c>
      <x:c r="C50" s="8" t="str">
        <x:v>Нет</x:v>
      </x:c>
      <x:c r="D50" s="8" t="n">
        <x:v>0</x:v>
      </x:c>
      <x:c r="E50" s="9"/>
      <x:c r="F50" s="9"/>
      <x:c r="G50" s="9"/>
      <x:c r="H50" s="9"/>
      <x:c r="I50" s="9"/>
      <x:c r="J50" s="10"/>
      <x:c r="K50" s="10"/>
      <x:c r="L50" s="11" t="str">
        <x:f>IF(AND(ISNUMBER(J50),ISNUMBER(G50),G50&gt;0),J50/G50,"")</x:f>
      </x:c>
      <x:c r="M50" s="11" t="str">
        <x:f>IF(AND(ISNUMBER(K50),ISNUMBER(G50),G50&gt;0),K50/G50,"")</x:f>
      </x:c>
      <x:c r="N50" s="8" t="str">
        <x:v>https://t.me/HRbazaar</x:v>
      </x:c>
    </x:row>
    <x:row r="51" ht="31.5" customHeight="1">
      <x:c r="A51" s="8" t="str">
        <x:v>FD-S046</x:v>
      </x:c>
      <x:c r="B51" s="8" t="str">
        <x:v>Сетка — T&amp;D и HR запросы на обучение</x:v>
      </x:c>
      <x:c r="C51" s="8" t="str">
        <x:v>Нет</x:v>
      </x:c>
      <x:c r="D51" s="8" t="n">
        <x:v>0</x:v>
      </x:c>
      <x:c r="E51" s="9"/>
      <x:c r="F51" s="9"/>
      <x:c r="G51" s="9"/>
      <x:c r="H51" s="9"/>
      <x:c r="I51" s="9"/>
      <x:c r="J51" s="10"/>
      <x:c r="K51" s="10"/>
      <x:c r="L51" s="11" t="str">
        <x:f>IF(AND(ISNUMBER(J51),ISNUMBER(G51),G51&gt;0),J51/G51,"")</x:f>
      </x:c>
      <x:c r="M51" s="11" t="str">
        <x:f>IF(AND(ISNUMBER(K51),ISNUMBER(G51),G51&gt;0),K51/G51,"")</x:f>
      </x:c>
      <x:c r="N51" s="8" t="str">
        <x:v>https://setka.ru/communities/0191a790-9e20-448d-8324-dfe80910c077</x:v>
      </x:c>
    </x:row>
    <x:row r="52" ht="34.5" customHeight="1">
      <x:c r="A52" s="8" t="str">
        <x:v>FD-S047</x:v>
      </x:c>
      <x:c r="B52" s="8" t="str">
        <x:v>Mirapolis — вход в партнёрскую сеть для разработчиков курсов</x:v>
      </x:c>
      <x:c r="C52" s="8" t="str">
        <x:v>Да</x:v>
      </x:c>
      <x:c r="D52" s="8" t="n">
        <x:v>1</x:v>
      </x:c>
      <x:c r="E52" s="9"/>
      <x:c r="F52" s="9"/>
      <x:c r="G52" s="9"/>
      <x:c r="H52" s="9"/>
      <x:c r="I52" s="9"/>
      <x:c r="J52" s="10"/>
      <x:c r="K52" s="10"/>
      <x:c r="L52" s="11" t="str">
        <x:f>IF(AND(ISNUMBER(J52),ISNUMBER(G52),G52&gt;0),J52/G52,"")</x:f>
      </x:c>
      <x:c r="M52" s="11" t="str">
        <x:f>IF(AND(ISNUMBER(K52),ISNUMBER(G52),G52&gt;0),K52/G52,"")</x:f>
      </x:c>
      <x:c r="N52" s="8" t="str">
        <x:v>https://www.mirapolis.ru/for-partners/</x:v>
      </x:c>
    </x:row>
    <x:row r="53" ht="31.5" customHeight="1">
      <x:c r="A53" s="8" t="str">
        <x:v>FD-S048</x:v>
      </x:c>
      <x:c r="B53" s="8" t="str">
        <x:v>iSpring — партнёрская программа и сеть реселлеров</x:v>
      </x:c>
      <x:c r="C53" s="8" t="str">
        <x:v>Да</x:v>
      </x:c>
      <x:c r="D53" s="8" t="n">
        <x:v>1</x:v>
      </x:c>
      <x:c r="E53" s="9"/>
      <x:c r="F53" s="9"/>
      <x:c r="G53" s="9"/>
      <x:c r="H53" s="9"/>
      <x:c r="I53" s="9"/>
      <x:c r="J53" s="10"/>
      <x:c r="K53" s="10"/>
      <x:c r="L53" s="11" t="str">
        <x:f>IF(AND(ISNUMBER(J53),ISNUMBER(G53),G53&gt;0),J53/G53,"")</x:f>
      </x:c>
      <x:c r="M53" s="11" t="str">
        <x:f>IF(AND(ISNUMBER(K53),ISNUMBER(G53),G53&gt;0),K53/G53,"")</x:f>
      </x:c>
      <x:c r="N53" s="8" t="str">
        <x:v>https://www.ispring.ru/company/reseller-program</x:v>
      </x:c>
    </x:row>
    <x:row r="54" ht="34.5" customHeight="1">
      <x:c r="A54" s="8" t="str">
        <x:v>FD-S049</x:v>
      </x:c>
      <x:c r="B54" s="8" t="str">
        <x:v>Unicraft — партнёры, HR-консультанты и авторы корпоративных курсов</x:v>
      </x:c>
      <x:c r="C54" s="8" t="str">
        <x:v>Нет</x:v>
      </x:c>
      <x:c r="D54" s="8" t="n">
        <x:v>2</x:v>
      </x:c>
      <x:c r="E54" s="9"/>
      <x:c r="F54" s="9"/>
      <x:c r="G54" s="9"/>
      <x:c r="H54" s="9"/>
      <x:c r="I54" s="9"/>
      <x:c r="J54" s="10"/>
      <x:c r="K54" s="10"/>
      <x:c r="L54" s="11" t="str">
        <x:f>IF(AND(ISNUMBER(J54),ISNUMBER(G54),G54&gt;0),J54/G54,"")</x:f>
      </x:c>
      <x:c r="M54" s="11" t="str">
        <x:f>IF(AND(ISNUMBER(K54),ISNUMBER(G54),G54&gt;0),K54/G54,"")</x:f>
      </x:c>
      <x:c r="N54" s="8" t="str">
        <x:v>https://www.unicraft.org/page/partners/</x:v>
      </x:c>
    </x:row>
    <x:row r="55" ht="31.5" customHeight="1">
      <x:c r="A55" s="8" t="str">
        <x:v>FD-S050</x:v>
      </x:c>
      <x:c r="B55" s="8" t="str">
        <x:v>Ecourse Studio — проекты курсов и рамочные работы</x:v>
      </x:c>
      <x:c r="C55" s="8" t="str">
        <x:v>Да</x:v>
      </x:c>
      <x:c r="D55" s="8" t="n">
        <x:v>0</x:v>
      </x:c>
      <x:c r="E55" s="9"/>
      <x:c r="F55" s="9"/>
      <x:c r="G55" s="9"/>
      <x:c r="H55" s="9"/>
      <x:c r="I55" s="9"/>
      <x:c r="J55" s="10"/>
      <x:c r="K55" s="10"/>
      <x:c r="L55" s="11" t="str">
        <x:f>IF(AND(ISNUMBER(J55),ISNUMBER(G55),G55&gt;0),J55/G55,"")</x:f>
      </x:c>
      <x:c r="M55" s="11" t="str">
        <x:f>IF(AND(ISNUMBER(K55),ISNUMBER(G55),G55&gt;0),K55/G55,"")</x:f>
      </x:c>
      <x:c r="N55" s="8" t="str">
        <x:v>https://ecourse.studio/</x:v>
      </x:c>
    </x:row>
    <x:row r="56" ht="34.5" customHeight="1">
      <x:c r="A56" s="8" t="str">
        <x:v>FD-S051</x:v>
      </x:c>
      <x:c r="B56" s="8" t="str">
        <x:v>Nova Studio — разработка обучения и упаковка экспертизы</x:v>
      </x:c>
      <x:c r="C56" s="8" t="str">
        <x:v>Нет</x:v>
      </x:c>
      <x:c r="D56" s="8" t="n">
        <x:v>0</x:v>
      </x:c>
      <x:c r="E56" s="9"/>
      <x:c r="F56" s="9"/>
      <x:c r="G56" s="9"/>
      <x:c r="H56" s="9"/>
      <x:c r="I56" s="9"/>
      <x:c r="J56" s="10"/>
      <x:c r="K56" s="10"/>
      <x:c r="L56" s="11" t="str">
        <x:f>IF(AND(ISNUMBER(J56),ISNUMBER(G56),G56&gt;0),J56/G56,"")</x:f>
      </x:c>
      <x:c r="M56" s="11" t="str">
        <x:f>IF(AND(ISNUMBER(K56),ISNUMBER(G56),G56&gt;0),K56/G56,"")</x:f>
      </x:c>
      <x:c r="N56" s="8" t="str">
        <x:v>https://dl-nova.com/</x:v>
      </x:c>
    </x:row>
    <x:row r="57" ht="34.5" customHeight="1">
      <x:c r="A57" s="8" t="str">
        <x:v>FD-S052</x:v>
      </x:c>
      <x:c r="B57" s="8" t="str">
        <x:v>LEVEL — курсы и бизнес-симуляции для корпоративных клиентов</x:v>
      </x:c>
      <x:c r="C57" s="8" t="str">
        <x:v>Нет</x:v>
      </x:c>
      <x:c r="D57" s="8" t="n">
        <x:v>1</x:v>
      </x:c>
      <x:c r="E57" s="9"/>
      <x:c r="F57" s="9"/>
      <x:c r="G57" s="9"/>
      <x:c r="H57" s="9"/>
      <x:c r="I57" s="9"/>
      <x:c r="J57" s="10"/>
      <x:c r="K57" s="10"/>
      <x:c r="L57" s="11" t="str">
        <x:f>IF(AND(ISNUMBER(J57),ISNUMBER(G57),G57&gt;0),J57/G57,"")</x:f>
      </x:c>
      <x:c r="M57" s="11" t="str">
        <x:f>IF(AND(ISNUMBER(K57),ISNUMBER(G57),G57&gt;0),K57/G57,"")</x:f>
      </x:c>
      <x:c r="N57" s="8" t="str">
        <x:v>https://levellab.ru/</x:v>
      </x:c>
    </x:row>
    <x:row r="58" ht="34.5" customHeight="1">
      <x:c r="A58" s="8" t="str">
        <x:v>FD-S053</x:v>
      </x:c>
      <x:c r="B58" s="8" t="str">
        <x:v>ЦР ИПСИ — разработчик образовательных программ и спецпроектов</x:v>
      </x:c>
      <x:c r="C58" s="8" t="str">
        <x:v>Нет</x:v>
      </x:c>
      <x:c r="D58" s="8" t="n">
        <x:v>0</x:v>
      </x:c>
      <x:c r="E58" s="9"/>
      <x:c r="F58" s="9"/>
      <x:c r="G58" s="9"/>
      <x:c r="H58" s="9"/>
      <x:c r="I58" s="9"/>
      <x:c r="J58" s="10"/>
      <x:c r="K58" s="10"/>
      <x:c r="L58" s="11" t="str">
        <x:f>IF(AND(ISNUMBER(J58),ISNUMBER(G58),G58&gt;0),J58/G58,"")</x:f>
      </x:c>
      <x:c r="M58" s="11" t="str">
        <x:f>IF(AND(ISNUMBER(K58),ISNUMBER(G58),G58&gt;0),K58/G58,"")</x:f>
      </x:c>
      <x:c r="N58" s="8" t="str">
        <x:v>https://cripsi.ru/</x:v>
      </x:c>
    </x:row>
    <x:row r="59" ht="34.5" customHeight="1">
      <x:c r="A59" s="8" t="str">
        <x:v>FD-S054</x:v>
      </x:c>
      <x:c r="B59" s="8" t="str">
        <x:v>Академия Softline — отдельное направление разработки электронных курсов</x:v>
      </x:c>
      <x:c r="C59" s="8" t="str">
        <x:v>Нет</x:v>
      </x:c>
      <x:c r="D59" s="8" t="n">
        <x:v>1</x:v>
      </x:c>
      <x:c r="E59" s="9"/>
      <x:c r="F59" s="9"/>
      <x:c r="G59" s="9"/>
      <x:c r="H59" s="9"/>
      <x:c r="I59" s="9"/>
      <x:c r="J59" s="10"/>
      <x:c r="K59" s="10"/>
      <x:c r="L59" s="11" t="str">
        <x:f>IF(AND(ISNUMBER(J59),ISNUMBER(G59),G59&gt;0),J59/G59,"")</x:f>
      </x:c>
      <x:c r="M59" s="11" t="str">
        <x:f>IF(AND(ISNUMBER(K59),ISNUMBER(G59),G59&gt;0),K59/G59,"")</x:f>
      </x:c>
      <x:c r="N59" s="8" t="str">
        <x:v>https://edtech.academyit.ru/</x:v>
      </x:c>
    </x:row>
    <x:row r="60" ht="34.5" customHeight="1">
      <x:c r="A60" s="8" t="str">
        <x:v>FD-S055</x:v>
      </x:c>
      <x:c r="B60" s="8" t="str">
        <x:v>Русская Школа Управления — сотрудничество с образовательными компаниями</x:v>
      </x:c>
      <x:c r="C60" s="8" t="str">
        <x:v>Нет</x:v>
      </x:c>
      <x:c r="D60" s="8" t="n">
        <x:v>2</x:v>
      </x:c>
      <x:c r="E60" s="9"/>
      <x:c r="F60" s="9"/>
      <x:c r="G60" s="9"/>
      <x:c r="H60" s="9"/>
      <x:c r="I60" s="9"/>
      <x:c r="J60" s="10"/>
      <x:c r="K60" s="10"/>
      <x:c r="L60" s="11" t="str">
        <x:f>IF(AND(ISNUMBER(J60),ISNUMBER(G60),G60&gt;0),J60/G60,"")</x:f>
      </x:c>
      <x:c r="M60" s="11" t="str">
        <x:f>IF(AND(ISNUMBER(K60),ISNUMBER(G60),G60&gt;0),K60/G60,"")</x:f>
      </x:c>
      <x:c r="N60" s="8" t="str">
        <x:v>https://uprav.ru/about/cooperation/</x:v>
      </x:c>
    </x:row>
    <x:row r="61" ht="34.5" customHeight="1">
      <x:c r="A61" s="8" t="str">
        <x:v>FD-S056</x:v>
      </x:c>
      <x:c r="B61" s="8" t="str">
        <x:v>Бизнес Школа Эксперт — приглашение авторов семинаров и тренеров</x:v>
      </x:c>
      <x:c r="C61" s="8" t="str">
        <x:v>Нет</x:v>
      </x:c>
      <x:c r="D61" s="8" t="n">
        <x:v>1</x:v>
      </x:c>
      <x:c r="E61" s="9"/>
      <x:c r="F61" s="9"/>
      <x:c r="G61" s="9"/>
      <x:c r="H61" s="9"/>
      <x:c r="I61" s="9"/>
      <x:c r="J61" s="10"/>
      <x:c r="K61" s="10"/>
      <x:c r="L61" s="11" t="str">
        <x:f>IF(AND(ISNUMBER(J61),ISNUMBER(G61),G61&gt;0),J61/G61,"")</x:f>
      </x:c>
      <x:c r="M61" s="11" t="str">
        <x:f>IF(AND(ISNUMBER(K61),ISNUMBER(G61),G61&gt;0),K61/G61,"")</x:f>
      </x:c>
      <x:c r="N61" s="8" t="str">
        <x:v>https://moscow-expert.ru/content/vakansii/index.html</x:v>
      </x:c>
    </x:row>
    <x:row r="62" ht="34.5" customHeight="1">
      <x:c r="A62" s="8" t="str">
        <x:v>FD-S057</x:v>
      </x:c>
      <x:c r="B62" s="8" t="str">
        <x:v>УЦ Совета рынка — преподаватели и организаторы корпоративных мероприятий</x:v>
      </x:c>
      <x:c r="C62" s="8" t="str">
        <x:v>Нет</x:v>
      </x:c>
      <x:c r="D62" s="8" t="n">
        <x:v>2</x:v>
      </x:c>
      <x:c r="E62" s="9"/>
      <x:c r="F62" s="9"/>
      <x:c r="G62" s="9"/>
      <x:c r="H62" s="9"/>
      <x:c r="I62" s="9"/>
      <x:c r="J62" s="10"/>
      <x:c r="K62" s="10"/>
      <x:c r="L62" s="11" t="str">
        <x:f>IF(AND(ISNUMBER(J62),ISNUMBER(G62),G62&gt;0),J62/G62,"")</x:f>
      </x:c>
      <x:c r="M62" s="11" t="str">
        <x:f>IF(AND(ISNUMBER(K62),ISNUMBER(G62),G62&gt;0),K62/G62,"")</x:f>
      </x:c>
      <x:c r="N62" s="8" t="str">
        <x:v>https://www.ec-mc.ru/collaboration</x:v>
      </x:c>
    </x:row>
    <x:row r="63" ht="34.5" customHeight="1">
      <x:c r="A63" s="8" t="str">
        <x:v>FD-S058</x:v>
      </x:c>
      <x:c r="B63" s="8" t="str">
        <x:v>B2B Events — сообщество тренеров, фасилитаторов и спикеров</x:v>
      </x:c>
      <x:c r="C63" s="8" t="str">
        <x:v>Нет</x:v>
      </x:c>
      <x:c r="D63" s="8" t="n">
        <x:v>1</x:v>
      </x:c>
      <x:c r="E63" s="9"/>
      <x:c r="F63" s="9"/>
      <x:c r="G63" s="9"/>
      <x:c r="H63" s="9"/>
      <x:c r="I63" s="9"/>
      <x:c r="J63" s="10"/>
      <x:c r="K63" s="10"/>
      <x:c r="L63" s="11" t="str">
        <x:f>IF(AND(ISNUMBER(J63),ISNUMBER(G63),G63&gt;0),J63/G63,"")</x:f>
      </x:c>
      <x:c r="M63" s="11" t="str">
        <x:f>IF(AND(ISNUMBER(K63),ISNUMBER(G63),G63&gt;0),K63/G63,"")</x:f>
      </x:c>
      <x:c r="N63" s="8" t="str">
        <x:v>https://b2bevents.pro/ru/trainings/</x:v>
      </x:c>
    </x:row>
    <x:row r="64" ht="34.5" customHeight="1">
      <x:c r="A64" s="8" t="str">
        <x:v>FD-S059</x:v>
      </x:c>
      <x:c r="B64" s="8" t="str">
        <x:v>Кодекс / Техэксперт — оплачиваемая экспертиза и спикерство</x:v>
      </x:c>
      <x:c r="C64" s="8" t="str">
        <x:v>Нет</x:v>
      </x:c>
      <x:c r="D64" s="8" t="n">
        <x:v>1</x:v>
      </x:c>
      <x:c r="E64" s="9"/>
      <x:c r="F64" s="9"/>
      <x:c r="G64" s="9"/>
      <x:c r="H64" s="9"/>
      <x:c r="I64" s="9"/>
      <x:c r="J64" s="10"/>
      <x:c r="K64" s="10"/>
      <x:c r="L64" s="11" t="str">
        <x:f>IF(AND(ISNUMBER(J64),ISNUMBER(G64),G64&gt;0),J64/G64,"")</x:f>
      </x:c>
      <x:c r="M64" s="11" t="str">
        <x:f>IF(AND(ISNUMBER(K64),ISNUMBER(G64),G64&gt;0),K64/G64,"")</x:f>
      </x:c>
      <x:c r="N64" s="8" t="str">
        <x:v>https://kodeks.ru/cooperation</x:v>
      </x:c>
    </x:row>
    <x:row r="65" ht="31.5" customHeight="1">
      <x:c r="A65" s="8" t="str">
        <x:v>FD-S060</x:v>
      </x:c>
      <x:c r="B65" s="8" t="str">
        <x:v>Нетология — набор экспертов в программы обучения</x:v>
      </x:c>
      <x:c r="C65" s="8" t="str">
        <x:v>Да</x:v>
      </x:c>
      <x:c r="D65" s="8" t="n">
        <x:v>2</x:v>
      </x:c>
      <x:c r="E65" s="9"/>
      <x:c r="F65" s="9"/>
      <x:c r="G65" s="9"/>
      <x:c r="H65" s="9"/>
      <x:c r="I65" s="9"/>
      <x:c r="J65" s="10"/>
      <x:c r="K65" s="10"/>
      <x:c r="L65" s="11" t="str">
        <x:f>IF(AND(ISNUMBER(J65),ISNUMBER(G65),G65&gt;0),J65/G65,"")</x:f>
      </x:c>
      <x:c r="M65" s="11" t="str">
        <x:f>IF(AND(ISNUMBER(K65),ISNUMBER(G65),G65&gt;0),K65/G65,"")</x:f>
      </x:c>
      <x:c r="N65" s="8" t="str">
        <x:v>https://netology.ru/experts</x:v>
      </x:c>
    </x:row>
    <x:row r="66" ht="34.5" customHeight="1">
      <x:c r="A66" s="8" t="str">
        <x:v>FD-S061</x:v>
      </x:c>
      <x:c r="B66" s="8" t="str">
        <x:v>Яндекс Практикум — роли экспертов и проектная нагрузка</x:v>
      </x:c>
      <x:c r="C66" s="8" t="str">
        <x:v>Нет</x:v>
      </x:c>
      <x:c r="D66" s="8" t="n">
        <x:v>2</x:v>
      </x:c>
      <x:c r="E66" s="9"/>
      <x:c r="F66" s="9"/>
      <x:c r="G66" s="9"/>
      <x:c r="H66" s="9"/>
      <x:c r="I66" s="9"/>
      <x:c r="J66" s="10"/>
      <x:c r="K66" s="10"/>
      <x:c r="L66" s="11" t="str">
        <x:f>IF(AND(ISNUMBER(J66),ISNUMBER(G66),G66&gt;0),J66/G66,"")</x:f>
      </x:c>
      <x:c r="M66" s="11" t="str">
        <x:f>IF(AND(ISNUMBER(K66),ISNUMBER(G66),G66&gt;0),K66/G66,"")</x:f>
      </x:c>
      <x:c r="N66" s="8" t="str">
        <x:v>https://practicum.yandex.ru/job/</x:v>
      </x:c>
    </x:row>
    <x:row r="67" ht="31.5" customHeight="1">
      <x:c r="A67" s="8" t="str">
        <x:v>FD-S062</x:v>
      </x:c>
      <x:c r="B67" s="8" t="str">
        <x:v>Skillbox — портал подключения экспертов</x:v>
      </x:c>
      <x:c r="C67" s="8" t="str">
        <x:v>Нет</x:v>
      </x:c>
      <x:c r="D67" s="8" t="n">
        <x:v>1</x:v>
      </x:c>
      <x:c r="E67" s="9"/>
      <x:c r="F67" s="9"/>
      <x:c r="G67" s="9"/>
      <x:c r="H67" s="9"/>
      <x:c r="I67" s="9"/>
      <x:c r="J67" s="10"/>
      <x:c r="K67" s="10"/>
      <x:c r="L67" s="11" t="str">
        <x:f>IF(AND(ISNUMBER(J67),ISNUMBER(G67),G67&gt;0),J67/G67,"")</x:f>
      </x:c>
      <x:c r="M67" s="11" t="str">
        <x:f>IF(AND(ISNUMBER(K67),ISNUMBER(G67),G67&gt;0),K67/G67,"")</x:f>
      </x:c>
      <x:c r="N67" s="8" t="str">
        <x:v>https://expert.skillbox.ru/</x:v>
      </x:c>
    </x:row>
    <x:row r="68" ht="34.5" customHeight="1">
      <x:c r="A68" s="8" t="str">
        <x:v>FD-S063</x:v>
      </x:c>
      <x:c r="B68" s="8" t="str">
        <x:v>Lifel — тематическая лента вакансий электронного обучения</x:v>
      </x:c>
      <x:c r="C68" s="8" t="str">
        <x:v>Нет</x:v>
      </x:c>
      <x:c r="D68" s="8" t="n">
        <x:v>0</x:v>
      </x:c>
      <x:c r="E68" s="9"/>
      <x:c r="F68" s="9"/>
      <x:c r="G68" s="9"/>
      <x:c r="H68" s="9"/>
      <x:c r="I68" s="9"/>
      <x:c r="J68" s="10"/>
      <x:c r="K68" s="10"/>
      <x:c r="L68" s="11" t="str">
        <x:f>IF(AND(ISNUMBER(J68),ISNUMBER(G68),G68&gt;0),J68/G68,"")</x:f>
      </x:c>
      <x:c r="M68" s="11" t="str">
        <x:f>IF(AND(ISNUMBER(K68),ISNUMBER(G68),G68&gt;0),K68/G68,"")</x:f>
      </x:c>
      <x:c r="N68" s="8" t="str">
        <x:v>https://lifel.ru/elearn/vacancy</x:v>
      </x:c>
    </x:row>
    <x:row r="69" ht="31.5" customHeight="1">
      <x:c r="A69" s="8" t="str">
        <x:v>FD-S064</x:v>
      </x:c>
      <x:c r="B69" s="8" t="str">
        <x:v>Ракурс — вакансии производства электронных курсов</x:v>
      </x:c>
      <x:c r="C69" s="8" t="str">
        <x:v>Нет</x:v>
      </x:c>
      <x:c r="D69" s="8" t="n">
        <x:v>2</x:v>
      </x:c>
      <x:c r="E69" s="9"/>
      <x:c r="F69" s="9"/>
      <x:c r="G69" s="9"/>
      <x:c r="H69" s="9"/>
      <x:c r="I69" s="9"/>
      <x:c r="J69" s="10"/>
      <x:c r="K69" s="10"/>
      <x:c r="L69" s="11" t="str">
        <x:f>IF(AND(ISNUMBER(J69),ISNUMBER(G69),G69&gt;0),J69/G69,"")</x:f>
      </x:c>
      <x:c r="M69" s="11" t="str">
        <x:f>IF(AND(ISNUMBER(K69),ISNUMBER(G69),G69&gt;0),K69/G69,"")</x:f>
      </x:c>
      <x:c r="N69" s="8" t="str">
        <x:v>https://ra-kurs.spb.ru/company/about/vacancy/</x:v>
      </x:c>
    </x:row>
    <x:row r="70" ht="34.5" customHeight="1">
      <x:c r="A70" s="8" t="str">
        <x:v>FD-S065</x:v>
      </x:c>
      <x:c r="B70" s="8" t="str">
        <x:v>Бизнес Инсайт — приглашение спикеров и образовательных организаций</x:v>
      </x:c>
      <x:c r="C70" s="8" t="str">
        <x:v>Нет</x:v>
      </x:c>
      <x:c r="D70" s="8" t="n">
        <x:v>3</x:v>
      </x:c>
      <x:c r="E70" s="9"/>
      <x:c r="F70" s="9"/>
      <x:c r="G70" s="9"/>
      <x:c r="H70" s="9"/>
      <x:c r="I70" s="9"/>
      <x:c r="J70" s="10"/>
      <x:c r="K70" s="10"/>
      <x:c r="L70" s="11" t="str">
        <x:f>IF(AND(ISNUMBER(J70),ISNUMBER(G70),G70&gt;0),J70/G70,"")</x:f>
      </x:c>
      <x:c r="M70" s="11" t="str">
        <x:f>IF(AND(ISNUMBER(K70),ISNUMBER(G70),G70&gt;0),K70/G70,"")</x:f>
      </x:c>
      <x:c r="N70" s="8" t="str">
        <x:v>https://bi-school.ru/dlya-provedeniya-vebinarov-priglashaem-spikerov/</x:v>
      </x:c>
    </x:row>
    <x:row r="71" ht="34.5" customHeight="1">
      <x:c r="A71" s="8" t="str">
        <x:v>FD-S066</x:v>
      </x:c>
      <x:c r="B71" s="8" t="str">
        <x:v>Юнитория — приглашение преподавателей и бизнес-тренеров</x:v>
      </x:c>
      <x:c r="C71" s="8" t="str">
        <x:v>Нет</x:v>
      </x:c>
      <x:c r="D71" s="8" t="n">
        <x:v>2</x:v>
      </x:c>
      <x:c r="E71" s="9"/>
      <x:c r="F71" s="9"/>
      <x:c r="G71" s="9"/>
      <x:c r="H71" s="9"/>
      <x:c r="I71" s="9"/>
      <x:c r="J71" s="10"/>
      <x:c r="K71" s="10"/>
      <x:c r="L71" s="11" t="str">
        <x:f>IF(AND(ISNUMBER(J71),ISNUMBER(G71),G71&gt;0),J71/G71,"")</x:f>
      </x:c>
      <x:c r="M71" s="11" t="str">
        <x:f>IF(AND(ISNUMBER(K71),ISNUMBER(G71),G71&gt;0),K71/G71,"")</x:f>
      </x:c>
      <x:c r="N71" s="8" t="str">
        <x:v>https://unitoria.ru/o-nas/vakansii</x:v>
      </x:c>
    </x:row>
    <x:row r="72" ht="31.5" customHeight="1">
      <x:c r="A72" s="8" t="str">
        <x:v>FD-S067</x:v>
      </x:c>
      <x:c r="B72" s="8" t="str">
        <x:v>Бухонлайн — форум</x:v>
      </x:c>
      <x:c r="C72" s="8" t="str">
        <x:v>Да</x:v>
      </x:c>
      <x:c r="D72" s="8" t="n">
        <x:v>1</x:v>
      </x:c>
      <x:c r="E72" s="9"/>
      <x:c r="F72" s="9"/>
      <x:c r="G72" s="9"/>
      <x:c r="H72" s="9"/>
      <x:c r="I72" s="9"/>
      <x:c r="J72" s="10"/>
      <x:c r="K72" s="10"/>
      <x:c r="L72" s="11" t="str">
        <x:f>IF(AND(ISNUMBER(J72),ISNUMBER(G72),G72&gt;0),J72/G72,"")</x:f>
      </x:c>
      <x:c r="M72" s="11" t="str">
        <x:f>IF(AND(ISNUMBER(K72),ISNUMBER(G72),G72&gt;0),K72/G72,"")</x:f>
      </x:c>
      <x:c r="N72" s="8" t="str">
        <x:v>https://www.buhonline.ru/forum/</x:v>
      </x:c>
    </x:row>
    <x:row r="73" ht="31.5" customHeight="1">
      <x:c r="A73" s="8" t="str">
        <x:v>FD-S068</x:v>
      </x:c>
      <x:c r="B73" s="8" t="str">
        <x:v>Интеграл — форум экологов</x:v>
      </x:c>
      <x:c r="C73" s="8" t="str">
        <x:v>Нет</x:v>
      </x:c>
      <x:c r="D73" s="8" t="n">
        <x:v>0</x:v>
      </x:c>
      <x:c r="E73" s="9"/>
      <x:c r="F73" s="9"/>
      <x:c r="G73" s="9"/>
      <x:c r="H73" s="9"/>
      <x:c r="I73" s="9"/>
      <x:c r="J73" s="10"/>
      <x:c r="K73" s="10"/>
      <x:c r="L73" s="11" t="str">
        <x:f>IF(AND(ISNUMBER(J73),ISNUMBER(G73),G73&gt;0),J73/G73,"")</x:f>
      </x:c>
      <x:c r="M73" s="11" t="str">
        <x:f>IF(AND(ISNUMBER(K73),ISNUMBER(G73),G73&gt;0),K73/G73,"")</x:f>
      </x:c>
      <x:c r="N73" s="8" t="str">
        <x:v>https://forum.integral.ru/</x:v>
      </x:c>
    </x:row>
    <x:row r="74" ht="31.5" customHeight="1">
      <x:c r="A74" s="8" t="str">
        <x:v>FD-S069</x:v>
      </x:c>
      <x:c r="B74" s="8" t="str">
        <x:v>Кадровик-практик — профессиональный форум</x:v>
      </x:c>
      <x:c r="C74" s="8" t="str">
        <x:v>Нет</x:v>
      </x:c>
      <x:c r="D74" s="8" t="n">
        <x:v>0</x:v>
      </x:c>
      <x:c r="E74" s="9"/>
      <x:c r="F74" s="9"/>
      <x:c r="G74" s="9"/>
      <x:c r="H74" s="9"/>
      <x:c r="I74" s="9"/>
      <x:c r="J74" s="10"/>
      <x:c r="K74" s="10"/>
      <x:c r="L74" s="11" t="str">
        <x:f>IF(AND(ISNUMBER(J74),ISNUMBER(G74),G74&gt;0),J74/G74,"")</x:f>
      </x:c>
      <x:c r="M74" s="11" t="str">
        <x:f>IF(AND(ISNUMBER(K74),ISNUMBER(G74),G74&gt;0),K74/G74,"")</x:f>
      </x:c>
      <x:c r="N74" s="8" t="str">
        <x:v>https://www.kadrovik-praktik.ru/communication/forum/</x:v>
      </x:c>
    </x:row>
    <x:row r="75" ht="31.5" customHeight="1">
      <x:c r="A75" s="8" t="str">
        <x:v>FD-S070</x:v>
      </x:c>
      <x:c r="B75" s="8" t="str">
        <x:v>Клерк.Сообщество</x:v>
      </x:c>
      <x:c r="C75" s="8" t="str">
        <x:v>Нет</x:v>
      </x:c>
      <x:c r="D75" s="8" t="n">
        <x:v>5</x:v>
      </x:c>
      <x:c r="E75" s="9"/>
      <x:c r="F75" s="9"/>
      <x:c r="G75" s="9"/>
      <x:c r="H75" s="9"/>
      <x:c r="I75" s="9"/>
      <x:c r="J75" s="10"/>
      <x:c r="K75" s="10"/>
      <x:c r="L75" s="11" t="str">
        <x:f>IF(AND(ISNUMBER(J75),ISNUMBER(G75),G75&gt;0),J75/G75,"")</x:f>
      </x:c>
      <x:c r="M75" s="11" t="str">
        <x:f>IF(AND(ISNUMBER(K75),ISNUMBER(G75),G75&gt;0),K75/G75,"")</x:f>
      </x:c>
      <x:c r="N75" s="8" t="str">
        <x:v>https://club.klerk.ru/latest</x:v>
      </x:c>
    </x:row>
    <x:row r="76" ht="31.5" customHeight="1">
      <x:c r="A76" s="8" t="str">
        <x:v>FD-S071</x:v>
      </x:c>
      <x:c r="B76" s="8" t="str">
        <x:v>Audit-it — форум</x:v>
      </x:c>
      <x:c r="C76" s="8" t="str">
        <x:v>Нет</x:v>
      </x:c>
      <x:c r="D76" s="8" t="n">
        <x:v>0</x:v>
      </x:c>
      <x:c r="E76" s="9"/>
      <x:c r="F76" s="9"/>
      <x:c r="G76" s="9"/>
      <x:c r="H76" s="9"/>
      <x:c r="I76" s="9"/>
      <x:c r="J76" s="10"/>
      <x:c r="K76" s="10"/>
      <x:c r="L76" s="11" t="str">
        <x:f>IF(AND(ISNUMBER(J76),ISNUMBER(G76),G76&gt;0),J76/G76,"")</x:f>
      </x:c>
      <x:c r="M76" s="11" t="str">
        <x:f>IF(AND(ISNUMBER(K76),ISNUMBER(G76),G76&gt;0),K76/G76,"")</x:f>
      </x:c>
      <x:c r="N76" s="8" t="str">
        <x:v>https://www.audit-it.ru/forum/</x:v>
      </x:c>
    </x:row>
    <x:row r="77" ht="31.5" customHeight="1">
      <x:c r="A77" s="8" t="str">
        <x:v>FD-S072</x:v>
      </x:c>
      <x:c r="B77" s="8" t="str">
        <x:v>Executive.ru — сообщество менеджеров</x:v>
      </x:c>
      <x:c r="C77" s="8" t="str">
        <x:v>Да</x:v>
      </x:c>
      <x:c r="D77" s="8" t="n">
        <x:v>1</x:v>
      </x:c>
      <x:c r="E77" s="9"/>
      <x:c r="F77" s="9"/>
      <x:c r="G77" s="9"/>
      <x:c r="H77" s="9"/>
      <x:c r="I77" s="9"/>
      <x:c r="J77" s="10"/>
      <x:c r="K77" s="10"/>
      <x:c r="L77" s="11" t="str">
        <x:f>IF(AND(ISNUMBER(J77),ISNUMBER(G77),G77&gt;0),J77/G77,"")</x:f>
      </x:c>
      <x:c r="M77" s="11" t="str">
        <x:f>IF(AND(ISNUMBER(K77),ISNUMBER(G77),G77&gt;0),K77/G77,"")</x:f>
      </x:c>
      <x:c r="N77" s="8" t="str">
        <x:v>https://www.e-xecutive.ru/community</x:v>
      </x:c>
    </x:row>
    <x:row r="78" ht="31.5" customHeight="1">
      <x:c r="A78" s="8" t="str">
        <x:v>FD-S073</x:v>
      </x:c>
      <x:c r="B78" s="8" t="str">
        <x:v>ЗАКОНИЯ — юридический форум</x:v>
      </x:c>
      <x:c r="C78" s="8" t="str">
        <x:v>Нет</x:v>
      </x:c>
      <x:c r="D78" s="8" t="n">
        <x:v>0</x:v>
      </x:c>
      <x:c r="E78" s="9"/>
      <x:c r="F78" s="9"/>
      <x:c r="G78" s="9"/>
      <x:c r="H78" s="9"/>
      <x:c r="I78" s="9"/>
      <x:c r="J78" s="10"/>
      <x:c r="K78" s="10"/>
      <x:c r="L78" s="11" t="str">
        <x:f>IF(AND(ISNUMBER(J78),ISNUMBER(G78),G78&gt;0),J78/G78,"")</x:f>
      </x:c>
      <x:c r="M78" s="11" t="str">
        <x:f>IF(AND(ISNUMBER(K78),ISNUMBER(G78),G78&gt;0),K78/G78,"")</x:f>
      </x:c>
      <x:c r="N78" s="8" t="str">
        <x:v>https://forum.zakonia.ru/</x:v>
      </x:c>
    </x:row>
    <x:row r="79" ht="31.5" customHeight="1">
      <x:c r="A79" s="8" t="str">
        <x:v>FD-S074</x:v>
      </x:c>
      <x:c r="B79" s="8" t="str">
        <x:v>Кадровик-инфо</x:v>
      </x:c>
      <x:c r="C79" s="8" t="str">
        <x:v>Нет</x:v>
      </x:c>
      <x:c r="D79" s="8" t="n">
        <x:v>1</x:v>
      </x:c>
      <x:c r="E79" s="9"/>
      <x:c r="F79" s="9"/>
      <x:c r="G79" s="9"/>
      <x:c r="H79" s="9"/>
      <x:c r="I79" s="9"/>
      <x:c r="J79" s="10"/>
      <x:c r="K79" s="10"/>
      <x:c r="L79" s="11" t="str">
        <x:f>IF(AND(ISNUMBER(J79),ISNUMBER(G79),G79&gt;0),J79/G79,"")</x:f>
      </x:c>
      <x:c r="M79" s="11" t="str">
        <x:f>IF(AND(ISNUMBER(K79),ISNUMBER(G79),G79&gt;0),K79/G79,"")</x:f>
      </x:c>
      <x:c r="N79" s="8" t="str">
        <x:v>https://kadrovik-info.ru/</x:v>
      </x:c>
    </x:row>
    <x:row r="80" ht="31.5" customHeight="1">
      <x:c r="A80" s="8" t="str">
        <x:v>FD-S075</x:v>
      </x:c>
      <x:c r="B80" s="8" t="str">
        <x:v>Тендеры.ру — форум специалистов по закупкам</x:v>
      </x:c>
      <x:c r="C80" s="8" t="str">
        <x:v>Нет</x:v>
      </x:c>
      <x:c r="D80" s="8" t="n">
        <x:v>2</x:v>
      </x:c>
      <x:c r="E80" s="9"/>
      <x:c r="F80" s="9"/>
      <x:c r="G80" s="9"/>
      <x:c r="H80" s="9"/>
      <x:c r="I80" s="9"/>
      <x:c r="J80" s="10"/>
      <x:c r="K80" s="10"/>
      <x:c r="L80" s="11" t="str">
        <x:f>IF(AND(ISNUMBER(J80),ISNUMBER(G80),G80&gt;0),J80/G80,"")</x:f>
      </x:c>
      <x:c r="M80" s="11" t="str">
        <x:f>IF(AND(ISNUMBER(K80),ISNUMBER(G80),G80&gt;0),K80/G80,"")</x:f>
      </x:c>
      <x:c r="N80" s="8" t="str">
        <x:v>https://www.tendery.ru/forum/</x:v>
      </x:c>
    </x:row>
    <x:row r="81" ht="31.5" customHeight="1">
      <x:c r="A81" s="8" t="str">
        <x:v>FD-S076</x:v>
      </x:c>
      <x:c r="B81" s="8" t="str">
        <x:v>ФорумЮристов.ру</x:v>
      </x:c>
      <x:c r="C81" s="8" t="str">
        <x:v>Нет</x:v>
      </x:c>
      <x:c r="D81" s="8" t="n">
        <x:v>0</x:v>
      </x:c>
      <x:c r="E81" s="9"/>
      <x:c r="F81" s="9"/>
      <x:c r="G81" s="9"/>
      <x:c r="H81" s="9"/>
      <x:c r="I81" s="9"/>
      <x:c r="J81" s="10"/>
      <x:c r="K81" s="10"/>
      <x:c r="L81" s="11" t="str">
        <x:f>IF(AND(ISNUMBER(J81),ISNUMBER(G81),G81&gt;0),J81/G81,"")</x:f>
      </x:c>
      <x:c r="M81" s="11" t="str">
        <x:f>IF(AND(ISNUMBER(K81),ISNUMBER(G81),G81&gt;0),K81/G81,"")</x:f>
      </x:c>
      <x:c r="N81" s="8" t="str">
        <x:v>https://forumyuristov.ru/</x:v>
      </x:c>
    </x:row>
    <x:row r="82" ht="31.5" customHeight="1">
      <x:c r="A82" s="8" t="str">
        <x:v>FD-S077</x:v>
      </x:c>
      <x:c r="B82" s="8" t="str">
        <x:v>DWG.RU — форум проектировщиков</x:v>
      </x:c>
      <x:c r="C82" s="8" t="str">
        <x:v>Нет</x:v>
      </x:c>
      <x:c r="D82" s="8" t="n">
        <x:v>1</x:v>
      </x:c>
      <x:c r="E82" s="9"/>
      <x:c r="F82" s="9"/>
      <x:c r="G82" s="9"/>
      <x:c r="H82" s="9"/>
      <x:c r="I82" s="9"/>
      <x:c r="J82" s="10"/>
      <x:c r="K82" s="10"/>
      <x:c r="L82" s="11" t="str">
        <x:f>IF(AND(ISNUMBER(J82),ISNUMBER(G82),G82&gt;0),J82/G82,"")</x:f>
      </x:c>
      <x:c r="M82" s="11" t="str">
        <x:f>IF(AND(ISNUMBER(K82),ISNUMBER(G82),G82&gt;0),K82/G82,"")</x:f>
      </x:c>
      <x:c r="N82" s="8" t="str">
        <x:v>https://forum.dwg.ru/</x:v>
      </x:c>
    </x:row>
    <x:row r="83" ht="31.5" customHeight="1">
      <x:c r="A83" s="8" t="str">
        <x:v>FD-S078</x:v>
      </x:c>
      <x:c r="B83" s="8" t="str">
        <x:v>HR-Portal — форум</x:v>
      </x:c>
      <x:c r="C83" s="8" t="str">
        <x:v>Да</x:v>
      </x:c>
      <x:c r="D83" s="8" t="n">
        <x:v>1</x:v>
      </x:c>
      <x:c r="E83" s="9"/>
      <x:c r="F83" s="9"/>
      <x:c r="G83" s="9"/>
      <x:c r="H83" s="9"/>
      <x:c r="I83" s="9"/>
      <x:c r="J83" s="10"/>
      <x:c r="K83" s="10"/>
      <x:c r="L83" s="11" t="str">
        <x:f>IF(AND(ISNUMBER(J83),ISNUMBER(G83),G83&gt;0),J83/G83,"")</x:f>
      </x:c>
      <x:c r="M83" s="11" t="str">
        <x:f>IF(AND(ISNUMBER(K83),ISNUMBER(G83),G83&gt;0),K83/G83,"")</x:f>
      </x:c>
      <x:c r="N83" s="8" t="str">
        <x:v>https://hr-portal.ru/forum</x:v>
      </x:c>
    </x:row>
    <x:row r="84" ht="31.5" customHeight="1">
      <x:c r="A84" s="8" t="str">
        <x:v>FD-S079</x:v>
      </x:c>
      <x:c r="B84" s="8" t="str">
        <x:v>Ассоциация директоров по закупкам — CPO Club</x:v>
      </x:c>
      <x:c r="C84" s="8" t="str">
        <x:v>Да</x:v>
      </x:c>
      <x:c r="D84" s="8" t="n">
        <x:v>1</x:v>
      </x:c>
      <x:c r="E84" s="9"/>
      <x:c r="F84" s="9"/>
      <x:c r="G84" s="9"/>
      <x:c r="H84" s="9"/>
      <x:c r="I84" s="9"/>
      <x:c r="J84" s="10"/>
      <x:c r="K84" s="10"/>
      <x:c r="L84" s="11" t="str">
        <x:f>IF(AND(ISNUMBER(J84),ISNUMBER(G84),G84&gt;0),J84/G84,"")</x:f>
      </x:c>
      <x:c r="M84" s="11" t="str">
        <x:f>IF(AND(ISNUMBER(K84),ISNUMBER(G84),G84&gt;0),K84/G84,"")</x:f>
      </x:c>
      <x:c r="N84" s="8" t="str">
        <x:v>https://cpoclub.ru/</x:v>
      </x:c>
    </x:row>
    <x:row r="85" ht="31.5" customHeight="1">
      <x:c r="A85" s="8" t="str">
        <x:v>FD-S080</x:v>
      </x:c>
      <x:c r="B85" s="8" t="str">
        <x:v>Ассоциация корпоративных казначеев</x:v>
      </x:c>
      <x:c r="C85" s="8" t="str">
        <x:v>Да</x:v>
      </x:c>
      <x:c r="D85" s="8" t="n">
        <x:v>1</x:v>
      </x:c>
      <x:c r="E85" s="9"/>
      <x:c r="F85" s="9"/>
      <x:c r="G85" s="9"/>
      <x:c r="H85" s="9"/>
      <x:c r="I85" s="9"/>
      <x:c r="J85" s="10"/>
      <x:c r="K85" s="10"/>
      <x:c r="L85" s="11" t="str">
        <x:f>IF(AND(ISNUMBER(J85),ISNUMBER(G85),G85&gt;0),J85/G85,"")</x:f>
      </x:c>
      <x:c r="M85" s="11" t="str">
        <x:f>IF(AND(ISNUMBER(K85),ISNUMBER(G85),G85&gt;0),K85/G85,"")</x:f>
      </x:c>
      <x:c r="N85" s="8" t="str">
        <x:v>https://corptreasury.ru/all/news/</x:v>
      </x:c>
    </x:row>
    <x:row r="86" ht="34.5" customHeight="1">
      <x:c r="A86" s="8" t="str">
        <x:v>FD-S081</x:v>
      </x:c>
      <x:c r="B86" s="8" t="str">
        <x:v>Ассоциация профессионалов по управлению закупками — APPM</x:v>
      </x:c>
      <x:c r="C86" s="8" t="str">
        <x:v>Нет</x:v>
      </x:c>
      <x:c r="D86" s="8" t="n">
        <x:v>0</x:v>
      </x:c>
      <x:c r="E86" s="9"/>
      <x:c r="F86" s="9"/>
      <x:c r="G86" s="9"/>
      <x:c r="H86" s="9"/>
      <x:c r="I86" s="9"/>
      <x:c r="J86" s="10"/>
      <x:c r="K86" s="10"/>
      <x:c r="L86" s="11" t="str">
        <x:f>IF(AND(ISNUMBER(J86),ISNUMBER(G86),G86&gt;0),J86/G86,"")</x:f>
      </x:c>
      <x:c r="M86" s="11" t="str">
        <x:f>IF(AND(ISNUMBER(K86),ISNUMBER(G86),G86&gt;0),K86/G86,"")</x:f>
      </x:c>
      <x:c r="N86" s="8" t="str">
        <x:v>https://appminfo.ru/</x:v>
      </x:c>
    </x:row>
    <x:row r="87" ht="34.5" customHeight="1">
      <x:c r="A87" s="8" t="str">
        <x:v>FD-S082</x:v>
      </x:c>
      <x:c r="B87" s="8" t="str">
        <x:v>Ассоциация специалистов в сфере управления документами — АСУД</x:v>
      </x:c>
      <x:c r="C87" s="8" t="str">
        <x:v>Нет</x:v>
      </x:c>
      <x:c r="D87" s="8" t="n">
        <x:v>1</x:v>
      </x:c>
      <x:c r="E87" s="9"/>
      <x:c r="F87" s="9"/>
      <x:c r="G87" s="9"/>
      <x:c r="H87" s="9"/>
      <x:c r="I87" s="9"/>
      <x:c r="J87" s="10"/>
      <x:c r="K87" s="10"/>
      <x:c r="L87" s="11" t="str">
        <x:f>IF(AND(ISNUMBER(J87),ISNUMBER(G87),G87&gt;0),J87/G87,"")</x:f>
      </x:c>
      <x:c r="M87" s="11" t="str">
        <x:f>IF(AND(ISNUMBER(K87),ISNUMBER(G87),G87&gt;0),K87/G87,"")</x:f>
      </x:c>
      <x:c r="N87" s="8" t="str">
        <x:v>https://assud.ru/</x:v>
      </x:c>
    </x:row>
    <x:row r="88" ht="31.5" customHeight="1">
      <x:c r="A88" s="8" t="str">
        <x:v>FD-S083</x:v>
      </x:c>
      <x:c r="B88" s="8" t="str">
        <x:v>Объединение корпоративных юристов — ОКЮР</x:v>
      </x:c>
      <x:c r="C88" s="8" t="str">
        <x:v>Нет</x:v>
      </x:c>
      <x:c r="D88" s="8" t="n">
        <x:v>0</x:v>
      </x:c>
      <x:c r="E88" s="9"/>
      <x:c r="F88" s="9"/>
      <x:c r="G88" s="9"/>
      <x:c r="H88" s="9"/>
      <x:c r="I88" s="9"/>
      <x:c r="J88" s="10"/>
      <x:c r="K88" s="10"/>
      <x:c r="L88" s="11" t="str">
        <x:f>IF(AND(ISNUMBER(J88),ISNUMBER(G88),G88&gt;0),J88/G88,"")</x:f>
      </x:c>
      <x:c r="M88" s="11" t="str">
        <x:f>IF(AND(ISNUMBER(K88),ISNUMBER(G88),G88&gt;0),K88/G88,"")</x:f>
      </x:c>
      <x:c r="N88" s="8" t="str">
        <x:v>https://www.rcca.com.ru/news/action.shtml</x:v>
      </x:c>
    </x:row>
    <x:row r="89" ht="31.5" customHeight="1">
      <x:c r="A89" s="8" t="str">
        <x:v>FD-S084</x:v>
      </x:c>
      <x:c r="B89" s="8" t="str">
        <x:v>Институт внутренних аудиторов</x:v>
      </x:c>
      <x:c r="C89" s="8" t="str">
        <x:v>Нет</x:v>
      </x:c>
      <x:c r="D89" s="8" t="n">
        <x:v>0</x:v>
      </x:c>
      <x:c r="E89" s="9"/>
      <x:c r="F89" s="9"/>
      <x:c r="G89" s="9"/>
      <x:c r="H89" s="9"/>
      <x:c r="I89" s="9"/>
      <x:c r="J89" s="10"/>
      <x:c r="K89" s="10"/>
      <x:c r="L89" s="11" t="str">
        <x:f>IF(AND(ISNUMBER(J89),ISNUMBER(G89),G89&gt;0),J89/G89,"")</x:f>
      </x:c>
      <x:c r="M89" s="11" t="str">
        <x:f>IF(AND(ISNUMBER(K89),ISNUMBER(G89),G89&gt;0),K89/G89,"")</x:f>
      </x:c>
      <x:c r="N89" s="8" t="str">
        <x:v>https://www.iia-ru.ru/announce/</x:v>
      </x:c>
    </x:row>
    <x:row r="90" ht="34.5" customHeight="1">
      <x:c r="A90" s="8" t="str">
        <x:v>FD-S085</x:v>
      </x:c>
      <x:c r="B90" s="8" t="str">
        <x:v>Национальное объединение корпоративных секретарей — НОКС</x:v>
      </x:c>
      <x:c r="C90" s="8" t="str">
        <x:v>Нет</x:v>
      </x:c>
      <x:c r="D90" s="8" t="n">
        <x:v>0</x:v>
      </x:c>
      <x:c r="E90" s="9"/>
      <x:c r="F90" s="9"/>
      <x:c r="G90" s="9"/>
      <x:c r="H90" s="9"/>
      <x:c r="I90" s="9"/>
      <x:c r="J90" s="10"/>
      <x:c r="K90" s="10"/>
      <x:c r="L90" s="11" t="str">
        <x:f>IF(AND(ISNUMBER(J90),ISNUMBER(G90),G90&gt;0),J90/G90,"")</x:f>
      </x:c>
      <x:c r="M90" s="11" t="str">
        <x:f>IF(AND(ISNUMBER(K90),ISNUMBER(G90),G90&gt;0),K90/G90,"")</x:f>
      </x:c>
      <x:c r="N90" s="8" t="str">
        <x:v>https://nokc.org.ru/sobytiya/</x:v>
      </x:c>
    </x:row>
    <x:row r="91" ht="31.5" customHeight="1">
      <x:c r="A91" s="8" t="str">
        <x:v>FD-S086</x:v>
      </x:c>
      <x:c r="B91" s="8" t="str">
        <x:v>Ассоциация ПСМПО — программы C&amp;B и HR-аналитики</x:v>
      </x:c>
      <x:c r="C91" s="8" t="str">
        <x:v>Нет</x:v>
      </x:c>
      <x:c r="D91" s="8" t="n">
        <x:v>0</x:v>
      </x:c>
      <x:c r="E91" s="9"/>
      <x:c r="F91" s="9"/>
      <x:c r="G91" s="9"/>
      <x:c r="H91" s="9"/>
      <x:c r="I91" s="9"/>
      <x:c r="J91" s="10"/>
      <x:c r="K91" s="10"/>
      <x:c r="L91" s="11" t="str">
        <x:f>IF(AND(ISNUMBER(J91),ISNUMBER(G91),G91&gt;0),J91/G91,"")</x:f>
      </x:c>
      <x:c r="M91" s="11" t="str">
        <x:f>IF(AND(ISNUMBER(K91),ISNUMBER(G91),G91&gt;0),K91/G91,"")</x:f>
      </x:c>
      <x:c r="N91" s="8" t="str">
        <x:v>https://compandben.org/</x:v>
      </x:c>
    </x:row>
    <x:row r="92" ht="31.5" customHeight="1">
      <x:c r="A92" s="8" t="str">
        <x:v>FD-S087</x:v>
      </x:c>
      <x:c r="B92" s="8" t="str">
        <x:v>Training@Development Hub — T&amp;D Казахстан</x:v>
      </x:c>
      <x:c r="C92" s="8" t="str">
        <x:v>Да</x:v>
      </x:c>
      <x:c r="D92" s="8" t="n">
        <x:v>0</x:v>
      </x:c>
      <x:c r="E92" s="9"/>
      <x:c r="F92" s="9"/>
      <x:c r="G92" s="9"/>
      <x:c r="H92" s="9"/>
      <x:c r="I92" s="9"/>
      <x:c r="J92" s="10"/>
      <x:c r="K92" s="10"/>
      <x:c r="L92" s="11" t="str">
        <x:f>IF(AND(ISNUMBER(J92),ISNUMBER(G92),G92&gt;0),J92/G92,"")</x:f>
      </x:c>
      <x:c r="M92" s="11" t="str">
        <x:f>IF(AND(ISNUMBER(K92),ISNUMBER(G92),G92&gt;0),K92/G92,"")</x:f>
      </x:c>
      <x:c r="N92" s="8" t="str">
        <x:v>https://t.me/tdh_channel</x:v>
      </x:c>
    </x:row>
    <x:row r="93" ht="31.5" customHeight="1">
      <x:c r="A93" s="8" t="str">
        <x:v>FD-S088</x:v>
      </x:c>
      <x:c r="B93" s="8" t="str">
        <x:v>HR Казахстан — чат HR-специалистов</x:v>
      </x:c>
      <x:c r="C93" s="8" t="str">
        <x:v>Да</x:v>
      </x:c>
      <x:c r="D93" s="8" t="n">
        <x:v>0</x:v>
      </x:c>
      <x:c r="E93" s="9"/>
      <x:c r="F93" s="9"/>
      <x:c r="G93" s="9"/>
      <x:c r="H93" s="9"/>
      <x:c r="I93" s="9"/>
      <x:c r="J93" s="10"/>
      <x:c r="K93" s="10"/>
      <x:c r="L93" s="11" t="str">
        <x:f>IF(AND(ISNUMBER(J93),ISNUMBER(G93),G93&gt;0),J93/G93,"")</x:f>
      </x:c>
      <x:c r="M93" s="11" t="str">
        <x:f>IF(AND(ISNUMBER(K93),ISNUMBER(G93),G93&gt;0),K93/G93,"")</x:f>
      </x:c>
      <x:c r="N93" s="8" t="str">
        <x:v>https://t.me/hrkaz</x:v>
      </x:c>
    </x:row>
    <x:row r="94" ht="31.5" customHeight="1">
      <x:c r="A94" s="8" t="str">
        <x:v>FD-S089</x:v>
      </x:c>
      <x:c r="B94" s="8" t="str">
        <x:v>HR Breakfast Live — канал сообщества</x:v>
      </x:c>
      <x:c r="C94" s="8" t="str">
        <x:v>Нет</x:v>
      </x:c>
      <x:c r="D94" s="8" t="n">
        <x:v>0</x:v>
      </x:c>
      <x:c r="E94" s="9"/>
      <x:c r="F94" s="9"/>
      <x:c r="G94" s="9"/>
      <x:c r="H94" s="9"/>
      <x:c r="I94" s="9"/>
      <x:c r="J94" s="10"/>
      <x:c r="K94" s="10"/>
      <x:c r="L94" s="11" t="str">
        <x:f>IF(AND(ISNUMBER(J94),ISNUMBER(G94),G94&gt;0),J94/G94,"")</x:f>
      </x:c>
      <x:c r="M94" s="11" t="str">
        <x:f>IF(AND(ISNUMBER(K94),ISNUMBER(G94),G94&gt;0),K94/G94,"")</x:f>
      </x:c>
      <x:c r="N94" s="8" t="str">
        <x:v>https://t.me/HRBreakfast_Live</x:v>
      </x:c>
    </x:row>
    <x:row r="95" ht="31.5" customHeight="1">
      <x:c r="A95" s="8" t="str">
        <x:v>FD-S090</x:v>
      </x:c>
      <x:c r="B95" s="8" t="str">
        <x:v>HR AREA Central Asia</x:v>
      </x:c>
      <x:c r="C95" s="8" t="str">
        <x:v>Нет</x:v>
      </x:c>
      <x:c r="D95" s="8" t="n">
        <x:v>1</x:v>
      </x:c>
      <x:c r="E95" s="9"/>
      <x:c r="F95" s="9"/>
      <x:c r="G95" s="9"/>
      <x:c r="H95" s="9"/>
      <x:c r="I95" s="9"/>
      <x:c r="J95" s="10"/>
      <x:c r="K95" s="10"/>
      <x:c r="L95" s="11" t="str">
        <x:f>IF(AND(ISNUMBER(J95),ISNUMBER(G95),G95&gt;0),J95/G95,"")</x:f>
      </x:c>
      <x:c r="M95" s="11" t="str">
        <x:f>IF(AND(ISNUMBER(K95),ISNUMBER(G95),G95&gt;0),K95/G95,"")</x:f>
      </x:c>
      <x:c r="N95" s="8" t="str">
        <x:v>https://t.me/hr_central_asia</x:v>
      </x:c>
    </x:row>
    <x:row r="96" ht="31.5" customHeight="1">
      <x:c r="A96" s="8" t="str">
        <x:v>FD-S091</x:v>
      </x:c>
      <x:c r="B96" s="8" t="str">
        <x:v>HR Breakfast Belarus — основной чат</x:v>
      </x:c>
      <x:c r="C96" s="8" t="str">
        <x:v>Да</x:v>
      </x:c>
      <x:c r="D96" s="8" t="n">
        <x:v>0</x:v>
      </x:c>
      <x:c r="E96" s="9"/>
      <x:c r="F96" s="9"/>
      <x:c r="G96" s="9"/>
      <x:c r="H96" s="9"/>
      <x:c r="I96" s="9"/>
      <x:c r="J96" s="10"/>
      <x:c r="K96" s="10"/>
      <x:c r="L96" s="11" t="str">
        <x:f>IF(AND(ISNUMBER(J96),ISNUMBER(G96),G96&gt;0),J96/G96,"")</x:f>
      </x:c>
      <x:c r="M96" s="11" t="str">
        <x:f>IF(AND(ISNUMBER(K96),ISNUMBER(G96),G96&gt;0),K96/G96,"")</x:f>
      </x:c>
      <x:c r="N96" s="8" t="str">
        <x:v>https://t.me/HRBreakfast</x:v>
      </x:c>
    </x:row>
    <x:row r="97" ht="31.5" customHeight="1">
      <x:c r="A97" s="8" t="str">
        <x:v>FD-S092</x:v>
      </x:c>
      <x:c r="B97" s="8" t="str">
        <x:v>CV &amp; JOB by HR Breakfast — отдельный чат вакансий</x:v>
      </x:c>
      <x:c r="C97" s="8" t="str">
        <x:v>Нет</x:v>
      </x:c>
      <x:c r="D97" s="8" t="n">
        <x:v>0</x:v>
      </x:c>
      <x:c r="E97" s="9"/>
      <x:c r="F97" s="9"/>
      <x:c r="G97" s="9"/>
      <x:c r="H97" s="9"/>
      <x:c r="I97" s="9"/>
      <x:c r="J97" s="10"/>
      <x:c r="K97" s="10"/>
      <x:c r="L97" s="11" t="str">
        <x:f>IF(AND(ISNUMBER(J97),ISNUMBER(G97),G97&gt;0),J97/G97,"")</x:f>
      </x:c>
      <x:c r="M97" s="11" t="str">
        <x:f>IF(AND(ISNUMBER(K97),ISNUMBER(G97),G97&gt;0),K97/G97,"")</x:f>
      </x:c>
      <x:c r="N97" s="8" t="str">
        <x:v>https://t.me/hr_breakfast_emergency</x:v>
      </x:c>
    </x:row>
    <x:row r="98" ht="31.5" customHeight="1">
      <x:c r="A98" s="8" t="str">
        <x:v>FD-S093</x:v>
      </x:c>
      <x:c r="B98" s="8" t="str">
        <x:v>МЦФЭР Казахстан — приглашение лекторов семинаров</x:v>
      </x:c>
      <x:c r="C98" s="8" t="str">
        <x:v>Да</x:v>
      </x:c>
      <x:c r="D98" s="8" t="n">
        <x:v>1</x:v>
      </x:c>
      <x:c r="E98" s="9"/>
      <x:c r="F98" s="9"/>
      <x:c r="G98" s="9"/>
      <x:c r="H98" s="9"/>
      <x:c r="I98" s="9"/>
      <x:c r="J98" s="10"/>
      <x:c r="K98" s="10"/>
      <x:c r="L98" s="11" t="str">
        <x:f>IF(AND(ISNUMBER(J98),ISNUMBER(G98),G98&gt;0),J98/G98,"")</x:f>
      </x:c>
      <x:c r="M98" s="11" t="str">
        <x:f>IF(AND(ISNUMBER(K98),ISNUMBER(G98),G98&gt;0),K98/G98,"")</x:f>
      </x:c>
      <x:c r="N98" s="8" t="str">
        <x:v>https://seminar.mcfr.kz/sotrudnichesrvo</x:v>
      </x:c>
    </x:row>
    <x:row r="99" ht="34.5" customHeight="1">
      <x:c r="A99" s="8" t="str">
        <x:v>FD-S094</x:v>
      </x:c>
      <x:c r="B99" s="8" t="str">
        <x:v>Академия технического регулирования Казахстана — приглашение лекторов и экспертов</x:v>
      </x:c>
      <x:c r="C99" s="8" t="str">
        <x:v>Нет</x:v>
      </x:c>
      <x:c r="D99" s="8" t="n">
        <x:v>1</x:v>
      </x:c>
      <x:c r="E99" s="9"/>
      <x:c r="F99" s="9"/>
      <x:c r="G99" s="9"/>
      <x:c r="H99" s="9"/>
      <x:c r="I99" s="9"/>
      <x:c r="J99" s="10"/>
      <x:c r="K99" s="10"/>
      <x:c r="L99" s="11" t="str">
        <x:f>IF(AND(ISNUMBER(J99),ISNUMBER(G99),G99&gt;0),J99/G99,"")</x:f>
      </x:c>
      <x:c r="M99" s="11" t="str">
        <x:f>IF(AND(ISNUMBER(K99),ISNUMBER(G99),G99&gt;0),K99/G99,"")</x:f>
      </x:c>
      <x:c r="N99" s="8" t="str">
        <x:v>https://atssm.kz/en/press-center/default/priglashaem-lektorov-i-ekspertov-k-sotrudnichestvu</x:v>
      </x:c>
    </x:row>
    <x:row r="100" ht="34.5" customHeight="1">
      <x:c r="A100" s="8" t="str">
        <x:v>FD-S095</x:v>
      </x:c>
      <x:c r="B100" s="8" t="str">
        <x:v>Медиум-Центр — белорусский интегратор и разработчик курсов из сети Websoft</x:v>
      </x:c>
      <x:c r="C100" s="8" t="str">
        <x:v>Нет</x:v>
      </x:c>
      <x:c r="D100" s="8" t="n">
        <x:v>0</x:v>
      </x:c>
      <x:c r="E100" s="9"/>
      <x:c r="F100" s="9"/>
      <x:c r="G100" s="9"/>
      <x:c r="H100" s="9"/>
      <x:c r="I100" s="9"/>
      <x:c r="J100" s="10"/>
      <x:c r="K100" s="10"/>
      <x:c r="L100" s="11" t="str">
        <x:f>IF(AND(ISNUMBER(J100),ISNUMBER(G100),G100&gt;0),J100/G100,"")</x:f>
      </x:c>
      <x:c r="M100" s="11" t="str">
        <x:f>IF(AND(ISNUMBER(K100),ISNUMBER(G100),G100&gt;0),K100/G100,"")</x:f>
      </x:c>
      <x:c r="N100" s="8" t="str">
        <x:v>https://medium-centr.by/</x:v>
      </x:c>
    </x:row>
    <x:row r="101" ht="34.5" customHeight="1">
      <x:c r="A101" s="8" t="str">
        <x:v>FD-S096</x:v>
      </x:c>
      <x:c r="B101" s="8" t="str">
        <x:v>Glabis — встречи сообщества бизнес-тренеров и руководителей обучения</x:v>
      </x:c>
      <x:c r="C101" s="8" t="str">
        <x:v>Нет</x:v>
      </x:c>
      <x:c r="D101" s="8" t="n">
        <x:v>1</x:v>
      </x:c>
      <x:c r="E101" s="9"/>
      <x:c r="F101" s="9"/>
      <x:c r="G101" s="9"/>
      <x:c r="H101" s="9"/>
      <x:c r="I101" s="9"/>
      <x:c r="J101" s="10"/>
      <x:c r="K101" s="10"/>
      <x:c r="L101" s="11" t="str">
        <x:f>IF(AND(ISNUMBER(J101),ISNUMBER(G101),G101&gt;0),J101/G101,"")</x:f>
      </x:c>
      <x:c r="M101" s="11" t="str">
        <x:f>IF(AND(ISNUMBER(K101),ISNUMBER(G101),G101&gt;0),K101/G101,"")</x:f>
      </x:c>
      <x:c r="N101" s="8" t="str">
        <x:v>https://glabis.by/posidelki/</x:v>
      </x:c>
    </x:row>
    <x:row r="102" ht="31.5" customHeight="1">
      <x:c r="A102" s="8" t="str">
        <x:v>FD-S097</x:v>
      </x:c>
      <x:c r="B102" s="8" t="str">
        <x:v>БелАБ — обучение и аттестация бухгалтеров</x:v>
      </x:c>
      <x:c r="C102" s="8" t="str">
        <x:v>Да</x:v>
      </x:c>
      <x:c r="D102" s="8" t="n">
        <x:v>0</x:v>
      </x:c>
      <x:c r="E102" s="9"/>
      <x:c r="F102" s="9"/>
      <x:c r="G102" s="9"/>
      <x:c r="H102" s="9"/>
      <x:c r="I102" s="9"/>
      <x:c r="J102" s="10"/>
      <x:c r="K102" s="10"/>
      <x:c r="L102" s="11" t="str">
        <x:f>IF(AND(ISNUMBER(J102),ISNUMBER(G102),G102&gt;0),J102/G102,"")</x:f>
      </x:c>
      <x:c r="M102" s="11" t="str">
        <x:f>IF(AND(ISNUMBER(K102),ISNUMBER(G102),G102&gt;0),K102/G102,"")</x:f>
      </x:c>
      <x:c r="N102" s="8" t="str">
        <x:v>https://www.belab.by/education</x:v>
      </x:c>
    </x:row>
    <x:row r="103" ht="34.5" customHeight="1">
      <x:c r="A103" s="8" t="str">
        <x:v>FD-S098</x:v>
      </x:c>
      <x:c r="B103" s="8" t="str">
        <x:v>СОЮЗ-эксперт — предложение тем и корпоративные программы</x:v>
      </x:c>
      <x:c r="C103" s="8" t="str">
        <x:v>Нет</x:v>
      </x:c>
      <x:c r="D103" s="8" t="n">
        <x:v>1</x:v>
      </x:c>
      <x:c r="E103" s="9"/>
      <x:c r="F103" s="9"/>
      <x:c r="G103" s="9"/>
      <x:c r="H103" s="9"/>
      <x:c r="I103" s="9"/>
      <x:c r="J103" s="10"/>
      <x:c r="K103" s="10"/>
      <x:c r="L103" s="11" t="str">
        <x:f>IF(AND(ISNUMBER(J103),ISNUMBER(G103),G103&gt;0),J103/G103,"")</x:f>
      </x:c>
      <x:c r="M103" s="11" t="str">
        <x:f>IF(AND(ISNUMBER(K103),ISNUMBER(G103),G103&gt;0),K103/G103,"")</x:f>
      </x:c>
      <x:c r="N103" s="8" t="str">
        <x:v>https://s-expert.by/</x:v>
      </x:c>
    </x:row>
    <x:row r="104" ht="34.5" customHeight="1">
      <x:c r="A104" s="8" t="str">
        <x:v>FD-S099</x:v>
      </x:c>
      <x:c r="B104" s="8" t="str">
        <x:v>Могилевское отделение БелТПП — деловые визиты и семинары</x:v>
      </x:c>
      <x:c r="C104" s="8" t="str">
        <x:v>Да</x:v>
      </x:c>
      <x:c r="D104" s="8" t="n">
        <x:v>1</x:v>
      </x:c>
      <x:c r="E104" s="9"/>
      <x:c r="F104" s="9"/>
      <x:c r="G104" s="9"/>
      <x:c r="H104" s="9"/>
      <x:c r="I104" s="9"/>
      <x:c r="J104" s="10"/>
      <x:c r="K104" s="10"/>
      <x:c r="L104" s="11" t="str">
        <x:f>IF(AND(ISNUMBER(J104),ISNUMBER(G104),G104&gt;0),J104/G104,"")</x:f>
      </x:c>
      <x:c r="M104" s="11" t="str">
        <x:f>IF(AND(ISNUMBER(K104),ISNUMBER(G104),G104&gt;0),K104/G104,"")</x:f>
      </x:c>
      <x:c r="N104" s="8" t="str">
        <x:v>https://mogilevcci.by/organization-of-visits-and-receptions/</x:v>
      </x:c>
    </x:row>
    <x:row r="105" ht="31.5" customHeight="1">
      <x:c r="A105" s="8" t="str">
        <x:v>FD-S100</x:v>
      </x:c>
      <x:c r="B105" s="8" t="str">
        <x:v>Бизнес-клуб Банка РРБ — лента бизнес-семинаров</x:v>
      </x:c>
      <x:c r="C105" s="8" t="str">
        <x:v>Нет</x:v>
      </x:c>
      <x:c r="D105" s="8" t="n">
        <x:v>2</x:v>
      </x:c>
      <x:c r="E105" s="9"/>
      <x:c r="F105" s="9"/>
      <x:c r="G105" s="9"/>
      <x:c r="H105" s="9"/>
      <x:c r="I105" s="9"/>
      <x:c r="J105" s="10"/>
      <x:c r="K105" s="10"/>
      <x:c r="L105" s="11" t="str">
        <x:f>IF(AND(ISNUMBER(J105),ISNUMBER(G105),G105&gt;0),J105/G105,"")</x:f>
      </x:c>
      <x:c r="M105" s="11" t="str">
        <x:f>IF(AND(ISNUMBER(K105),ISNUMBER(G105),G105&gt;0),K105/G105,"")</x:f>
      </x:c>
      <x:c r="N105" s="8" t="str">
        <x:v>https://club.rrb.by/news</x:v>
      </x:c>
    </x:row>
    <x:row r="106" ht="31.5" customHeight="1">
      <x:c r="A106" s="8" t="str">
        <x:v>FD-S101</x:v>
      </x:c>
      <x:c r="B106" s="8" t="str">
        <x:v>Kazakhstan HR-Forum — HR Club</x:v>
      </x:c>
      <x:c r="C106" s="8" t="str">
        <x:v>Нет</x:v>
      </x:c>
      <x:c r="D106" s="8" t="n">
        <x:v>0</x:v>
      </x:c>
      <x:c r="E106" s="9"/>
      <x:c r="F106" s="9"/>
      <x:c r="G106" s="9"/>
      <x:c r="H106" s="9"/>
      <x:c r="I106" s="9"/>
      <x:c r="J106" s="10"/>
      <x:c r="K106" s="10"/>
      <x:c r="L106" s="11" t="str">
        <x:f>IF(AND(ISNUMBER(J106),ISNUMBER(G106),G106&gt;0),J106/G106,"")</x:f>
      </x:c>
      <x:c r="M106" s="11" t="str">
        <x:f>IF(AND(ISNUMBER(K106),ISNUMBER(G106),G106&gt;0),K106/G106,"")</x:f>
      </x:c>
      <x:c r="N106" s="8" t="str">
        <x:v>https://hrf.kgforum.kz/hr-club</x:v>
      </x:c>
    </x:row>
    <x:row r="107" ht="31.5" customHeight="1">
      <x:c r="A107" s="8" t="str">
        <x:v>FD-S102</x:v>
      </x:c>
      <x:c r="B107" s="8" t="str">
        <x:v>ASSET HR — HR-Forum Central Asia</x:v>
      </x:c>
      <x:c r="C107" s="8" t="str">
        <x:v>Да</x:v>
      </x:c>
      <x:c r="D107" s="8" t="n">
        <x:v>1</x:v>
      </x:c>
      <x:c r="E107" s="9"/>
      <x:c r="F107" s="9"/>
      <x:c r="G107" s="9"/>
      <x:c r="H107" s="9"/>
      <x:c r="I107" s="9"/>
      <x:c r="J107" s="10"/>
      <x:c r="K107" s="10"/>
      <x:c r="L107" s="11" t="str">
        <x:f>IF(AND(ISNUMBER(J107),ISNUMBER(G107),G107&gt;0),J107/G107,"")</x:f>
      </x:c>
      <x:c r="M107" s="11" t="str">
        <x:f>IF(AND(ISNUMBER(K107),ISNUMBER(G107),G107&gt;0),K107/G107,"")</x:f>
      </x:c>
      <x:c r="N107" s="8" t="str">
        <x:v>https://forum.assethr.kz/</x:v>
      </x:c>
    </x:row>
    <x:row r="108" ht="31.5" customHeight="1">
      <x:c r="A108" s="8" t="str">
        <x:v>FD-S103</x:v>
      </x:c>
      <x:c r="B108" s="8" t="str">
        <x:v>Ассоциация HR-менеджеров Казахстана</x:v>
      </x:c>
      <x:c r="C108" s="8" t="str">
        <x:v>Нет</x:v>
      </x:c>
      <x:c r="D108" s="8" t="n">
        <x:v>0</x:v>
      </x:c>
      <x:c r="E108" s="9"/>
      <x:c r="F108" s="9"/>
      <x:c r="G108" s="9"/>
      <x:c r="H108" s="9"/>
      <x:c r="I108" s="9"/>
      <x:c r="J108" s="10"/>
      <x:c r="K108" s="10"/>
      <x:c r="L108" s="11" t="str">
        <x:f>IF(AND(ISNUMBER(J108),ISNUMBER(G108),G108&gt;0),J108/G108,"")</x:f>
      </x:c>
      <x:c r="M108" s="11" t="str">
        <x:f>IF(AND(ISNUMBER(K108),ISNUMBER(G108),G108&gt;0),K108/G108,"")</x:f>
      </x:c>
      <x:c r="N108" s="8" t="str">
        <x:v>https://hrbp.kz/</x:v>
      </x:c>
    </x:row>
    <x:row r="109" ht="31.5" customHeight="1">
      <x:c r="A109" s="8" t="str">
        <x:v>FD-S104</x:v>
      </x:c>
      <x:c r="B109" s="8" t="str">
        <x:v>HR4People — Казахстан</x:v>
      </x:c>
      <x:c r="C109" s="8" t="str">
        <x:v>Нет</x:v>
      </x:c>
      <x:c r="D109" s="8" t="n">
        <x:v>2</x:v>
      </x:c>
      <x:c r="E109" s="9"/>
      <x:c r="F109" s="9"/>
      <x:c r="G109" s="9"/>
      <x:c r="H109" s="9"/>
      <x:c r="I109" s="9"/>
      <x:c r="J109" s="10"/>
      <x:c r="K109" s="10"/>
      <x:c r="L109" s="11" t="str">
        <x:f>IF(AND(ISNUMBER(J109),ISNUMBER(G109),G109&gt;0),J109/G109,"")</x:f>
      </x:c>
      <x:c r="M109" s="11" t="str">
        <x:f>IF(AND(ISNUMBER(K109),ISNUMBER(G109),G109&gt;0),K109/G109,"")</x:f>
      </x:c>
      <x:c r="N109" s="8" t="str">
        <x:v>https://hr4people.kz/</x:v>
      </x:c>
    </x:row>
    <x:row r="110" ht="31.5" customHeight="1">
      <x:c r="A110" s="8" t="str">
        <x:v>FD-S105</x:v>
      </x:c>
      <x:c r="B110" s="8" t="str">
        <x:v>Astana Hub Education — программы и авторы курсов</x:v>
      </x:c>
      <x:c r="C110" s="8" t="str">
        <x:v>Да</x:v>
      </x:c>
      <x:c r="D110" s="8" t="n">
        <x:v>0</x:v>
      </x:c>
      <x:c r="E110" s="9"/>
      <x:c r="F110" s="9"/>
      <x:c r="G110" s="9"/>
      <x:c r="H110" s="9"/>
      <x:c r="I110" s="9"/>
      <x:c r="J110" s="10"/>
      <x:c r="K110" s="10"/>
      <x:c r="L110" s="11" t="str">
        <x:f>IF(AND(ISNUMBER(J110),ISNUMBER(G110),G110&gt;0),J110/G110,"")</x:f>
      </x:c>
      <x:c r="M110" s="11" t="str">
        <x:f>IF(AND(ISNUMBER(K110),ISNUMBER(G110),G110&gt;0),K110/G110,"")</x:f>
      </x:c>
      <x:c r="N110" s="8" t="str">
        <x:v>https://edu.astanahub.com/</x:v>
      </x:c>
    </x:row>
    <x:row r="111" ht="31.5" customHeight="1">
      <x:c r="A111" s="8" t="str">
        <x:v>FD-S106</x:v>
      </x:c>
      <x:c r="B111" s="8" t="str">
        <x:v>KAZENERGY — развитие человеческого капитала</x:v>
      </x:c>
      <x:c r="C111" s="8" t="str">
        <x:v>Нет</x:v>
      </x:c>
      <x:c r="D111" s="8" t="n">
        <x:v>2</x:v>
      </x:c>
      <x:c r="E111" s="9"/>
      <x:c r="F111" s="9"/>
      <x:c r="G111" s="9"/>
      <x:c r="H111" s="9"/>
      <x:c r="I111" s="9"/>
      <x:c r="J111" s="10"/>
      <x:c r="K111" s="10"/>
      <x:c r="L111" s="11" t="str">
        <x:f>IF(AND(ISNUMBER(J111),ISNUMBER(G111),G111&gt;0),J111/G111,"")</x:f>
      </x:c>
      <x:c r="M111" s="11" t="str">
        <x:f>IF(AND(ISNUMBER(K111),ISNUMBER(G111),G111&gt;0),K111/G111,"")</x:f>
      </x:c>
      <x:c r="N111" s="8" t="str">
        <x:v>https://www.kazenergy.com/operation/human-capital/</x:v>
      </x:c>
    </x:row>
    <x:row r="112" ht="34.5" customHeight="1">
      <x:c r="A112" s="8" t="str">
        <x:v>FD-S107</x:v>
      </x:c>
      <x:c r="B112" s="8" t="str">
        <x:v>InterForum — порядок включения экспертов в программы</x:v>
      </x:c>
      <x:c r="C112" s="8" t="str">
        <x:v>Нет</x:v>
      </x:c>
      <x:c r="D112" s="8" t="n">
        <x:v>1</x:v>
      </x:c>
      <x:c r="E112" s="9"/>
      <x:c r="F112" s="9"/>
      <x:c r="G112" s="9"/>
      <x:c r="H112" s="9"/>
      <x:c r="I112" s="9"/>
      <x:c r="J112" s="10"/>
      <x:c r="K112" s="10"/>
      <x:c r="L112" s="11" t="str">
        <x:f>IF(AND(ISNUMBER(J112),ISNUMBER(G112),G112&gt;0),J112/G112,"")</x:f>
      </x:c>
      <x:c r="M112" s="11" t="str">
        <x:f>IF(AND(ISNUMBER(K112),ISNUMBER(G112),G112&gt;0),K112/G112,"")</x:f>
      </x:c>
      <x:c r="N112" s="8" t="str">
        <x:v>https://interforums.ru/faq</x:v>
      </x:c>
    </x:row>
    <x:row r="113" ht="31.5" customHeight="1">
      <x:c r="A113" s="8" t="str">
        <x:v>FD-S108</x:v>
      </x:c>
      <x:c r="B113" s="8" t="str">
        <x:v>AHConferences — продюсерская компания</x:v>
      </x:c>
      <x:c r="C113" s="8" t="str">
        <x:v>Нет</x:v>
      </x:c>
      <x:c r="D113" s="8" t="n">
        <x:v>0</x:v>
      </x:c>
      <x:c r="E113" s="9"/>
      <x:c r="F113" s="9"/>
      <x:c r="G113" s="9"/>
      <x:c r="H113" s="9"/>
      <x:c r="I113" s="9"/>
      <x:c r="J113" s="10"/>
      <x:c r="K113" s="10"/>
      <x:c r="L113" s="11" t="str">
        <x:f>IF(AND(ISNUMBER(J113),ISNUMBER(G113),G113&gt;0),J113/G113,"")</x:f>
      </x:c>
      <x:c r="M113" s="11" t="str">
        <x:f>IF(AND(ISNUMBER(K113),ISNUMBER(G113),G113&gt;0),K113/G113,"")</x:f>
      </x:c>
      <x:c r="N113" s="8" t="str">
        <x:v>https://ahconferences.com/about</x:v>
      </x:c>
    </x:row>
    <x:row r="114" ht="34.5" customHeight="1">
      <x:c r="A114" s="8" t="str">
        <x:v>FD-S109</x:v>
      </x:c>
      <x:c r="B114" s="8" t="str">
        <x:v>Auditorium — E-Learning Force и контакт по выступлениям</x:v>
      </x:c>
      <x:c r="C114" s="8" t="str">
        <x:v>Нет</x:v>
      </x:c>
      <x:c r="D114" s="8" t="n">
        <x:v>4</x:v>
      </x:c>
      <x:c r="E114" s="9"/>
      <x:c r="F114" s="9"/>
      <x:c r="G114" s="9"/>
      <x:c r="H114" s="9"/>
      <x:c r="I114" s="9"/>
      <x:c r="J114" s="10"/>
      <x:c r="K114" s="10"/>
      <x:c r="L114" s="11" t="str">
        <x:f>IF(AND(ISNUMBER(J114),ISNUMBER(G114),G114&gt;0),J114/G114,"")</x:f>
      </x:c>
      <x:c r="M114" s="11" t="str">
        <x:f>IF(AND(ISNUMBER(K114),ISNUMBER(G114),G114&gt;0),K114/G114,"")</x:f>
      </x:c>
      <x:c r="N114" s="8" t="str">
        <x:v>https://auditorium-cg.ru/elf23</x:v>
      </x:c>
    </x:row>
    <x:row r="115" ht="31.5" customHeight="1">
      <x:c r="A115" s="8" t="str">
        <x:v>FD-S110</x:v>
      </x:c>
      <x:c r="B115" s="8" t="str">
        <x:v>Ведомости.Конференции — форма предложения эксперта</x:v>
      </x:c>
      <x:c r="C115" s="8" t="str">
        <x:v>Нет</x:v>
      </x:c>
      <x:c r="D115" s="8" t="n">
        <x:v>1</x:v>
      </x:c>
      <x:c r="E115" s="9"/>
      <x:c r="F115" s="9"/>
      <x:c r="G115" s="9"/>
      <x:c r="H115" s="9"/>
      <x:c r="I115" s="9"/>
      <x:c r="J115" s="10"/>
      <x:c r="K115" s="10"/>
      <x:c r="L115" s="11" t="str">
        <x:f>IF(AND(ISNUMBER(J115),ISNUMBER(G115),G115&gt;0),J115/G115,"")</x:f>
      </x:c>
      <x:c r="M115" s="11" t="str">
        <x:f>IF(AND(ISNUMBER(K115),ISNUMBER(G115),G115&gt;0),K115/G115,"")</x:f>
      </x:c>
      <x:c r="N115" s="8" t="str">
        <x:v>https://events.vedomosti.ru/about</x:v>
      </x:c>
    </x:row>
    <x:row r="116" ht="34.5" customHeight="1">
      <x:c r="A116" s="8" t="str">
        <x:v>FD-S111</x:v>
      </x:c>
      <x:c r="B116" s="8" t="str">
        <x:v>Коммерсантъ — федеральная и региональные конференционные редакции</x:v>
      </x:c>
      <x:c r="C116" s="8" t="str">
        <x:v>Нет</x:v>
      </x:c>
      <x:c r="D116" s="8" t="n">
        <x:v>0</x:v>
      </x:c>
      <x:c r="E116" s="9"/>
      <x:c r="F116" s="9"/>
      <x:c r="G116" s="9"/>
      <x:c r="H116" s="9"/>
      <x:c r="I116" s="9"/>
      <x:c r="J116" s="10"/>
      <x:c r="K116" s="10"/>
      <x:c r="L116" s="11" t="str">
        <x:f>IF(AND(ISNUMBER(J116),ISNUMBER(G116),G116&gt;0),J116/G116,"")</x:f>
      </x:c>
      <x:c r="M116" s="11" t="str">
        <x:f>IF(AND(ISNUMBER(K116),ISNUMBER(G116),G116&gt;0),K116/G116,"")</x:f>
      </x:c>
      <x:c r="N116" s="8" t="str">
        <x:v>https://events.kommersant.ru/</x:v>
      </x:c>
    </x:row>
    <x:row r="117" ht="34.5" customHeight="1">
      <x:c r="A117" s="8" t="str">
        <x:v>FD-S112</x:v>
      </x:c>
      <x:c r="B117" s="8" t="str">
        <x:v>Центр событий РБК — контент, спикеры и аккредитованные подрядчики</x:v>
      </x:c>
      <x:c r="C117" s="8" t="str">
        <x:v>Нет</x:v>
      </x:c>
      <x:c r="D117" s="8" t="n">
        <x:v>0</x:v>
      </x:c>
      <x:c r="E117" s="9"/>
      <x:c r="F117" s="9"/>
      <x:c r="G117" s="9"/>
      <x:c r="H117" s="9"/>
      <x:c r="I117" s="9"/>
      <x:c r="J117" s="10"/>
      <x:c r="K117" s="10"/>
      <x:c r="L117" s="11" t="str">
        <x:f>IF(AND(ISNUMBER(J117),ISNUMBER(G117),G117&gt;0),J117/G117,"")</x:f>
      </x:c>
      <x:c r="M117" s="11" t="str">
        <x:f>IF(AND(ISNUMBER(K117),ISNUMBER(G117),G117&gt;0),K117/G117,"")</x:f>
      </x:c>
      <x:c r="N117" s="8" t="str">
        <x:v>https://events.rbc.ru/</x:v>
      </x:c>
    </x:row>
    <x:row r="118" ht="31.5" customHeight="1">
      <x:c r="A118" s="8" t="str">
        <x:v>FD-S113</x:v>
      </x:c>
      <x:c r="B118" s="8" t="str">
        <x:v>Право.ru — конференции и контакты продюсеров</x:v>
      </x:c>
      <x:c r="C118" s="8" t="str">
        <x:v>Нет</x:v>
      </x:c>
      <x:c r="D118" s="8" t="n">
        <x:v>0</x:v>
      </x:c>
      <x:c r="E118" s="9"/>
      <x:c r="F118" s="9"/>
      <x:c r="G118" s="9"/>
      <x:c r="H118" s="9"/>
      <x:c r="I118" s="9"/>
      <x:c r="J118" s="10"/>
      <x:c r="K118" s="10"/>
      <x:c r="L118" s="11" t="str">
        <x:f>IF(AND(ISNUMBER(J118),ISNUMBER(G118),G118&gt;0),J118/G118,"")</x:f>
      </x:c>
      <x:c r="M118" s="11" t="str">
        <x:f>IF(AND(ISNUMBER(K118),ISNUMBER(G118),G118&gt;0),K118/G118,"")</x:f>
      </x:c>
      <x:c r="N118" s="8" t="str">
        <x:v>https://event.pravo.ru/</x:v>
      </x:c>
    </x:row>
    <x:row r="119" ht="31.5" customHeight="1">
      <x:c r="A119" s="8" t="str">
        <x:v>FD-S114</x:v>
      </x:c>
      <x:c r="B119" s="8" t="str">
        <x:v>GAME &amp; LEARN — отбор спикеров HR-конференции</x:v>
      </x:c>
      <x:c r="C119" s="8" t="str">
        <x:v>Нет</x:v>
      </x:c>
      <x:c r="D119" s="8" t="n">
        <x:v>1</x:v>
      </x:c>
      <x:c r="E119" s="9"/>
      <x:c r="F119" s="9"/>
      <x:c r="G119" s="9"/>
      <x:c r="H119" s="9"/>
      <x:c r="I119" s="9"/>
      <x:c r="J119" s="10"/>
      <x:c r="K119" s="10"/>
      <x:c r="L119" s="11" t="str">
        <x:f>IF(AND(ISNUMBER(J119),ISNUMBER(G119),G119&gt;0),J119/G119,"")</x:f>
      </x:c>
      <x:c r="M119" s="11" t="str">
        <x:f>IF(AND(ISNUMBER(K119),ISNUMBER(G119),G119&gt;0),K119/G119,"")</x:f>
      </x:c>
      <x:c r="N119" s="8" t="str">
        <x:v>https://game-learn.ru/</x:v>
      </x:c>
    </x:row>
    <x:row r="120" ht="31.5" customHeight="1">
      <x:c r="A120" s="8" t="str">
        <x:v>FD-S115</x:v>
      </x:c>
      <x:c r="B120" s="8" t="str">
        <x:v>eLearning Elements — заявки спикеров</x:v>
      </x:c>
      <x:c r="C120" s="8" t="str">
        <x:v>Нет</x:v>
      </x:c>
      <x:c r="D120" s="8" t="n">
        <x:v>2</x:v>
      </x:c>
      <x:c r="E120" s="9"/>
      <x:c r="F120" s="9"/>
      <x:c r="G120" s="9"/>
      <x:c r="H120" s="9"/>
      <x:c r="I120" s="9"/>
      <x:c r="J120" s="10"/>
      <x:c r="K120" s="10"/>
      <x:c r="L120" s="11" t="str">
        <x:f>IF(AND(ISNUMBER(J120),ISNUMBER(G120),G120&gt;0),J120/G120,"")</x:f>
      </x:c>
      <x:c r="M120" s="11" t="str">
        <x:f>IF(AND(ISNUMBER(K120),ISNUMBER(G120),G120&gt;0),K120/G120,"")</x:f>
      </x:c>
      <x:c r="N120" s="8" t="str">
        <x:v>https://elearningelements.ru/for-speakers</x:v>
      </x:c>
    </x:row>
    <x:row r="121" ht="31.5" customHeight="1">
      <x:c r="A121" s="8" t="str">
        <x:v>FD-S116</x:v>
      </x:c>
      <x:c r="B121" s="8" t="str">
        <x:v>WhiteConf — заявка в программу конференции</x:v>
      </x:c>
      <x:c r="C121" s="8" t="str">
        <x:v>Нет</x:v>
      </x:c>
      <x:c r="D121" s="8" t="n">
        <x:v>1</x:v>
      </x:c>
      <x:c r="E121" s="9"/>
      <x:c r="F121" s="9"/>
      <x:c r="G121" s="9"/>
      <x:c r="H121" s="9"/>
      <x:c r="I121" s="9"/>
      <x:c r="J121" s="10"/>
      <x:c r="K121" s="10"/>
      <x:c r="L121" s="11" t="str">
        <x:f>IF(AND(ISNUMBER(J121),ISNUMBER(G121),G121&gt;0),J121/G121,"")</x:f>
      </x:c>
      <x:c r="M121" s="11" t="str">
        <x:f>IF(AND(ISNUMBER(K121),ISNUMBER(G121),G121&gt;0),K121/G121,"")</x:f>
      </x:c>
      <x:c r="N121" s="8" t="str">
        <x:v>https://whiteconf.ru/become_speaker/</x:v>
      </x:c>
    </x:row>
    <x:row r="122" ht="31.5" customHeight="1">
      <x:c r="A122" s="8" t="str">
        <x:v>FD-S117</x:v>
      </x:c>
      <x:c r="B122" s="8" t="str">
        <x:v>МК-Конференции — стратегия обучения персонала</x:v>
      </x:c>
      <x:c r="C122" s="8" t="str">
        <x:v>Нет</x:v>
      </x:c>
      <x:c r="D122" s="8" t="n">
        <x:v>3</x:v>
      </x:c>
      <x:c r="E122" s="9"/>
      <x:c r="F122" s="9"/>
      <x:c r="G122" s="9"/>
      <x:c r="H122" s="9"/>
      <x:c r="I122" s="9"/>
      <x:c r="J122" s="10"/>
      <x:c r="K122" s="10"/>
      <x:c r="L122" s="11" t="str">
        <x:f>IF(AND(ISNUMBER(J122),ISNUMBER(G122),G122&gt;0),J122/G122,"")</x:f>
      </x:c>
      <x:c r="M122" s="11" t="str">
        <x:f>IF(AND(ISNUMBER(K122),ISNUMBER(G122),G122&gt;0),K122/G122,"")</x:f>
      </x:c>
      <x:c r="N122" s="8" t="str">
        <x:v>https://www.mk-conference.ru/obychenie1111</x:v>
      </x:c>
    </x:row>
    <x:row r="123" ht="31.5" customHeight="1">
      <x:c r="A123" s="8" t="str">
        <x:v>FD-S118</x:v>
      </x:c>
      <x:c r="B123" s="8" t="str">
        <x:v>FiNPLACE — предложить доклад</x:v>
      </x:c>
      <x:c r="C123" s="8" t="str">
        <x:v>Нет</x:v>
      </x:c>
      <x:c r="D123" s="8" t="n">
        <x:v>1</x:v>
      </x:c>
      <x:c r="E123" s="9"/>
      <x:c r="F123" s="9"/>
      <x:c r="G123" s="9"/>
      <x:c r="H123" s="9"/>
      <x:c r="I123" s="9"/>
      <x:c r="J123" s="10"/>
      <x:c r="K123" s="10"/>
      <x:c r="L123" s="11" t="str">
        <x:f>IF(AND(ISNUMBER(J123),ISNUMBER(G123),G123&gt;0),J123/G123,"")</x:f>
      </x:c>
      <x:c r="M123" s="11" t="str">
        <x:f>IF(AND(ISNUMBER(K123),ISNUMBER(G123),G123&gt;0),K123/G123,"")</x:f>
      </x:c>
      <x:c r="N123" s="8" t="str">
        <x:v>https://finplace.ru/</x:v>
      </x:c>
    </x:row>
    <x:row r="124" ht="34.5" customHeight="1">
      <x:c r="A124" s="8" t="str">
        <x:v>FD-S119</x:v>
      </x:c>
      <x:c r="B124" s="8" t="str">
        <x:v>Российская ассоциация фасилитаторов — конференция и кейсы заказчиков</x:v>
      </x:c>
      <x:c r="C124" s="8" t="str">
        <x:v>Нет</x:v>
      </x:c>
      <x:c r="D124" s="8" t="n">
        <x:v>0</x:v>
      </x:c>
      <x:c r="E124" s="9"/>
      <x:c r="F124" s="9"/>
      <x:c r="G124" s="9"/>
      <x:c r="H124" s="9"/>
      <x:c r="I124" s="9"/>
      <x:c r="J124" s="10"/>
      <x:c r="K124" s="10"/>
      <x:c r="L124" s="11" t="str">
        <x:f>IF(AND(ISNUMBER(J124),ISNUMBER(G124),G124&gt;0),J124/G124,"")</x:f>
      </x:c>
      <x:c r="M124" s="11" t="str">
        <x:f>IF(AND(ISNUMBER(K124),ISNUMBER(G124),G124&gt;0),K124/G124,"")</x:f>
      </x:c>
      <x:c r="N124" s="8" t="str">
        <x:v>https://facilitators.ru/</x:v>
      </x:c>
    </x:row>
    <x:row r="125" ht="31.5" customHeight="1">
      <x:c r="A125" s="8" t="str">
        <x:v>FD-S120</x:v>
      </x:c>
      <x:c r="B125" s="8" t="str">
        <x:v>РАБО — сбор предложений в план мероприятий</x:v>
      </x:c>
      <x:c r="C125" s="8" t="str">
        <x:v>Нет</x:v>
      </x:c>
      <x:c r="D125" s="8" t="n">
        <x:v>1</x:v>
      </x:c>
      <x:c r="E125" s="9"/>
      <x:c r="F125" s="9"/>
      <x:c r="G125" s="9"/>
      <x:c r="H125" s="9"/>
      <x:c r="I125" s="9"/>
      <x:c r="J125" s="10"/>
      <x:c r="K125" s="10"/>
      <x:c r="L125" s="11" t="str">
        <x:f>IF(AND(ISNUMBER(J125),ISNUMBER(G125),G125&gt;0),J125/G125,"")</x:f>
      </x:c>
      <x:c r="M125" s="11" t="str">
        <x:f>IF(AND(ISNUMBER(K125),ISNUMBER(G125),G125&gt;0),K125/G125,"")</x:f>
      </x:c>
      <x:c r="N125" s="8" t="str">
        <x:v>https://rabe.ru/</x:v>
      </x:c>
    </x:row>
    <x:row r="126" ht="31.5" customHeight="1">
      <x:c r="A126" s="8" t="str">
        <x:v>FD-S121</x:v>
      </x:c>
      <x:c r="B126" s="8" t="str">
        <x:v>Школа экспорта РЭЦ — отбор региональных тренеров</x:v>
      </x:c>
      <x:c r="C126" s="8" t="str">
        <x:v>Нет</x:v>
      </x:c>
      <x:c r="D126" s="8" t="n">
        <x:v>1</x:v>
      </x:c>
      <x:c r="E126" s="9"/>
      <x:c r="F126" s="9"/>
      <x:c r="G126" s="9"/>
      <x:c r="H126" s="9"/>
      <x:c r="I126" s="9"/>
      <x:c r="J126" s="10"/>
      <x:c r="K126" s="10"/>
      <x:c r="L126" s="11" t="str">
        <x:f>IF(AND(ISNUMBER(J126),ISNUMBER(G126),G126&gt;0),J126/G126,"")</x:f>
      </x:c>
      <x:c r="M126" s="11" t="str">
        <x:f>IF(AND(ISNUMBER(K126),ISNUMBER(G126),G126&gt;0),K126/G126,"")</x:f>
      </x:c>
      <x:c r="N126" s="8" t="str">
        <x:v>https://exportedu.ru/tutors</x:v>
      </x:c>
    </x:row>
    <x:row r="127" ht="34.5" customHeight="1">
      <x:c r="A127" s="8" t="str">
        <x:v>FD-S122</x:v>
      </x:c>
      <x:c r="B127" s="8" t="str">
        <x:v>Федеральный центр компетенций — Производительность.РФ</x:v>
      </x:c>
      <x:c r="C127" s="8" t="str">
        <x:v>Нет</x:v>
      </x:c>
      <x:c r="D127" s="8" t="n">
        <x:v>1</x:v>
      </x:c>
      <x:c r="E127" s="9"/>
      <x:c r="F127" s="9"/>
      <x:c r="G127" s="9"/>
      <x:c r="H127" s="9"/>
      <x:c r="I127" s="9"/>
      <x:c r="J127" s="10"/>
      <x:c r="K127" s="10"/>
      <x:c r="L127" s="11" t="str">
        <x:f>IF(AND(ISNUMBER(J127),ISNUMBER(G127),G127&gt;0),J127/G127,"")</x:f>
      </x:c>
      <x:c r="M127" s="11" t="str">
        <x:f>IF(AND(ISNUMBER(K127),ISNUMBER(G127),G127&gt;0),K127/G127,"")</x:f>
      </x:c>
      <x:c r="N127" s="8" t="str">
        <x:v>https://pptrf.ru/</x:v>
      </x:c>
    </x:row>
    <x:row r="128" ht="31.5" customHeight="1">
      <x:c r="A128" s="8" t="str">
        <x:v>FD-S123</x:v>
      </x:c>
      <x:c r="B128" s="8" t="str">
        <x:v>Малый бизнес Москвы — образовательная поддержка</x:v>
      </x:c>
      <x:c r="C128" s="8" t="str">
        <x:v>Нет</x:v>
      </x:c>
      <x:c r="D128" s="8" t="n">
        <x:v>1</x:v>
      </x:c>
      <x:c r="E128" s="9"/>
      <x:c r="F128" s="9"/>
      <x:c r="G128" s="9"/>
      <x:c r="H128" s="9"/>
      <x:c r="I128" s="9"/>
      <x:c r="J128" s="10"/>
      <x:c r="K128" s="10"/>
      <x:c r="L128" s="11" t="str">
        <x:f>IF(AND(ISNUMBER(J128),ISNUMBER(G128),G128&gt;0),J128/G128,"")</x:f>
      </x:c>
      <x:c r="M128" s="11" t="str">
        <x:f>IF(AND(ISNUMBER(K128),ISNUMBER(G128),G128&gt;0),K128/G128,"")</x:f>
      </x:c>
      <x:c r="N128" s="8" t="str">
        <x:v>https://mbm.mos.ru/</x:v>
      </x:c>
    </x:row>
    <x:row r="129" ht="31.5" customHeight="1">
      <x:c r="A129" s="8" t="str">
        <x:v>FD-S124</x:v>
      </x:c>
      <x:c r="B129" s="8" t="str">
        <x:v>Мой бизнес Югра — календарь и обучающие программы</x:v>
      </x:c>
      <x:c r="C129" s="8" t="str">
        <x:v>Нет</x:v>
      </x:c>
      <x:c r="D129" s="8" t="n">
        <x:v>1</x:v>
      </x:c>
      <x:c r="E129" s="9"/>
      <x:c r="F129" s="9"/>
      <x:c r="G129" s="9"/>
      <x:c r="H129" s="9"/>
      <x:c r="I129" s="9"/>
      <x:c r="J129" s="10"/>
      <x:c r="K129" s="10"/>
      <x:c r="L129" s="11" t="str">
        <x:f>IF(AND(ISNUMBER(J129),ISNUMBER(G129),G129&gt;0),J129/G129,"")</x:f>
      </x:c>
      <x:c r="M129" s="11" t="str">
        <x:f>IF(AND(ISNUMBER(K129),ISNUMBER(G129),G129&gt;0),K129/G129,"")</x:f>
      </x:c>
      <x:c r="N129" s="8" t="str">
        <x:v>https://mb-ugra.ru/keep-up/events</x:v>
      </x:c>
    </x:row>
    <x:row r="130" ht="34.5" customHeight="1">
      <x:c r="A130" s="8" t="str">
        <x:v>FD-S125</x:v>
      </x:c>
      <x:c r="B130" s="8" t="str">
        <x:v>Школа экспорта РЭЦ — региональные управленческие команды</x:v>
      </x:c>
      <x:c r="C130" s="8" t="str">
        <x:v>Нет</x:v>
      </x:c>
      <x:c r="D130" s="8" t="n">
        <x:v>0</x:v>
      </x:c>
      <x:c r="E130" s="9"/>
      <x:c r="F130" s="9"/>
      <x:c r="G130" s="9"/>
      <x:c r="H130" s="9"/>
      <x:c r="I130" s="9"/>
      <x:c r="J130" s="10"/>
      <x:c r="K130" s="10"/>
      <x:c r="L130" s="11" t="str">
        <x:f>IF(AND(ISNUMBER(J130),ISNUMBER(G130),G130&gt;0),J130/G130,"")</x:f>
      </x:c>
      <x:c r="M130" s="11" t="str">
        <x:f>IF(AND(ISNUMBER(K130),ISNUMBER(G130),G130&gt;0),K130/G130,"")</x:f>
      </x:c>
      <x:c r="N130" s="8" t="str">
        <x:v>https://exportedu.ru/teams</x:v>
      </x:c>
    </x:row>
    <x:row r="131" ht="34.5" customHeight="1">
      <x:c r="A131" s="8" t="str">
        <x:v>FD-S126</x:v>
      </x:c>
      <x:c r="B131" s="8" t="str">
        <x:v>Международный HR-Форум Азия — партнёры и формирование программы</x:v>
      </x:c>
      <x:c r="C131" s="8" t="str">
        <x:v>Нет</x:v>
      </x:c>
      <x:c r="D131" s="8" t="n">
        <x:v>1</x:v>
      </x:c>
      <x:c r="E131" s="9"/>
      <x:c r="F131" s="9"/>
      <x:c r="G131" s="9"/>
      <x:c r="H131" s="9"/>
      <x:c r="I131" s="9"/>
      <x:c r="J131" s="10"/>
      <x:c r="K131" s="10"/>
      <x:c r="L131" s="11" t="str">
        <x:f>IF(AND(ISNUMBER(J131),ISNUMBER(G131),G131&gt;0),J131/G131,"")</x:f>
      </x:c>
      <x:c r="M131" s="11" t="str">
        <x:f>IF(AND(ISNUMBER(K131),ISNUMBER(G131),G131&gt;0),K131/G131,"")</x:f>
      </x:c>
      <x:c r="N131" s="8" t="str">
        <x:v>https://www.hrforumasia.com/partners</x:v>
      </x:c>
    </x:row>
    <x:row r="132" ht="31.5" customHeight="1">
      <x:c r="A132" s="8" t="str">
        <x:v>FD-S127</x:v>
      </x:c>
      <x:c r="B132" s="8" t="str">
        <x:v>LessonDelivery — канал</x:v>
      </x:c>
      <x:c r="C132" s="8" t="str">
        <x:v>Нет</x:v>
      </x:c>
      <x:c r="D132" s="8" t="n">
        <x:v>0</x:v>
      </x:c>
      <x:c r="E132" s="9"/>
      <x:c r="F132" s="9"/>
      <x:c r="G132" s="9"/>
      <x:c r="H132" s="9"/>
      <x:c r="I132" s="9"/>
      <x:c r="J132" s="10"/>
      <x:c r="K132" s="10"/>
      <x:c r="L132" s="11" t="str">
        <x:f>IF(AND(ISNUMBER(J132),ISNUMBER(G132),G132&gt;0),J132/G132,"")</x:f>
      </x:c>
      <x:c r="M132" s="11" t="str">
        <x:f>IF(AND(ISNUMBER(K132),ISNUMBER(G132),G132&gt;0),K132/G132,"")</x:f>
      </x:c>
      <x:c r="N132" s="8" t="str">
        <x:v>https://t.me/LessonDelivery</x:v>
      </x:c>
    </x:row>
    <x:row r="133" ht="31.5" customHeight="1">
      <x:c r="A133" s="8" t="str">
        <x:v>FD-S128</x:v>
      </x:c>
      <x:c r="B133" s="8" t="str">
        <x:v>Recruitment for Friends — канал</x:v>
      </x:c>
      <x:c r="C133" s="8" t="str">
        <x:v>Нет</x:v>
      </x:c>
      <x:c r="D133" s="8" t="n">
        <x:v>0</x:v>
      </x:c>
      <x:c r="E133" s="9"/>
      <x:c r="F133" s="9"/>
      <x:c r="G133" s="9"/>
      <x:c r="H133" s="9"/>
      <x:c r="I133" s="9"/>
      <x:c r="J133" s="10"/>
      <x:c r="K133" s="10"/>
      <x:c r="L133" s="11" t="str">
        <x:f>IF(AND(ISNUMBER(J133),ISNUMBER(G133),G133&gt;0),J133/G133,"")</x:f>
      </x:c>
      <x:c r="M133" s="11" t="str">
        <x:f>IF(AND(ISNUMBER(K133),ISNUMBER(G133),G133&gt;0),K133/G133,"")</x:f>
      </x:c>
      <x:c r="N133" s="8" t="str">
        <x:v>https://t.me/rff_channel</x:v>
      </x:c>
    </x:row>
    <x:row r="134" ht="31.5" customHeight="1">
      <x:c r="A134" s="8" t="str">
        <x:v>FD-S129</x:v>
      </x:c>
      <x:c r="B134" s="8" t="str">
        <x:v>300HR[хаб]вакансии</x:v>
      </x:c>
      <x:c r="C134" s="8" t="str">
        <x:v>Нет</x:v>
      </x:c>
      <x:c r="D134" s="8" t="n">
        <x:v>1</x:v>
      </x:c>
      <x:c r="E134" s="9"/>
      <x:c r="F134" s="9"/>
      <x:c r="G134" s="9"/>
      <x:c r="H134" s="9"/>
      <x:c r="I134" s="9"/>
      <x:c r="J134" s="10"/>
      <x:c r="K134" s="10"/>
      <x:c r="L134" s="11" t="str">
        <x:f>IF(AND(ISNUMBER(J134),ISNUMBER(G134),G134&gt;0),J134/G134,"")</x:f>
      </x:c>
      <x:c r="M134" s="11" t="str">
        <x:f>IF(AND(ISNUMBER(K134),ISNUMBER(G134),G134&gt;0),K134/G134,"")</x:f>
      </x:c>
      <x:c r="N134" s="8" t="str">
        <x:v>https://t.me/hrhubvacancy300</x:v>
      </x:c>
    </x:row>
    <x:row r="135" ht="31.5" customHeight="1">
      <x:c r="A135" s="8" t="str">
        <x:v>FD-S130</x:v>
      </x:c>
      <x:c r="B135" s="8" t="str">
        <x:v>HR[хаб]junior</x:v>
      </x:c>
      <x:c r="C135" s="8" t="str">
        <x:v>Нет</x:v>
      </x:c>
      <x:c r="D135" s="8" t="n">
        <x:v>0</x:v>
      </x:c>
      <x:c r="E135" s="9"/>
      <x:c r="F135" s="9"/>
      <x:c r="G135" s="9"/>
      <x:c r="H135" s="9"/>
      <x:c r="I135" s="9"/>
      <x:c r="J135" s="10"/>
      <x:c r="K135" s="10"/>
      <x:c r="L135" s="11" t="str">
        <x:f>IF(AND(ISNUMBER(J135),ISNUMBER(G135),G135&gt;0),J135/G135,"")</x:f>
      </x:c>
      <x:c r="M135" s="11" t="str">
        <x:f>IF(AND(ISNUMBER(K135),ISNUMBER(G135),G135&gt;0),K135/G135,"")</x:f>
      </x:c>
      <x:c r="N135" s="8" t="str">
        <x:v>https://t.me/hrhubjunior</x:v>
      </x:c>
    </x:row>
    <x:row r="136" ht="31.5" customHeight="1">
      <x:c r="A136" s="8" t="str">
        <x:v>FD-S131</x:v>
      </x:c>
      <x:c r="B136" s="8" t="str">
        <x:v>iSpring — вакансии</x:v>
      </x:c>
      <x:c r="C136" s="8" t="str">
        <x:v>Нет</x:v>
      </x:c>
      <x:c r="D136" s="8" t="n">
        <x:v>0</x:v>
      </x:c>
      <x:c r="E136" s="9"/>
      <x:c r="F136" s="9"/>
      <x:c r="G136" s="9"/>
      <x:c r="H136" s="9"/>
      <x:c r="I136" s="9"/>
      <x:c r="J136" s="10"/>
      <x:c r="K136" s="10"/>
      <x:c r="L136" s="11" t="str">
        <x:f>IF(AND(ISNUMBER(J136),ISNUMBER(G136),G136&gt;0),J136/G136,"")</x:f>
      </x:c>
      <x:c r="M136" s="11" t="str">
        <x:f>IF(AND(ISNUMBER(K136),ISNUMBER(G136),G136&gt;0),K136/G136,"")</x:f>
      </x:c>
      <x:c r="N136" s="8" t="str">
        <x:v>https://www.ispring.ru/company/jobs/vacancies</x:v>
      </x:c>
    </x:row>
    <x:row r="137" ht="31.5" customHeight="1">
      <x:c r="A137" s="8" t="str">
        <x:v>FD-S132</x:v>
      </x:c>
      <x:c r="B137" s="8" t="str">
        <x:v>Яндекс Практикум — канал экспертов</x:v>
      </x:c>
      <x:c r="C137" s="8" t="str">
        <x:v>Нет</x:v>
      </x:c>
      <x:c r="D137" s="8" t="n">
        <x:v>2</x:v>
      </x:c>
      <x:c r="E137" s="9"/>
      <x:c r="F137" s="9"/>
      <x:c r="G137" s="9"/>
      <x:c r="H137" s="9"/>
      <x:c r="I137" s="9"/>
      <x:c r="J137" s="10"/>
      <x:c r="K137" s="10"/>
      <x:c r="L137" s="11" t="str">
        <x:f>IF(AND(ISNUMBER(J137),ISNUMBER(G137),G137&gt;0),J137/G137,"")</x:f>
      </x:c>
      <x:c r="M137" s="11" t="str">
        <x:f>IF(AND(ISNUMBER(K137),ISNUMBER(G137),G137&gt;0),K137/G137,"")</x:f>
      </x:c>
      <x:c r="N137" s="8" t="str">
        <x:v>https://t.me/practicum_experts</x:v>
      </x:c>
    </x:row>
    <x:row r="138" ht="31.5" customHeight="1">
      <x:c r="A138" s="8" t="str">
        <x:v>FD-S133</x:v>
      </x:c>
      <x:c r="B138" s="8" t="str">
        <x:v>Skillbox Holding — общий список вакансий</x:v>
      </x:c>
      <x:c r="C138" s="8" t="str">
        <x:v>Нет</x:v>
      </x:c>
      <x:c r="D138" s="8" t="n">
        <x:v>0</x:v>
      </x:c>
      <x:c r="E138" s="9"/>
      <x:c r="F138" s="9"/>
      <x:c r="G138" s="9"/>
      <x:c r="H138" s="9"/>
      <x:c r="I138" s="9"/>
      <x:c r="J138" s="10"/>
      <x:c r="K138" s="10"/>
      <x:c r="L138" s="11" t="str">
        <x:f>IF(AND(ISNUMBER(J138),ISNUMBER(G138),G138&gt;0),J138/G138,"")</x:f>
      </x:c>
      <x:c r="M138" s="11" t="str">
        <x:f>IF(AND(ISNUMBER(K138),ISNUMBER(G138),G138&gt;0),K138/G138,"")</x:f>
      </x:c>
      <x:c r="N138" s="8" t="str">
        <x:v>https://skillbox.ru/jobs/</x:v>
      </x:c>
    </x:row>
    <x:row r="139" ht="31.5" customHeight="1">
      <x:c r="A139" s="8" t="str">
        <x:v>FD-S134</x:v>
      </x:c>
      <x:c r="B139" s="8" t="str">
        <x:v>Profiz — приглашение авторов</x:v>
      </x:c>
      <x:c r="C139" s="8" t="str">
        <x:v>Нет</x:v>
      </x:c>
      <x:c r="D139" s="8" t="n">
        <x:v>0</x:v>
      </x:c>
      <x:c r="E139" s="9"/>
      <x:c r="F139" s="9"/>
      <x:c r="G139" s="9"/>
      <x:c r="H139" s="9"/>
      <x:c r="I139" s="9"/>
      <x:c r="J139" s="10"/>
      <x:c r="K139" s="10"/>
      <x:c r="L139" s="11" t="str">
        <x:f>IF(AND(ISNUMBER(J139),ISNUMBER(G139),G139&gt;0),J139/G139,"")</x:f>
      </x:c>
      <x:c r="M139" s="11" t="str">
        <x:f>IF(AND(ISNUMBER(K139),ISNUMBER(G139),G139&gt;0),K139/G139,"")</x:f>
      </x:c>
      <x:c r="N139" s="8" t="str">
        <x:v>https://www.profiz.ru/kr/authors/</x:v>
      </x:c>
    </x:row>
    <x:row r="140" ht="31.5" customHeight="1">
      <x:c r="A140" s="8" t="str">
        <x:v>FD-S135</x:v>
      </x:c>
      <x:c r="B140" s="8" t="str">
        <x:v>HR AREA — профессиональный портал</x:v>
      </x:c>
      <x:c r="C140" s="8" t="str">
        <x:v>Нет</x:v>
      </x:c>
      <x:c r="D140" s="8" t="n">
        <x:v>0</x:v>
      </x:c>
      <x:c r="E140" s="9"/>
      <x:c r="F140" s="9"/>
      <x:c r="G140" s="9"/>
      <x:c r="H140" s="9"/>
      <x:c r="I140" s="9"/>
      <x:c r="J140" s="10"/>
      <x:c r="K140" s="10"/>
      <x:c r="L140" s="11" t="str">
        <x:f>IF(AND(ISNUMBER(J140),ISNUMBER(G140),G140&gt;0),J140/G140,"")</x:f>
      </x:c>
      <x:c r="M140" s="11" t="str">
        <x:f>IF(AND(ISNUMBER(K140),ISNUMBER(G140),G140&gt;0),K140/G140,"")</x:f>
      </x:c>
      <x:c r="N140" s="8" t="str">
        <x:v>https://hrarea.space</x:v>
      </x:c>
    </x:row>
    <x:row r="141" ht="31.5" customHeight="1">
      <x:c r="A141" s="8" t="str">
        <x:v>FD-S136</x:v>
      </x:c>
      <x:c r="B141" s="8" t="str">
        <x:v>Auditorium — актуальный календарь</x:v>
      </x:c>
      <x:c r="C141" s="8" t="str">
        <x:v>Нет</x:v>
      </x:c>
      <x:c r="D141" s="8" t="n">
        <x:v>0</x:v>
      </x:c>
      <x:c r="E141" s="9"/>
      <x:c r="F141" s="9"/>
      <x:c r="G141" s="9"/>
      <x:c r="H141" s="9"/>
      <x:c r="I141" s="9"/>
      <x:c r="J141" s="10"/>
      <x:c r="K141" s="10"/>
      <x:c r="L141" s="11" t="str">
        <x:f>IF(AND(ISNUMBER(J141),ISNUMBER(G141),G141&gt;0),J141/G141,"")</x:f>
      </x:c>
      <x:c r="M141" s="11" t="str">
        <x:f>IF(AND(ISNUMBER(K141),ISNUMBER(G141),G141&gt;0),K141/G141,"")</x:f>
      </x:c>
      <x:c r="N141" s="8" t="str">
        <x:v>https://auditorium-cg.ru/</x:v>
      </x:c>
    </x:row>
  </x:sheetData>
  <x:pageMargins left="0.7" right="0.7" top="0.75" bottom="0.75" header="0.3" footer="0.3"/>
  <x:tableParts count="1">
    <x:tablePart xmlns:r="http://schemas.openxmlformats.org/officeDocument/2006/relationships" r:id="R4b57466993f74f0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6.670000076293945" hidden="0" customWidth="1"/>
    <x:col min="2" max="2" width="21.110000610351562" hidden="0" customWidth="1"/>
    <x:col min="3" max="3" width="19.440000534057617" hidden="0" customWidth="1"/>
    <x:col min="4" max="4" width="17.219999313354492" hidden="0" customWidth="1"/>
    <x:col min="5" max="5" width="17.219999313354492" hidden="0" customWidth="1"/>
    <x:col min="6" max="6" width="17.219999313354492" hidden="0" customWidth="1"/>
    <x:col min="7" max="7" width="19.440000534057617" hidden="0" customWidth="1"/>
    <x:col min="8" max="8" width="21.670000076293945" hidden="0" customWidth="1"/>
    <x:col min="9" max="9" width="18.889999389648438" hidden="0" customWidth="1"/>
    <x:col min="10" max="10" width="20" hidden="0" customWidth="1"/>
    <x:col min="11" max="11" width="53.33000183105469" hidden="0" customWidth="1"/>
    <x:col min="12" max="12" width="24.440000534057617" hidden="0" customWidth="1"/>
    <x:col min="13" max="13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3" t="str">
        <x:v>Журнал исходов по 191 ID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2.5" customHeight="1">
      <x:c r="A3" s="4" t="str">
        <x:v>Желтые поля — ручной ввод. Нет автоматической синхронизации с JSONL; переносить по ID.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3.75" customHeight="1">
      <x:c r="A5" s="7" t="str">
        <x:v>Потребность ID</x:v>
      </x:c>
      <x:c r="B5" s="7" t="str">
        <x:v>Ответственный</x:v>
      </x:c>
      <x:c r="C5" s="7" t="str">
        <x:v>Стадия</x:v>
      </x:c>
      <x:c r="D5" s="7" t="str">
        <x:v>Тема подходит</x:v>
      </x:c>
      <x:c r="E5" s="7" t="str">
        <x:v>Можем исполнить</x:v>
      </x:c>
      <x:c r="F5" s="7" t="str">
        <x:v>Запрос открыт</x:v>
      </x:c>
      <x:c r="G5" s="7" t="str">
        <x:v>Покупатель достижим</x:v>
      </x:c>
      <x:c r="H5" s="7" t="str">
        <x:v>Доказательств достаточно</x:v>
      </x:c>
      <x:c r="I5" s="7" t="str">
        <x:v>Квалифицирована</x:v>
      </x:c>
      <x:c r="J5" s="7" t="str">
        <x:v>Покупатель подтвердил</x:v>
      </x:c>
      <x:c r="K5" s="7" t="str">
        <x:v>Дата / доказательство</x:v>
      </x:c>
      <x:c r="L5" s="7" t="str">
        <x:v>Причина потери</x:v>
      </x:c>
      <x:c r="M5" s="7" t="str">
        <x:v>Следующий шаг / дата</x:v>
      </x:c>
    </x:row>
    <x:row r="6" ht="31.5" customHeight="1">
      <x:c r="A6" s="8" t="str">
        <x:v>FD-N001</x:v>
      </x:c>
      <x:c r="B6" s="9"/>
      <x:c r="C6" s="9" t="str">
        <x:v>unreviewed</x:v>
      </x:c>
      <x:c r="D6" s="9"/>
      <x:c r="E6" s="9"/>
      <x:c r="F6" s="9"/>
      <x:c r="G6" s="9"/>
      <x:c r="H6" s="9"/>
      <x:c r="I6" s="9"/>
      <x:c r="J6" s="9"/>
      <x:c r="K6" s="9"/>
      <x:c r="L6" s="9"/>
      <x:c r="M6" s="9"/>
    </x:row>
    <x:row r="7" ht="31.5" customHeight="1">
      <x:c r="A7" s="8" t="str">
        <x:v>FD-N002</x:v>
      </x:c>
      <x:c r="B7" s="9"/>
      <x:c r="C7" s="9" t="str">
        <x:v>unreviewed</x:v>
      </x:c>
      <x:c r="D7" s="9"/>
      <x:c r="E7" s="9"/>
      <x:c r="F7" s="9"/>
      <x:c r="G7" s="9"/>
      <x:c r="H7" s="9"/>
      <x:c r="I7" s="9"/>
      <x:c r="J7" s="9"/>
      <x:c r="K7" s="9"/>
      <x:c r="L7" s="9"/>
      <x:c r="M7" s="9"/>
    </x:row>
    <x:row r="8" ht="31.5" customHeight="1">
      <x:c r="A8" s="8" t="str">
        <x:v>FD-N003</x:v>
      </x:c>
      <x:c r="B8" s="9"/>
      <x:c r="C8" s="9" t="str">
        <x:v>unreviewed</x:v>
      </x:c>
      <x:c r="D8" s="9"/>
      <x:c r="E8" s="9"/>
      <x:c r="F8" s="9"/>
      <x:c r="G8" s="9"/>
      <x:c r="H8" s="9"/>
      <x:c r="I8" s="9"/>
      <x:c r="J8" s="9"/>
      <x:c r="K8" s="9"/>
      <x:c r="L8" s="9"/>
      <x:c r="M8" s="9"/>
    </x:row>
    <x:row r="9" ht="31.5" customHeight="1">
      <x:c r="A9" s="8" t="str">
        <x:v>FD-N004</x:v>
      </x:c>
      <x:c r="B9" s="9"/>
      <x:c r="C9" s="9" t="str">
        <x:v>unreviewed</x:v>
      </x:c>
      <x:c r="D9" s="9"/>
      <x:c r="E9" s="9"/>
      <x:c r="F9" s="9"/>
      <x:c r="G9" s="9"/>
      <x:c r="H9" s="9"/>
      <x:c r="I9" s="9"/>
      <x:c r="J9" s="9"/>
      <x:c r="K9" s="9"/>
      <x:c r="L9" s="9"/>
      <x:c r="M9" s="9"/>
    </x:row>
    <x:row r="10" ht="31.5" customHeight="1">
      <x:c r="A10" s="8" t="str">
        <x:v>FD-N005</x:v>
      </x:c>
      <x:c r="B10" s="9"/>
      <x:c r="C10" s="9" t="str">
        <x:v>unreviewed</x:v>
      </x:c>
      <x:c r="D10" s="9"/>
      <x:c r="E10" s="9"/>
      <x:c r="F10" s="9"/>
      <x:c r="G10" s="9"/>
      <x:c r="H10" s="9"/>
      <x:c r="I10" s="9"/>
      <x:c r="J10" s="9"/>
      <x:c r="K10" s="9"/>
      <x:c r="L10" s="9"/>
      <x:c r="M10" s="9"/>
    </x:row>
    <x:row r="11" ht="31.5" customHeight="1">
      <x:c r="A11" s="8" t="str">
        <x:v>FD-N006</x:v>
      </x:c>
      <x:c r="B11" s="9"/>
      <x:c r="C11" s="9" t="str">
        <x:v>unreviewed</x:v>
      </x:c>
      <x:c r="D11" s="9"/>
      <x:c r="E11" s="9"/>
      <x:c r="F11" s="9"/>
      <x:c r="G11" s="9"/>
      <x:c r="H11" s="9"/>
      <x:c r="I11" s="9"/>
      <x:c r="J11" s="9"/>
      <x:c r="K11" s="9"/>
      <x:c r="L11" s="9"/>
      <x:c r="M11" s="9"/>
    </x:row>
    <x:row r="12" ht="31.5" customHeight="1">
      <x:c r="A12" s="8" t="str">
        <x:v>FD-N007</x:v>
      </x:c>
      <x:c r="B12" s="9"/>
      <x:c r="C12" s="9" t="str">
        <x:v>unreviewed</x:v>
      </x:c>
      <x:c r="D12" s="9"/>
      <x:c r="E12" s="9"/>
      <x:c r="F12" s="9"/>
      <x:c r="G12" s="9"/>
      <x:c r="H12" s="9"/>
      <x:c r="I12" s="9"/>
      <x:c r="J12" s="9"/>
      <x:c r="K12" s="9"/>
      <x:c r="L12" s="9"/>
      <x:c r="M12" s="9"/>
    </x:row>
    <x:row r="13" ht="31.5" customHeight="1">
      <x:c r="A13" s="8" t="str">
        <x:v>FD-N008</x:v>
      </x:c>
      <x:c r="B13" s="9"/>
      <x:c r="C13" s="9" t="str">
        <x:v>unreviewed</x:v>
      </x:c>
      <x:c r="D13" s="9"/>
      <x:c r="E13" s="9"/>
      <x:c r="F13" s="9"/>
      <x:c r="G13" s="9"/>
      <x:c r="H13" s="9"/>
      <x:c r="I13" s="9"/>
      <x:c r="J13" s="9"/>
      <x:c r="K13" s="9"/>
      <x:c r="L13" s="9"/>
      <x:c r="M13" s="9"/>
    </x:row>
    <x:row r="14" ht="31.5" customHeight="1">
      <x:c r="A14" s="8" t="str">
        <x:v>FD-N009</x:v>
      </x:c>
      <x:c r="B14" s="9"/>
      <x:c r="C14" s="9" t="str">
        <x:v>unreviewed</x:v>
      </x:c>
      <x:c r="D14" s="9"/>
      <x:c r="E14" s="9"/>
      <x:c r="F14" s="9"/>
      <x:c r="G14" s="9"/>
      <x:c r="H14" s="9"/>
      <x:c r="I14" s="9"/>
      <x:c r="J14" s="9"/>
      <x:c r="K14" s="9"/>
      <x:c r="L14" s="9"/>
      <x:c r="M14" s="9"/>
    </x:row>
    <x:row r="15" ht="31.5" customHeight="1">
      <x:c r="A15" s="8" t="str">
        <x:v>FD-N010</x:v>
      </x:c>
      <x:c r="B15" s="9"/>
      <x:c r="C15" s="9" t="str">
        <x:v>unreviewed</x:v>
      </x:c>
      <x:c r="D15" s="9"/>
      <x:c r="E15" s="9"/>
      <x:c r="F15" s="9"/>
      <x:c r="G15" s="9"/>
      <x:c r="H15" s="9"/>
      <x:c r="I15" s="9"/>
      <x:c r="J15" s="9"/>
      <x:c r="K15" s="9"/>
      <x:c r="L15" s="9"/>
      <x:c r="M15" s="9"/>
    </x:row>
    <x:row r="16" ht="31.5" customHeight="1">
      <x:c r="A16" s="8" t="str">
        <x:v>FD-N011</x:v>
      </x:c>
      <x:c r="B16" s="9"/>
      <x:c r="C16" s="9" t="str">
        <x:v>unreviewed</x:v>
      </x:c>
      <x:c r="D16" s="9"/>
      <x:c r="E16" s="9"/>
      <x:c r="F16" s="9"/>
      <x:c r="G16" s="9"/>
      <x:c r="H16" s="9"/>
      <x:c r="I16" s="9"/>
      <x:c r="J16" s="9"/>
      <x:c r="K16" s="9"/>
      <x:c r="L16" s="9"/>
      <x:c r="M16" s="9"/>
    </x:row>
    <x:row r="17" ht="31.5" customHeight="1">
      <x:c r="A17" s="8" t="str">
        <x:v>FD-N012</x:v>
      </x:c>
      <x:c r="B17" s="9"/>
      <x:c r="C17" s="9" t="str">
        <x:v>unreviewed</x:v>
      </x:c>
      <x:c r="D17" s="9"/>
      <x:c r="E17" s="9"/>
      <x:c r="F17" s="9"/>
      <x:c r="G17" s="9"/>
      <x:c r="H17" s="9"/>
      <x:c r="I17" s="9"/>
      <x:c r="J17" s="9"/>
      <x:c r="K17" s="9"/>
      <x:c r="L17" s="9"/>
      <x:c r="M17" s="9"/>
    </x:row>
    <x:row r="18" ht="31.5" customHeight="1">
      <x:c r="A18" s="8" t="str">
        <x:v>FD-N013</x:v>
      </x:c>
      <x:c r="B18" s="9"/>
      <x:c r="C18" s="9" t="str">
        <x:v>unreviewed</x:v>
      </x:c>
      <x:c r="D18" s="9"/>
      <x:c r="E18" s="9"/>
      <x:c r="F18" s="9"/>
      <x:c r="G18" s="9"/>
      <x:c r="H18" s="9"/>
      <x:c r="I18" s="9"/>
      <x:c r="J18" s="9"/>
      <x:c r="K18" s="9"/>
      <x:c r="L18" s="9"/>
      <x:c r="M18" s="9"/>
    </x:row>
    <x:row r="19" ht="31.5" customHeight="1">
      <x:c r="A19" s="8" t="str">
        <x:v>FD-N014</x:v>
      </x:c>
      <x:c r="B19" s="9"/>
      <x:c r="C19" s="9" t="str">
        <x:v>unreviewed</x:v>
      </x:c>
      <x:c r="D19" s="9"/>
      <x:c r="E19" s="9"/>
      <x:c r="F19" s="9"/>
      <x:c r="G19" s="9"/>
      <x:c r="H19" s="9"/>
      <x:c r="I19" s="9"/>
      <x:c r="J19" s="9"/>
      <x:c r="K19" s="9"/>
      <x:c r="L19" s="9"/>
      <x:c r="M19" s="9"/>
    </x:row>
    <x:row r="20" ht="31.5" customHeight="1">
      <x:c r="A20" s="8" t="str">
        <x:v>FD-N015</x:v>
      </x:c>
      <x:c r="B20" s="9"/>
      <x:c r="C20" s="9" t="str">
        <x:v>unreviewed</x:v>
      </x:c>
      <x:c r="D20" s="9"/>
      <x:c r="E20" s="9"/>
      <x:c r="F20" s="9"/>
      <x:c r="G20" s="9"/>
      <x:c r="H20" s="9"/>
      <x:c r="I20" s="9"/>
      <x:c r="J20" s="9"/>
      <x:c r="K20" s="9"/>
      <x:c r="L20" s="9"/>
      <x:c r="M20" s="9"/>
    </x:row>
    <x:row r="21" ht="31.5" customHeight="1">
      <x:c r="A21" s="8" t="str">
        <x:v>FD-N016</x:v>
      </x:c>
      <x:c r="B21" s="9"/>
      <x:c r="C21" s="9" t="str">
        <x:v>unreviewed</x:v>
      </x:c>
      <x:c r="D21" s="9"/>
      <x:c r="E21" s="9"/>
      <x:c r="F21" s="9"/>
      <x:c r="G21" s="9"/>
      <x:c r="H21" s="9"/>
      <x:c r="I21" s="9"/>
      <x:c r="J21" s="9"/>
      <x:c r="K21" s="9"/>
      <x:c r="L21" s="9"/>
      <x:c r="M21" s="9"/>
    </x:row>
    <x:row r="22" ht="31.5" customHeight="1">
      <x:c r="A22" s="8" t="str">
        <x:v>FD-N017</x:v>
      </x:c>
      <x:c r="B22" s="9"/>
      <x:c r="C22" s="9" t="str">
        <x:v>unreviewed</x:v>
      </x:c>
      <x:c r="D22" s="9"/>
      <x:c r="E22" s="9"/>
      <x:c r="F22" s="9"/>
      <x:c r="G22" s="9"/>
      <x:c r="H22" s="9"/>
      <x:c r="I22" s="9"/>
      <x:c r="J22" s="9"/>
      <x:c r="K22" s="9"/>
      <x:c r="L22" s="9"/>
      <x:c r="M22" s="9"/>
    </x:row>
    <x:row r="23" ht="31.5" customHeight="1">
      <x:c r="A23" s="8" t="str">
        <x:v>FD-N018</x:v>
      </x:c>
      <x:c r="B23" s="9"/>
      <x:c r="C23" s="9" t="str">
        <x:v>unreviewed</x:v>
      </x:c>
      <x:c r="D23" s="9"/>
      <x:c r="E23" s="9"/>
      <x:c r="F23" s="9"/>
      <x:c r="G23" s="9"/>
      <x:c r="H23" s="9"/>
      <x:c r="I23" s="9"/>
      <x:c r="J23" s="9"/>
      <x:c r="K23" s="9"/>
      <x:c r="L23" s="9"/>
      <x:c r="M23" s="9"/>
    </x:row>
    <x:row r="24" ht="31.5" customHeight="1">
      <x:c r="A24" s="8" t="str">
        <x:v>FD-N019</x:v>
      </x:c>
      <x:c r="B24" s="9"/>
      <x:c r="C24" s="9" t="str">
        <x:v>unreviewed</x:v>
      </x:c>
      <x:c r="D24" s="9"/>
      <x:c r="E24" s="9"/>
      <x:c r="F24" s="9"/>
      <x:c r="G24" s="9"/>
      <x:c r="H24" s="9"/>
      <x:c r="I24" s="9"/>
      <x:c r="J24" s="9"/>
      <x:c r="K24" s="9"/>
      <x:c r="L24" s="9"/>
      <x:c r="M24" s="9"/>
    </x:row>
    <x:row r="25" ht="31.5" customHeight="1">
      <x:c r="A25" s="8" t="str">
        <x:v>FD-N020</x:v>
      </x:c>
      <x:c r="B25" s="9"/>
      <x:c r="C25" s="9" t="str">
        <x:v>unreviewed</x:v>
      </x:c>
      <x:c r="D25" s="9"/>
      <x:c r="E25" s="9"/>
      <x:c r="F25" s="9"/>
      <x:c r="G25" s="9"/>
      <x:c r="H25" s="9"/>
      <x:c r="I25" s="9"/>
      <x:c r="J25" s="9"/>
      <x:c r="K25" s="9"/>
      <x:c r="L25" s="9"/>
      <x:c r="M25" s="9"/>
    </x:row>
    <x:row r="26" ht="31.5" customHeight="1">
      <x:c r="A26" s="8" t="str">
        <x:v>FD-N021</x:v>
      </x:c>
      <x:c r="B26" s="9"/>
      <x:c r="C26" s="9" t="str">
        <x:v>unreviewed</x:v>
      </x:c>
      <x:c r="D26" s="9"/>
      <x:c r="E26" s="9"/>
      <x:c r="F26" s="9"/>
      <x:c r="G26" s="9"/>
      <x:c r="H26" s="9"/>
      <x:c r="I26" s="9"/>
      <x:c r="J26" s="9"/>
      <x:c r="K26" s="9"/>
      <x:c r="L26" s="9"/>
      <x:c r="M26" s="9"/>
    </x:row>
    <x:row r="27" ht="31.5" customHeight="1">
      <x:c r="A27" s="8" t="str">
        <x:v>FD-N022</x:v>
      </x:c>
      <x:c r="B27" s="9"/>
      <x:c r="C27" s="9" t="str">
        <x:v>unreviewed</x:v>
      </x:c>
      <x:c r="D27" s="9"/>
      <x:c r="E27" s="9"/>
      <x:c r="F27" s="9"/>
      <x:c r="G27" s="9"/>
      <x:c r="H27" s="9"/>
      <x:c r="I27" s="9"/>
      <x:c r="J27" s="9"/>
      <x:c r="K27" s="9"/>
      <x:c r="L27" s="9"/>
      <x:c r="M27" s="9"/>
    </x:row>
    <x:row r="28" ht="31.5" customHeight="1">
      <x:c r="A28" s="8" t="str">
        <x:v>FD-N023</x:v>
      </x:c>
      <x:c r="B28" s="9"/>
      <x:c r="C28" s="9" t="str">
        <x:v>unreviewed</x:v>
      </x:c>
      <x:c r="D28" s="9"/>
      <x:c r="E28" s="9"/>
      <x:c r="F28" s="9"/>
      <x:c r="G28" s="9"/>
      <x:c r="H28" s="9"/>
      <x:c r="I28" s="9"/>
      <x:c r="J28" s="9"/>
      <x:c r="K28" s="9"/>
      <x:c r="L28" s="9"/>
      <x:c r="M28" s="9"/>
    </x:row>
    <x:row r="29" ht="31.5" customHeight="1">
      <x:c r="A29" s="8" t="str">
        <x:v>FD-N024</x:v>
      </x:c>
      <x:c r="B29" s="9"/>
      <x:c r="C29" s="9" t="str">
        <x:v>unreviewed</x:v>
      </x:c>
      <x:c r="D29" s="9"/>
      <x:c r="E29" s="9"/>
      <x:c r="F29" s="9"/>
      <x:c r="G29" s="9"/>
      <x:c r="H29" s="9"/>
      <x:c r="I29" s="9"/>
      <x:c r="J29" s="9"/>
      <x:c r="K29" s="9"/>
      <x:c r="L29" s="9"/>
      <x:c r="M29" s="9"/>
    </x:row>
    <x:row r="30" ht="31.5" customHeight="1">
      <x:c r="A30" s="8" t="str">
        <x:v>FD-N025</x:v>
      </x:c>
      <x:c r="B30" s="9"/>
      <x:c r="C30" s="9" t="str">
        <x:v>unreviewed</x:v>
      </x:c>
      <x:c r="D30" s="9"/>
      <x:c r="E30" s="9"/>
      <x:c r="F30" s="9"/>
      <x:c r="G30" s="9"/>
      <x:c r="H30" s="9"/>
      <x:c r="I30" s="9"/>
      <x:c r="J30" s="9"/>
      <x:c r="K30" s="9"/>
      <x:c r="L30" s="9"/>
      <x:c r="M30" s="9"/>
    </x:row>
    <x:row r="31" ht="31.5" customHeight="1">
      <x:c r="A31" s="8" t="str">
        <x:v>FD-N026</x:v>
      </x:c>
      <x:c r="B31" s="9"/>
      <x:c r="C31" s="9" t="str">
        <x:v>unreviewed</x:v>
      </x:c>
      <x:c r="D31" s="9"/>
      <x:c r="E31" s="9"/>
      <x:c r="F31" s="9"/>
      <x:c r="G31" s="9"/>
      <x:c r="H31" s="9"/>
      <x:c r="I31" s="9"/>
      <x:c r="J31" s="9"/>
      <x:c r="K31" s="9"/>
      <x:c r="L31" s="9"/>
      <x:c r="M31" s="9"/>
    </x:row>
    <x:row r="32" ht="31.5" customHeight="1">
      <x:c r="A32" s="8" t="str">
        <x:v>FD-N027</x:v>
      </x:c>
      <x:c r="B32" s="9"/>
      <x:c r="C32" s="9" t="str">
        <x:v>unreviewed</x:v>
      </x:c>
      <x:c r="D32" s="9"/>
      <x:c r="E32" s="9"/>
      <x:c r="F32" s="9"/>
      <x:c r="G32" s="9"/>
      <x:c r="H32" s="9"/>
      <x:c r="I32" s="9"/>
      <x:c r="J32" s="9"/>
      <x:c r="K32" s="9"/>
      <x:c r="L32" s="9"/>
      <x:c r="M32" s="9"/>
    </x:row>
    <x:row r="33" ht="31.5" customHeight="1">
      <x:c r="A33" s="8" t="str">
        <x:v>FD-N028</x:v>
      </x:c>
      <x:c r="B33" s="9"/>
      <x:c r="C33" s="9" t="str">
        <x:v>unreviewed</x:v>
      </x:c>
      <x:c r="D33" s="9"/>
      <x:c r="E33" s="9"/>
      <x:c r="F33" s="9"/>
      <x:c r="G33" s="9"/>
      <x:c r="H33" s="9"/>
      <x:c r="I33" s="9"/>
      <x:c r="J33" s="9"/>
      <x:c r="K33" s="9"/>
      <x:c r="L33" s="9"/>
      <x:c r="M33" s="9"/>
    </x:row>
    <x:row r="34" ht="31.5" customHeight="1">
      <x:c r="A34" s="8" t="str">
        <x:v>FD-N029</x:v>
      </x:c>
      <x:c r="B34" s="9"/>
      <x:c r="C34" s="9" t="str">
        <x:v>unreviewed</x:v>
      </x:c>
      <x:c r="D34" s="9"/>
      <x:c r="E34" s="9"/>
      <x:c r="F34" s="9"/>
      <x:c r="G34" s="9"/>
      <x:c r="H34" s="9"/>
      <x:c r="I34" s="9"/>
      <x:c r="J34" s="9"/>
      <x:c r="K34" s="9"/>
      <x:c r="L34" s="9"/>
      <x:c r="M34" s="9"/>
    </x:row>
    <x:row r="35" ht="31.5" customHeight="1">
      <x:c r="A35" s="8" t="str">
        <x:v>FD-N030</x:v>
      </x:c>
      <x:c r="B35" s="9"/>
      <x:c r="C35" s="9" t="str">
        <x:v>unreviewed</x:v>
      </x:c>
      <x:c r="D35" s="9"/>
      <x:c r="E35" s="9"/>
      <x:c r="F35" s="9"/>
      <x:c r="G35" s="9"/>
      <x:c r="H35" s="9"/>
      <x:c r="I35" s="9"/>
      <x:c r="J35" s="9"/>
      <x:c r="K35" s="9"/>
      <x:c r="L35" s="9"/>
      <x:c r="M35" s="9"/>
    </x:row>
    <x:row r="36" ht="31.5" customHeight="1">
      <x:c r="A36" s="8" t="str">
        <x:v>FD-N031</x:v>
      </x:c>
      <x:c r="B36" s="9"/>
      <x:c r="C36" s="9" t="str">
        <x:v>unreviewed</x:v>
      </x:c>
      <x:c r="D36" s="9"/>
      <x:c r="E36" s="9"/>
      <x:c r="F36" s="9"/>
      <x:c r="G36" s="9"/>
      <x:c r="H36" s="9"/>
      <x:c r="I36" s="9"/>
      <x:c r="J36" s="9"/>
      <x:c r="K36" s="9"/>
      <x:c r="L36" s="9"/>
      <x:c r="M36" s="9"/>
    </x:row>
    <x:row r="37" ht="31.5" customHeight="1">
      <x:c r="A37" s="8" t="str">
        <x:v>FD-N032</x:v>
      </x:c>
      <x:c r="B37" s="9"/>
      <x:c r="C37" s="9" t="str">
        <x:v>unreviewed</x:v>
      </x:c>
      <x:c r="D37" s="9"/>
      <x:c r="E37" s="9"/>
      <x:c r="F37" s="9"/>
      <x:c r="G37" s="9"/>
      <x:c r="H37" s="9"/>
      <x:c r="I37" s="9"/>
      <x:c r="J37" s="9"/>
      <x:c r="K37" s="9"/>
      <x:c r="L37" s="9"/>
      <x:c r="M37" s="9"/>
    </x:row>
    <x:row r="38" ht="31.5" customHeight="1">
      <x:c r="A38" s="8" t="str">
        <x:v>FD-N033</x:v>
      </x:c>
      <x:c r="B38" s="9"/>
      <x:c r="C38" s="9" t="str">
        <x:v>unreviewed</x:v>
      </x:c>
      <x:c r="D38" s="9"/>
      <x:c r="E38" s="9"/>
      <x:c r="F38" s="9"/>
      <x:c r="G38" s="9"/>
      <x:c r="H38" s="9"/>
      <x:c r="I38" s="9"/>
      <x:c r="J38" s="9"/>
      <x:c r="K38" s="9"/>
      <x:c r="L38" s="9"/>
      <x:c r="M38" s="9"/>
    </x:row>
    <x:row r="39" ht="31.5" customHeight="1">
      <x:c r="A39" s="8" t="str">
        <x:v>FD-N034</x:v>
      </x:c>
      <x:c r="B39" s="9"/>
      <x:c r="C39" s="9" t="str">
        <x:v>unreviewed</x:v>
      </x:c>
      <x:c r="D39" s="9"/>
      <x:c r="E39" s="9"/>
      <x:c r="F39" s="9"/>
      <x:c r="G39" s="9"/>
      <x:c r="H39" s="9"/>
      <x:c r="I39" s="9"/>
      <x:c r="J39" s="9"/>
      <x:c r="K39" s="9"/>
      <x:c r="L39" s="9"/>
      <x:c r="M39" s="9"/>
    </x:row>
    <x:row r="40" ht="31.5" customHeight="1">
      <x:c r="A40" s="8" t="str">
        <x:v>FD-N035</x:v>
      </x:c>
      <x:c r="B40" s="9"/>
      <x:c r="C40" s="9" t="str">
        <x:v>unreviewed</x:v>
      </x:c>
      <x:c r="D40" s="9"/>
      <x:c r="E40" s="9"/>
      <x:c r="F40" s="9"/>
      <x:c r="G40" s="9"/>
      <x:c r="H40" s="9"/>
      <x:c r="I40" s="9"/>
      <x:c r="J40" s="9"/>
      <x:c r="K40" s="9"/>
      <x:c r="L40" s="9"/>
      <x:c r="M40" s="9"/>
    </x:row>
    <x:row r="41" ht="31.5" customHeight="1">
      <x:c r="A41" s="8" t="str">
        <x:v>FD-N036</x:v>
      </x:c>
      <x:c r="B41" s="9"/>
      <x:c r="C41" s="9" t="str">
        <x:v>unreviewed</x:v>
      </x:c>
      <x:c r="D41" s="9"/>
      <x:c r="E41" s="9"/>
      <x:c r="F41" s="9"/>
      <x:c r="G41" s="9"/>
      <x:c r="H41" s="9"/>
      <x:c r="I41" s="9"/>
      <x:c r="J41" s="9"/>
      <x:c r="K41" s="9"/>
      <x:c r="L41" s="9"/>
      <x:c r="M41" s="9"/>
    </x:row>
    <x:row r="42" ht="31.5" customHeight="1">
      <x:c r="A42" s="8" t="str">
        <x:v>FD-N037</x:v>
      </x:c>
      <x:c r="B42" s="9"/>
      <x:c r="C42" s="9" t="str">
        <x:v>unreviewed</x:v>
      </x:c>
      <x:c r="D42" s="9"/>
      <x:c r="E42" s="9"/>
      <x:c r="F42" s="9"/>
      <x:c r="G42" s="9"/>
      <x:c r="H42" s="9"/>
      <x:c r="I42" s="9"/>
      <x:c r="J42" s="9"/>
      <x:c r="K42" s="9"/>
      <x:c r="L42" s="9"/>
      <x:c r="M42" s="9"/>
    </x:row>
    <x:row r="43" ht="31.5" customHeight="1">
      <x:c r="A43" s="8" t="str">
        <x:v>FD-N038</x:v>
      </x:c>
      <x:c r="B43" s="9"/>
      <x:c r="C43" s="9" t="str">
        <x:v>unreviewed</x:v>
      </x:c>
      <x:c r="D43" s="9"/>
      <x:c r="E43" s="9"/>
      <x:c r="F43" s="9"/>
      <x:c r="G43" s="9"/>
      <x:c r="H43" s="9"/>
      <x:c r="I43" s="9"/>
      <x:c r="J43" s="9"/>
      <x:c r="K43" s="9"/>
      <x:c r="L43" s="9"/>
      <x:c r="M43" s="9"/>
    </x:row>
    <x:row r="44" ht="31.5" customHeight="1">
      <x:c r="A44" s="8" t="str">
        <x:v>FD-N039</x:v>
      </x:c>
      <x:c r="B44" s="9"/>
      <x:c r="C44" s="9" t="str">
        <x:v>unreviewed</x:v>
      </x:c>
      <x:c r="D44" s="9"/>
      <x:c r="E44" s="9"/>
      <x:c r="F44" s="9"/>
      <x:c r="G44" s="9"/>
      <x:c r="H44" s="9"/>
      <x:c r="I44" s="9"/>
      <x:c r="J44" s="9"/>
      <x:c r="K44" s="9"/>
      <x:c r="L44" s="9"/>
      <x:c r="M44" s="9"/>
    </x:row>
    <x:row r="45" ht="31.5" customHeight="1">
      <x:c r="A45" s="8" t="str">
        <x:v>FD-N040</x:v>
      </x:c>
      <x:c r="B45" s="9"/>
      <x:c r="C45" s="9" t="str">
        <x:v>unreviewed</x:v>
      </x:c>
      <x:c r="D45" s="9"/>
      <x:c r="E45" s="9"/>
      <x:c r="F45" s="9"/>
      <x:c r="G45" s="9"/>
      <x:c r="H45" s="9"/>
      <x:c r="I45" s="9"/>
      <x:c r="J45" s="9"/>
      <x:c r="K45" s="9"/>
      <x:c r="L45" s="9"/>
      <x:c r="M45" s="9"/>
    </x:row>
    <x:row r="46" ht="31.5" customHeight="1">
      <x:c r="A46" s="8" t="str">
        <x:v>FD-N041</x:v>
      </x:c>
      <x:c r="B46" s="9"/>
      <x:c r="C46" s="9" t="str">
        <x:v>unreviewed</x:v>
      </x:c>
      <x:c r="D46" s="9"/>
      <x:c r="E46" s="9"/>
      <x:c r="F46" s="9"/>
      <x:c r="G46" s="9"/>
      <x:c r="H46" s="9"/>
      <x:c r="I46" s="9"/>
      <x:c r="J46" s="9"/>
      <x:c r="K46" s="9"/>
      <x:c r="L46" s="9"/>
      <x:c r="M46" s="9"/>
    </x:row>
    <x:row r="47" ht="31.5" customHeight="1">
      <x:c r="A47" s="8" t="str">
        <x:v>FD-N042</x:v>
      </x:c>
      <x:c r="B47" s="9"/>
      <x:c r="C47" s="9" t="str">
        <x:v>unreviewed</x:v>
      </x:c>
      <x:c r="D47" s="9"/>
      <x:c r="E47" s="9"/>
      <x:c r="F47" s="9"/>
      <x:c r="G47" s="9"/>
      <x:c r="H47" s="9"/>
      <x:c r="I47" s="9"/>
      <x:c r="J47" s="9"/>
      <x:c r="K47" s="9"/>
      <x:c r="L47" s="9"/>
      <x:c r="M47" s="9"/>
    </x:row>
    <x:row r="48" ht="31.5" customHeight="1">
      <x:c r="A48" s="8" t="str">
        <x:v>FD-N043</x:v>
      </x:c>
      <x:c r="B48" s="9"/>
      <x:c r="C48" s="9" t="str">
        <x:v>unreviewed</x:v>
      </x:c>
      <x:c r="D48" s="9"/>
      <x:c r="E48" s="9"/>
      <x:c r="F48" s="9"/>
      <x:c r="G48" s="9"/>
      <x:c r="H48" s="9"/>
      <x:c r="I48" s="9"/>
      <x:c r="J48" s="9"/>
      <x:c r="K48" s="9"/>
      <x:c r="L48" s="9"/>
      <x:c r="M48" s="9"/>
    </x:row>
    <x:row r="49" ht="31.5" customHeight="1">
      <x:c r="A49" s="8" t="str">
        <x:v>FD-N044</x:v>
      </x:c>
      <x:c r="B49" s="9"/>
      <x:c r="C49" s="9" t="str">
        <x:v>unreviewed</x:v>
      </x:c>
      <x:c r="D49" s="9"/>
      <x:c r="E49" s="9"/>
      <x:c r="F49" s="9"/>
      <x:c r="G49" s="9"/>
      <x:c r="H49" s="9"/>
      <x:c r="I49" s="9"/>
      <x:c r="J49" s="9"/>
      <x:c r="K49" s="9"/>
      <x:c r="L49" s="9"/>
      <x:c r="M49" s="9"/>
    </x:row>
    <x:row r="50" ht="31.5" customHeight="1">
      <x:c r="A50" s="8" t="str">
        <x:v>FD-N045</x:v>
      </x:c>
      <x:c r="B50" s="9"/>
      <x:c r="C50" s="9" t="str">
        <x:v>unreviewed</x:v>
      </x:c>
      <x:c r="D50" s="9"/>
      <x:c r="E50" s="9"/>
      <x:c r="F50" s="9"/>
      <x:c r="G50" s="9"/>
      <x:c r="H50" s="9"/>
      <x:c r="I50" s="9"/>
      <x:c r="J50" s="9"/>
      <x:c r="K50" s="9"/>
      <x:c r="L50" s="9"/>
      <x:c r="M50" s="9"/>
    </x:row>
    <x:row r="51" ht="31.5" customHeight="1">
      <x:c r="A51" s="8" t="str">
        <x:v>FD-N046</x:v>
      </x:c>
      <x:c r="B51" s="9"/>
      <x:c r="C51" s="9" t="str">
        <x:v>unreviewed</x:v>
      </x:c>
      <x:c r="D51" s="9"/>
      <x:c r="E51" s="9"/>
      <x:c r="F51" s="9"/>
      <x:c r="G51" s="9"/>
      <x:c r="H51" s="9"/>
      <x:c r="I51" s="9"/>
      <x:c r="J51" s="9"/>
      <x:c r="K51" s="9"/>
      <x:c r="L51" s="9"/>
      <x:c r="M51" s="9"/>
    </x:row>
    <x:row r="52" ht="31.5" customHeight="1">
      <x:c r="A52" s="8" t="str">
        <x:v>FD-N047</x:v>
      </x:c>
      <x:c r="B52" s="9"/>
      <x:c r="C52" s="9" t="str">
        <x:v>unreviewed</x:v>
      </x:c>
      <x:c r="D52" s="9"/>
      <x:c r="E52" s="9"/>
      <x:c r="F52" s="9"/>
      <x:c r="G52" s="9"/>
      <x:c r="H52" s="9"/>
      <x:c r="I52" s="9"/>
      <x:c r="J52" s="9"/>
      <x:c r="K52" s="9"/>
      <x:c r="L52" s="9"/>
      <x:c r="M52" s="9"/>
    </x:row>
    <x:row r="53" ht="31.5" customHeight="1">
      <x:c r="A53" s="8" t="str">
        <x:v>FD-N048</x:v>
      </x:c>
      <x:c r="B53" s="9"/>
      <x:c r="C53" s="9" t="str">
        <x:v>unreviewed</x:v>
      </x:c>
      <x:c r="D53" s="9"/>
      <x:c r="E53" s="9"/>
      <x:c r="F53" s="9"/>
      <x:c r="G53" s="9"/>
      <x:c r="H53" s="9"/>
      <x:c r="I53" s="9"/>
      <x:c r="J53" s="9"/>
      <x:c r="K53" s="9"/>
      <x:c r="L53" s="9"/>
      <x:c r="M53" s="9"/>
    </x:row>
    <x:row r="54" ht="31.5" customHeight="1">
      <x:c r="A54" s="8" t="str">
        <x:v>FD-N049</x:v>
      </x:c>
      <x:c r="B54" s="9"/>
      <x:c r="C54" s="9" t="str">
        <x:v>unreviewed</x:v>
      </x:c>
      <x:c r="D54" s="9"/>
      <x:c r="E54" s="9"/>
      <x:c r="F54" s="9"/>
      <x:c r="G54" s="9"/>
      <x:c r="H54" s="9"/>
      <x:c r="I54" s="9"/>
      <x:c r="J54" s="9"/>
      <x:c r="K54" s="9"/>
      <x:c r="L54" s="9"/>
      <x:c r="M54" s="9"/>
    </x:row>
    <x:row r="55" ht="31.5" customHeight="1">
      <x:c r="A55" s="8" t="str">
        <x:v>FD-N050</x:v>
      </x:c>
      <x:c r="B55" s="9"/>
      <x:c r="C55" s="9" t="str">
        <x:v>unreviewed</x:v>
      </x:c>
      <x:c r="D55" s="9"/>
      <x:c r="E55" s="9"/>
      <x:c r="F55" s="9"/>
      <x:c r="G55" s="9"/>
      <x:c r="H55" s="9"/>
      <x:c r="I55" s="9"/>
      <x:c r="J55" s="9"/>
      <x:c r="K55" s="9"/>
      <x:c r="L55" s="9"/>
      <x:c r="M55" s="9"/>
    </x:row>
    <x:row r="56" ht="31.5" customHeight="1">
      <x:c r="A56" s="8" t="str">
        <x:v>FD-N051</x:v>
      </x:c>
      <x:c r="B56" s="9"/>
      <x:c r="C56" s="9" t="str">
        <x:v>unreviewed</x:v>
      </x:c>
      <x:c r="D56" s="9"/>
      <x:c r="E56" s="9"/>
      <x:c r="F56" s="9"/>
      <x:c r="G56" s="9"/>
      <x:c r="H56" s="9"/>
      <x:c r="I56" s="9"/>
      <x:c r="J56" s="9"/>
      <x:c r="K56" s="9"/>
      <x:c r="L56" s="9"/>
      <x:c r="M56" s="9"/>
    </x:row>
    <x:row r="57" ht="31.5" customHeight="1">
      <x:c r="A57" s="8" t="str">
        <x:v>FD-N052</x:v>
      </x:c>
      <x:c r="B57" s="9"/>
      <x:c r="C57" s="9" t="str">
        <x:v>unreviewed</x:v>
      </x:c>
      <x:c r="D57" s="9"/>
      <x:c r="E57" s="9"/>
      <x:c r="F57" s="9"/>
      <x:c r="G57" s="9"/>
      <x:c r="H57" s="9"/>
      <x:c r="I57" s="9"/>
      <x:c r="J57" s="9"/>
      <x:c r="K57" s="9"/>
      <x:c r="L57" s="9"/>
      <x:c r="M57" s="9"/>
    </x:row>
    <x:row r="58" ht="31.5" customHeight="1">
      <x:c r="A58" s="8" t="str">
        <x:v>FD-N053</x:v>
      </x:c>
      <x:c r="B58" s="9"/>
      <x:c r="C58" s="9" t="str">
        <x:v>unreviewed</x:v>
      </x:c>
      <x:c r="D58" s="9"/>
      <x:c r="E58" s="9"/>
      <x:c r="F58" s="9"/>
      <x:c r="G58" s="9"/>
      <x:c r="H58" s="9"/>
      <x:c r="I58" s="9"/>
      <x:c r="J58" s="9"/>
      <x:c r="K58" s="9"/>
      <x:c r="L58" s="9"/>
      <x:c r="M58" s="9"/>
    </x:row>
    <x:row r="59" ht="31.5" customHeight="1">
      <x:c r="A59" s="8" t="str">
        <x:v>FD-N054</x:v>
      </x:c>
      <x:c r="B59" s="9"/>
      <x:c r="C59" s="9" t="str">
        <x:v>unreviewed</x:v>
      </x:c>
      <x:c r="D59" s="9"/>
      <x:c r="E59" s="9"/>
      <x:c r="F59" s="9"/>
      <x:c r="G59" s="9"/>
      <x:c r="H59" s="9"/>
      <x:c r="I59" s="9"/>
      <x:c r="J59" s="9"/>
      <x:c r="K59" s="9"/>
      <x:c r="L59" s="9"/>
      <x:c r="M59" s="9"/>
    </x:row>
    <x:row r="60" ht="31.5" customHeight="1">
      <x:c r="A60" s="8" t="str">
        <x:v>FD-N055</x:v>
      </x:c>
      <x:c r="B60" s="9"/>
      <x:c r="C60" s="9" t="str">
        <x:v>unreviewed</x:v>
      </x:c>
      <x:c r="D60" s="9"/>
      <x:c r="E60" s="9"/>
      <x:c r="F60" s="9"/>
      <x:c r="G60" s="9"/>
      <x:c r="H60" s="9"/>
      <x:c r="I60" s="9"/>
      <x:c r="J60" s="9"/>
      <x:c r="K60" s="9"/>
      <x:c r="L60" s="9"/>
      <x:c r="M60" s="9"/>
    </x:row>
    <x:row r="61" ht="31.5" customHeight="1">
      <x:c r="A61" s="8" t="str">
        <x:v>FD-N056</x:v>
      </x:c>
      <x:c r="B61" s="9"/>
      <x:c r="C61" s="9" t="str">
        <x:v>unreviewed</x:v>
      </x:c>
      <x:c r="D61" s="9"/>
      <x:c r="E61" s="9"/>
      <x:c r="F61" s="9"/>
      <x:c r="G61" s="9"/>
      <x:c r="H61" s="9"/>
      <x:c r="I61" s="9"/>
      <x:c r="J61" s="9"/>
      <x:c r="K61" s="9"/>
      <x:c r="L61" s="9"/>
      <x:c r="M61" s="9"/>
    </x:row>
    <x:row r="62" ht="31.5" customHeight="1">
      <x:c r="A62" s="8" t="str">
        <x:v>FD-N057</x:v>
      </x:c>
      <x:c r="B62" s="9"/>
      <x:c r="C62" s="9" t="str">
        <x:v>unreviewed</x:v>
      </x:c>
      <x:c r="D62" s="9"/>
      <x:c r="E62" s="9"/>
      <x:c r="F62" s="9"/>
      <x:c r="G62" s="9"/>
      <x:c r="H62" s="9"/>
      <x:c r="I62" s="9"/>
      <x:c r="J62" s="9"/>
      <x:c r="K62" s="9"/>
      <x:c r="L62" s="9"/>
      <x:c r="M62" s="9"/>
    </x:row>
    <x:row r="63" ht="31.5" customHeight="1">
      <x:c r="A63" s="8" t="str">
        <x:v>FD-N058</x:v>
      </x:c>
      <x:c r="B63" s="9"/>
      <x:c r="C63" s="9" t="str">
        <x:v>unreviewed</x:v>
      </x:c>
      <x:c r="D63" s="9"/>
      <x:c r="E63" s="9"/>
      <x:c r="F63" s="9"/>
      <x:c r="G63" s="9"/>
      <x:c r="H63" s="9"/>
      <x:c r="I63" s="9"/>
      <x:c r="J63" s="9"/>
      <x:c r="K63" s="9"/>
      <x:c r="L63" s="9"/>
      <x:c r="M63" s="9"/>
    </x:row>
    <x:row r="64" ht="31.5" customHeight="1">
      <x:c r="A64" s="8" t="str">
        <x:v>FD-N059</x:v>
      </x:c>
      <x:c r="B64" s="9"/>
      <x:c r="C64" s="9" t="str">
        <x:v>unreviewed</x:v>
      </x:c>
      <x:c r="D64" s="9"/>
      <x:c r="E64" s="9"/>
      <x:c r="F64" s="9"/>
      <x:c r="G64" s="9"/>
      <x:c r="H64" s="9"/>
      <x:c r="I64" s="9"/>
      <x:c r="J64" s="9"/>
      <x:c r="K64" s="9"/>
      <x:c r="L64" s="9"/>
      <x:c r="M64" s="9"/>
    </x:row>
    <x:row r="65" ht="31.5" customHeight="1">
      <x:c r="A65" s="8" t="str">
        <x:v>FD-N060</x:v>
      </x:c>
      <x:c r="B65" s="9"/>
      <x:c r="C65" s="9" t="str">
        <x:v>unreviewed</x:v>
      </x:c>
      <x:c r="D65" s="9"/>
      <x:c r="E65" s="9"/>
      <x:c r="F65" s="9"/>
      <x:c r="G65" s="9"/>
      <x:c r="H65" s="9"/>
      <x:c r="I65" s="9"/>
      <x:c r="J65" s="9"/>
      <x:c r="K65" s="9"/>
      <x:c r="L65" s="9"/>
      <x:c r="M65" s="9"/>
    </x:row>
    <x:row r="66" ht="31.5" customHeight="1">
      <x:c r="A66" s="8" t="str">
        <x:v>FD-N061</x:v>
      </x:c>
      <x:c r="B66" s="9"/>
      <x:c r="C66" s="9" t="str">
        <x:v>unreviewed</x:v>
      </x:c>
      <x:c r="D66" s="9"/>
      <x:c r="E66" s="9"/>
      <x:c r="F66" s="9"/>
      <x:c r="G66" s="9"/>
      <x:c r="H66" s="9"/>
      <x:c r="I66" s="9"/>
      <x:c r="J66" s="9"/>
      <x:c r="K66" s="9"/>
      <x:c r="L66" s="9"/>
      <x:c r="M66" s="9"/>
    </x:row>
    <x:row r="67" ht="31.5" customHeight="1">
      <x:c r="A67" s="8" t="str">
        <x:v>FD-N062</x:v>
      </x:c>
      <x:c r="B67" s="9"/>
      <x:c r="C67" s="9" t="str">
        <x:v>unreviewed</x:v>
      </x:c>
      <x:c r="D67" s="9"/>
      <x:c r="E67" s="9"/>
      <x:c r="F67" s="9"/>
      <x:c r="G67" s="9"/>
      <x:c r="H67" s="9"/>
      <x:c r="I67" s="9"/>
      <x:c r="J67" s="9"/>
      <x:c r="K67" s="9"/>
      <x:c r="L67" s="9"/>
      <x:c r="M67" s="9"/>
    </x:row>
    <x:row r="68" ht="31.5" customHeight="1">
      <x:c r="A68" s="8" t="str">
        <x:v>FD-N063</x:v>
      </x:c>
      <x:c r="B68" s="9"/>
      <x:c r="C68" s="9" t="str">
        <x:v>unreviewed</x:v>
      </x:c>
      <x:c r="D68" s="9"/>
      <x:c r="E68" s="9"/>
      <x:c r="F68" s="9"/>
      <x:c r="G68" s="9"/>
      <x:c r="H68" s="9"/>
      <x:c r="I68" s="9"/>
      <x:c r="J68" s="9"/>
      <x:c r="K68" s="9"/>
      <x:c r="L68" s="9"/>
      <x:c r="M68" s="9"/>
    </x:row>
    <x:row r="69" ht="31.5" customHeight="1">
      <x:c r="A69" s="8" t="str">
        <x:v>FD-N064</x:v>
      </x:c>
      <x:c r="B69" s="9"/>
      <x:c r="C69" s="9" t="str">
        <x:v>unreviewed</x:v>
      </x:c>
      <x:c r="D69" s="9"/>
      <x:c r="E69" s="9"/>
      <x:c r="F69" s="9"/>
      <x:c r="G69" s="9"/>
      <x:c r="H69" s="9"/>
      <x:c r="I69" s="9"/>
      <x:c r="J69" s="9"/>
      <x:c r="K69" s="9"/>
      <x:c r="L69" s="9"/>
      <x:c r="M69" s="9"/>
    </x:row>
    <x:row r="70" ht="31.5" customHeight="1">
      <x:c r="A70" s="8" t="str">
        <x:v>FD-N065</x:v>
      </x:c>
      <x:c r="B70" s="9"/>
      <x:c r="C70" s="9" t="str">
        <x:v>unreviewed</x:v>
      </x:c>
      <x:c r="D70" s="9"/>
      <x:c r="E70" s="9"/>
      <x:c r="F70" s="9"/>
      <x:c r="G70" s="9"/>
      <x:c r="H70" s="9"/>
      <x:c r="I70" s="9"/>
      <x:c r="J70" s="9"/>
      <x:c r="K70" s="9"/>
      <x:c r="L70" s="9"/>
      <x:c r="M70" s="9"/>
    </x:row>
    <x:row r="71" ht="31.5" customHeight="1">
      <x:c r="A71" s="8" t="str">
        <x:v>FD-N066</x:v>
      </x:c>
      <x:c r="B71" s="9"/>
      <x:c r="C71" s="9" t="str">
        <x:v>unreviewed</x:v>
      </x:c>
      <x:c r="D71" s="9"/>
      <x:c r="E71" s="9"/>
      <x:c r="F71" s="9"/>
      <x:c r="G71" s="9"/>
      <x:c r="H71" s="9"/>
      <x:c r="I71" s="9"/>
      <x:c r="J71" s="9"/>
      <x:c r="K71" s="9"/>
      <x:c r="L71" s="9"/>
      <x:c r="M71" s="9"/>
    </x:row>
    <x:row r="72" ht="31.5" customHeight="1">
      <x:c r="A72" s="8" t="str">
        <x:v>FD-N067</x:v>
      </x:c>
      <x:c r="B72" s="9"/>
      <x:c r="C72" s="9" t="str">
        <x:v>unreviewed</x:v>
      </x:c>
      <x:c r="D72" s="9"/>
      <x:c r="E72" s="9"/>
      <x:c r="F72" s="9"/>
      <x:c r="G72" s="9"/>
      <x:c r="H72" s="9"/>
      <x:c r="I72" s="9"/>
      <x:c r="J72" s="9"/>
      <x:c r="K72" s="9"/>
      <x:c r="L72" s="9"/>
      <x:c r="M72" s="9"/>
    </x:row>
    <x:row r="73" ht="31.5" customHeight="1">
      <x:c r="A73" s="8" t="str">
        <x:v>FD-N068</x:v>
      </x:c>
      <x:c r="B73" s="9"/>
      <x:c r="C73" s="9" t="str">
        <x:v>unreviewed</x:v>
      </x:c>
      <x:c r="D73" s="9"/>
      <x:c r="E73" s="9"/>
      <x:c r="F73" s="9"/>
      <x:c r="G73" s="9"/>
      <x:c r="H73" s="9"/>
      <x:c r="I73" s="9"/>
      <x:c r="J73" s="9"/>
      <x:c r="K73" s="9"/>
      <x:c r="L73" s="9"/>
      <x:c r="M73" s="9"/>
    </x:row>
    <x:row r="74" ht="31.5" customHeight="1">
      <x:c r="A74" s="8" t="str">
        <x:v>FD-N069</x:v>
      </x:c>
      <x:c r="B74" s="9"/>
      <x:c r="C74" s="9" t="str">
        <x:v>unreviewed</x:v>
      </x:c>
      <x:c r="D74" s="9"/>
      <x:c r="E74" s="9"/>
      <x:c r="F74" s="9"/>
      <x:c r="G74" s="9"/>
      <x:c r="H74" s="9"/>
      <x:c r="I74" s="9"/>
      <x:c r="J74" s="9"/>
      <x:c r="K74" s="9"/>
      <x:c r="L74" s="9"/>
      <x:c r="M74" s="9"/>
    </x:row>
    <x:row r="75" ht="31.5" customHeight="1">
      <x:c r="A75" s="8" t="str">
        <x:v>FD-N070</x:v>
      </x:c>
      <x:c r="B75" s="9"/>
      <x:c r="C75" s="9" t="str">
        <x:v>unreviewed</x:v>
      </x:c>
      <x:c r="D75" s="9"/>
      <x:c r="E75" s="9"/>
      <x:c r="F75" s="9"/>
      <x:c r="G75" s="9"/>
      <x:c r="H75" s="9"/>
      <x:c r="I75" s="9"/>
      <x:c r="J75" s="9"/>
      <x:c r="K75" s="9"/>
      <x:c r="L75" s="9"/>
      <x:c r="M75" s="9"/>
    </x:row>
    <x:row r="76" ht="31.5" customHeight="1">
      <x:c r="A76" s="8" t="str">
        <x:v>FD-N071</x:v>
      </x:c>
      <x:c r="B76" s="9"/>
      <x:c r="C76" s="9" t="str">
        <x:v>unreviewed</x:v>
      </x:c>
      <x:c r="D76" s="9"/>
      <x:c r="E76" s="9"/>
      <x:c r="F76" s="9"/>
      <x:c r="G76" s="9"/>
      <x:c r="H76" s="9"/>
      <x:c r="I76" s="9"/>
      <x:c r="J76" s="9"/>
      <x:c r="K76" s="9"/>
      <x:c r="L76" s="9"/>
      <x:c r="M76" s="9"/>
    </x:row>
    <x:row r="77" ht="31.5" customHeight="1">
      <x:c r="A77" s="8" t="str">
        <x:v>FD-N072</x:v>
      </x:c>
      <x:c r="B77" s="9"/>
      <x:c r="C77" s="9" t="str">
        <x:v>unreviewed</x:v>
      </x:c>
      <x:c r="D77" s="9"/>
      <x:c r="E77" s="9"/>
      <x:c r="F77" s="9"/>
      <x:c r="G77" s="9"/>
      <x:c r="H77" s="9"/>
      <x:c r="I77" s="9"/>
      <x:c r="J77" s="9"/>
      <x:c r="K77" s="9"/>
      <x:c r="L77" s="9"/>
      <x:c r="M77" s="9"/>
    </x:row>
    <x:row r="78" ht="31.5" customHeight="1">
      <x:c r="A78" s="8" t="str">
        <x:v>FD-N073</x:v>
      </x:c>
      <x:c r="B78" s="9"/>
      <x:c r="C78" s="9" t="str">
        <x:v>unreviewed</x:v>
      </x:c>
      <x:c r="D78" s="9"/>
      <x:c r="E78" s="9"/>
      <x:c r="F78" s="9"/>
      <x:c r="G78" s="9"/>
      <x:c r="H78" s="9"/>
      <x:c r="I78" s="9"/>
      <x:c r="J78" s="9"/>
      <x:c r="K78" s="9"/>
      <x:c r="L78" s="9"/>
      <x:c r="M78" s="9"/>
    </x:row>
    <x:row r="79" ht="31.5" customHeight="1">
      <x:c r="A79" s="8" t="str">
        <x:v>FD-N074</x:v>
      </x:c>
      <x:c r="B79" s="9"/>
      <x:c r="C79" s="9" t="str">
        <x:v>unreviewed</x:v>
      </x:c>
      <x:c r="D79" s="9"/>
      <x:c r="E79" s="9"/>
      <x:c r="F79" s="9"/>
      <x:c r="G79" s="9"/>
      <x:c r="H79" s="9"/>
      <x:c r="I79" s="9"/>
      <x:c r="J79" s="9"/>
      <x:c r="K79" s="9"/>
      <x:c r="L79" s="9"/>
      <x:c r="M79" s="9"/>
    </x:row>
    <x:row r="80" ht="31.5" customHeight="1">
      <x:c r="A80" s="8" t="str">
        <x:v>FD-N075</x:v>
      </x:c>
      <x:c r="B80" s="9"/>
      <x:c r="C80" s="9" t="str">
        <x:v>unreviewed</x:v>
      </x:c>
      <x:c r="D80" s="9"/>
      <x:c r="E80" s="9"/>
      <x:c r="F80" s="9"/>
      <x:c r="G80" s="9"/>
      <x:c r="H80" s="9"/>
      <x:c r="I80" s="9"/>
      <x:c r="J80" s="9"/>
      <x:c r="K80" s="9"/>
      <x:c r="L80" s="9"/>
      <x:c r="M80" s="9"/>
    </x:row>
    <x:row r="81" ht="31.5" customHeight="1">
      <x:c r="A81" s="8" t="str">
        <x:v>FD-N076</x:v>
      </x:c>
      <x:c r="B81" s="9"/>
      <x:c r="C81" s="9" t="str">
        <x:v>unreviewed</x:v>
      </x:c>
      <x:c r="D81" s="9"/>
      <x:c r="E81" s="9"/>
      <x:c r="F81" s="9"/>
      <x:c r="G81" s="9"/>
      <x:c r="H81" s="9"/>
      <x:c r="I81" s="9"/>
      <x:c r="J81" s="9"/>
      <x:c r="K81" s="9"/>
      <x:c r="L81" s="9"/>
      <x:c r="M81" s="9"/>
    </x:row>
    <x:row r="82" ht="31.5" customHeight="1">
      <x:c r="A82" s="8" t="str">
        <x:v>FD-N077</x:v>
      </x:c>
      <x:c r="B82" s="9"/>
      <x:c r="C82" s="9" t="str">
        <x:v>unreviewed</x:v>
      </x:c>
      <x:c r="D82" s="9"/>
      <x:c r="E82" s="9"/>
      <x:c r="F82" s="9"/>
      <x:c r="G82" s="9"/>
      <x:c r="H82" s="9"/>
      <x:c r="I82" s="9"/>
      <x:c r="J82" s="9"/>
      <x:c r="K82" s="9"/>
      <x:c r="L82" s="9"/>
      <x:c r="M82" s="9"/>
    </x:row>
    <x:row r="83" ht="31.5" customHeight="1">
      <x:c r="A83" s="8" t="str">
        <x:v>FD-N078</x:v>
      </x:c>
      <x:c r="B83" s="9"/>
      <x:c r="C83" s="9" t="str">
        <x:v>unreviewed</x:v>
      </x:c>
      <x:c r="D83" s="9"/>
      <x:c r="E83" s="9"/>
      <x:c r="F83" s="9"/>
      <x:c r="G83" s="9"/>
      <x:c r="H83" s="9"/>
      <x:c r="I83" s="9"/>
      <x:c r="J83" s="9"/>
      <x:c r="K83" s="9"/>
      <x:c r="L83" s="9"/>
      <x:c r="M83" s="9"/>
    </x:row>
    <x:row r="84" ht="31.5" customHeight="1">
      <x:c r="A84" s="8" t="str">
        <x:v>FD-N079</x:v>
      </x:c>
      <x:c r="B84" s="9"/>
      <x:c r="C84" s="9" t="str">
        <x:v>unreviewed</x:v>
      </x:c>
      <x:c r="D84" s="9"/>
      <x:c r="E84" s="9"/>
      <x:c r="F84" s="9"/>
      <x:c r="G84" s="9"/>
      <x:c r="H84" s="9"/>
      <x:c r="I84" s="9"/>
      <x:c r="J84" s="9"/>
      <x:c r="K84" s="9"/>
      <x:c r="L84" s="9"/>
      <x:c r="M84" s="9"/>
    </x:row>
    <x:row r="85" ht="31.5" customHeight="1">
      <x:c r="A85" s="8" t="str">
        <x:v>FD-N080</x:v>
      </x:c>
      <x:c r="B85" s="9"/>
      <x:c r="C85" s="9" t="str">
        <x:v>unreviewed</x:v>
      </x:c>
      <x:c r="D85" s="9"/>
      <x:c r="E85" s="9"/>
      <x:c r="F85" s="9"/>
      <x:c r="G85" s="9"/>
      <x:c r="H85" s="9"/>
      <x:c r="I85" s="9"/>
      <x:c r="J85" s="9"/>
      <x:c r="K85" s="9"/>
      <x:c r="L85" s="9"/>
      <x:c r="M85" s="9"/>
    </x:row>
    <x:row r="86" ht="31.5" customHeight="1">
      <x:c r="A86" s="8" t="str">
        <x:v>FD-N081</x:v>
      </x:c>
      <x:c r="B86" s="9"/>
      <x:c r="C86" s="9" t="str">
        <x:v>unreviewed</x:v>
      </x:c>
      <x:c r="D86" s="9"/>
      <x:c r="E86" s="9"/>
      <x:c r="F86" s="9"/>
      <x:c r="G86" s="9"/>
      <x:c r="H86" s="9"/>
      <x:c r="I86" s="9"/>
      <x:c r="J86" s="9"/>
      <x:c r="K86" s="9"/>
      <x:c r="L86" s="9"/>
      <x:c r="M86" s="9"/>
    </x:row>
    <x:row r="87" ht="31.5" customHeight="1">
      <x:c r="A87" s="8" t="str">
        <x:v>FD-N082</x:v>
      </x:c>
      <x:c r="B87" s="9"/>
      <x:c r="C87" s="9" t="str">
        <x:v>unreviewed</x:v>
      </x:c>
      <x:c r="D87" s="9"/>
      <x:c r="E87" s="9"/>
      <x:c r="F87" s="9"/>
      <x:c r="G87" s="9"/>
      <x:c r="H87" s="9"/>
      <x:c r="I87" s="9"/>
      <x:c r="J87" s="9"/>
      <x:c r="K87" s="9"/>
      <x:c r="L87" s="9"/>
      <x:c r="M87" s="9"/>
    </x:row>
    <x:row r="88" ht="31.5" customHeight="1">
      <x:c r="A88" s="8" t="str">
        <x:v>FD-N083</x:v>
      </x:c>
      <x:c r="B88" s="9"/>
      <x:c r="C88" s="9" t="str">
        <x:v>unreviewed</x:v>
      </x:c>
      <x:c r="D88" s="9"/>
      <x:c r="E88" s="9"/>
      <x:c r="F88" s="9"/>
      <x:c r="G88" s="9"/>
      <x:c r="H88" s="9"/>
      <x:c r="I88" s="9"/>
      <x:c r="J88" s="9"/>
      <x:c r="K88" s="9"/>
      <x:c r="L88" s="9"/>
      <x:c r="M88" s="9"/>
    </x:row>
    <x:row r="89" ht="31.5" customHeight="1">
      <x:c r="A89" s="8" t="str">
        <x:v>FD-N084</x:v>
      </x:c>
      <x:c r="B89" s="9"/>
      <x:c r="C89" s="9" t="str">
        <x:v>unreviewed</x:v>
      </x:c>
      <x:c r="D89" s="9"/>
      <x:c r="E89" s="9"/>
      <x:c r="F89" s="9"/>
      <x:c r="G89" s="9"/>
      <x:c r="H89" s="9"/>
      <x:c r="I89" s="9"/>
      <x:c r="J89" s="9"/>
      <x:c r="K89" s="9"/>
      <x:c r="L89" s="9"/>
      <x:c r="M89" s="9"/>
    </x:row>
    <x:row r="90" ht="31.5" customHeight="1">
      <x:c r="A90" s="8" t="str">
        <x:v>FD-N085</x:v>
      </x:c>
      <x:c r="B90" s="9"/>
      <x:c r="C90" s="9" t="str">
        <x:v>unreviewed</x:v>
      </x:c>
      <x:c r="D90" s="9"/>
      <x:c r="E90" s="9"/>
      <x:c r="F90" s="9"/>
      <x:c r="G90" s="9"/>
      <x:c r="H90" s="9"/>
      <x:c r="I90" s="9"/>
      <x:c r="J90" s="9"/>
      <x:c r="K90" s="9"/>
      <x:c r="L90" s="9"/>
      <x:c r="M90" s="9"/>
    </x:row>
    <x:row r="91" ht="31.5" customHeight="1">
      <x:c r="A91" s="8" t="str">
        <x:v>FD-N086</x:v>
      </x:c>
      <x:c r="B91" s="9"/>
      <x:c r="C91" s="9" t="str">
        <x:v>unreviewed</x:v>
      </x:c>
      <x:c r="D91" s="9"/>
      <x:c r="E91" s="9"/>
      <x:c r="F91" s="9"/>
      <x:c r="G91" s="9"/>
      <x:c r="H91" s="9"/>
      <x:c r="I91" s="9"/>
      <x:c r="J91" s="9"/>
      <x:c r="K91" s="9"/>
      <x:c r="L91" s="9"/>
      <x:c r="M91" s="9"/>
    </x:row>
    <x:row r="92" ht="31.5" customHeight="1">
      <x:c r="A92" s="8" t="str">
        <x:v>FD-N087</x:v>
      </x:c>
      <x:c r="B92" s="9"/>
      <x:c r="C92" s="9" t="str">
        <x:v>unreviewed</x:v>
      </x:c>
      <x:c r="D92" s="9"/>
      <x:c r="E92" s="9"/>
      <x:c r="F92" s="9"/>
      <x:c r="G92" s="9"/>
      <x:c r="H92" s="9"/>
      <x:c r="I92" s="9"/>
      <x:c r="J92" s="9"/>
      <x:c r="K92" s="9"/>
      <x:c r="L92" s="9"/>
      <x:c r="M92" s="9"/>
    </x:row>
    <x:row r="93" ht="31.5" customHeight="1">
      <x:c r="A93" s="8" t="str">
        <x:v>FD-N088</x:v>
      </x:c>
      <x:c r="B93" s="9"/>
      <x:c r="C93" s="9" t="str">
        <x:v>unreviewed</x:v>
      </x:c>
      <x:c r="D93" s="9"/>
      <x:c r="E93" s="9"/>
      <x:c r="F93" s="9"/>
      <x:c r="G93" s="9"/>
      <x:c r="H93" s="9"/>
      <x:c r="I93" s="9"/>
      <x:c r="J93" s="9"/>
      <x:c r="K93" s="9"/>
      <x:c r="L93" s="9"/>
      <x:c r="M93" s="9"/>
    </x:row>
    <x:row r="94" ht="31.5" customHeight="1">
      <x:c r="A94" s="8" t="str">
        <x:v>FD-N089</x:v>
      </x:c>
      <x:c r="B94" s="9"/>
      <x:c r="C94" s="9" t="str">
        <x:v>unreviewed</x:v>
      </x:c>
      <x:c r="D94" s="9"/>
      <x:c r="E94" s="9"/>
      <x:c r="F94" s="9"/>
      <x:c r="G94" s="9"/>
      <x:c r="H94" s="9"/>
      <x:c r="I94" s="9"/>
      <x:c r="J94" s="9"/>
      <x:c r="K94" s="9"/>
      <x:c r="L94" s="9"/>
      <x:c r="M94" s="9"/>
    </x:row>
    <x:row r="95" ht="31.5" customHeight="1">
      <x:c r="A95" s="8" t="str">
        <x:v>FD-N090</x:v>
      </x:c>
      <x:c r="B95" s="9"/>
      <x:c r="C95" s="9" t="str">
        <x:v>unreviewed</x:v>
      </x:c>
      <x:c r="D95" s="9"/>
      <x:c r="E95" s="9"/>
      <x:c r="F95" s="9"/>
      <x:c r="G95" s="9"/>
      <x:c r="H95" s="9"/>
      <x:c r="I95" s="9"/>
      <x:c r="J95" s="9"/>
      <x:c r="K95" s="9"/>
      <x:c r="L95" s="9"/>
      <x:c r="M95" s="9"/>
    </x:row>
    <x:row r="96" ht="31.5" customHeight="1">
      <x:c r="A96" s="8" t="str">
        <x:v>FD-N091</x:v>
      </x:c>
      <x:c r="B96" s="9"/>
      <x:c r="C96" s="9" t="str">
        <x:v>unreviewed</x:v>
      </x:c>
      <x:c r="D96" s="9"/>
      <x:c r="E96" s="9"/>
      <x:c r="F96" s="9"/>
      <x:c r="G96" s="9"/>
      <x:c r="H96" s="9"/>
      <x:c r="I96" s="9"/>
      <x:c r="J96" s="9"/>
      <x:c r="K96" s="9"/>
      <x:c r="L96" s="9"/>
      <x:c r="M96" s="9"/>
    </x:row>
    <x:row r="97" ht="31.5" customHeight="1">
      <x:c r="A97" s="8" t="str">
        <x:v>FD-N092</x:v>
      </x:c>
      <x:c r="B97" s="9"/>
      <x:c r="C97" s="9" t="str">
        <x:v>unreviewed</x:v>
      </x:c>
      <x:c r="D97" s="9"/>
      <x:c r="E97" s="9"/>
      <x:c r="F97" s="9"/>
      <x:c r="G97" s="9"/>
      <x:c r="H97" s="9"/>
      <x:c r="I97" s="9"/>
      <x:c r="J97" s="9"/>
      <x:c r="K97" s="9"/>
      <x:c r="L97" s="9"/>
      <x:c r="M97" s="9"/>
    </x:row>
    <x:row r="98" ht="31.5" customHeight="1">
      <x:c r="A98" s="8" t="str">
        <x:v>FD-N093</x:v>
      </x:c>
      <x:c r="B98" s="9"/>
      <x:c r="C98" s="9" t="str">
        <x:v>unreviewed</x:v>
      </x:c>
      <x:c r="D98" s="9"/>
      <x:c r="E98" s="9"/>
      <x:c r="F98" s="9"/>
      <x:c r="G98" s="9"/>
      <x:c r="H98" s="9"/>
      <x:c r="I98" s="9"/>
      <x:c r="J98" s="9"/>
      <x:c r="K98" s="9"/>
      <x:c r="L98" s="9"/>
      <x:c r="M98" s="9"/>
    </x:row>
    <x:row r="99" ht="31.5" customHeight="1">
      <x:c r="A99" s="8" t="str">
        <x:v>FD-N094</x:v>
      </x:c>
      <x:c r="B99" s="9"/>
      <x:c r="C99" s="9" t="str">
        <x:v>unreviewed</x:v>
      </x:c>
      <x:c r="D99" s="9"/>
      <x:c r="E99" s="9"/>
      <x:c r="F99" s="9"/>
      <x:c r="G99" s="9"/>
      <x:c r="H99" s="9"/>
      <x:c r="I99" s="9"/>
      <x:c r="J99" s="9"/>
      <x:c r="K99" s="9"/>
      <x:c r="L99" s="9"/>
      <x:c r="M99" s="9"/>
    </x:row>
    <x:row r="100" ht="31.5" customHeight="1">
      <x:c r="A100" s="8" t="str">
        <x:v>FD-N095</x:v>
      </x:c>
      <x:c r="B100" s="9"/>
      <x:c r="C100" s="9" t="str">
        <x:v>unreviewed</x:v>
      </x:c>
      <x:c r="D100" s="9"/>
      <x:c r="E100" s="9"/>
      <x:c r="F100" s="9"/>
      <x:c r="G100" s="9"/>
      <x:c r="H100" s="9"/>
      <x:c r="I100" s="9"/>
      <x:c r="J100" s="9"/>
      <x:c r="K100" s="9"/>
      <x:c r="L100" s="9"/>
      <x:c r="M100" s="9"/>
    </x:row>
    <x:row r="101" ht="31.5" customHeight="1">
      <x:c r="A101" s="8" t="str">
        <x:v>FD-N096</x:v>
      </x:c>
      <x:c r="B101" s="9"/>
      <x:c r="C101" s="9" t="str">
        <x:v>unreviewed</x:v>
      </x:c>
      <x:c r="D101" s="9"/>
      <x:c r="E101" s="9"/>
      <x:c r="F101" s="9"/>
      <x:c r="G101" s="9"/>
      <x:c r="H101" s="9"/>
      <x:c r="I101" s="9"/>
      <x:c r="J101" s="9"/>
      <x:c r="K101" s="9"/>
      <x:c r="L101" s="9"/>
      <x:c r="M101" s="9"/>
    </x:row>
    <x:row r="102" ht="31.5" customHeight="1">
      <x:c r="A102" s="8" t="str">
        <x:v>FD-N097</x:v>
      </x:c>
      <x:c r="B102" s="9"/>
      <x:c r="C102" s="9" t="str">
        <x:v>unreviewed</x:v>
      </x:c>
      <x:c r="D102" s="9"/>
      <x:c r="E102" s="9"/>
      <x:c r="F102" s="9"/>
      <x:c r="G102" s="9"/>
      <x:c r="H102" s="9"/>
      <x:c r="I102" s="9"/>
      <x:c r="J102" s="9"/>
      <x:c r="K102" s="9"/>
      <x:c r="L102" s="9"/>
      <x:c r="M102" s="9"/>
    </x:row>
    <x:row r="103" ht="31.5" customHeight="1">
      <x:c r="A103" s="8" t="str">
        <x:v>FD-N098</x:v>
      </x:c>
      <x:c r="B103" s="9"/>
      <x:c r="C103" s="9" t="str">
        <x:v>unreviewed</x:v>
      </x:c>
      <x:c r="D103" s="9"/>
      <x:c r="E103" s="9"/>
      <x:c r="F103" s="9"/>
      <x:c r="G103" s="9"/>
      <x:c r="H103" s="9"/>
      <x:c r="I103" s="9"/>
      <x:c r="J103" s="9"/>
      <x:c r="K103" s="9"/>
      <x:c r="L103" s="9"/>
      <x:c r="M103" s="9"/>
    </x:row>
    <x:row r="104" ht="31.5" customHeight="1">
      <x:c r="A104" s="8" t="str">
        <x:v>FD-N099</x:v>
      </x:c>
      <x:c r="B104" s="9"/>
      <x:c r="C104" s="9" t="str">
        <x:v>unreviewed</x:v>
      </x:c>
      <x:c r="D104" s="9"/>
      <x:c r="E104" s="9"/>
      <x:c r="F104" s="9"/>
      <x:c r="G104" s="9"/>
      <x:c r="H104" s="9"/>
      <x:c r="I104" s="9"/>
      <x:c r="J104" s="9"/>
      <x:c r="K104" s="9"/>
      <x:c r="L104" s="9"/>
      <x:c r="M104" s="9"/>
    </x:row>
    <x:row r="105" ht="31.5" customHeight="1">
      <x:c r="A105" s="8" t="str">
        <x:v>FD-N100</x:v>
      </x:c>
      <x:c r="B105" s="9"/>
      <x:c r="C105" s="9" t="str">
        <x:v>unreviewed</x:v>
      </x:c>
      <x:c r="D105" s="9"/>
      <x:c r="E105" s="9"/>
      <x:c r="F105" s="9"/>
      <x:c r="G105" s="9"/>
      <x:c r="H105" s="9"/>
      <x:c r="I105" s="9"/>
      <x:c r="J105" s="9"/>
      <x:c r="K105" s="9"/>
      <x:c r="L105" s="9"/>
      <x:c r="M105" s="9"/>
    </x:row>
    <x:row r="106" ht="31.5" customHeight="1">
      <x:c r="A106" s="8" t="str">
        <x:v>FD-N101</x:v>
      </x:c>
      <x:c r="B106" s="9"/>
      <x:c r="C106" s="9" t="str">
        <x:v>unreviewed</x:v>
      </x:c>
      <x:c r="D106" s="9"/>
      <x:c r="E106" s="9"/>
      <x:c r="F106" s="9"/>
      <x:c r="G106" s="9"/>
      <x:c r="H106" s="9"/>
      <x:c r="I106" s="9"/>
      <x:c r="J106" s="9"/>
      <x:c r="K106" s="9"/>
      <x:c r="L106" s="9"/>
      <x:c r="M106" s="9"/>
    </x:row>
    <x:row r="107" ht="31.5" customHeight="1">
      <x:c r="A107" s="8" t="str">
        <x:v>FD-N102</x:v>
      </x:c>
      <x:c r="B107" s="9"/>
      <x:c r="C107" s="9" t="str">
        <x:v>unreviewed</x:v>
      </x:c>
      <x:c r="D107" s="9"/>
      <x:c r="E107" s="9"/>
      <x:c r="F107" s="9"/>
      <x:c r="G107" s="9"/>
      <x:c r="H107" s="9"/>
      <x:c r="I107" s="9"/>
      <x:c r="J107" s="9"/>
      <x:c r="K107" s="9"/>
      <x:c r="L107" s="9"/>
      <x:c r="M107" s="9"/>
    </x:row>
    <x:row r="108" ht="31.5" customHeight="1">
      <x:c r="A108" s="8" t="str">
        <x:v>FD-N103</x:v>
      </x:c>
      <x:c r="B108" s="9"/>
      <x:c r="C108" s="9" t="str">
        <x:v>unreviewed</x:v>
      </x:c>
      <x:c r="D108" s="9"/>
      <x:c r="E108" s="9"/>
      <x:c r="F108" s="9"/>
      <x:c r="G108" s="9"/>
      <x:c r="H108" s="9"/>
      <x:c r="I108" s="9"/>
      <x:c r="J108" s="9"/>
      <x:c r="K108" s="9"/>
      <x:c r="L108" s="9"/>
      <x:c r="M108" s="9"/>
    </x:row>
    <x:row r="109" ht="31.5" customHeight="1">
      <x:c r="A109" s="8" t="str">
        <x:v>FD-N104</x:v>
      </x:c>
      <x:c r="B109" s="9"/>
      <x:c r="C109" s="9" t="str">
        <x:v>unreviewed</x:v>
      </x:c>
      <x:c r="D109" s="9"/>
      <x:c r="E109" s="9"/>
      <x:c r="F109" s="9"/>
      <x:c r="G109" s="9"/>
      <x:c r="H109" s="9"/>
      <x:c r="I109" s="9"/>
      <x:c r="J109" s="9"/>
      <x:c r="K109" s="9"/>
      <x:c r="L109" s="9"/>
      <x:c r="M109" s="9"/>
    </x:row>
    <x:row r="110" ht="31.5" customHeight="1">
      <x:c r="A110" s="8" t="str">
        <x:v>FD-N105</x:v>
      </x:c>
      <x:c r="B110" s="9"/>
      <x:c r="C110" s="9" t="str">
        <x:v>unreviewed</x:v>
      </x:c>
      <x:c r="D110" s="9"/>
      <x:c r="E110" s="9"/>
      <x:c r="F110" s="9"/>
      <x:c r="G110" s="9"/>
      <x:c r="H110" s="9"/>
      <x:c r="I110" s="9"/>
      <x:c r="J110" s="9"/>
      <x:c r="K110" s="9"/>
      <x:c r="L110" s="9"/>
      <x:c r="M110" s="9"/>
    </x:row>
    <x:row r="111" ht="31.5" customHeight="1">
      <x:c r="A111" s="8" t="str">
        <x:v>FD-N106</x:v>
      </x:c>
      <x:c r="B111" s="9"/>
      <x:c r="C111" s="9" t="str">
        <x:v>unreviewed</x:v>
      </x:c>
      <x:c r="D111" s="9"/>
      <x:c r="E111" s="9"/>
      <x:c r="F111" s="9"/>
      <x:c r="G111" s="9"/>
      <x:c r="H111" s="9"/>
      <x:c r="I111" s="9"/>
      <x:c r="J111" s="9"/>
      <x:c r="K111" s="9"/>
      <x:c r="L111" s="9"/>
      <x:c r="M111" s="9"/>
    </x:row>
    <x:row r="112" ht="31.5" customHeight="1">
      <x:c r="A112" s="8" t="str">
        <x:v>FD-N107</x:v>
      </x:c>
      <x:c r="B112" s="9"/>
      <x:c r="C112" s="9" t="str">
        <x:v>unreviewed</x:v>
      </x:c>
      <x:c r="D112" s="9"/>
      <x:c r="E112" s="9"/>
      <x:c r="F112" s="9"/>
      <x:c r="G112" s="9"/>
      <x:c r="H112" s="9"/>
      <x:c r="I112" s="9"/>
      <x:c r="J112" s="9"/>
      <x:c r="K112" s="9"/>
      <x:c r="L112" s="9"/>
      <x:c r="M112" s="9"/>
    </x:row>
    <x:row r="113" ht="31.5" customHeight="1">
      <x:c r="A113" s="8" t="str">
        <x:v>FD-N108</x:v>
      </x:c>
      <x:c r="B113" s="9"/>
      <x:c r="C113" s="9" t="str">
        <x:v>unreviewed</x:v>
      </x:c>
      <x:c r="D113" s="9"/>
      <x:c r="E113" s="9"/>
      <x:c r="F113" s="9"/>
      <x:c r="G113" s="9"/>
      <x:c r="H113" s="9"/>
      <x:c r="I113" s="9"/>
      <x:c r="J113" s="9"/>
      <x:c r="K113" s="9"/>
      <x:c r="L113" s="9"/>
      <x:c r="M113" s="9"/>
    </x:row>
    <x:row r="114" ht="31.5" customHeight="1">
      <x:c r="A114" s="8" t="str">
        <x:v>FD-N109</x:v>
      </x:c>
      <x:c r="B114" s="9"/>
      <x:c r="C114" s="9" t="str">
        <x:v>unreviewed</x:v>
      </x:c>
      <x:c r="D114" s="9"/>
      <x:c r="E114" s="9"/>
      <x:c r="F114" s="9"/>
      <x:c r="G114" s="9"/>
      <x:c r="H114" s="9"/>
      <x:c r="I114" s="9"/>
      <x:c r="J114" s="9"/>
      <x:c r="K114" s="9"/>
      <x:c r="L114" s="9"/>
      <x:c r="M114" s="9"/>
    </x:row>
    <x:row r="115" ht="31.5" customHeight="1">
      <x:c r="A115" s="8" t="str">
        <x:v>FD-N110</x:v>
      </x:c>
      <x:c r="B115" s="9"/>
      <x:c r="C115" s="9" t="str">
        <x:v>unreviewed</x:v>
      </x:c>
      <x:c r="D115" s="9"/>
      <x:c r="E115" s="9"/>
      <x:c r="F115" s="9"/>
      <x:c r="G115" s="9"/>
      <x:c r="H115" s="9"/>
      <x:c r="I115" s="9"/>
      <x:c r="J115" s="9"/>
      <x:c r="K115" s="9"/>
      <x:c r="L115" s="9"/>
      <x:c r="M115" s="9"/>
    </x:row>
    <x:row r="116" ht="31.5" customHeight="1">
      <x:c r="A116" s="8" t="str">
        <x:v>FD-N111</x:v>
      </x:c>
      <x:c r="B116" s="9"/>
      <x:c r="C116" s="9" t="str">
        <x:v>unreviewed</x:v>
      </x:c>
      <x:c r="D116" s="9"/>
      <x:c r="E116" s="9"/>
      <x:c r="F116" s="9"/>
      <x:c r="G116" s="9"/>
      <x:c r="H116" s="9"/>
      <x:c r="I116" s="9"/>
      <x:c r="J116" s="9"/>
      <x:c r="K116" s="9"/>
      <x:c r="L116" s="9"/>
      <x:c r="M116" s="9"/>
    </x:row>
    <x:row r="117" ht="31.5" customHeight="1">
      <x:c r="A117" s="8" t="str">
        <x:v>FD-N112</x:v>
      </x:c>
      <x:c r="B117" s="9"/>
      <x:c r="C117" s="9" t="str">
        <x:v>unreviewed</x:v>
      </x:c>
      <x:c r="D117" s="9"/>
      <x:c r="E117" s="9"/>
      <x:c r="F117" s="9"/>
      <x:c r="G117" s="9"/>
      <x:c r="H117" s="9"/>
      <x:c r="I117" s="9"/>
      <x:c r="J117" s="9"/>
      <x:c r="K117" s="9"/>
      <x:c r="L117" s="9"/>
      <x:c r="M117" s="9"/>
    </x:row>
    <x:row r="118" ht="31.5" customHeight="1">
      <x:c r="A118" s="8" t="str">
        <x:v>FD-N113</x:v>
      </x:c>
      <x:c r="B118" s="9"/>
      <x:c r="C118" s="9" t="str">
        <x:v>unreviewed</x:v>
      </x:c>
      <x:c r="D118" s="9"/>
      <x:c r="E118" s="9"/>
      <x:c r="F118" s="9"/>
      <x:c r="G118" s="9"/>
      <x:c r="H118" s="9"/>
      <x:c r="I118" s="9"/>
      <x:c r="J118" s="9"/>
      <x:c r="K118" s="9"/>
      <x:c r="L118" s="9"/>
      <x:c r="M118" s="9"/>
    </x:row>
    <x:row r="119" ht="31.5" customHeight="1">
      <x:c r="A119" s="8" t="str">
        <x:v>FD-N114</x:v>
      </x:c>
      <x:c r="B119" s="9"/>
      <x:c r="C119" s="9" t="str">
        <x:v>unreviewed</x:v>
      </x:c>
      <x:c r="D119" s="9"/>
      <x:c r="E119" s="9"/>
      <x:c r="F119" s="9"/>
      <x:c r="G119" s="9"/>
      <x:c r="H119" s="9"/>
      <x:c r="I119" s="9"/>
      <x:c r="J119" s="9"/>
      <x:c r="K119" s="9"/>
      <x:c r="L119" s="9"/>
      <x:c r="M119" s="9"/>
    </x:row>
    <x:row r="120" ht="31.5" customHeight="1">
      <x:c r="A120" s="8" t="str">
        <x:v>FD-N115</x:v>
      </x:c>
      <x:c r="B120" s="9"/>
      <x:c r="C120" s="9" t="str">
        <x:v>unreviewed</x:v>
      </x:c>
      <x:c r="D120" s="9"/>
      <x:c r="E120" s="9"/>
      <x:c r="F120" s="9"/>
      <x:c r="G120" s="9"/>
      <x:c r="H120" s="9"/>
      <x:c r="I120" s="9"/>
      <x:c r="J120" s="9"/>
      <x:c r="K120" s="9"/>
      <x:c r="L120" s="9"/>
      <x:c r="M120" s="9"/>
    </x:row>
    <x:row r="121" ht="31.5" customHeight="1">
      <x:c r="A121" s="8" t="str">
        <x:v>FD-N116</x:v>
      </x:c>
      <x:c r="B121" s="9"/>
      <x:c r="C121" s="9" t="str">
        <x:v>unreviewed</x:v>
      </x:c>
      <x:c r="D121" s="9"/>
      <x:c r="E121" s="9"/>
      <x:c r="F121" s="9"/>
      <x:c r="G121" s="9"/>
      <x:c r="H121" s="9"/>
      <x:c r="I121" s="9"/>
      <x:c r="J121" s="9"/>
      <x:c r="K121" s="9"/>
      <x:c r="L121" s="9"/>
      <x:c r="M121" s="9"/>
    </x:row>
    <x:row r="122" ht="31.5" customHeight="1">
      <x:c r="A122" s="8" t="str">
        <x:v>FD-N117</x:v>
      </x:c>
      <x:c r="B122" s="9"/>
      <x:c r="C122" s="9" t="str">
        <x:v>unreviewed</x:v>
      </x:c>
      <x:c r="D122" s="9"/>
      <x:c r="E122" s="9"/>
      <x:c r="F122" s="9"/>
      <x:c r="G122" s="9"/>
      <x:c r="H122" s="9"/>
      <x:c r="I122" s="9"/>
      <x:c r="J122" s="9"/>
      <x:c r="K122" s="9"/>
      <x:c r="L122" s="9"/>
      <x:c r="M122" s="9"/>
    </x:row>
    <x:row r="123" ht="31.5" customHeight="1">
      <x:c r="A123" s="8" t="str">
        <x:v>FD-N118</x:v>
      </x:c>
      <x:c r="B123" s="9"/>
      <x:c r="C123" s="9" t="str">
        <x:v>unreviewed</x:v>
      </x:c>
      <x:c r="D123" s="9"/>
      <x:c r="E123" s="9"/>
      <x:c r="F123" s="9"/>
      <x:c r="G123" s="9"/>
      <x:c r="H123" s="9"/>
      <x:c r="I123" s="9"/>
      <x:c r="J123" s="9"/>
      <x:c r="K123" s="9"/>
      <x:c r="L123" s="9"/>
      <x:c r="M123" s="9"/>
    </x:row>
    <x:row r="124" ht="31.5" customHeight="1">
      <x:c r="A124" s="8" t="str">
        <x:v>FD-N119</x:v>
      </x:c>
      <x:c r="B124" s="9"/>
      <x:c r="C124" s="9" t="str">
        <x:v>unreviewed</x:v>
      </x:c>
      <x:c r="D124" s="9"/>
      <x:c r="E124" s="9"/>
      <x:c r="F124" s="9"/>
      <x:c r="G124" s="9"/>
      <x:c r="H124" s="9"/>
      <x:c r="I124" s="9"/>
      <x:c r="J124" s="9"/>
      <x:c r="K124" s="9"/>
      <x:c r="L124" s="9"/>
      <x:c r="M124" s="9"/>
    </x:row>
    <x:row r="125" ht="31.5" customHeight="1">
      <x:c r="A125" s="8" t="str">
        <x:v>FD-N120</x:v>
      </x:c>
      <x:c r="B125" s="9"/>
      <x:c r="C125" s="9" t="str">
        <x:v>unreviewed</x:v>
      </x:c>
      <x:c r="D125" s="9"/>
      <x:c r="E125" s="9"/>
      <x:c r="F125" s="9"/>
      <x:c r="G125" s="9"/>
      <x:c r="H125" s="9"/>
      <x:c r="I125" s="9"/>
      <x:c r="J125" s="9"/>
      <x:c r="K125" s="9"/>
      <x:c r="L125" s="9"/>
      <x:c r="M125" s="9"/>
    </x:row>
    <x:row r="126" ht="31.5" customHeight="1">
      <x:c r="A126" s="8" t="str">
        <x:v>FD-N121</x:v>
      </x:c>
      <x:c r="B126" s="9"/>
      <x:c r="C126" s="9" t="str">
        <x:v>unreviewed</x:v>
      </x:c>
      <x:c r="D126" s="9"/>
      <x:c r="E126" s="9"/>
      <x:c r="F126" s="9"/>
      <x:c r="G126" s="9"/>
      <x:c r="H126" s="9"/>
      <x:c r="I126" s="9"/>
      <x:c r="J126" s="9"/>
      <x:c r="K126" s="9"/>
      <x:c r="L126" s="9"/>
      <x:c r="M126" s="9"/>
    </x:row>
    <x:row r="127" ht="31.5" customHeight="1">
      <x:c r="A127" s="8" t="str">
        <x:v>FD-N122</x:v>
      </x:c>
      <x:c r="B127" s="9"/>
      <x:c r="C127" s="9" t="str">
        <x:v>unreviewed</x:v>
      </x:c>
      <x:c r="D127" s="9"/>
      <x:c r="E127" s="9"/>
      <x:c r="F127" s="9"/>
      <x:c r="G127" s="9"/>
      <x:c r="H127" s="9"/>
      <x:c r="I127" s="9"/>
      <x:c r="J127" s="9"/>
      <x:c r="K127" s="9"/>
      <x:c r="L127" s="9"/>
      <x:c r="M127" s="9"/>
    </x:row>
    <x:row r="128" ht="31.5" customHeight="1">
      <x:c r="A128" s="8" t="str">
        <x:v>FD-N123</x:v>
      </x:c>
      <x:c r="B128" s="9"/>
      <x:c r="C128" s="9" t="str">
        <x:v>unreviewed</x:v>
      </x:c>
      <x:c r="D128" s="9"/>
      <x:c r="E128" s="9"/>
      <x:c r="F128" s="9"/>
      <x:c r="G128" s="9"/>
      <x:c r="H128" s="9"/>
      <x:c r="I128" s="9"/>
      <x:c r="J128" s="9"/>
      <x:c r="K128" s="9"/>
      <x:c r="L128" s="9"/>
      <x:c r="M128" s="9"/>
    </x:row>
    <x:row r="129" ht="31.5" customHeight="1">
      <x:c r="A129" s="8" t="str">
        <x:v>FD-N124</x:v>
      </x:c>
      <x:c r="B129" s="9"/>
      <x:c r="C129" s="9" t="str">
        <x:v>unreviewed</x:v>
      </x:c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</x:row>
    <x:row r="130" ht="31.5" customHeight="1">
      <x:c r="A130" s="8" t="str">
        <x:v>FD-N125</x:v>
      </x:c>
      <x:c r="B130" s="9"/>
      <x:c r="C130" s="9" t="str">
        <x:v>unreviewed</x:v>
      </x:c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</x:row>
    <x:row r="131" ht="31.5" customHeight="1">
      <x:c r="A131" s="8" t="str">
        <x:v>FD-N126</x:v>
      </x:c>
      <x:c r="B131" s="9"/>
      <x:c r="C131" s="9" t="str">
        <x:v>unreviewed</x:v>
      </x:c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</x:row>
    <x:row r="132" ht="31.5" customHeight="1">
      <x:c r="A132" s="8" t="str">
        <x:v>FD-N127</x:v>
      </x:c>
      <x:c r="B132" s="9"/>
      <x:c r="C132" s="9" t="str">
        <x:v>unreviewed</x:v>
      </x:c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</x:row>
    <x:row r="133" ht="31.5" customHeight="1">
      <x:c r="A133" s="8" t="str">
        <x:v>FD-N128</x:v>
      </x:c>
      <x:c r="B133" s="9"/>
      <x:c r="C133" s="9" t="str">
        <x:v>unreviewed</x:v>
      </x:c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</x:row>
    <x:row r="134" ht="31.5" customHeight="1">
      <x:c r="A134" s="8" t="str">
        <x:v>FD-N129</x:v>
      </x:c>
      <x:c r="B134" s="9"/>
      <x:c r="C134" s="9" t="str">
        <x:v>unreviewed</x:v>
      </x:c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</x:row>
    <x:row r="135" ht="31.5" customHeight="1">
      <x:c r="A135" s="8" t="str">
        <x:v>FD-N130</x:v>
      </x:c>
      <x:c r="B135" s="9"/>
      <x:c r="C135" s="9" t="str">
        <x:v>unreviewed</x:v>
      </x:c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</x:row>
    <x:row r="136" ht="31.5" customHeight="1">
      <x:c r="A136" s="8" t="str">
        <x:v>FD-N131</x:v>
      </x:c>
      <x:c r="B136" s="9"/>
      <x:c r="C136" s="9" t="str">
        <x:v>unreviewed</x:v>
      </x:c>
      <x:c r="D136" s="9"/>
      <x:c r="E136" s="9"/>
      <x:c r="F136" s="9"/>
      <x:c r="G136" s="9"/>
      <x:c r="H136" s="9"/>
      <x:c r="I136" s="9"/>
      <x:c r="J136" s="9"/>
      <x:c r="K136" s="9"/>
      <x:c r="L136" s="9"/>
      <x:c r="M136" s="9"/>
    </x:row>
    <x:row r="137" ht="31.5" customHeight="1">
      <x:c r="A137" s="8" t="str">
        <x:v>FD-N132</x:v>
      </x:c>
      <x:c r="B137" s="9"/>
      <x:c r="C137" s="9" t="str">
        <x:v>unreviewed</x:v>
      </x:c>
      <x:c r="D137" s="9"/>
      <x:c r="E137" s="9"/>
      <x:c r="F137" s="9"/>
      <x:c r="G137" s="9"/>
      <x:c r="H137" s="9"/>
      <x:c r="I137" s="9"/>
      <x:c r="J137" s="9"/>
      <x:c r="K137" s="9"/>
      <x:c r="L137" s="9"/>
      <x:c r="M137" s="9"/>
    </x:row>
    <x:row r="138" ht="31.5" customHeight="1">
      <x:c r="A138" s="8" t="str">
        <x:v>FD-N133</x:v>
      </x:c>
      <x:c r="B138" s="9"/>
      <x:c r="C138" s="9" t="str">
        <x:v>unreviewed</x:v>
      </x:c>
      <x:c r="D138" s="9"/>
      <x:c r="E138" s="9"/>
      <x:c r="F138" s="9"/>
      <x:c r="G138" s="9"/>
      <x:c r="H138" s="9"/>
      <x:c r="I138" s="9"/>
      <x:c r="J138" s="9"/>
      <x:c r="K138" s="9"/>
      <x:c r="L138" s="9"/>
      <x:c r="M138" s="9"/>
    </x:row>
    <x:row r="139" ht="31.5" customHeight="1">
      <x:c r="A139" s="8" t="str">
        <x:v>FD-N134</x:v>
      </x:c>
      <x:c r="B139" s="9"/>
      <x:c r="C139" s="9" t="str">
        <x:v>unreviewed</x:v>
      </x:c>
      <x:c r="D139" s="9"/>
      <x:c r="E139" s="9"/>
      <x:c r="F139" s="9"/>
      <x:c r="G139" s="9"/>
      <x:c r="H139" s="9"/>
      <x:c r="I139" s="9"/>
      <x:c r="J139" s="9"/>
      <x:c r="K139" s="9"/>
      <x:c r="L139" s="9"/>
      <x:c r="M139" s="9"/>
    </x:row>
    <x:row r="140" ht="31.5" customHeight="1">
      <x:c r="A140" s="8" t="str">
        <x:v>FD-N135</x:v>
      </x:c>
      <x:c r="B140" s="9"/>
      <x:c r="C140" s="9" t="str">
        <x:v>unreviewed</x:v>
      </x:c>
      <x:c r="D140" s="9"/>
      <x:c r="E140" s="9"/>
      <x:c r="F140" s="9"/>
      <x:c r="G140" s="9"/>
      <x:c r="H140" s="9"/>
      <x:c r="I140" s="9"/>
      <x:c r="J140" s="9"/>
      <x:c r="K140" s="9"/>
      <x:c r="L140" s="9"/>
      <x:c r="M140" s="9"/>
    </x:row>
    <x:row r="141" ht="31.5" customHeight="1">
      <x:c r="A141" s="8" t="str">
        <x:v>FD-N136</x:v>
      </x:c>
      <x:c r="B141" s="9"/>
      <x:c r="C141" s="9" t="str">
        <x:v>unreviewed</x:v>
      </x:c>
      <x:c r="D141" s="9"/>
      <x:c r="E141" s="9"/>
      <x:c r="F141" s="9"/>
      <x:c r="G141" s="9"/>
      <x:c r="H141" s="9"/>
      <x:c r="I141" s="9"/>
      <x:c r="J141" s="9"/>
      <x:c r="K141" s="9"/>
      <x:c r="L141" s="9"/>
      <x:c r="M141" s="9"/>
    </x:row>
    <x:row r="142" ht="31.5" customHeight="1">
      <x:c r="A142" s="8" t="str">
        <x:v>FD-N137</x:v>
      </x:c>
      <x:c r="B142" s="9"/>
      <x:c r="C142" s="9" t="str">
        <x:v>unreviewed</x:v>
      </x:c>
      <x:c r="D142" s="9"/>
      <x:c r="E142" s="9"/>
      <x:c r="F142" s="9"/>
      <x:c r="G142" s="9"/>
      <x:c r="H142" s="9"/>
      <x:c r="I142" s="9"/>
      <x:c r="J142" s="9"/>
      <x:c r="K142" s="9"/>
      <x:c r="L142" s="9"/>
      <x:c r="M142" s="9"/>
    </x:row>
    <x:row r="143" ht="31.5" customHeight="1">
      <x:c r="A143" s="8" t="str">
        <x:v>FD-N138</x:v>
      </x:c>
      <x:c r="B143" s="9"/>
      <x:c r="C143" s="9" t="str">
        <x:v>unreviewed</x:v>
      </x:c>
      <x:c r="D143" s="9"/>
      <x:c r="E143" s="9"/>
      <x:c r="F143" s="9"/>
      <x:c r="G143" s="9"/>
      <x:c r="H143" s="9"/>
      <x:c r="I143" s="9"/>
      <x:c r="J143" s="9"/>
      <x:c r="K143" s="9"/>
      <x:c r="L143" s="9"/>
      <x:c r="M143" s="9"/>
    </x:row>
    <x:row r="144" ht="31.5" customHeight="1">
      <x:c r="A144" s="8" t="str">
        <x:v>FD-N139</x:v>
      </x:c>
      <x:c r="B144" s="9"/>
      <x:c r="C144" s="9" t="str">
        <x:v>unreviewed</x:v>
      </x:c>
      <x:c r="D144" s="9"/>
      <x:c r="E144" s="9"/>
      <x:c r="F144" s="9"/>
      <x:c r="G144" s="9"/>
      <x:c r="H144" s="9"/>
      <x:c r="I144" s="9"/>
      <x:c r="J144" s="9"/>
      <x:c r="K144" s="9"/>
      <x:c r="L144" s="9"/>
      <x:c r="M144" s="9"/>
    </x:row>
    <x:row r="145" ht="31.5" customHeight="1">
      <x:c r="A145" s="8" t="str">
        <x:v>FD-N140</x:v>
      </x:c>
      <x:c r="B145" s="9"/>
      <x:c r="C145" s="9" t="str">
        <x:v>unreviewed</x:v>
      </x:c>
      <x:c r="D145" s="9"/>
      <x:c r="E145" s="9"/>
      <x:c r="F145" s="9"/>
      <x:c r="G145" s="9"/>
      <x:c r="H145" s="9"/>
      <x:c r="I145" s="9"/>
      <x:c r="J145" s="9"/>
      <x:c r="K145" s="9"/>
      <x:c r="L145" s="9"/>
      <x:c r="M145" s="9"/>
    </x:row>
    <x:row r="146" ht="31.5" customHeight="1">
      <x:c r="A146" s="8" t="str">
        <x:v>FD-N141</x:v>
      </x:c>
      <x:c r="B146" s="9"/>
      <x:c r="C146" s="9" t="str">
        <x:v>unreviewed</x:v>
      </x:c>
      <x:c r="D146" s="9"/>
      <x:c r="E146" s="9"/>
      <x:c r="F146" s="9"/>
      <x:c r="G146" s="9"/>
      <x:c r="H146" s="9"/>
      <x:c r="I146" s="9"/>
      <x:c r="J146" s="9"/>
      <x:c r="K146" s="9"/>
      <x:c r="L146" s="9"/>
      <x:c r="M146" s="9"/>
    </x:row>
    <x:row r="147" ht="31.5" customHeight="1">
      <x:c r="A147" s="8" t="str">
        <x:v>FD-N142</x:v>
      </x:c>
      <x:c r="B147" s="9"/>
      <x:c r="C147" s="9" t="str">
        <x:v>unreviewed</x:v>
      </x:c>
      <x:c r="D147" s="9"/>
      <x:c r="E147" s="9"/>
      <x:c r="F147" s="9"/>
      <x:c r="G147" s="9"/>
      <x:c r="H147" s="9"/>
      <x:c r="I147" s="9"/>
      <x:c r="J147" s="9"/>
      <x:c r="K147" s="9"/>
      <x:c r="L147" s="9"/>
      <x:c r="M147" s="9"/>
    </x:row>
    <x:row r="148" ht="31.5" customHeight="1">
      <x:c r="A148" s="8" t="str">
        <x:v>FD-N143</x:v>
      </x:c>
      <x:c r="B148" s="9"/>
      <x:c r="C148" s="9" t="str">
        <x:v>unreviewed</x:v>
      </x:c>
      <x:c r="D148" s="9"/>
      <x:c r="E148" s="9"/>
      <x:c r="F148" s="9"/>
      <x:c r="G148" s="9"/>
      <x:c r="H148" s="9"/>
      <x:c r="I148" s="9"/>
      <x:c r="J148" s="9"/>
      <x:c r="K148" s="9"/>
      <x:c r="L148" s="9"/>
      <x:c r="M148" s="9"/>
    </x:row>
    <x:row r="149" ht="31.5" customHeight="1">
      <x:c r="A149" s="8" t="str">
        <x:v>FD-N144</x:v>
      </x:c>
      <x:c r="B149" s="9"/>
      <x:c r="C149" s="9" t="str">
        <x:v>unreviewed</x:v>
      </x:c>
      <x:c r="D149" s="9"/>
      <x:c r="E149" s="9"/>
      <x:c r="F149" s="9"/>
      <x:c r="G149" s="9"/>
      <x:c r="H149" s="9"/>
      <x:c r="I149" s="9"/>
      <x:c r="J149" s="9"/>
      <x:c r="K149" s="9"/>
      <x:c r="L149" s="9"/>
      <x:c r="M149" s="9"/>
    </x:row>
    <x:row r="150" ht="31.5" customHeight="1">
      <x:c r="A150" s="8" t="str">
        <x:v>FD-N145</x:v>
      </x:c>
      <x:c r="B150" s="9"/>
      <x:c r="C150" s="9" t="str">
        <x:v>unreviewed</x:v>
      </x:c>
      <x:c r="D150" s="9"/>
      <x:c r="E150" s="9"/>
      <x:c r="F150" s="9"/>
      <x:c r="G150" s="9"/>
      <x:c r="H150" s="9"/>
      <x:c r="I150" s="9"/>
      <x:c r="J150" s="9"/>
      <x:c r="K150" s="9"/>
      <x:c r="L150" s="9"/>
      <x:c r="M150" s="9"/>
    </x:row>
    <x:row r="151" ht="31.5" customHeight="1">
      <x:c r="A151" s="8" t="str">
        <x:v>FD-N146</x:v>
      </x:c>
      <x:c r="B151" s="9"/>
      <x:c r="C151" s="9" t="str">
        <x:v>unreviewed</x:v>
      </x:c>
      <x:c r="D151" s="9"/>
      <x:c r="E151" s="9"/>
      <x:c r="F151" s="9"/>
      <x:c r="G151" s="9"/>
      <x:c r="H151" s="9"/>
      <x:c r="I151" s="9"/>
      <x:c r="J151" s="9"/>
      <x:c r="K151" s="9"/>
      <x:c r="L151" s="9"/>
      <x:c r="M151" s="9"/>
    </x:row>
    <x:row r="152" ht="31.5" customHeight="1">
      <x:c r="A152" s="8" t="str">
        <x:v>FD-N147</x:v>
      </x:c>
      <x:c r="B152" s="9"/>
      <x:c r="C152" s="9" t="str">
        <x:v>unreviewed</x:v>
      </x:c>
      <x:c r="D152" s="9"/>
      <x:c r="E152" s="9"/>
      <x:c r="F152" s="9"/>
      <x:c r="G152" s="9"/>
      <x:c r="H152" s="9"/>
      <x:c r="I152" s="9"/>
      <x:c r="J152" s="9"/>
      <x:c r="K152" s="9"/>
      <x:c r="L152" s="9"/>
      <x:c r="M152" s="9"/>
    </x:row>
    <x:row r="153" ht="31.5" customHeight="1">
      <x:c r="A153" s="8" t="str">
        <x:v>FD-N148</x:v>
      </x:c>
      <x:c r="B153" s="9"/>
      <x:c r="C153" s="9" t="str">
        <x:v>unreviewed</x:v>
      </x:c>
      <x:c r="D153" s="9"/>
      <x:c r="E153" s="9"/>
      <x:c r="F153" s="9"/>
      <x:c r="G153" s="9"/>
      <x:c r="H153" s="9"/>
      <x:c r="I153" s="9"/>
      <x:c r="J153" s="9"/>
      <x:c r="K153" s="9"/>
      <x:c r="L153" s="9"/>
      <x:c r="M153" s="9"/>
    </x:row>
    <x:row r="154" ht="31.5" customHeight="1">
      <x:c r="A154" s="8" t="str">
        <x:v>FD-N149</x:v>
      </x:c>
      <x:c r="B154" s="9"/>
      <x:c r="C154" s="9" t="str">
        <x:v>unreviewed</x:v>
      </x:c>
      <x:c r="D154" s="9"/>
      <x:c r="E154" s="9"/>
      <x:c r="F154" s="9"/>
      <x:c r="G154" s="9"/>
      <x:c r="H154" s="9"/>
      <x:c r="I154" s="9"/>
      <x:c r="J154" s="9"/>
      <x:c r="K154" s="9"/>
      <x:c r="L154" s="9"/>
      <x:c r="M154" s="9"/>
    </x:row>
    <x:row r="155" ht="31.5" customHeight="1">
      <x:c r="A155" s="8" t="str">
        <x:v>FD-N150</x:v>
      </x:c>
      <x:c r="B155" s="9"/>
      <x:c r="C155" s="9" t="str">
        <x:v>unreviewed</x:v>
      </x:c>
      <x:c r="D155" s="9"/>
      <x:c r="E155" s="9"/>
      <x:c r="F155" s="9"/>
      <x:c r="G155" s="9"/>
      <x:c r="H155" s="9"/>
      <x:c r="I155" s="9"/>
      <x:c r="J155" s="9"/>
      <x:c r="K155" s="9"/>
      <x:c r="L155" s="9"/>
      <x:c r="M155" s="9"/>
    </x:row>
    <x:row r="156" ht="31.5" customHeight="1">
      <x:c r="A156" s="8" t="str">
        <x:v>FD-N151</x:v>
      </x:c>
      <x:c r="B156" s="9"/>
      <x:c r="C156" s="9" t="str">
        <x:v>unreviewed</x:v>
      </x:c>
      <x:c r="D156" s="9"/>
      <x:c r="E156" s="9"/>
      <x:c r="F156" s="9"/>
      <x:c r="G156" s="9"/>
      <x:c r="H156" s="9"/>
      <x:c r="I156" s="9"/>
      <x:c r="J156" s="9"/>
      <x:c r="K156" s="9"/>
      <x:c r="L156" s="9"/>
      <x:c r="M156" s="9"/>
    </x:row>
    <x:row r="157" ht="31.5" customHeight="1">
      <x:c r="A157" s="8" t="str">
        <x:v>FD-N152</x:v>
      </x:c>
      <x:c r="B157" s="9"/>
      <x:c r="C157" s="9" t="str">
        <x:v>unreviewed</x:v>
      </x:c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</x:row>
    <x:row r="158" ht="31.5" customHeight="1">
      <x:c r="A158" s="8" t="str">
        <x:v>FD-N153</x:v>
      </x:c>
      <x:c r="B158" s="9"/>
      <x:c r="C158" s="9" t="str">
        <x:v>unreviewed</x:v>
      </x:c>
      <x:c r="D158" s="9"/>
      <x:c r="E158" s="9"/>
      <x:c r="F158" s="9"/>
      <x:c r="G158" s="9"/>
      <x:c r="H158" s="9"/>
      <x:c r="I158" s="9"/>
      <x:c r="J158" s="9"/>
      <x:c r="K158" s="9"/>
      <x:c r="L158" s="9"/>
      <x:c r="M158" s="9"/>
    </x:row>
    <x:row r="159" ht="31.5" customHeight="1">
      <x:c r="A159" s="8" t="str">
        <x:v>FD-N154</x:v>
      </x:c>
      <x:c r="B159" s="9"/>
      <x:c r="C159" s="9" t="str">
        <x:v>unreviewed</x:v>
      </x:c>
      <x:c r="D159" s="9"/>
      <x:c r="E159" s="9"/>
      <x:c r="F159" s="9"/>
      <x:c r="G159" s="9"/>
      <x:c r="H159" s="9"/>
      <x:c r="I159" s="9"/>
      <x:c r="J159" s="9"/>
      <x:c r="K159" s="9"/>
      <x:c r="L159" s="9"/>
      <x:c r="M159" s="9"/>
    </x:row>
    <x:row r="160" ht="31.5" customHeight="1">
      <x:c r="A160" s="8" t="str">
        <x:v>FD-N155</x:v>
      </x:c>
      <x:c r="B160" s="9"/>
      <x:c r="C160" s="9" t="str">
        <x:v>unreviewed</x:v>
      </x:c>
      <x:c r="D160" s="9"/>
      <x:c r="E160" s="9"/>
      <x:c r="F160" s="9"/>
      <x:c r="G160" s="9"/>
      <x:c r="H160" s="9"/>
      <x:c r="I160" s="9"/>
      <x:c r="J160" s="9"/>
      <x:c r="K160" s="9"/>
      <x:c r="L160" s="9"/>
      <x:c r="M160" s="9"/>
    </x:row>
    <x:row r="161" ht="31.5" customHeight="1">
      <x:c r="A161" s="8" t="str">
        <x:v>FD-N156</x:v>
      </x:c>
      <x:c r="B161" s="9"/>
      <x:c r="C161" s="9" t="str">
        <x:v>unreviewed</x:v>
      </x:c>
      <x:c r="D161" s="9"/>
      <x:c r="E161" s="9"/>
      <x:c r="F161" s="9"/>
      <x:c r="G161" s="9"/>
      <x:c r="H161" s="9"/>
      <x:c r="I161" s="9"/>
      <x:c r="J161" s="9"/>
      <x:c r="K161" s="9"/>
      <x:c r="L161" s="9"/>
      <x:c r="M161" s="9"/>
    </x:row>
    <x:row r="162" ht="31.5" customHeight="1">
      <x:c r="A162" s="8" t="str">
        <x:v>FD-N157</x:v>
      </x:c>
      <x:c r="B162" s="9"/>
      <x:c r="C162" s="9" t="str">
        <x:v>unreviewed</x:v>
      </x:c>
      <x:c r="D162" s="9"/>
      <x:c r="E162" s="9"/>
      <x:c r="F162" s="9"/>
      <x:c r="G162" s="9"/>
      <x:c r="H162" s="9"/>
      <x:c r="I162" s="9"/>
      <x:c r="J162" s="9"/>
      <x:c r="K162" s="9"/>
      <x:c r="L162" s="9"/>
      <x:c r="M162" s="9"/>
    </x:row>
    <x:row r="163" ht="31.5" customHeight="1">
      <x:c r="A163" s="8" t="str">
        <x:v>FD-N158</x:v>
      </x:c>
      <x:c r="B163" s="9"/>
      <x:c r="C163" s="9" t="str">
        <x:v>unreviewed</x:v>
      </x:c>
      <x:c r="D163" s="9"/>
      <x:c r="E163" s="9"/>
      <x:c r="F163" s="9"/>
      <x:c r="G163" s="9"/>
      <x:c r="H163" s="9"/>
      <x:c r="I163" s="9"/>
      <x:c r="J163" s="9"/>
      <x:c r="K163" s="9"/>
      <x:c r="L163" s="9"/>
      <x:c r="M163" s="9"/>
    </x:row>
    <x:row r="164" ht="31.5" customHeight="1">
      <x:c r="A164" s="8" t="str">
        <x:v>FD-N159</x:v>
      </x:c>
      <x:c r="B164" s="9"/>
      <x:c r="C164" s="9" t="str">
        <x:v>unreviewed</x:v>
      </x:c>
      <x:c r="D164" s="9"/>
      <x:c r="E164" s="9"/>
      <x:c r="F164" s="9"/>
      <x:c r="G164" s="9"/>
      <x:c r="H164" s="9"/>
      <x:c r="I164" s="9"/>
      <x:c r="J164" s="9"/>
      <x:c r="K164" s="9"/>
      <x:c r="L164" s="9"/>
      <x:c r="M164" s="9"/>
    </x:row>
    <x:row r="165" ht="31.5" customHeight="1">
      <x:c r="A165" s="8" t="str">
        <x:v>FD-N160</x:v>
      </x:c>
      <x:c r="B165" s="9"/>
      <x:c r="C165" s="9" t="str">
        <x:v>unreviewed</x:v>
      </x:c>
      <x:c r="D165" s="9"/>
      <x:c r="E165" s="9"/>
      <x:c r="F165" s="9"/>
      <x:c r="G165" s="9"/>
      <x:c r="H165" s="9"/>
      <x:c r="I165" s="9"/>
      <x:c r="J165" s="9"/>
      <x:c r="K165" s="9"/>
      <x:c r="L165" s="9"/>
      <x:c r="M165" s="9"/>
    </x:row>
    <x:row r="166" ht="31.5" customHeight="1">
      <x:c r="A166" s="8" t="str">
        <x:v>FD-N161</x:v>
      </x:c>
      <x:c r="B166" s="9"/>
      <x:c r="C166" s="9" t="str">
        <x:v>unreviewed</x:v>
      </x:c>
      <x:c r="D166" s="9"/>
      <x:c r="E166" s="9"/>
      <x:c r="F166" s="9"/>
      <x:c r="G166" s="9"/>
      <x:c r="H166" s="9"/>
      <x:c r="I166" s="9"/>
      <x:c r="J166" s="9"/>
      <x:c r="K166" s="9"/>
      <x:c r="L166" s="9"/>
      <x:c r="M166" s="9"/>
    </x:row>
    <x:row r="167" ht="31.5" customHeight="1">
      <x:c r="A167" s="8" t="str">
        <x:v>FD-N162</x:v>
      </x:c>
      <x:c r="B167" s="9"/>
      <x:c r="C167" s="9" t="str">
        <x:v>unreviewed</x:v>
      </x:c>
      <x:c r="D167" s="9"/>
      <x:c r="E167" s="9"/>
      <x:c r="F167" s="9"/>
      <x:c r="G167" s="9"/>
      <x:c r="H167" s="9"/>
      <x:c r="I167" s="9"/>
      <x:c r="J167" s="9"/>
      <x:c r="K167" s="9"/>
      <x:c r="L167" s="9"/>
      <x:c r="M167" s="9"/>
    </x:row>
    <x:row r="168" ht="31.5" customHeight="1">
      <x:c r="A168" s="8" t="str">
        <x:v>FD-N163</x:v>
      </x:c>
      <x:c r="B168" s="9"/>
      <x:c r="C168" s="9" t="str">
        <x:v>unreviewed</x:v>
      </x:c>
      <x:c r="D168" s="9"/>
      <x:c r="E168" s="9"/>
      <x:c r="F168" s="9"/>
      <x:c r="G168" s="9"/>
      <x:c r="H168" s="9"/>
      <x:c r="I168" s="9"/>
      <x:c r="J168" s="9"/>
      <x:c r="K168" s="9"/>
      <x:c r="L168" s="9"/>
      <x:c r="M168" s="9"/>
    </x:row>
    <x:row r="169" ht="31.5" customHeight="1">
      <x:c r="A169" s="8" t="str">
        <x:v>FD-N164</x:v>
      </x:c>
      <x:c r="B169" s="9"/>
      <x:c r="C169" s="9" t="str">
        <x:v>unreviewed</x:v>
      </x:c>
      <x:c r="D169" s="9"/>
      <x:c r="E169" s="9"/>
      <x:c r="F169" s="9"/>
      <x:c r="G169" s="9"/>
      <x:c r="H169" s="9"/>
      <x:c r="I169" s="9"/>
      <x:c r="J169" s="9"/>
      <x:c r="K169" s="9"/>
      <x:c r="L169" s="9"/>
      <x:c r="M169" s="9"/>
    </x:row>
    <x:row r="170" ht="31.5" customHeight="1">
      <x:c r="A170" s="8" t="str">
        <x:v>FD-N165</x:v>
      </x:c>
      <x:c r="B170" s="9"/>
      <x:c r="C170" s="9" t="str">
        <x:v>unreviewed</x:v>
      </x:c>
      <x:c r="D170" s="9"/>
      <x:c r="E170" s="9"/>
      <x:c r="F170" s="9"/>
      <x:c r="G170" s="9"/>
      <x:c r="H170" s="9"/>
      <x:c r="I170" s="9"/>
      <x:c r="J170" s="9"/>
      <x:c r="K170" s="9"/>
      <x:c r="L170" s="9"/>
      <x:c r="M170" s="9"/>
    </x:row>
    <x:row r="171" ht="31.5" customHeight="1">
      <x:c r="A171" s="8" t="str">
        <x:v>FD-N171</x:v>
      </x:c>
      <x:c r="B171" s="9"/>
      <x:c r="C171" s="9" t="str">
        <x:v>unreviewed</x:v>
      </x:c>
      <x:c r="D171" s="9"/>
      <x:c r="E171" s="9"/>
      <x:c r="F171" s="9"/>
      <x:c r="G171" s="9"/>
      <x:c r="H171" s="9"/>
      <x:c r="I171" s="9"/>
      <x:c r="J171" s="9"/>
      <x:c r="K171" s="9"/>
      <x:c r="L171" s="9"/>
      <x:c r="M171" s="9"/>
    </x:row>
    <x:row r="172" ht="31.5" customHeight="1">
      <x:c r="A172" s="8" t="str">
        <x:v>FD-N172</x:v>
      </x:c>
      <x:c r="B172" s="9"/>
      <x:c r="C172" s="9" t="str">
        <x:v>unreviewed</x:v>
      </x:c>
      <x:c r="D172" s="9"/>
      <x:c r="E172" s="9"/>
      <x:c r="F172" s="9"/>
      <x:c r="G172" s="9"/>
      <x:c r="H172" s="9"/>
      <x:c r="I172" s="9"/>
      <x:c r="J172" s="9"/>
      <x:c r="K172" s="9"/>
      <x:c r="L172" s="9"/>
      <x:c r="M172" s="9"/>
    </x:row>
    <x:row r="173" ht="31.5" customHeight="1">
      <x:c r="A173" s="8" t="str">
        <x:v>FD-N173</x:v>
      </x:c>
      <x:c r="B173" s="9"/>
      <x:c r="C173" s="9" t="str">
        <x:v>unreviewed</x:v>
      </x:c>
      <x:c r="D173" s="9"/>
      <x:c r="E173" s="9"/>
      <x:c r="F173" s="9"/>
      <x:c r="G173" s="9"/>
      <x:c r="H173" s="9"/>
      <x:c r="I173" s="9"/>
      <x:c r="J173" s="9"/>
      <x:c r="K173" s="9"/>
      <x:c r="L173" s="9"/>
      <x:c r="M173" s="9"/>
    </x:row>
    <x:row r="174" ht="31.5" customHeight="1">
      <x:c r="A174" s="8" t="str">
        <x:v>FD-N174</x:v>
      </x:c>
      <x:c r="B174" s="9"/>
      <x:c r="C174" s="9" t="str">
        <x:v>unreviewed</x:v>
      </x:c>
      <x:c r="D174" s="9"/>
      <x:c r="E174" s="9"/>
      <x:c r="F174" s="9"/>
      <x:c r="G174" s="9"/>
      <x:c r="H174" s="9"/>
      <x:c r="I174" s="9"/>
      <x:c r="J174" s="9"/>
      <x:c r="K174" s="9"/>
      <x:c r="L174" s="9"/>
      <x:c r="M174" s="9"/>
    </x:row>
    <x:row r="175" ht="31.5" customHeight="1">
      <x:c r="A175" s="8" t="str">
        <x:v>FD-N175</x:v>
      </x:c>
      <x:c r="B175" s="9"/>
      <x:c r="C175" s="9" t="str">
        <x:v>unreviewed</x:v>
      </x:c>
      <x:c r="D175" s="9"/>
      <x:c r="E175" s="9"/>
      <x:c r="F175" s="9"/>
      <x:c r="G175" s="9"/>
      <x:c r="H175" s="9"/>
      <x:c r="I175" s="9"/>
      <x:c r="J175" s="9"/>
      <x:c r="K175" s="9"/>
      <x:c r="L175" s="9"/>
      <x:c r="M175" s="9"/>
    </x:row>
    <x:row r="176" ht="31.5" customHeight="1">
      <x:c r="A176" s="8" t="str">
        <x:v>FD-N176</x:v>
      </x:c>
      <x:c r="B176" s="9"/>
      <x:c r="C176" s="9" t="str">
        <x:v>unreviewed</x:v>
      </x:c>
      <x:c r="D176" s="9"/>
      <x:c r="E176" s="9"/>
      <x:c r="F176" s="9"/>
      <x:c r="G176" s="9"/>
      <x:c r="H176" s="9"/>
      <x:c r="I176" s="9"/>
      <x:c r="J176" s="9"/>
      <x:c r="K176" s="9"/>
      <x:c r="L176" s="9"/>
      <x:c r="M176" s="9"/>
    </x:row>
    <x:row r="177" ht="31.5" customHeight="1">
      <x:c r="A177" s="8" t="str">
        <x:v>FD-N177</x:v>
      </x:c>
      <x:c r="B177" s="9"/>
      <x:c r="C177" s="9" t="str">
        <x:v>unreviewed</x:v>
      </x:c>
      <x:c r="D177" s="9"/>
      <x:c r="E177" s="9"/>
      <x:c r="F177" s="9"/>
      <x:c r="G177" s="9"/>
      <x:c r="H177" s="9"/>
      <x:c r="I177" s="9"/>
      <x:c r="J177" s="9"/>
      <x:c r="K177" s="9"/>
      <x:c r="L177" s="9"/>
      <x:c r="M177" s="9"/>
    </x:row>
    <x:row r="178" ht="31.5" customHeight="1">
      <x:c r="A178" s="8" t="str">
        <x:v>FD-N178</x:v>
      </x:c>
      <x:c r="B178" s="9"/>
      <x:c r="C178" s="9" t="str">
        <x:v>unreviewed</x:v>
      </x:c>
      <x:c r="D178" s="9"/>
      <x:c r="E178" s="9"/>
      <x:c r="F178" s="9"/>
      <x:c r="G178" s="9"/>
      <x:c r="H178" s="9"/>
      <x:c r="I178" s="9"/>
      <x:c r="J178" s="9"/>
      <x:c r="K178" s="9"/>
      <x:c r="L178" s="9"/>
      <x:c r="M178" s="9"/>
    </x:row>
    <x:row r="179" ht="31.5" customHeight="1">
      <x:c r="A179" s="8" t="str">
        <x:v>FD-N179</x:v>
      </x:c>
      <x:c r="B179" s="9"/>
      <x:c r="C179" s="9" t="str">
        <x:v>unreviewed</x:v>
      </x:c>
      <x:c r="D179" s="9"/>
      <x:c r="E179" s="9"/>
      <x:c r="F179" s="9"/>
      <x:c r="G179" s="9"/>
      <x:c r="H179" s="9"/>
      <x:c r="I179" s="9"/>
      <x:c r="J179" s="9"/>
      <x:c r="K179" s="9"/>
      <x:c r="L179" s="9"/>
      <x:c r="M179" s="9"/>
    </x:row>
    <x:row r="180" ht="31.5" customHeight="1">
      <x:c r="A180" s="8" t="str">
        <x:v>FD-N180</x:v>
      </x:c>
      <x:c r="B180" s="9"/>
      <x:c r="C180" s="9" t="str">
        <x:v>unreviewed</x:v>
      </x:c>
      <x:c r="D180" s="9"/>
      <x:c r="E180" s="9"/>
      <x:c r="F180" s="9"/>
      <x:c r="G180" s="9"/>
      <x:c r="H180" s="9"/>
      <x:c r="I180" s="9"/>
      <x:c r="J180" s="9"/>
      <x:c r="K180" s="9"/>
      <x:c r="L180" s="9"/>
      <x:c r="M180" s="9"/>
    </x:row>
    <x:row r="181" ht="31.5" customHeight="1">
      <x:c r="A181" s="8" t="str">
        <x:v>FD-N181</x:v>
      </x:c>
      <x:c r="B181" s="9"/>
      <x:c r="C181" s="9" t="str">
        <x:v>unreviewed</x:v>
      </x:c>
      <x:c r="D181" s="9"/>
      <x:c r="E181" s="9"/>
      <x:c r="F181" s="9"/>
      <x:c r="G181" s="9"/>
      <x:c r="H181" s="9"/>
      <x:c r="I181" s="9"/>
      <x:c r="J181" s="9"/>
      <x:c r="K181" s="9"/>
      <x:c r="L181" s="9"/>
      <x:c r="M181" s="9"/>
    </x:row>
    <x:row r="182" ht="31.5" customHeight="1">
      <x:c r="A182" s="8" t="str">
        <x:v>FD-N182</x:v>
      </x:c>
      <x:c r="B182" s="9"/>
      <x:c r="C182" s="9" t="str">
        <x:v>unreviewed</x:v>
      </x:c>
      <x:c r="D182" s="9"/>
      <x:c r="E182" s="9"/>
      <x:c r="F182" s="9"/>
      <x:c r="G182" s="9"/>
      <x:c r="H182" s="9"/>
      <x:c r="I182" s="9"/>
      <x:c r="J182" s="9"/>
      <x:c r="K182" s="9"/>
      <x:c r="L182" s="9"/>
      <x:c r="M182" s="9"/>
    </x:row>
    <x:row r="183" ht="31.5" customHeight="1">
      <x:c r="A183" s="8" t="str">
        <x:v>FD-N183</x:v>
      </x:c>
      <x:c r="B183" s="9"/>
      <x:c r="C183" s="9" t="str">
        <x:v>unreviewed</x:v>
      </x:c>
      <x:c r="D183" s="9"/>
      <x:c r="E183" s="9"/>
      <x:c r="F183" s="9"/>
      <x:c r="G183" s="9"/>
      <x:c r="H183" s="9"/>
      <x:c r="I183" s="9"/>
      <x:c r="J183" s="9"/>
      <x:c r="K183" s="9"/>
      <x:c r="L183" s="9"/>
      <x:c r="M183" s="9"/>
    </x:row>
    <x:row r="184" ht="31.5" customHeight="1">
      <x:c r="A184" s="8" t="str">
        <x:v>FD-N184</x:v>
      </x:c>
      <x:c r="B184" s="9"/>
      <x:c r="C184" s="9" t="str">
        <x:v>unreviewed</x:v>
      </x:c>
      <x:c r="D184" s="9"/>
      <x:c r="E184" s="9"/>
      <x:c r="F184" s="9"/>
      <x:c r="G184" s="9"/>
      <x:c r="H184" s="9"/>
      <x:c r="I184" s="9"/>
      <x:c r="J184" s="9"/>
      <x:c r="K184" s="9"/>
      <x:c r="L184" s="9"/>
      <x:c r="M184" s="9"/>
    </x:row>
    <x:row r="185" ht="31.5" customHeight="1">
      <x:c r="A185" s="8" t="str">
        <x:v>FD-N185</x:v>
      </x:c>
      <x:c r="B185" s="9"/>
      <x:c r="C185" s="9" t="str">
        <x:v>unreviewed</x:v>
      </x:c>
      <x:c r="D185" s="9"/>
      <x:c r="E185" s="9"/>
      <x:c r="F185" s="9"/>
      <x:c r="G185" s="9"/>
      <x:c r="H185" s="9"/>
      <x:c r="I185" s="9"/>
      <x:c r="J185" s="9"/>
      <x:c r="K185" s="9"/>
      <x:c r="L185" s="9"/>
      <x:c r="M185" s="9"/>
    </x:row>
    <x:row r="186" ht="31.5" customHeight="1">
      <x:c r="A186" s="8" t="str">
        <x:v>FD-N186</x:v>
      </x:c>
      <x:c r="B186" s="9"/>
      <x:c r="C186" s="9" t="str">
        <x:v>unreviewed</x:v>
      </x:c>
      <x:c r="D186" s="9"/>
      <x:c r="E186" s="9"/>
      <x:c r="F186" s="9"/>
      <x:c r="G186" s="9"/>
      <x:c r="H186" s="9"/>
      <x:c r="I186" s="9"/>
      <x:c r="J186" s="9"/>
      <x:c r="K186" s="9"/>
      <x:c r="L186" s="9"/>
      <x:c r="M186" s="9"/>
    </x:row>
    <x:row r="187" ht="31.5" customHeight="1">
      <x:c r="A187" s="8" t="str">
        <x:v>FD-N187</x:v>
      </x:c>
      <x:c r="B187" s="9"/>
      <x:c r="C187" s="9" t="str">
        <x:v>unreviewed</x:v>
      </x:c>
      <x:c r="D187" s="9"/>
      <x:c r="E187" s="9"/>
      <x:c r="F187" s="9"/>
      <x:c r="G187" s="9"/>
      <x:c r="H187" s="9"/>
      <x:c r="I187" s="9"/>
      <x:c r="J187" s="9"/>
      <x:c r="K187" s="9"/>
      <x:c r="L187" s="9"/>
      <x:c r="M187" s="9"/>
    </x:row>
    <x:row r="188" ht="31.5" customHeight="1">
      <x:c r="A188" s="8" t="str">
        <x:v>FD-N188</x:v>
      </x:c>
      <x:c r="B188" s="9"/>
      <x:c r="C188" s="9" t="str">
        <x:v>unreviewed</x:v>
      </x:c>
      <x:c r="D188" s="9"/>
      <x:c r="E188" s="9"/>
      <x:c r="F188" s="9"/>
      <x:c r="G188" s="9"/>
      <x:c r="H188" s="9"/>
      <x:c r="I188" s="9"/>
      <x:c r="J188" s="9"/>
      <x:c r="K188" s="9"/>
      <x:c r="L188" s="9"/>
      <x:c r="M188" s="9"/>
    </x:row>
    <x:row r="189" ht="31.5" customHeight="1">
      <x:c r="A189" s="8" t="str">
        <x:v>FD-N189</x:v>
      </x:c>
      <x:c r="B189" s="9"/>
      <x:c r="C189" s="9" t="str">
        <x:v>unreviewed</x:v>
      </x:c>
      <x:c r="D189" s="9"/>
      <x:c r="E189" s="9"/>
      <x:c r="F189" s="9"/>
      <x:c r="G189" s="9"/>
      <x:c r="H189" s="9"/>
      <x:c r="I189" s="9"/>
      <x:c r="J189" s="9"/>
      <x:c r="K189" s="9"/>
      <x:c r="L189" s="9"/>
      <x:c r="M189" s="9"/>
    </x:row>
    <x:row r="190" ht="31.5" customHeight="1">
      <x:c r="A190" s="8" t="str">
        <x:v>FD-N190</x:v>
      </x:c>
      <x:c r="B190" s="9"/>
      <x:c r="C190" s="9" t="str">
        <x:v>unreviewed</x:v>
      </x:c>
      <x:c r="D190" s="9"/>
      <x:c r="E190" s="9"/>
      <x:c r="F190" s="9"/>
      <x:c r="G190" s="9"/>
      <x:c r="H190" s="9"/>
      <x:c r="I190" s="9"/>
      <x:c r="J190" s="9"/>
      <x:c r="K190" s="9"/>
      <x:c r="L190" s="9"/>
      <x:c r="M190" s="9"/>
    </x:row>
    <x:row r="191" ht="31.5" customHeight="1">
      <x:c r="A191" s="8" t="str">
        <x:v>FD-N191</x:v>
      </x:c>
      <x:c r="B191" s="9"/>
      <x:c r="C191" s="9" t="str">
        <x:v>unreviewed</x:v>
      </x:c>
      <x:c r="D191" s="9"/>
      <x:c r="E191" s="9"/>
      <x:c r="F191" s="9"/>
      <x:c r="G191" s="9"/>
      <x:c r="H191" s="9"/>
      <x:c r="I191" s="9"/>
      <x:c r="J191" s="9"/>
      <x:c r="K191" s="9"/>
      <x:c r="L191" s="9"/>
      <x:c r="M191" s="9"/>
    </x:row>
    <x:row r="192" ht="31.5" customHeight="1">
      <x:c r="A192" s="8" t="str">
        <x:v>FD-N192</x:v>
      </x:c>
      <x:c r="B192" s="9"/>
      <x:c r="C192" s="9" t="str">
        <x:v>unreviewed</x:v>
      </x:c>
      <x:c r="D192" s="9"/>
      <x:c r="E192" s="9"/>
      <x:c r="F192" s="9"/>
      <x:c r="G192" s="9"/>
      <x:c r="H192" s="9"/>
      <x:c r="I192" s="9"/>
      <x:c r="J192" s="9"/>
      <x:c r="K192" s="9"/>
      <x:c r="L192" s="9"/>
      <x:c r="M192" s="9"/>
    </x:row>
    <x:row r="193" ht="31.5" customHeight="1">
      <x:c r="A193" s="8" t="str">
        <x:v>FD-N193</x:v>
      </x:c>
      <x:c r="B193" s="9"/>
      <x:c r="C193" s="9" t="str">
        <x:v>unreviewed</x:v>
      </x:c>
      <x:c r="D193" s="9"/>
      <x:c r="E193" s="9"/>
      <x:c r="F193" s="9"/>
      <x:c r="G193" s="9"/>
      <x:c r="H193" s="9"/>
      <x:c r="I193" s="9"/>
      <x:c r="J193" s="9"/>
      <x:c r="K193" s="9"/>
      <x:c r="L193" s="9"/>
      <x:c r="M193" s="9"/>
    </x:row>
    <x:row r="194" ht="31.5" customHeight="1">
      <x:c r="A194" s="8" t="str">
        <x:v>FD-N194</x:v>
      </x:c>
      <x:c r="B194" s="9"/>
      <x:c r="C194" s="9" t="str">
        <x:v>unreviewed</x:v>
      </x:c>
      <x:c r="D194" s="9"/>
      <x:c r="E194" s="9"/>
      <x:c r="F194" s="9"/>
      <x:c r="G194" s="9"/>
      <x:c r="H194" s="9"/>
      <x:c r="I194" s="9"/>
      <x:c r="J194" s="9"/>
      <x:c r="K194" s="9"/>
      <x:c r="L194" s="9"/>
      <x:c r="M194" s="9"/>
    </x:row>
    <x:row r="195" ht="31.5" customHeight="1">
      <x:c r="A195" s="8" t="str">
        <x:v>FD-N195</x:v>
      </x:c>
      <x:c r="B195" s="9"/>
      <x:c r="C195" s="9" t="str">
        <x:v>unreviewed</x:v>
      </x:c>
      <x:c r="D195" s="9"/>
      <x:c r="E195" s="9"/>
      <x:c r="F195" s="9"/>
      <x:c r="G195" s="9"/>
      <x:c r="H195" s="9"/>
      <x:c r="I195" s="9"/>
      <x:c r="J195" s="9"/>
      <x:c r="K195" s="9"/>
      <x:c r="L195" s="9"/>
      <x:c r="M195" s="9"/>
    </x:row>
    <x:row r="196" ht="31.5" customHeight="1">
      <x:c r="A196" s="8" t="str">
        <x:v>FD-N196</x:v>
      </x:c>
      <x:c r="B196" s="9"/>
      <x:c r="C196" s="9" t="str">
        <x:v>unreviewed</x:v>
      </x:c>
      <x:c r="D196" s="9"/>
      <x:c r="E196" s="9"/>
      <x:c r="F196" s="9"/>
      <x:c r="G196" s="9"/>
      <x:c r="H196" s="9"/>
      <x:c r="I196" s="9"/>
      <x:c r="J196" s="9"/>
      <x:c r="K196" s="9"/>
      <x:c r="L196" s="9"/>
      <x:c r="M196" s="9"/>
    </x:row>
  </x:sheetData>
  <x:pageMargins left="0.7" right="0.7" top="0.75" bottom="0.75" header="0.3" footer="0.3"/>
  <x:tableParts count="1">
    <x:tablePart xmlns:r="http://schemas.openxmlformats.org/officeDocument/2006/relationships" r:id="R127e9d26909c484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2.220000267028809" hidden="0" customWidth="1"/>
    <x:col min="3" max="3" width="26.670000076293945" hidden="0" customWidth="1"/>
    <x:col min="4" max="4" width="24.440000534057617" hidden="0" customWidth="1"/>
    <x:col min="5" max="5" width="66.66999816894531" hidden="0" customWidth="1"/>
    <x:col min="6" max="6" width="14.4399995803833" hidden="0" customWidth="1"/>
    <x:col min="7" max="7" width="2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144 новых поисковых шаблона</x:v>
      </x:c>
      <x:c r="B2" s="2"/>
      <x:c r="C2" s="2"/>
      <x:c r="D2" s="2"/>
      <x:c r="E2" s="2"/>
      <x:c r="F2" s="2"/>
      <x:c r="G2" s="2"/>
    </x:row>
    <x:row r="3" ht="22.5" customHeight="1">
      <x:c r="A3" s="4" t="str">
        <x:v>Шаблоны еще не запускались. Проверять дату оригинала; фильтр поисковика не доказывает свежесть.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3.75" customHeight="1">
      <x:c r="A5" s="7" t="str">
        <x:v>Запрос ID</x:v>
      </x:c>
      <x:c r="B5" s="7" t="str">
        <x:v>Страна</x:v>
      </x:c>
      <x:c r="C5" s="7" t="str">
        <x:v>Роль</x:v>
      </x:c>
      <x:c r="D5" s="7" t="str">
        <x:v>Тип сигнала</x:v>
      </x:c>
      <x:c r="E5" s="7" t="str">
        <x:v>Запрос</x:v>
      </x:c>
      <x:c r="F5" s="7" t="str">
        <x:v>Окно, дней</x:v>
      </x:c>
      <x:c r="G5" s="7" t="str">
        <x:v>Статус</x:v>
      </x:c>
    </x:row>
    <x:row r="6" ht="31.5" customHeight="1">
      <x:c r="A6" s="8" t="str">
        <x:v>V6-Q001</x:v>
      </x:c>
      <x:c r="B6" s="8" t="str">
        <x:v>RU</x:v>
      </x:c>
      <x:c r="C6" s="8" t="str">
        <x:v>HR/L&amp;D</x:v>
      </x:c>
      <x:c r="D6" s="8" t="str">
        <x:v>explicit_request</x:v>
      </x:c>
      <x:c r="E6" s="8" t="str">
        <x:v>ищем провайдера обучения HR/L&amp;D Россия</x:v>
      </x:c>
      <x:c r="F6" s="8" t="n">
        <x:v>14</x:v>
      </x:c>
      <x:c r="G6" s="8" t="str">
        <x:v>template_not_executed</x:v>
      </x:c>
    </x:row>
    <x:row r="7" ht="31.5" customHeight="1">
      <x:c r="A7" s="8" t="str">
        <x:v>V6-Q002</x:v>
      </x:c>
      <x:c r="B7" s="8" t="str">
        <x:v>RU</x:v>
      </x:c>
      <x:c r="C7" s="8" t="str">
        <x:v>HR/L&amp;D</x:v>
      </x:c>
      <x:c r="D7" s="8" t="str">
        <x:v>expert_call</x:v>
      </x:c>
      <x:c r="E7" s="8" t="str">
        <x:v>нужен тренер спикер HR/L&amp;D Россия</x:v>
      </x:c>
      <x:c r="F7" s="8" t="n">
        <x:v>14</x:v>
      </x:c>
      <x:c r="G7" s="8" t="str">
        <x:v>template_not_executed</x:v>
      </x:c>
    </x:row>
    <x:row r="8" ht="31.5" customHeight="1">
      <x:c r="A8" s="8" t="str">
        <x:v>V6-Q003</x:v>
      </x:c>
      <x:c r="B8" s="8" t="str">
        <x:v>RU</x:v>
      </x:c>
      <x:c r="C8" s="8" t="str">
        <x:v>HR/L&amp;D</x:v>
      </x:c>
      <x:c r="D8" s="8" t="str">
        <x:v>partner_pool</x:v>
      </x:c>
      <x:c r="E8" s="8" t="str">
        <x:v>приглашаем образовательных партнеров HR/L&amp;D Россия</x:v>
      </x:c>
      <x:c r="F8" s="8" t="n">
        <x:v>14</x:v>
      </x:c>
      <x:c r="G8" s="8" t="str">
        <x:v>template_not_executed</x:v>
      </x:c>
    </x:row>
    <x:row r="9" ht="31.5" customHeight="1">
      <x:c r="A9" s="8" t="str">
        <x:v>V6-Q004</x:v>
      </x:c>
      <x:c r="B9" s="8" t="str">
        <x:v>RU</x:v>
      </x:c>
      <x:c r="C9" s="8" t="str">
        <x:v>HR/L&amp;D</x:v>
      </x:c>
      <x:c r="D9" s="8" t="str">
        <x:v>subcontract</x:v>
      </x:c>
      <x:c r="E9" s="8" t="str">
        <x:v>разработка курса подрядчик HR/L&amp;D Россия</x:v>
      </x:c>
      <x:c r="F9" s="8" t="n">
        <x:v>14</x:v>
      </x:c>
      <x:c r="G9" s="8" t="str">
        <x:v>template_not_executed</x:v>
      </x:c>
    </x:row>
    <x:row r="10" ht="31.5" customHeight="1">
      <x:c r="A10" s="8" t="str">
        <x:v>V6-Q005</x:v>
      </x:c>
      <x:c r="B10" s="8" t="str">
        <x:v>RU</x:v>
      </x:c>
      <x:c r="C10" s="8" t="str">
        <x:v>HR/L&amp;D</x:v>
      </x:c>
      <x:c r="D10" s="8" t="str">
        <x:v>recommendation_request</x:v>
      </x:c>
      <x:c r="E10" s="8" t="str">
        <x:v>посоветуйте тренинг для команды HR/L&amp;D Россия</x:v>
      </x:c>
      <x:c r="F10" s="8" t="n">
        <x:v>14</x:v>
      </x:c>
      <x:c r="G10" s="8" t="str">
        <x:v>template_not_executed</x:v>
      </x:c>
    </x:row>
    <x:row r="11" ht="31.5" customHeight="1">
      <x:c r="A11" s="8" t="str">
        <x:v>V6-Q006</x:v>
      </x:c>
      <x:c r="B11" s="8" t="str">
        <x:v>RU</x:v>
      </x:c>
      <x:c r="C11" s="8" t="str">
        <x:v>HR/L&amp;D</x:v>
      </x:c>
      <x:c r="D11" s="8" t="str">
        <x:v>business_change</x:v>
      </x:c>
      <x:c r="E11" s="8" t="str">
        <x:v>обучение при запуске филиала HR/L&amp;D Россия</x:v>
      </x:c>
      <x:c r="F11" s="8" t="n">
        <x:v>14</x:v>
      </x:c>
      <x:c r="G11" s="8" t="str">
        <x:v>template_not_executed</x:v>
      </x:c>
    </x:row>
    <x:row r="12" ht="31.5" customHeight="1">
      <x:c r="A12" s="8" t="str">
        <x:v>V6-Q007</x:v>
      </x:c>
      <x:c r="B12" s="8" t="str">
        <x:v>RU</x:v>
      </x:c>
      <x:c r="C12" s="8" t="str">
        <x:v>Закупки</x:v>
      </x:c>
      <x:c r="D12" s="8" t="str">
        <x:v>explicit_request</x:v>
      </x:c>
      <x:c r="E12" s="8" t="str">
        <x:v>ищем провайдера обучения Закупки Россия</x:v>
      </x:c>
      <x:c r="F12" s="8" t="n">
        <x:v>14</x:v>
      </x:c>
      <x:c r="G12" s="8" t="str">
        <x:v>template_not_executed</x:v>
      </x:c>
    </x:row>
    <x:row r="13" ht="31.5" customHeight="1">
      <x:c r="A13" s="8" t="str">
        <x:v>V6-Q008</x:v>
      </x:c>
      <x:c r="B13" s="8" t="str">
        <x:v>RU</x:v>
      </x:c>
      <x:c r="C13" s="8" t="str">
        <x:v>Закупки</x:v>
      </x:c>
      <x:c r="D13" s="8" t="str">
        <x:v>expert_call</x:v>
      </x:c>
      <x:c r="E13" s="8" t="str">
        <x:v>нужен тренер спикер Закупки Россия</x:v>
      </x:c>
      <x:c r="F13" s="8" t="n">
        <x:v>14</x:v>
      </x:c>
      <x:c r="G13" s="8" t="str">
        <x:v>template_not_executed</x:v>
      </x:c>
    </x:row>
    <x:row r="14" ht="31.5" customHeight="1">
      <x:c r="A14" s="8" t="str">
        <x:v>V6-Q009</x:v>
      </x:c>
      <x:c r="B14" s="8" t="str">
        <x:v>RU</x:v>
      </x:c>
      <x:c r="C14" s="8" t="str">
        <x:v>Закупки</x:v>
      </x:c>
      <x:c r="D14" s="8" t="str">
        <x:v>partner_pool</x:v>
      </x:c>
      <x:c r="E14" s="8" t="str">
        <x:v>приглашаем образовательных партнеров Закупки Россия</x:v>
      </x:c>
      <x:c r="F14" s="8" t="n">
        <x:v>14</x:v>
      </x:c>
      <x:c r="G14" s="8" t="str">
        <x:v>template_not_executed</x:v>
      </x:c>
    </x:row>
    <x:row r="15" ht="31.5" customHeight="1">
      <x:c r="A15" s="8" t="str">
        <x:v>V6-Q010</x:v>
      </x:c>
      <x:c r="B15" s="8" t="str">
        <x:v>RU</x:v>
      </x:c>
      <x:c r="C15" s="8" t="str">
        <x:v>Закупки</x:v>
      </x:c>
      <x:c r="D15" s="8" t="str">
        <x:v>subcontract</x:v>
      </x:c>
      <x:c r="E15" s="8" t="str">
        <x:v>разработка курса подрядчик Закупки Россия</x:v>
      </x:c>
      <x:c r="F15" s="8" t="n">
        <x:v>14</x:v>
      </x:c>
      <x:c r="G15" s="8" t="str">
        <x:v>template_not_executed</x:v>
      </x:c>
    </x:row>
    <x:row r="16" ht="31.5" customHeight="1">
      <x:c r="A16" s="8" t="str">
        <x:v>V6-Q011</x:v>
      </x:c>
      <x:c r="B16" s="8" t="str">
        <x:v>RU</x:v>
      </x:c>
      <x:c r="C16" s="8" t="str">
        <x:v>Закупки</x:v>
      </x:c>
      <x:c r="D16" s="8" t="str">
        <x:v>recommendation_request</x:v>
      </x:c>
      <x:c r="E16" s="8" t="str">
        <x:v>посоветуйте тренинг для команды Закупки Россия</x:v>
      </x:c>
      <x:c r="F16" s="8" t="n">
        <x:v>14</x:v>
      </x:c>
      <x:c r="G16" s="8" t="str">
        <x:v>template_not_executed</x:v>
      </x:c>
    </x:row>
    <x:row r="17" ht="31.5" customHeight="1">
      <x:c r="A17" s="8" t="str">
        <x:v>V6-Q012</x:v>
      </x:c>
      <x:c r="B17" s="8" t="str">
        <x:v>RU</x:v>
      </x:c>
      <x:c r="C17" s="8" t="str">
        <x:v>Закупки</x:v>
      </x:c>
      <x:c r="D17" s="8" t="str">
        <x:v>business_change</x:v>
      </x:c>
      <x:c r="E17" s="8" t="str">
        <x:v>обучение при запуске филиала Закупки Россия</x:v>
      </x:c>
      <x:c r="F17" s="8" t="n">
        <x:v>14</x:v>
      </x:c>
      <x:c r="G17" s="8" t="str">
        <x:v>template_not_executed</x:v>
      </x:c>
    </x:row>
    <x:row r="18" ht="31.5" customHeight="1">
      <x:c r="A18" s="8" t="str">
        <x:v>V6-Q013</x:v>
      </x:c>
      <x:c r="B18" s="8" t="str">
        <x:v>RU</x:v>
      </x:c>
      <x:c r="C18" s="8" t="str">
        <x:v>Руководитель бизнеса</x:v>
      </x:c>
      <x:c r="D18" s="8" t="str">
        <x:v>explicit_request</x:v>
      </x:c>
      <x:c r="E18" s="8" t="str">
        <x:v>ищем провайдера обучения Руководитель бизнеса Россия</x:v>
      </x:c>
      <x:c r="F18" s="8" t="n">
        <x:v>14</x:v>
      </x:c>
      <x:c r="G18" s="8" t="str">
        <x:v>template_not_executed</x:v>
      </x:c>
    </x:row>
    <x:row r="19" ht="31.5" customHeight="1">
      <x:c r="A19" s="8" t="str">
        <x:v>V6-Q014</x:v>
      </x:c>
      <x:c r="B19" s="8" t="str">
        <x:v>RU</x:v>
      </x:c>
      <x:c r="C19" s="8" t="str">
        <x:v>Руководитель бизнеса</x:v>
      </x:c>
      <x:c r="D19" s="8" t="str">
        <x:v>expert_call</x:v>
      </x:c>
      <x:c r="E19" s="8" t="str">
        <x:v>нужен тренер спикер Руководитель бизнеса Россия</x:v>
      </x:c>
      <x:c r="F19" s="8" t="n">
        <x:v>14</x:v>
      </x:c>
      <x:c r="G19" s="8" t="str">
        <x:v>template_not_executed</x:v>
      </x:c>
    </x:row>
    <x:row r="20" ht="31.5" customHeight="1">
      <x:c r="A20" s="8" t="str">
        <x:v>V6-Q015</x:v>
      </x:c>
      <x:c r="B20" s="8" t="str">
        <x:v>RU</x:v>
      </x:c>
      <x:c r="C20" s="8" t="str">
        <x:v>Руководитель бизнеса</x:v>
      </x:c>
      <x:c r="D20" s="8" t="str">
        <x:v>partner_pool</x:v>
      </x:c>
      <x:c r="E20" s="8" t="str">
        <x:v>приглашаем образовательных партнеров Руководитель бизнеса Россия</x:v>
      </x:c>
      <x:c r="F20" s="8" t="n">
        <x:v>14</x:v>
      </x:c>
      <x:c r="G20" s="8" t="str">
        <x:v>template_not_executed</x:v>
      </x:c>
    </x:row>
    <x:row r="21" ht="31.5" customHeight="1">
      <x:c r="A21" s="8" t="str">
        <x:v>V6-Q016</x:v>
      </x:c>
      <x:c r="B21" s="8" t="str">
        <x:v>RU</x:v>
      </x:c>
      <x:c r="C21" s="8" t="str">
        <x:v>Руководитель бизнеса</x:v>
      </x:c>
      <x:c r="D21" s="8" t="str">
        <x:v>subcontract</x:v>
      </x:c>
      <x:c r="E21" s="8" t="str">
        <x:v>разработка курса подрядчик Руководитель бизнеса Россия</x:v>
      </x:c>
      <x:c r="F21" s="8" t="n">
        <x:v>14</x:v>
      </x:c>
      <x:c r="G21" s="8" t="str">
        <x:v>template_not_executed</x:v>
      </x:c>
    </x:row>
    <x:row r="22" ht="31.5" customHeight="1">
      <x:c r="A22" s="8" t="str">
        <x:v>V6-Q017</x:v>
      </x:c>
      <x:c r="B22" s="8" t="str">
        <x:v>RU</x:v>
      </x:c>
      <x:c r="C22" s="8" t="str">
        <x:v>Руководитель бизнеса</x:v>
      </x:c>
      <x:c r="D22" s="8" t="str">
        <x:v>recommendation_request</x:v>
      </x:c>
      <x:c r="E22" s="8" t="str">
        <x:v>посоветуйте тренинг для команды Руководитель бизнеса Россия</x:v>
      </x:c>
      <x:c r="F22" s="8" t="n">
        <x:v>14</x:v>
      </x:c>
      <x:c r="G22" s="8" t="str">
        <x:v>template_not_executed</x:v>
      </x:c>
    </x:row>
    <x:row r="23" ht="31.5" customHeight="1">
      <x:c r="A23" s="8" t="str">
        <x:v>V6-Q018</x:v>
      </x:c>
      <x:c r="B23" s="8" t="str">
        <x:v>RU</x:v>
      </x:c>
      <x:c r="C23" s="8" t="str">
        <x:v>Руководитель бизнеса</x:v>
      </x:c>
      <x:c r="D23" s="8" t="str">
        <x:v>business_change</x:v>
      </x:c>
      <x:c r="E23" s="8" t="str">
        <x:v>обучение при запуске филиала Руководитель бизнеса Россия</x:v>
      </x:c>
      <x:c r="F23" s="8" t="n">
        <x:v>14</x:v>
      </x:c>
      <x:c r="G23" s="8" t="str">
        <x:v>template_not_executed</x:v>
      </x:c>
    </x:row>
    <x:row r="24" ht="31.5" customHeight="1">
      <x:c r="A24" s="8" t="str">
        <x:v>V6-Q019</x:v>
      </x:c>
      <x:c r="B24" s="8" t="str">
        <x:v>RU</x:v>
      </x:c>
      <x:c r="C24" s="8" t="str">
        <x:v>Руководитель функции</x:v>
      </x:c>
      <x:c r="D24" s="8" t="str">
        <x:v>explicit_request</x:v>
      </x:c>
      <x:c r="E24" s="8" t="str">
        <x:v>ищем провайдера обучения Руководитель функции Россия</x:v>
      </x:c>
      <x:c r="F24" s="8" t="n">
        <x:v>14</x:v>
      </x:c>
      <x:c r="G24" s="8" t="str">
        <x:v>template_not_executed</x:v>
      </x:c>
    </x:row>
    <x:row r="25" ht="31.5" customHeight="1">
      <x:c r="A25" s="8" t="str">
        <x:v>V6-Q020</x:v>
      </x:c>
      <x:c r="B25" s="8" t="str">
        <x:v>RU</x:v>
      </x:c>
      <x:c r="C25" s="8" t="str">
        <x:v>Руководитель функции</x:v>
      </x:c>
      <x:c r="D25" s="8" t="str">
        <x:v>expert_call</x:v>
      </x:c>
      <x:c r="E25" s="8" t="str">
        <x:v>нужен тренер спикер Руководитель функции Россия</x:v>
      </x:c>
      <x:c r="F25" s="8" t="n">
        <x:v>14</x:v>
      </x:c>
      <x:c r="G25" s="8" t="str">
        <x:v>template_not_executed</x:v>
      </x:c>
    </x:row>
    <x:row r="26" ht="31.5" customHeight="1">
      <x:c r="A26" s="8" t="str">
        <x:v>V6-Q021</x:v>
      </x:c>
      <x:c r="B26" s="8" t="str">
        <x:v>RU</x:v>
      </x:c>
      <x:c r="C26" s="8" t="str">
        <x:v>Руководитель функции</x:v>
      </x:c>
      <x:c r="D26" s="8" t="str">
        <x:v>partner_pool</x:v>
      </x:c>
      <x:c r="E26" s="8" t="str">
        <x:v>приглашаем образовательных партнеров Руководитель функции Россия</x:v>
      </x:c>
      <x:c r="F26" s="8" t="n">
        <x:v>14</x:v>
      </x:c>
      <x:c r="G26" s="8" t="str">
        <x:v>template_not_executed</x:v>
      </x:c>
    </x:row>
    <x:row r="27" ht="31.5" customHeight="1">
      <x:c r="A27" s="8" t="str">
        <x:v>V6-Q022</x:v>
      </x:c>
      <x:c r="B27" s="8" t="str">
        <x:v>RU</x:v>
      </x:c>
      <x:c r="C27" s="8" t="str">
        <x:v>Руководитель функции</x:v>
      </x:c>
      <x:c r="D27" s="8" t="str">
        <x:v>subcontract</x:v>
      </x:c>
      <x:c r="E27" s="8" t="str">
        <x:v>разработка курса подрядчик Руководитель функции Россия</x:v>
      </x:c>
      <x:c r="F27" s="8" t="n">
        <x:v>14</x:v>
      </x:c>
      <x:c r="G27" s="8" t="str">
        <x:v>template_not_executed</x:v>
      </x:c>
    </x:row>
    <x:row r="28" ht="31.5" customHeight="1">
      <x:c r="A28" s="8" t="str">
        <x:v>V6-Q023</x:v>
      </x:c>
      <x:c r="B28" s="8" t="str">
        <x:v>RU</x:v>
      </x:c>
      <x:c r="C28" s="8" t="str">
        <x:v>Руководитель функции</x:v>
      </x:c>
      <x:c r="D28" s="8" t="str">
        <x:v>recommendation_request</x:v>
      </x:c>
      <x:c r="E28" s="8" t="str">
        <x:v>посоветуйте тренинг для команды Руководитель функции Россия</x:v>
      </x:c>
      <x:c r="F28" s="8" t="n">
        <x:v>14</x:v>
      </x:c>
      <x:c r="G28" s="8" t="str">
        <x:v>template_not_executed</x:v>
      </x:c>
    </x:row>
    <x:row r="29" ht="31.5" customHeight="1">
      <x:c r="A29" s="8" t="str">
        <x:v>V6-Q024</x:v>
      </x:c>
      <x:c r="B29" s="8" t="str">
        <x:v>RU</x:v>
      </x:c>
      <x:c r="C29" s="8" t="str">
        <x:v>Руководитель функции</x:v>
      </x:c>
      <x:c r="D29" s="8" t="str">
        <x:v>business_change</x:v>
      </x:c>
      <x:c r="E29" s="8" t="str">
        <x:v>обучение при запуске филиала Руководитель функции Россия</x:v>
      </x:c>
      <x:c r="F29" s="8" t="n">
        <x:v>14</x:v>
      </x:c>
      <x:c r="G29" s="8" t="str">
        <x:v>template_not_executed</x:v>
      </x:c>
    </x:row>
    <x:row r="30" ht="31.5" customHeight="1">
      <x:c r="A30" s="8" t="str">
        <x:v>V6-Q025</x:v>
      </x:c>
      <x:c r="B30" s="8" t="str">
        <x:v>RU</x:v>
      </x:c>
      <x:c r="C30" s="8" t="str">
        <x:v>КУ/методист</x:v>
      </x:c>
      <x:c r="D30" s="8" t="str">
        <x:v>explicit_request</x:v>
      </x:c>
      <x:c r="E30" s="8" t="str">
        <x:v>ищем провайдера обучения КУ/методист Россия</x:v>
      </x:c>
      <x:c r="F30" s="8" t="n">
        <x:v>14</x:v>
      </x:c>
      <x:c r="G30" s="8" t="str">
        <x:v>template_not_executed</x:v>
      </x:c>
    </x:row>
    <x:row r="31" ht="31.5" customHeight="1">
      <x:c r="A31" s="8" t="str">
        <x:v>V6-Q026</x:v>
      </x:c>
      <x:c r="B31" s="8" t="str">
        <x:v>RU</x:v>
      </x:c>
      <x:c r="C31" s="8" t="str">
        <x:v>КУ/методист</x:v>
      </x:c>
      <x:c r="D31" s="8" t="str">
        <x:v>expert_call</x:v>
      </x:c>
      <x:c r="E31" s="8" t="str">
        <x:v>нужен тренер спикер КУ/методист Россия</x:v>
      </x:c>
      <x:c r="F31" s="8" t="n">
        <x:v>14</x:v>
      </x:c>
      <x:c r="G31" s="8" t="str">
        <x:v>template_not_executed</x:v>
      </x:c>
    </x:row>
    <x:row r="32" ht="31.5" customHeight="1">
      <x:c r="A32" s="8" t="str">
        <x:v>V6-Q027</x:v>
      </x:c>
      <x:c r="B32" s="8" t="str">
        <x:v>RU</x:v>
      </x:c>
      <x:c r="C32" s="8" t="str">
        <x:v>КУ/методист</x:v>
      </x:c>
      <x:c r="D32" s="8" t="str">
        <x:v>partner_pool</x:v>
      </x:c>
      <x:c r="E32" s="8" t="str">
        <x:v>приглашаем образовательных партнеров КУ/методист Россия</x:v>
      </x:c>
      <x:c r="F32" s="8" t="n">
        <x:v>14</x:v>
      </x:c>
      <x:c r="G32" s="8" t="str">
        <x:v>template_not_executed</x:v>
      </x:c>
    </x:row>
    <x:row r="33" ht="31.5" customHeight="1">
      <x:c r="A33" s="8" t="str">
        <x:v>V6-Q028</x:v>
      </x:c>
      <x:c r="B33" s="8" t="str">
        <x:v>RU</x:v>
      </x:c>
      <x:c r="C33" s="8" t="str">
        <x:v>КУ/методист</x:v>
      </x:c>
      <x:c r="D33" s="8" t="str">
        <x:v>subcontract</x:v>
      </x:c>
      <x:c r="E33" s="8" t="str">
        <x:v>разработка курса подрядчик КУ/методист Россия</x:v>
      </x:c>
      <x:c r="F33" s="8" t="n">
        <x:v>14</x:v>
      </x:c>
      <x:c r="G33" s="8" t="str">
        <x:v>template_not_executed</x:v>
      </x:c>
    </x:row>
    <x:row r="34" ht="31.5" customHeight="1">
      <x:c r="A34" s="8" t="str">
        <x:v>V6-Q029</x:v>
      </x:c>
      <x:c r="B34" s="8" t="str">
        <x:v>RU</x:v>
      </x:c>
      <x:c r="C34" s="8" t="str">
        <x:v>КУ/методист</x:v>
      </x:c>
      <x:c r="D34" s="8" t="str">
        <x:v>recommendation_request</x:v>
      </x:c>
      <x:c r="E34" s="8" t="str">
        <x:v>посоветуйте тренинг для команды КУ/методист Россия</x:v>
      </x:c>
      <x:c r="F34" s="8" t="n">
        <x:v>14</x:v>
      </x:c>
      <x:c r="G34" s="8" t="str">
        <x:v>template_not_executed</x:v>
      </x:c>
    </x:row>
    <x:row r="35" ht="31.5" customHeight="1">
      <x:c r="A35" s="8" t="str">
        <x:v>V6-Q030</x:v>
      </x:c>
      <x:c r="B35" s="8" t="str">
        <x:v>RU</x:v>
      </x:c>
      <x:c r="C35" s="8" t="str">
        <x:v>КУ/методист</x:v>
      </x:c>
      <x:c r="D35" s="8" t="str">
        <x:v>business_change</x:v>
      </x:c>
      <x:c r="E35" s="8" t="str">
        <x:v>обучение при запуске филиала КУ/методист Россия</x:v>
      </x:c>
      <x:c r="F35" s="8" t="n">
        <x:v>14</x:v>
      </x:c>
      <x:c r="G35" s="8" t="str">
        <x:v>template_not_executed</x:v>
      </x:c>
    </x:row>
    <x:row r="36" ht="31.5" customHeight="1">
      <x:c r="A36" s="8" t="str">
        <x:v>V6-Q031</x:v>
      </x:c>
      <x:c r="B36" s="8" t="str">
        <x:v>RU</x:v>
      </x:c>
      <x:c r="C36" s="8" t="str">
        <x:v>Организатор/агентство</x:v>
      </x:c>
      <x:c r="D36" s="8" t="str">
        <x:v>explicit_request</x:v>
      </x:c>
      <x:c r="E36" s="8" t="str">
        <x:v>ищем провайдера обучения Организатор/агентство Россия</x:v>
      </x:c>
      <x:c r="F36" s="8" t="n">
        <x:v>14</x:v>
      </x:c>
      <x:c r="G36" s="8" t="str">
        <x:v>template_not_executed</x:v>
      </x:c>
    </x:row>
    <x:row r="37" ht="31.5" customHeight="1">
      <x:c r="A37" s="8" t="str">
        <x:v>V6-Q032</x:v>
      </x:c>
      <x:c r="B37" s="8" t="str">
        <x:v>RU</x:v>
      </x:c>
      <x:c r="C37" s="8" t="str">
        <x:v>Организатор/агентство</x:v>
      </x:c>
      <x:c r="D37" s="8" t="str">
        <x:v>expert_call</x:v>
      </x:c>
      <x:c r="E37" s="8" t="str">
        <x:v>нужен тренер спикер Организатор/агентство Россия</x:v>
      </x:c>
      <x:c r="F37" s="8" t="n">
        <x:v>14</x:v>
      </x:c>
      <x:c r="G37" s="8" t="str">
        <x:v>template_not_executed</x:v>
      </x:c>
    </x:row>
    <x:row r="38" ht="31.5" customHeight="1">
      <x:c r="A38" s="8" t="str">
        <x:v>V6-Q033</x:v>
      </x:c>
      <x:c r="B38" s="8" t="str">
        <x:v>RU</x:v>
      </x:c>
      <x:c r="C38" s="8" t="str">
        <x:v>Организатор/агентство</x:v>
      </x:c>
      <x:c r="D38" s="8" t="str">
        <x:v>partner_pool</x:v>
      </x:c>
      <x:c r="E38" s="8" t="str">
        <x:v>приглашаем образовательных партнеров Организатор/агентство Россия</x:v>
      </x:c>
      <x:c r="F38" s="8" t="n">
        <x:v>14</x:v>
      </x:c>
      <x:c r="G38" s="8" t="str">
        <x:v>template_not_executed</x:v>
      </x:c>
    </x:row>
    <x:row r="39" ht="31.5" customHeight="1">
      <x:c r="A39" s="8" t="str">
        <x:v>V6-Q034</x:v>
      </x:c>
      <x:c r="B39" s="8" t="str">
        <x:v>RU</x:v>
      </x:c>
      <x:c r="C39" s="8" t="str">
        <x:v>Организатор/агентство</x:v>
      </x:c>
      <x:c r="D39" s="8" t="str">
        <x:v>subcontract</x:v>
      </x:c>
      <x:c r="E39" s="8" t="str">
        <x:v>разработка курса подрядчик Организатор/агентство Россия</x:v>
      </x:c>
      <x:c r="F39" s="8" t="n">
        <x:v>14</x:v>
      </x:c>
      <x:c r="G39" s="8" t="str">
        <x:v>template_not_executed</x:v>
      </x:c>
    </x:row>
    <x:row r="40" ht="31.5" customHeight="1">
      <x:c r="A40" s="8" t="str">
        <x:v>V6-Q035</x:v>
      </x:c>
      <x:c r="B40" s="8" t="str">
        <x:v>RU</x:v>
      </x:c>
      <x:c r="C40" s="8" t="str">
        <x:v>Организатор/агентство</x:v>
      </x:c>
      <x:c r="D40" s="8" t="str">
        <x:v>recommendation_request</x:v>
      </x:c>
      <x:c r="E40" s="8" t="str">
        <x:v>посоветуйте тренинг для команды Организатор/агентство Россия</x:v>
      </x:c>
      <x:c r="F40" s="8" t="n">
        <x:v>14</x:v>
      </x:c>
      <x:c r="G40" s="8" t="str">
        <x:v>template_not_executed</x:v>
      </x:c>
    </x:row>
    <x:row r="41" ht="31.5" customHeight="1">
      <x:c r="A41" s="8" t="str">
        <x:v>V6-Q036</x:v>
      </x:c>
      <x:c r="B41" s="8" t="str">
        <x:v>RU</x:v>
      </x:c>
      <x:c r="C41" s="8" t="str">
        <x:v>Организатор/агентство</x:v>
      </x:c>
      <x:c r="D41" s="8" t="str">
        <x:v>business_change</x:v>
      </x:c>
      <x:c r="E41" s="8" t="str">
        <x:v>обучение при запуске филиала Организатор/агентство Россия</x:v>
      </x:c>
      <x:c r="F41" s="8" t="n">
        <x:v>14</x:v>
      </x:c>
      <x:c r="G41" s="8" t="str">
        <x:v>template_not_executed</x:v>
      </x:c>
    </x:row>
    <x:row r="42" ht="31.5" customHeight="1">
      <x:c r="A42" s="8" t="str">
        <x:v>V6-Q037</x:v>
      </x:c>
      <x:c r="B42" s="8" t="str">
        <x:v>RU</x:v>
      </x:c>
      <x:c r="C42" s="8" t="str">
        <x:v>Ассоциация/сообщество</x:v>
      </x:c>
      <x:c r="D42" s="8" t="str">
        <x:v>explicit_request</x:v>
      </x:c>
      <x:c r="E42" s="8" t="str">
        <x:v>ищем провайдера обучения Ассоциация/сообщество Россия</x:v>
      </x:c>
      <x:c r="F42" s="8" t="n">
        <x:v>14</x:v>
      </x:c>
      <x:c r="G42" s="8" t="str">
        <x:v>template_not_executed</x:v>
      </x:c>
    </x:row>
    <x:row r="43" ht="31.5" customHeight="1">
      <x:c r="A43" s="8" t="str">
        <x:v>V6-Q038</x:v>
      </x:c>
      <x:c r="B43" s="8" t="str">
        <x:v>RU</x:v>
      </x:c>
      <x:c r="C43" s="8" t="str">
        <x:v>Ассоциация/сообщество</x:v>
      </x:c>
      <x:c r="D43" s="8" t="str">
        <x:v>expert_call</x:v>
      </x:c>
      <x:c r="E43" s="8" t="str">
        <x:v>нужен тренер спикер Ассоциация/сообщество Россия</x:v>
      </x:c>
      <x:c r="F43" s="8" t="n">
        <x:v>14</x:v>
      </x:c>
      <x:c r="G43" s="8" t="str">
        <x:v>template_not_executed</x:v>
      </x:c>
    </x:row>
    <x:row r="44" ht="31.5" customHeight="1">
      <x:c r="A44" s="8" t="str">
        <x:v>V6-Q039</x:v>
      </x:c>
      <x:c r="B44" s="8" t="str">
        <x:v>RU</x:v>
      </x:c>
      <x:c r="C44" s="8" t="str">
        <x:v>Ассоциация/сообщество</x:v>
      </x:c>
      <x:c r="D44" s="8" t="str">
        <x:v>partner_pool</x:v>
      </x:c>
      <x:c r="E44" s="8" t="str">
        <x:v>приглашаем образовательных партнеров Ассоциация/сообщество Россия</x:v>
      </x:c>
      <x:c r="F44" s="8" t="n">
        <x:v>14</x:v>
      </x:c>
      <x:c r="G44" s="8" t="str">
        <x:v>template_not_executed</x:v>
      </x:c>
    </x:row>
    <x:row r="45" ht="31.5" customHeight="1">
      <x:c r="A45" s="8" t="str">
        <x:v>V6-Q040</x:v>
      </x:c>
      <x:c r="B45" s="8" t="str">
        <x:v>RU</x:v>
      </x:c>
      <x:c r="C45" s="8" t="str">
        <x:v>Ассоциация/сообщество</x:v>
      </x:c>
      <x:c r="D45" s="8" t="str">
        <x:v>subcontract</x:v>
      </x:c>
      <x:c r="E45" s="8" t="str">
        <x:v>разработка курса подрядчик Ассоциация/сообщество Россия</x:v>
      </x:c>
      <x:c r="F45" s="8" t="n">
        <x:v>14</x:v>
      </x:c>
      <x:c r="G45" s="8" t="str">
        <x:v>template_not_executed</x:v>
      </x:c>
    </x:row>
    <x:row r="46" ht="31.5" customHeight="1">
      <x:c r="A46" s="8" t="str">
        <x:v>V6-Q041</x:v>
      </x:c>
      <x:c r="B46" s="8" t="str">
        <x:v>RU</x:v>
      </x:c>
      <x:c r="C46" s="8" t="str">
        <x:v>Ассоциация/сообщество</x:v>
      </x:c>
      <x:c r="D46" s="8" t="str">
        <x:v>recommendation_request</x:v>
      </x:c>
      <x:c r="E46" s="8" t="str">
        <x:v>посоветуйте тренинг для команды Ассоциация/сообщество Россия</x:v>
      </x:c>
      <x:c r="F46" s="8" t="n">
        <x:v>14</x:v>
      </x:c>
      <x:c r="G46" s="8" t="str">
        <x:v>template_not_executed</x:v>
      </x:c>
    </x:row>
    <x:row r="47" ht="31.5" customHeight="1">
      <x:c r="A47" s="8" t="str">
        <x:v>V6-Q042</x:v>
      </x:c>
      <x:c r="B47" s="8" t="str">
        <x:v>RU</x:v>
      </x:c>
      <x:c r="C47" s="8" t="str">
        <x:v>Ассоциация/сообщество</x:v>
      </x:c>
      <x:c r="D47" s="8" t="str">
        <x:v>business_change</x:v>
      </x:c>
      <x:c r="E47" s="8" t="str">
        <x:v>обучение при запуске филиала Ассоциация/сообщество Россия</x:v>
      </x:c>
      <x:c r="F47" s="8" t="n">
        <x:v>14</x:v>
      </x:c>
      <x:c r="G47" s="8" t="str">
        <x:v>template_not_executed</x:v>
      </x:c>
    </x:row>
    <x:row r="48" ht="31.5" customHeight="1">
      <x:c r="A48" s="8" t="str">
        <x:v>V6-Q043</x:v>
      </x:c>
      <x:c r="B48" s="8" t="str">
        <x:v>RU</x:v>
      </x:c>
      <x:c r="C48" s="8" t="str">
        <x:v>EdTech/провайдер</x:v>
      </x:c>
      <x:c r="D48" s="8" t="str">
        <x:v>explicit_request</x:v>
      </x:c>
      <x:c r="E48" s="8" t="str">
        <x:v>ищем провайдера обучения EdTech/провайдер Россия</x:v>
      </x:c>
      <x:c r="F48" s="8" t="n">
        <x:v>14</x:v>
      </x:c>
      <x:c r="G48" s="8" t="str">
        <x:v>template_not_executed</x:v>
      </x:c>
    </x:row>
    <x:row r="49" ht="31.5" customHeight="1">
      <x:c r="A49" s="8" t="str">
        <x:v>V6-Q044</x:v>
      </x:c>
      <x:c r="B49" s="8" t="str">
        <x:v>RU</x:v>
      </x:c>
      <x:c r="C49" s="8" t="str">
        <x:v>EdTech/провайдер</x:v>
      </x:c>
      <x:c r="D49" s="8" t="str">
        <x:v>expert_call</x:v>
      </x:c>
      <x:c r="E49" s="8" t="str">
        <x:v>нужен тренер спикер EdTech/провайдер Россия</x:v>
      </x:c>
      <x:c r="F49" s="8" t="n">
        <x:v>14</x:v>
      </x:c>
      <x:c r="G49" s="8" t="str">
        <x:v>template_not_executed</x:v>
      </x:c>
    </x:row>
    <x:row r="50" ht="31.5" customHeight="1">
      <x:c r="A50" s="8" t="str">
        <x:v>V6-Q045</x:v>
      </x:c>
      <x:c r="B50" s="8" t="str">
        <x:v>RU</x:v>
      </x:c>
      <x:c r="C50" s="8" t="str">
        <x:v>EdTech/провайдер</x:v>
      </x:c>
      <x:c r="D50" s="8" t="str">
        <x:v>partner_pool</x:v>
      </x:c>
      <x:c r="E50" s="8" t="str">
        <x:v>приглашаем образовательных партнеров EdTech/провайдер Россия</x:v>
      </x:c>
      <x:c r="F50" s="8" t="n">
        <x:v>14</x:v>
      </x:c>
      <x:c r="G50" s="8" t="str">
        <x:v>template_not_executed</x:v>
      </x:c>
    </x:row>
    <x:row r="51" ht="31.5" customHeight="1">
      <x:c r="A51" s="8" t="str">
        <x:v>V6-Q046</x:v>
      </x:c>
      <x:c r="B51" s="8" t="str">
        <x:v>RU</x:v>
      </x:c>
      <x:c r="C51" s="8" t="str">
        <x:v>EdTech/провайдер</x:v>
      </x:c>
      <x:c r="D51" s="8" t="str">
        <x:v>subcontract</x:v>
      </x:c>
      <x:c r="E51" s="8" t="str">
        <x:v>разработка курса подрядчик EdTech/провайдер Россия</x:v>
      </x:c>
      <x:c r="F51" s="8" t="n">
        <x:v>14</x:v>
      </x:c>
      <x:c r="G51" s="8" t="str">
        <x:v>template_not_executed</x:v>
      </x:c>
    </x:row>
    <x:row r="52" ht="31.5" customHeight="1">
      <x:c r="A52" s="8" t="str">
        <x:v>V6-Q047</x:v>
      </x:c>
      <x:c r="B52" s="8" t="str">
        <x:v>RU</x:v>
      </x:c>
      <x:c r="C52" s="8" t="str">
        <x:v>EdTech/провайдер</x:v>
      </x:c>
      <x:c r="D52" s="8" t="str">
        <x:v>recommendation_request</x:v>
      </x:c>
      <x:c r="E52" s="8" t="str">
        <x:v>посоветуйте тренинг для команды EdTech/провайдер Россия</x:v>
      </x:c>
      <x:c r="F52" s="8" t="n">
        <x:v>14</x:v>
      </x:c>
      <x:c r="G52" s="8" t="str">
        <x:v>template_not_executed</x:v>
      </x:c>
    </x:row>
    <x:row r="53" ht="31.5" customHeight="1">
      <x:c r="A53" s="8" t="str">
        <x:v>V6-Q048</x:v>
      </x:c>
      <x:c r="B53" s="8" t="str">
        <x:v>RU</x:v>
      </x:c>
      <x:c r="C53" s="8" t="str">
        <x:v>EdTech/провайдер</x:v>
      </x:c>
      <x:c r="D53" s="8" t="str">
        <x:v>business_change</x:v>
      </x:c>
      <x:c r="E53" s="8" t="str">
        <x:v>обучение при запуске филиала EdTech/провайдер Россия</x:v>
      </x:c>
      <x:c r="F53" s="8" t="n">
        <x:v>14</x:v>
      </x:c>
      <x:c r="G53" s="8" t="str">
        <x:v>template_not_executed</x:v>
      </x:c>
    </x:row>
    <x:row r="54" ht="31.5" customHeight="1">
      <x:c r="A54" s="8" t="str">
        <x:v>V6-Q049</x:v>
      </x:c>
      <x:c r="B54" s="8" t="str">
        <x:v>BY</x:v>
      </x:c>
      <x:c r="C54" s="8" t="str">
        <x:v>HR/L&amp;D</x:v>
      </x:c>
      <x:c r="D54" s="8" t="str">
        <x:v>explicit_request</x:v>
      </x:c>
      <x:c r="E54" s="8" t="str">
        <x:v>ищем провайдера обучения HR/L&amp;D Беларусь</x:v>
      </x:c>
      <x:c r="F54" s="8" t="n">
        <x:v>14</x:v>
      </x:c>
      <x:c r="G54" s="8" t="str">
        <x:v>template_not_executed</x:v>
      </x:c>
    </x:row>
    <x:row r="55" ht="31.5" customHeight="1">
      <x:c r="A55" s="8" t="str">
        <x:v>V6-Q050</x:v>
      </x:c>
      <x:c r="B55" s="8" t="str">
        <x:v>BY</x:v>
      </x:c>
      <x:c r="C55" s="8" t="str">
        <x:v>HR/L&amp;D</x:v>
      </x:c>
      <x:c r="D55" s="8" t="str">
        <x:v>expert_call</x:v>
      </x:c>
      <x:c r="E55" s="8" t="str">
        <x:v>нужен тренер спикер HR/L&amp;D Беларусь</x:v>
      </x:c>
      <x:c r="F55" s="8" t="n">
        <x:v>14</x:v>
      </x:c>
      <x:c r="G55" s="8" t="str">
        <x:v>template_not_executed</x:v>
      </x:c>
    </x:row>
    <x:row r="56" ht="31.5" customHeight="1">
      <x:c r="A56" s="8" t="str">
        <x:v>V6-Q051</x:v>
      </x:c>
      <x:c r="B56" s="8" t="str">
        <x:v>BY</x:v>
      </x:c>
      <x:c r="C56" s="8" t="str">
        <x:v>HR/L&amp;D</x:v>
      </x:c>
      <x:c r="D56" s="8" t="str">
        <x:v>partner_pool</x:v>
      </x:c>
      <x:c r="E56" s="8" t="str">
        <x:v>приглашаем образовательных партнеров HR/L&amp;D Беларусь</x:v>
      </x:c>
      <x:c r="F56" s="8" t="n">
        <x:v>14</x:v>
      </x:c>
      <x:c r="G56" s="8" t="str">
        <x:v>template_not_executed</x:v>
      </x:c>
    </x:row>
    <x:row r="57" ht="31.5" customHeight="1">
      <x:c r="A57" s="8" t="str">
        <x:v>V6-Q052</x:v>
      </x:c>
      <x:c r="B57" s="8" t="str">
        <x:v>BY</x:v>
      </x:c>
      <x:c r="C57" s="8" t="str">
        <x:v>HR/L&amp;D</x:v>
      </x:c>
      <x:c r="D57" s="8" t="str">
        <x:v>subcontract</x:v>
      </x:c>
      <x:c r="E57" s="8" t="str">
        <x:v>разработка курса подрядчик HR/L&amp;D Беларусь</x:v>
      </x:c>
      <x:c r="F57" s="8" t="n">
        <x:v>14</x:v>
      </x:c>
      <x:c r="G57" s="8" t="str">
        <x:v>template_not_executed</x:v>
      </x:c>
    </x:row>
    <x:row r="58" ht="31.5" customHeight="1">
      <x:c r="A58" s="8" t="str">
        <x:v>V6-Q053</x:v>
      </x:c>
      <x:c r="B58" s="8" t="str">
        <x:v>BY</x:v>
      </x:c>
      <x:c r="C58" s="8" t="str">
        <x:v>HR/L&amp;D</x:v>
      </x:c>
      <x:c r="D58" s="8" t="str">
        <x:v>recommendation_request</x:v>
      </x:c>
      <x:c r="E58" s="8" t="str">
        <x:v>посоветуйте тренинг для команды HR/L&amp;D Беларусь</x:v>
      </x:c>
      <x:c r="F58" s="8" t="n">
        <x:v>14</x:v>
      </x:c>
      <x:c r="G58" s="8" t="str">
        <x:v>template_not_executed</x:v>
      </x:c>
    </x:row>
    <x:row r="59" ht="31.5" customHeight="1">
      <x:c r="A59" s="8" t="str">
        <x:v>V6-Q054</x:v>
      </x:c>
      <x:c r="B59" s="8" t="str">
        <x:v>BY</x:v>
      </x:c>
      <x:c r="C59" s="8" t="str">
        <x:v>HR/L&amp;D</x:v>
      </x:c>
      <x:c r="D59" s="8" t="str">
        <x:v>business_change</x:v>
      </x:c>
      <x:c r="E59" s="8" t="str">
        <x:v>обучение при запуске филиала HR/L&amp;D Беларусь</x:v>
      </x:c>
      <x:c r="F59" s="8" t="n">
        <x:v>14</x:v>
      </x:c>
      <x:c r="G59" s="8" t="str">
        <x:v>template_not_executed</x:v>
      </x:c>
    </x:row>
    <x:row r="60" ht="31.5" customHeight="1">
      <x:c r="A60" s="8" t="str">
        <x:v>V6-Q055</x:v>
      </x:c>
      <x:c r="B60" s="8" t="str">
        <x:v>BY</x:v>
      </x:c>
      <x:c r="C60" s="8" t="str">
        <x:v>Закупки</x:v>
      </x:c>
      <x:c r="D60" s="8" t="str">
        <x:v>explicit_request</x:v>
      </x:c>
      <x:c r="E60" s="8" t="str">
        <x:v>ищем провайдера обучения Закупки Беларусь</x:v>
      </x:c>
      <x:c r="F60" s="8" t="n">
        <x:v>14</x:v>
      </x:c>
      <x:c r="G60" s="8" t="str">
        <x:v>template_not_executed</x:v>
      </x:c>
    </x:row>
    <x:row r="61" ht="31.5" customHeight="1">
      <x:c r="A61" s="8" t="str">
        <x:v>V6-Q056</x:v>
      </x:c>
      <x:c r="B61" s="8" t="str">
        <x:v>BY</x:v>
      </x:c>
      <x:c r="C61" s="8" t="str">
        <x:v>Закупки</x:v>
      </x:c>
      <x:c r="D61" s="8" t="str">
        <x:v>expert_call</x:v>
      </x:c>
      <x:c r="E61" s="8" t="str">
        <x:v>нужен тренер спикер Закупки Беларусь</x:v>
      </x:c>
      <x:c r="F61" s="8" t="n">
        <x:v>14</x:v>
      </x:c>
      <x:c r="G61" s="8" t="str">
        <x:v>template_not_executed</x:v>
      </x:c>
    </x:row>
    <x:row r="62" ht="31.5" customHeight="1">
      <x:c r="A62" s="8" t="str">
        <x:v>V6-Q057</x:v>
      </x:c>
      <x:c r="B62" s="8" t="str">
        <x:v>BY</x:v>
      </x:c>
      <x:c r="C62" s="8" t="str">
        <x:v>Закупки</x:v>
      </x:c>
      <x:c r="D62" s="8" t="str">
        <x:v>partner_pool</x:v>
      </x:c>
      <x:c r="E62" s="8" t="str">
        <x:v>приглашаем образовательных партнеров Закупки Беларусь</x:v>
      </x:c>
      <x:c r="F62" s="8" t="n">
        <x:v>14</x:v>
      </x:c>
      <x:c r="G62" s="8" t="str">
        <x:v>template_not_executed</x:v>
      </x:c>
    </x:row>
    <x:row r="63" ht="31.5" customHeight="1">
      <x:c r="A63" s="8" t="str">
        <x:v>V6-Q058</x:v>
      </x:c>
      <x:c r="B63" s="8" t="str">
        <x:v>BY</x:v>
      </x:c>
      <x:c r="C63" s="8" t="str">
        <x:v>Закупки</x:v>
      </x:c>
      <x:c r="D63" s="8" t="str">
        <x:v>subcontract</x:v>
      </x:c>
      <x:c r="E63" s="8" t="str">
        <x:v>разработка курса подрядчик Закупки Беларусь</x:v>
      </x:c>
      <x:c r="F63" s="8" t="n">
        <x:v>14</x:v>
      </x:c>
      <x:c r="G63" s="8" t="str">
        <x:v>template_not_executed</x:v>
      </x:c>
    </x:row>
    <x:row r="64" ht="31.5" customHeight="1">
      <x:c r="A64" s="8" t="str">
        <x:v>V6-Q059</x:v>
      </x:c>
      <x:c r="B64" s="8" t="str">
        <x:v>BY</x:v>
      </x:c>
      <x:c r="C64" s="8" t="str">
        <x:v>Закупки</x:v>
      </x:c>
      <x:c r="D64" s="8" t="str">
        <x:v>recommendation_request</x:v>
      </x:c>
      <x:c r="E64" s="8" t="str">
        <x:v>посоветуйте тренинг для команды Закупки Беларусь</x:v>
      </x:c>
      <x:c r="F64" s="8" t="n">
        <x:v>14</x:v>
      </x:c>
      <x:c r="G64" s="8" t="str">
        <x:v>template_not_executed</x:v>
      </x:c>
    </x:row>
    <x:row r="65" ht="31.5" customHeight="1">
      <x:c r="A65" s="8" t="str">
        <x:v>V6-Q060</x:v>
      </x:c>
      <x:c r="B65" s="8" t="str">
        <x:v>BY</x:v>
      </x:c>
      <x:c r="C65" s="8" t="str">
        <x:v>Закупки</x:v>
      </x:c>
      <x:c r="D65" s="8" t="str">
        <x:v>business_change</x:v>
      </x:c>
      <x:c r="E65" s="8" t="str">
        <x:v>обучение при запуске филиала Закупки Беларусь</x:v>
      </x:c>
      <x:c r="F65" s="8" t="n">
        <x:v>14</x:v>
      </x:c>
      <x:c r="G65" s="8" t="str">
        <x:v>template_not_executed</x:v>
      </x:c>
    </x:row>
    <x:row r="66" ht="31.5" customHeight="1">
      <x:c r="A66" s="8" t="str">
        <x:v>V6-Q061</x:v>
      </x:c>
      <x:c r="B66" s="8" t="str">
        <x:v>BY</x:v>
      </x:c>
      <x:c r="C66" s="8" t="str">
        <x:v>Руководитель бизнеса</x:v>
      </x:c>
      <x:c r="D66" s="8" t="str">
        <x:v>explicit_request</x:v>
      </x:c>
      <x:c r="E66" s="8" t="str">
        <x:v>ищем провайдера обучения Руководитель бизнеса Беларусь</x:v>
      </x:c>
      <x:c r="F66" s="8" t="n">
        <x:v>14</x:v>
      </x:c>
      <x:c r="G66" s="8" t="str">
        <x:v>template_not_executed</x:v>
      </x:c>
    </x:row>
    <x:row r="67" ht="31.5" customHeight="1">
      <x:c r="A67" s="8" t="str">
        <x:v>V6-Q062</x:v>
      </x:c>
      <x:c r="B67" s="8" t="str">
        <x:v>BY</x:v>
      </x:c>
      <x:c r="C67" s="8" t="str">
        <x:v>Руководитель бизнеса</x:v>
      </x:c>
      <x:c r="D67" s="8" t="str">
        <x:v>expert_call</x:v>
      </x:c>
      <x:c r="E67" s="8" t="str">
        <x:v>нужен тренер спикер Руководитель бизнеса Беларусь</x:v>
      </x:c>
      <x:c r="F67" s="8" t="n">
        <x:v>14</x:v>
      </x:c>
      <x:c r="G67" s="8" t="str">
        <x:v>template_not_executed</x:v>
      </x:c>
    </x:row>
    <x:row r="68" ht="31.5" customHeight="1">
      <x:c r="A68" s="8" t="str">
        <x:v>V6-Q063</x:v>
      </x:c>
      <x:c r="B68" s="8" t="str">
        <x:v>BY</x:v>
      </x:c>
      <x:c r="C68" s="8" t="str">
        <x:v>Руководитель бизнеса</x:v>
      </x:c>
      <x:c r="D68" s="8" t="str">
        <x:v>partner_pool</x:v>
      </x:c>
      <x:c r="E68" s="8" t="str">
        <x:v>приглашаем образовательных партнеров Руководитель бизнеса Беларусь</x:v>
      </x:c>
      <x:c r="F68" s="8" t="n">
        <x:v>14</x:v>
      </x:c>
      <x:c r="G68" s="8" t="str">
        <x:v>template_not_executed</x:v>
      </x:c>
    </x:row>
    <x:row r="69" ht="31.5" customHeight="1">
      <x:c r="A69" s="8" t="str">
        <x:v>V6-Q064</x:v>
      </x:c>
      <x:c r="B69" s="8" t="str">
        <x:v>BY</x:v>
      </x:c>
      <x:c r="C69" s="8" t="str">
        <x:v>Руководитель бизнеса</x:v>
      </x:c>
      <x:c r="D69" s="8" t="str">
        <x:v>subcontract</x:v>
      </x:c>
      <x:c r="E69" s="8" t="str">
        <x:v>разработка курса подрядчик Руководитель бизнеса Беларусь</x:v>
      </x:c>
      <x:c r="F69" s="8" t="n">
        <x:v>14</x:v>
      </x:c>
      <x:c r="G69" s="8" t="str">
        <x:v>template_not_executed</x:v>
      </x:c>
    </x:row>
    <x:row r="70" ht="31.5" customHeight="1">
      <x:c r="A70" s="8" t="str">
        <x:v>V6-Q065</x:v>
      </x:c>
      <x:c r="B70" s="8" t="str">
        <x:v>BY</x:v>
      </x:c>
      <x:c r="C70" s="8" t="str">
        <x:v>Руководитель бизнеса</x:v>
      </x:c>
      <x:c r="D70" s="8" t="str">
        <x:v>recommendation_request</x:v>
      </x:c>
      <x:c r="E70" s="8" t="str">
        <x:v>посоветуйте тренинг для команды Руководитель бизнеса Беларусь</x:v>
      </x:c>
      <x:c r="F70" s="8" t="n">
        <x:v>14</x:v>
      </x:c>
      <x:c r="G70" s="8" t="str">
        <x:v>template_not_executed</x:v>
      </x:c>
    </x:row>
    <x:row r="71" ht="31.5" customHeight="1">
      <x:c r="A71" s="8" t="str">
        <x:v>V6-Q066</x:v>
      </x:c>
      <x:c r="B71" s="8" t="str">
        <x:v>BY</x:v>
      </x:c>
      <x:c r="C71" s="8" t="str">
        <x:v>Руководитель бизнеса</x:v>
      </x:c>
      <x:c r="D71" s="8" t="str">
        <x:v>business_change</x:v>
      </x:c>
      <x:c r="E71" s="8" t="str">
        <x:v>обучение при запуске филиала Руководитель бизнеса Беларусь</x:v>
      </x:c>
      <x:c r="F71" s="8" t="n">
        <x:v>14</x:v>
      </x:c>
      <x:c r="G71" s="8" t="str">
        <x:v>template_not_executed</x:v>
      </x:c>
    </x:row>
    <x:row r="72" ht="31.5" customHeight="1">
      <x:c r="A72" s="8" t="str">
        <x:v>V6-Q067</x:v>
      </x:c>
      <x:c r="B72" s="8" t="str">
        <x:v>BY</x:v>
      </x:c>
      <x:c r="C72" s="8" t="str">
        <x:v>Руководитель функции</x:v>
      </x:c>
      <x:c r="D72" s="8" t="str">
        <x:v>explicit_request</x:v>
      </x:c>
      <x:c r="E72" s="8" t="str">
        <x:v>ищем провайдера обучения Руководитель функции Беларусь</x:v>
      </x:c>
      <x:c r="F72" s="8" t="n">
        <x:v>14</x:v>
      </x:c>
      <x:c r="G72" s="8" t="str">
        <x:v>template_not_executed</x:v>
      </x:c>
    </x:row>
    <x:row r="73" ht="31.5" customHeight="1">
      <x:c r="A73" s="8" t="str">
        <x:v>V6-Q068</x:v>
      </x:c>
      <x:c r="B73" s="8" t="str">
        <x:v>BY</x:v>
      </x:c>
      <x:c r="C73" s="8" t="str">
        <x:v>Руководитель функции</x:v>
      </x:c>
      <x:c r="D73" s="8" t="str">
        <x:v>expert_call</x:v>
      </x:c>
      <x:c r="E73" s="8" t="str">
        <x:v>нужен тренер спикер Руководитель функции Беларусь</x:v>
      </x:c>
      <x:c r="F73" s="8" t="n">
        <x:v>14</x:v>
      </x:c>
      <x:c r="G73" s="8" t="str">
        <x:v>template_not_executed</x:v>
      </x:c>
    </x:row>
    <x:row r="74" ht="31.5" customHeight="1">
      <x:c r="A74" s="8" t="str">
        <x:v>V6-Q069</x:v>
      </x:c>
      <x:c r="B74" s="8" t="str">
        <x:v>BY</x:v>
      </x:c>
      <x:c r="C74" s="8" t="str">
        <x:v>Руководитель функции</x:v>
      </x:c>
      <x:c r="D74" s="8" t="str">
        <x:v>partner_pool</x:v>
      </x:c>
      <x:c r="E74" s="8" t="str">
        <x:v>приглашаем образовательных партнеров Руководитель функции Беларусь</x:v>
      </x:c>
      <x:c r="F74" s="8" t="n">
        <x:v>14</x:v>
      </x:c>
      <x:c r="G74" s="8" t="str">
        <x:v>template_not_executed</x:v>
      </x:c>
    </x:row>
    <x:row r="75" ht="31.5" customHeight="1">
      <x:c r="A75" s="8" t="str">
        <x:v>V6-Q070</x:v>
      </x:c>
      <x:c r="B75" s="8" t="str">
        <x:v>BY</x:v>
      </x:c>
      <x:c r="C75" s="8" t="str">
        <x:v>Руководитель функции</x:v>
      </x:c>
      <x:c r="D75" s="8" t="str">
        <x:v>subcontract</x:v>
      </x:c>
      <x:c r="E75" s="8" t="str">
        <x:v>разработка курса подрядчик Руководитель функции Беларусь</x:v>
      </x:c>
      <x:c r="F75" s="8" t="n">
        <x:v>14</x:v>
      </x:c>
      <x:c r="G75" s="8" t="str">
        <x:v>template_not_executed</x:v>
      </x:c>
    </x:row>
    <x:row r="76" ht="31.5" customHeight="1">
      <x:c r="A76" s="8" t="str">
        <x:v>V6-Q071</x:v>
      </x:c>
      <x:c r="B76" s="8" t="str">
        <x:v>BY</x:v>
      </x:c>
      <x:c r="C76" s="8" t="str">
        <x:v>Руководитель функции</x:v>
      </x:c>
      <x:c r="D76" s="8" t="str">
        <x:v>recommendation_request</x:v>
      </x:c>
      <x:c r="E76" s="8" t="str">
        <x:v>посоветуйте тренинг для команды Руководитель функции Беларусь</x:v>
      </x:c>
      <x:c r="F76" s="8" t="n">
        <x:v>14</x:v>
      </x:c>
      <x:c r="G76" s="8" t="str">
        <x:v>template_not_executed</x:v>
      </x:c>
    </x:row>
    <x:row r="77" ht="31.5" customHeight="1">
      <x:c r="A77" s="8" t="str">
        <x:v>V6-Q072</x:v>
      </x:c>
      <x:c r="B77" s="8" t="str">
        <x:v>BY</x:v>
      </x:c>
      <x:c r="C77" s="8" t="str">
        <x:v>Руководитель функции</x:v>
      </x:c>
      <x:c r="D77" s="8" t="str">
        <x:v>business_change</x:v>
      </x:c>
      <x:c r="E77" s="8" t="str">
        <x:v>обучение при запуске филиала Руководитель функции Беларусь</x:v>
      </x:c>
      <x:c r="F77" s="8" t="n">
        <x:v>14</x:v>
      </x:c>
      <x:c r="G77" s="8" t="str">
        <x:v>template_not_executed</x:v>
      </x:c>
    </x:row>
    <x:row r="78" ht="31.5" customHeight="1">
      <x:c r="A78" s="8" t="str">
        <x:v>V6-Q073</x:v>
      </x:c>
      <x:c r="B78" s="8" t="str">
        <x:v>BY</x:v>
      </x:c>
      <x:c r="C78" s="8" t="str">
        <x:v>КУ/методист</x:v>
      </x:c>
      <x:c r="D78" s="8" t="str">
        <x:v>explicit_request</x:v>
      </x:c>
      <x:c r="E78" s="8" t="str">
        <x:v>ищем провайдера обучения КУ/методист Беларусь</x:v>
      </x:c>
      <x:c r="F78" s="8" t="n">
        <x:v>14</x:v>
      </x:c>
      <x:c r="G78" s="8" t="str">
        <x:v>template_not_executed</x:v>
      </x:c>
    </x:row>
    <x:row r="79" ht="31.5" customHeight="1">
      <x:c r="A79" s="8" t="str">
        <x:v>V6-Q074</x:v>
      </x:c>
      <x:c r="B79" s="8" t="str">
        <x:v>BY</x:v>
      </x:c>
      <x:c r="C79" s="8" t="str">
        <x:v>КУ/методист</x:v>
      </x:c>
      <x:c r="D79" s="8" t="str">
        <x:v>expert_call</x:v>
      </x:c>
      <x:c r="E79" s="8" t="str">
        <x:v>нужен тренер спикер КУ/методист Беларусь</x:v>
      </x:c>
      <x:c r="F79" s="8" t="n">
        <x:v>14</x:v>
      </x:c>
      <x:c r="G79" s="8" t="str">
        <x:v>template_not_executed</x:v>
      </x:c>
    </x:row>
    <x:row r="80" ht="31.5" customHeight="1">
      <x:c r="A80" s="8" t="str">
        <x:v>V6-Q075</x:v>
      </x:c>
      <x:c r="B80" s="8" t="str">
        <x:v>BY</x:v>
      </x:c>
      <x:c r="C80" s="8" t="str">
        <x:v>КУ/методист</x:v>
      </x:c>
      <x:c r="D80" s="8" t="str">
        <x:v>partner_pool</x:v>
      </x:c>
      <x:c r="E80" s="8" t="str">
        <x:v>приглашаем образовательных партнеров КУ/методист Беларусь</x:v>
      </x:c>
      <x:c r="F80" s="8" t="n">
        <x:v>14</x:v>
      </x:c>
      <x:c r="G80" s="8" t="str">
        <x:v>template_not_executed</x:v>
      </x:c>
    </x:row>
    <x:row r="81" ht="31.5" customHeight="1">
      <x:c r="A81" s="8" t="str">
        <x:v>V6-Q076</x:v>
      </x:c>
      <x:c r="B81" s="8" t="str">
        <x:v>BY</x:v>
      </x:c>
      <x:c r="C81" s="8" t="str">
        <x:v>КУ/методист</x:v>
      </x:c>
      <x:c r="D81" s="8" t="str">
        <x:v>subcontract</x:v>
      </x:c>
      <x:c r="E81" s="8" t="str">
        <x:v>разработка курса подрядчик КУ/методист Беларусь</x:v>
      </x:c>
      <x:c r="F81" s="8" t="n">
        <x:v>14</x:v>
      </x:c>
      <x:c r="G81" s="8" t="str">
        <x:v>template_not_executed</x:v>
      </x:c>
    </x:row>
    <x:row r="82" ht="31.5" customHeight="1">
      <x:c r="A82" s="8" t="str">
        <x:v>V6-Q077</x:v>
      </x:c>
      <x:c r="B82" s="8" t="str">
        <x:v>BY</x:v>
      </x:c>
      <x:c r="C82" s="8" t="str">
        <x:v>КУ/методист</x:v>
      </x:c>
      <x:c r="D82" s="8" t="str">
        <x:v>recommendation_request</x:v>
      </x:c>
      <x:c r="E82" s="8" t="str">
        <x:v>посоветуйте тренинг для команды КУ/методист Беларусь</x:v>
      </x:c>
      <x:c r="F82" s="8" t="n">
        <x:v>14</x:v>
      </x:c>
      <x:c r="G82" s="8" t="str">
        <x:v>template_not_executed</x:v>
      </x:c>
    </x:row>
    <x:row r="83" ht="31.5" customHeight="1">
      <x:c r="A83" s="8" t="str">
        <x:v>V6-Q078</x:v>
      </x:c>
      <x:c r="B83" s="8" t="str">
        <x:v>BY</x:v>
      </x:c>
      <x:c r="C83" s="8" t="str">
        <x:v>КУ/методист</x:v>
      </x:c>
      <x:c r="D83" s="8" t="str">
        <x:v>business_change</x:v>
      </x:c>
      <x:c r="E83" s="8" t="str">
        <x:v>обучение при запуске филиала КУ/методист Беларусь</x:v>
      </x:c>
      <x:c r="F83" s="8" t="n">
        <x:v>14</x:v>
      </x:c>
      <x:c r="G83" s="8" t="str">
        <x:v>template_not_executed</x:v>
      </x:c>
    </x:row>
    <x:row r="84" ht="31.5" customHeight="1">
      <x:c r="A84" s="8" t="str">
        <x:v>V6-Q079</x:v>
      </x:c>
      <x:c r="B84" s="8" t="str">
        <x:v>BY</x:v>
      </x:c>
      <x:c r="C84" s="8" t="str">
        <x:v>Организатор/агентство</x:v>
      </x:c>
      <x:c r="D84" s="8" t="str">
        <x:v>explicit_request</x:v>
      </x:c>
      <x:c r="E84" s="8" t="str">
        <x:v>ищем провайдера обучения Организатор/агентство Беларусь</x:v>
      </x:c>
      <x:c r="F84" s="8" t="n">
        <x:v>14</x:v>
      </x:c>
      <x:c r="G84" s="8" t="str">
        <x:v>template_not_executed</x:v>
      </x:c>
    </x:row>
    <x:row r="85" ht="31.5" customHeight="1">
      <x:c r="A85" s="8" t="str">
        <x:v>V6-Q080</x:v>
      </x:c>
      <x:c r="B85" s="8" t="str">
        <x:v>BY</x:v>
      </x:c>
      <x:c r="C85" s="8" t="str">
        <x:v>Организатор/агентство</x:v>
      </x:c>
      <x:c r="D85" s="8" t="str">
        <x:v>expert_call</x:v>
      </x:c>
      <x:c r="E85" s="8" t="str">
        <x:v>нужен тренер спикер Организатор/агентство Беларусь</x:v>
      </x:c>
      <x:c r="F85" s="8" t="n">
        <x:v>14</x:v>
      </x:c>
      <x:c r="G85" s="8" t="str">
        <x:v>template_not_executed</x:v>
      </x:c>
    </x:row>
    <x:row r="86" ht="31.5" customHeight="1">
      <x:c r="A86" s="8" t="str">
        <x:v>V6-Q081</x:v>
      </x:c>
      <x:c r="B86" s="8" t="str">
        <x:v>BY</x:v>
      </x:c>
      <x:c r="C86" s="8" t="str">
        <x:v>Организатор/агентство</x:v>
      </x:c>
      <x:c r="D86" s="8" t="str">
        <x:v>partner_pool</x:v>
      </x:c>
      <x:c r="E86" s="8" t="str">
        <x:v>приглашаем образовательных партнеров Организатор/агентство Беларусь</x:v>
      </x:c>
      <x:c r="F86" s="8" t="n">
        <x:v>14</x:v>
      </x:c>
      <x:c r="G86" s="8" t="str">
        <x:v>template_not_executed</x:v>
      </x:c>
    </x:row>
    <x:row r="87" ht="31.5" customHeight="1">
      <x:c r="A87" s="8" t="str">
        <x:v>V6-Q082</x:v>
      </x:c>
      <x:c r="B87" s="8" t="str">
        <x:v>BY</x:v>
      </x:c>
      <x:c r="C87" s="8" t="str">
        <x:v>Организатор/агентство</x:v>
      </x:c>
      <x:c r="D87" s="8" t="str">
        <x:v>subcontract</x:v>
      </x:c>
      <x:c r="E87" s="8" t="str">
        <x:v>разработка курса подрядчик Организатор/агентство Беларусь</x:v>
      </x:c>
      <x:c r="F87" s="8" t="n">
        <x:v>14</x:v>
      </x:c>
      <x:c r="G87" s="8" t="str">
        <x:v>template_not_executed</x:v>
      </x:c>
    </x:row>
    <x:row r="88" ht="31.5" customHeight="1">
      <x:c r="A88" s="8" t="str">
        <x:v>V6-Q083</x:v>
      </x:c>
      <x:c r="B88" s="8" t="str">
        <x:v>BY</x:v>
      </x:c>
      <x:c r="C88" s="8" t="str">
        <x:v>Организатор/агентство</x:v>
      </x:c>
      <x:c r="D88" s="8" t="str">
        <x:v>recommendation_request</x:v>
      </x:c>
      <x:c r="E88" s="8" t="str">
        <x:v>посоветуйте тренинг для команды Организатор/агентство Беларусь</x:v>
      </x:c>
      <x:c r="F88" s="8" t="n">
        <x:v>14</x:v>
      </x:c>
      <x:c r="G88" s="8" t="str">
        <x:v>template_not_executed</x:v>
      </x:c>
    </x:row>
    <x:row r="89" ht="31.5" customHeight="1">
      <x:c r="A89" s="8" t="str">
        <x:v>V6-Q084</x:v>
      </x:c>
      <x:c r="B89" s="8" t="str">
        <x:v>BY</x:v>
      </x:c>
      <x:c r="C89" s="8" t="str">
        <x:v>Организатор/агентство</x:v>
      </x:c>
      <x:c r="D89" s="8" t="str">
        <x:v>business_change</x:v>
      </x:c>
      <x:c r="E89" s="8" t="str">
        <x:v>обучение при запуске филиала Организатор/агентство Беларусь</x:v>
      </x:c>
      <x:c r="F89" s="8" t="n">
        <x:v>14</x:v>
      </x:c>
      <x:c r="G89" s="8" t="str">
        <x:v>template_not_executed</x:v>
      </x:c>
    </x:row>
    <x:row r="90" ht="31.5" customHeight="1">
      <x:c r="A90" s="8" t="str">
        <x:v>V6-Q085</x:v>
      </x:c>
      <x:c r="B90" s="8" t="str">
        <x:v>BY</x:v>
      </x:c>
      <x:c r="C90" s="8" t="str">
        <x:v>Ассоциация/сообщество</x:v>
      </x:c>
      <x:c r="D90" s="8" t="str">
        <x:v>explicit_request</x:v>
      </x:c>
      <x:c r="E90" s="8" t="str">
        <x:v>ищем провайдера обучения Ассоциация/сообщество Беларусь</x:v>
      </x:c>
      <x:c r="F90" s="8" t="n">
        <x:v>14</x:v>
      </x:c>
      <x:c r="G90" s="8" t="str">
        <x:v>template_not_executed</x:v>
      </x:c>
    </x:row>
    <x:row r="91" ht="31.5" customHeight="1">
      <x:c r="A91" s="8" t="str">
        <x:v>V6-Q086</x:v>
      </x:c>
      <x:c r="B91" s="8" t="str">
        <x:v>BY</x:v>
      </x:c>
      <x:c r="C91" s="8" t="str">
        <x:v>Ассоциация/сообщество</x:v>
      </x:c>
      <x:c r="D91" s="8" t="str">
        <x:v>expert_call</x:v>
      </x:c>
      <x:c r="E91" s="8" t="str">
        <x:v>нужен тренер спикер Ассоциация/сообщество Беларусь</x:v>
      </x:c>
      <x:c r="F91" s="8" t="n">
        <x:v>14</x:v>
      </x:c>
      <x:c r="G91" s="8" t="str">
        <x:v>template_not_executed</x:v>
      </x:c>
    </x:row>
    <x:row r="92" ht="31.5" customHeight="1">
      <x:c r="A92" s="8" t="str">
        <x:v>V6-Q087</x:v>
      </x:c>
      <x:c r="B92" s="8" t="str">
        <x:v>BY</x:v>
      </x:c>
      <x:c r="C92" s="8" t="str">
        <x:v>Ассоциация/сообщество</x:v>
      </x:c>
      <x:c r="D92" s="8" t="str">
        <x:v>partner_pool</x:v>
      </x:c>
      <x:c r="E92" s="8" t="str">
        <x:v>приглашаем образовательных партнеров Ассоциация/сообщество Беларусь</x:v>
      </x:c>
      <x:c r="F92" s="8" t="n">
        <x:v>14</x:v>
      </x:c>
      <x:c r="G92" s="8" t="str">
        <x:v>template_not_executed</x:v>
      </x:c>
    </x:row>
    <x:row r="93" ht="31.5" customHeight="1">
      <x:c r="A93" s="8" t="str">
        <x:v>V6-Q088</x:v>
      </x:c>
      <x:c r="B93" s="8" t="str">
        <x:v>BY</x:v>
      </x:c>
      <x:c r="C93" s="8" t="str">
        <x:v>Ассоциация/сообщество</x:v>
      </x:c>
      <x:c r="D93" s="8" t="str">
        <x:v>subcontract</x:v>
      </x:c>
      <x:c r="E93" s="8" t="str">
        <x:v>разработка курса подрядчик Ассоциация/сообщество Беларусь</x:v>
      </x:c>
      <x:c r="F93" s="8" t="n">
        <x:v>14</x:v>
      </x:c>
      <x:c r="G93" s="8" t="str">
        <x:v>template_not_executed</x:v>
      </x:c>
    </x:row>
    <x:row r="94" ht="31.5" customHeight="1">
      <x:c r="A94" s="8" t="str">
        <x:v>V6-Q089</x:v>
      </x:c>
      <x:c r="B94" s="8" t="str">
        <x:v>BY</x:v>
      </x:c>
      <x:c r="C94" s="8" t="str">
        <x:v>Ассоциация/сообщество</x:v>
      </x:c>
      <x:c r="D94" s="8" t="str">
        <x:v>recommendation_request</x:v>
      </x:c>
      <x:c r="E94" s="8" t="str">
        <x:v>посоветуйте тренинг для команды Ассоциация/сообщество Беларусь</x:v>
      </x:c>
      <x:c r="F94" s="8" t="n">
        <x:v>14</x:v>
      </x:c>
      <x:c r="G94" s="8" t="str">
        <x:v>template_not_executed</x:v>
      </x:c>
    </x:row>
    <x:row r="95" ht="31.5" customHeight="1">
      <x:c r="A95" s="8" t="str">
        <x:v>V6-Q090</x:v>
      </x:c>
      <x:c r="B95" s="8" t="str">
        <x:v>BY</x:v>
      </x:c>
      <x:c r="C95" s="8" t="str">
        <x:v>Ассоциация/сообщество</x:v>
      </x:c>
      <x:c r="D95" s="8" t="str">
        <x:v>business_change</x:v>
      </x:c>
      <x:c r="E95" s="8" t="str">
        <x:v>обучение при запуске филиала Ассоциация/сообщество Беларусь</x:v>
      </x:c>
      <x:c r="F95" s="8" t="n">
        <x:v>14</x:v>
      </x:c>
      <x:c r="G95" s="8" t="str">
        <x:v>template_not_executed</x:v>
      </x:c>
    </x:row>
    <x:row r="96" ht="31.5" customHeight="1">
      <x:c r="A96" s="8" t="str">
        <x:v>V6-Q091</x:v>
      </x:c>
      <x:c r="B96" s="8" t="str">
        <x:v>BY</x:v>
      </x:c>
      <x:c r="C96" s="8" t="str">
        <x:v>EdTech/провайдер</x:v>
      </x:c>
      <x:c r="D96" s="8" t="str">
        <x:v>explicit_request</x:v>
      </x:c>
      <x:c r="E96" s="8" t="str">
        <x:v>ищем провайдера обучения EdTech/провайдер Беларусь</x:v>
      </x:c>
      <x:c r="F96" s="8" t="n">
        <x:v>14</x:v>
      </x:c>
      <x:c r="G96" s="8" t="str">
        <x:v>template_not_executed</x:v>
      </x:c>
    </x:row>
    <x:row r="97" ht="31.5" customHeight="1">
      <x:c r="A97" s="8" t="str">
        <x:v>V6-Q092</x:v>
      </x:c>
      <x:c r="B97" s="8" t="str">
        <x:v>BY</x:v>
      </x:c>
      <x:c r="C97" s="8" t="str">
        <x:v>EdTech/провайдер</x:v>
      </x:c>
      <x:c r="D97" s="8" t="str">
        <x:v>expert_call</x:v>
      </x:c>
      <x:c r="E97" s="8" t="str">
        <x:v>нужен тренер спикер EdTech/провайдер Беларусь</x:v>
      </x:c>
      <x:c r="F97" s="8" t="n">
        <x:v>14</x:v>
      </x:c>
      <x:c r="G97" s="8" t="str">
        <x:v>template_not_executed</x:v>
      </x:c>
    </x:row>
    <x:row r="98" ht="31.5" customHeight="1">
      <x:c r="A98" s="8" t="str">
        <x:v>V6-Q093</x:v>
      </x:c>
      <x:c r="B98" s="8" t="str">
        <x:v>BY</x:v>
      </x:c>
      <x:c r="C98" s="8" t="str">
        <x:v>EdTech/провайдер</x:v>
      </x:c>
      <x:c r="D98" s="8" t="str">
        <x:v>partner_pool</x:v>
      </x:c>
      <x:c r="E98" s="8" t="str">
        <x:v>приглашаем образовательных партнеров EdTech/провайдер Беларусь</x:v>
      </x:c>
      <x:c r="F98" s="8" t="n">
        <x:v>14</x:v>
      </x:c>
      <x:c r="G98" s="8" t="str">
        <x:v>template_not_executed</x:v>
      </x:c>
    </x:row>
    <x:row r="99" ht="31.5" customHeight="1">
      <x:c r="A99" s="8" t="str">
        <x:v>V6-Q094</x:v>
      </x:c>
      <x:c r="B99" s="8" t="str">
        <x:v>BY</x:v>
      </x:c>
      <x:c r="C99" s="8" t="str">
        <x:v>EdTech/провайдер</x:v>
      </x:c>
      <x:c r="D99" s="8" t="str">
        <x:v>subcontract</x:v>
      </x:c>
      <x:c r="E99" s="8" t="str">
        <x:v>разработка курса подрядчик EdTech/провайдер Беларусь</x:v>
      </x:c>
      <x:c r="F99" s="8" t="n">
        <x:v>14</x:v>
      </x:c>
      <x:c r="G99" s="8" t="str">
        <x:v>template_not_executed</x:v>
      </x:c>
    </x:row>
    <x:row r="100" ht="31.5" customHeight="1">
      <x:c r="A100" s="8" t="str">
        <x:v>V6-Q095</x:v>
      </x:c>
      <x:c r="B100" s="8" t="str">
        <x:v>BY</x:v>
      </x:c>
      <x:c r="C100" s="8" t="str">
        <x:v>EdTech/провайдер</x:v>
      </x:c>
      <x:c r="D100" s="8" t="str">
        <x:v>recommendation_request</x:v>
      </x:c>
      <x:c r="E100" s="8" t="str">
        <x:v>посоветуйте тренинг для команды EdTech/провайдер Беларусь</x:v>
      </x:c>
      <x:c r="F100" s="8" t="n">
        <x:v>14</x:v>
      </x:c>
      <x:c r="G100" s="8" t="str">
        <x:v>template_not_executed</x:v>
      </x:c>
    </x:row>
    <x:row r="101" ht="31.5" customHeight="1">
      <x:c r="A101" s="8" t="str">
        <x:v>V6-Q096</x:v>
      </x:c>
      <x:c r="B101" s="8" t="str">
        <x:v>BY</x:v>
      </x:c>
      <x:c r="C101" s="8" t="str">
        <x:v>EdTech/провайдер</x:v>
      </x:c>
      <x:c r="D101" s="8" t="str">
        <x:v>business_change</x:v>
      </x:c>
      <x:c r="E101" s="8" t="str">
        <x:v>обучение при запуске филиала EdTech/провайдер Беларусь</x:v>
      </x:c>
      <x:c r="F101" s="8" t="n">
        <x:v>14</x:v>
      </x:c>
      <x:c r="G101" s="8" t="str">
        <x:v>template_not_executed</x:v>
      </x:c>
    </x:row>
    <x:row r="102" ht="31.5" customHeight="1">
      <x:c r="A102" s="8" t="str">
        <x:v>V6-Q097</x:v>
      </x:c>
      <x:c r="B102" s="8" t="str">
        <x:v>KZ</x:v>
      </x:c>
      <x:c r="C102" s="8" t="str">
        <x:v>HR/L&amp;D</x:v>
      </x:c>
      <x:c r="D102" s="8" t="str">
        <x:v>explicit_request</x:v>
      </x:c>
      <x:c r="E102" s="8" t="str">
        <x:v>ищем провайдера обучения HR/L&amp;D Казахстан</x:v>
      </x:c>
      <x:c r="F102" s="8" t="n">
        <x:v>14</x:v>
      </x:c>
      <x:c r="G102" s="8" t="str">
        <x:v>template_not_executed</x:v>
      </x:c>
    </x:row>
    <x:row r="103" ht="31.5" customHeight="1">
      <x:c r="A103" s="8" t="str">
        <x:v>V6-Q098</x:v>
      </x:c>
      <x:c r="B103" s="8" t="str">
        <x:v>KZ</x:v>
      </x:c>
      <x:c r="C103" s="8" t="str">
        <x:v>HR/L&amp;D</x:v>
      </x:c>
      <x:c r="D103" s="8" t="str">
        <x:v>expert_call</x:v>
      </x:c>
      <x:c r="E103" s="8" t="str">
        <x:v>нужен тренер спикер HR/L&amp;D Казахстан</x:v>
      </x:c>
      <x:c r="F103" s="8" t="n">
        <x:v>14</x:v>
      </x:c>
      <x:c r="G103" s="8" t="str">
        <x:v>template_not_executed</x:v>
      </x:c>
    </x:row>
    <x:row r="104" ht="31.5" customHeight="1">
      <x:c r="A104" s="8" t="str">
        <x:v>V6-Q099</x:v>
      </x:c>
      <x:c r="B104" s="8" t="str">
        <x:v>KZ</x:v>
      </x:c>
      <x:c r="C104" s="8" t="str">
        <x:v>HR/L&amp;D</x:v>
      </x:c>
      <x:c r="D104" s="8" t="str">
        <x:v>partner_pool</x:v>
      </x:c>
      <x:c r="E104" s="8" t="str">
        <x:v>приглашаем образовательных партнеров HR/L&amp;D Казахстан</x:v>
      </x:c>
      <x:c r="F104" s="8" t="n">
        <x:v>14</x:v>
      </x:c>
      <x:c r="G104" s="8" t="str">
        <x:v>template_not_executed</x:v>
      </x:c>
    </x:row>
    <x:row r="105" ht="31.5" customHeight="1">
      <x:c r="A105" s="8" t="str">
        <x:v>V6-Q100</x:v>
      </x:c>
      <x:c r="B105" s="8" t="str">
        <x:v>KZ</x:v>
      </x:c>
      <x:c r="C105" s="8" t="str">
        <x:v>HR/L&amp;D</x:v>
      </x:c>
      <x:c r="D105" s="8" t="str">
        <x:v>subcontract</x:v>
      </x:c>
      <x:c r="E105" s="8" t="str">
        <x:v>разработка курса подрядчик HR/L&amp;D Казахстан</x:v>
      </x:c>
      <x:c r="F105" s="8" t="n">
        <x:v>14</x:v>
      </x:c>
      <x:c r="G105" s="8" t="str">
        <x:v>template_not_executed</x:v>
      </x:c>
    </x:row>
    <x:row r="106" ht="31.5" customHeight="1">
      <x:c r="A106" s="8" t="str">
        <x:v>V6-Q101</x:v>
      </x:c>
      <x:c r="B106" s="8" t="str">
        <x:v>KZ</x:v>
      </x:c>
      <x:c r="C106" s="8" t="str">
        <x:v>HR/L&amp;D</x:v>
      </x:c>
      <x:c r="D106" s="8" t="str">
        <x:v>recommendation_request</x:v>
      </x:c>
      <x:c r="E106" s="8" t="str">
        <x:v>посоветуйте тренинг для команды HR/L&amp;D Казахстан</x:v>
      </x:c>
      <x:c r="F106" s="8" t="n">
        <x:v>14</x:v>
      </x:c>
      <x:c r="G106" s="8" t="str">
        <x:v>template_not_executed</x:v>
      </x:c>
    </x:row>
    <x:row r="107" ht="31.5" customHeight="1">
      <x:c r="A107" s="8" t="str">
        <x:v>V6-Q102</x:v>
      </x:c>
      <x:c r="B107" s="8" t="str">
        <x:v>KZ</x:v>
      </x:c>
      <x:c r="C107" s="8" t="str">
        <x:v>HR/L&amp;D</x:v>
      </x:c>
      <x:c r="D107" s="8" t="str">
        <x:v>business_change</x:v>
      </x:c>
      <x:c r="E107" s="8" t="str">
        <x:v>обучение при запуске филиала HR/L&amp;D Казахстан</x:v>
      </x:c>
      <x:c r="F107" s="8" t="n">
        <x:v>14</x:v>
      </x:c>
      <x:c r="G107" s="8" t="str">
        <x:v>template_not_executed</x:v>
      </x:c>
    </x:row>
    <x:row r="108" ht="31.5" customHeight="1">
      <x:c r="A108" s="8" t="str">
        <x:v>V6-Q103</x:v>
      </x:c>
      <x:c r="B108" s="8" t="str">
        <x:v>KZ</x:v>
      </x:c>
      <x:c r="C108" s="8" t="str">
        <x:v>Закупки</x:v>
      </x:c>
      <x:c r="D108" s="8" t="str">
        <x:v>explicit_request</x:v>
      </x:c>
      <x:c r="E108" s="8" t="str">
        <x:v>ищем провайдера обучения Закупки Казахстан</x:v>
      </x:c>
      <x:c r="F108" s="8" t="n">
        <x:v>14</x:v>
      </x:c>
      <x:c r="G108" s="8" t="str">
        <x:v>template_not_executed</x:v>
      </x:c>
    </x:row>
    <x:row r="109" ht="31.5" customHeight="1">
      <x:c r="A109" s="8" t="str">
        <x:v>V6-Q104</x:v>
      </x:c>
      <x:c r="B109" s="8" t="str">
        <x:v>KZ</x:v>
      </x:c>
      <x:c r="C109" s="8" t="str">
        <x:v>Закупки</x:v>
      </x:c>
      <x:c r="D109" s="8" t="str">
        <x:v>expert_call</x:v>
      </x:c>
      <x:c r="E109" s="8" t="str">
        <x:v>нужен тренер спикер Закупки Казахстан</x:v>
      </x:c>
      <x:c r="F109" s="8" t="n">
        <x:v>14</x:v>
      </x:c>
      <x:c r="G109" s="8" t="str">
        <x:v>template_not_executed</x:v>
      </x:c>
    </x:row>
    <x:row r="110" ht="31.5" customHeight="1">
      <x:c r="A110" s="8" t="str">
        <x:v>V6-Q105</x:v>
      </x:c>
      <x:c r="B110" s="8" t="str">
        <x:v>KZ</x:v>
      </x:c>
      <x:c r="C110" s="8" t="str">
        <x:v>Закупки</x:v>
      </x:c>
      <x:c r="D110" s="8" t="str">
        <x:v>partner_pool</x:v>
      </x:c>
      <x:c r="E110" s="8" t="str">
        <x:v>приглашаем образовательных партнеров Закупки Казахстан</x:v>
      </x:c>
      <x:c r="F110" s="8" t="n">
        <x:v>14</x:v>
      </x:c>
      <x:c r="G110" s="8" t="str">
        <x:v>template_not_executed</x:v>
      </x:c>
    </x:row>
    <x:row r="111" ht="31.5" customHeight="1">
      <x:c r="A111" s="8" t="str">
        <x:v>V6-Q106</x:v>
      </x:c>
      <x:c r="B111" s="8" t="str">
        <x:v>KZ</x:v>
      </x:c>
      <x:c r="C111" s="8" t="str">
        <x:v>Закупки</x:v>
      </x:c>
      <x:c r="D111" s="8" t="str">
        <x:v>subcontract</x:v>
      </x:c>
      <x:c r="E111" s="8" t="str">
        <x:v>разработка курса подрядчик Закупки Казахстан</x:v>
      </x:c>
      <x:c r="F111" s="8" t="n">
        <x:v>14</x:v>
      </x:c>
      <x:c r="G111" s="8" t="str">
        <x:v>template_not_executed</x:v>
      </x:c>
    </x:row>
    <x:row r="112" ht="31.5" customHeight="1">
      <x:c r="A112" s="8" t="str">
        <x:v>V6-Q107</x:v>
      </x:c>
      <x:c r="B112" s="8" t="str">
        <x:v>KZ</x:v>
      </x:c>
      <x:c r="C112" s="8" t="str">
        <x:v>Закупки</x:v>
      </x:c>
      <x:c r="D112" s="8" t="str">
        <x:v>recommendation_request</x:v>
      </x:c>
      <x:c r="E112" s="8" t="str">
        <x:v>посоветуйте тренинг для команды Закупки Казахстан</x:v>
      </x:c>
      <x:c r="F112" s="8" t="n">
        <x:v>14</x:v>
      </x:c>
      <x:c r="G112" s="8" t="str">
        <x:v>template_not_executed</x:v>
      </x:c>
    </x:row>
    <x:row r="113" ht="31.5" customHeight="1">
      <x:c r="A113" s="8" t="str">
        <x:v>V6-Q108</x:v>
      </x:c>
      <x:c r="B113" s="8" t="str">
        <x:v>KZ</x:v>
      </x:c>
      <x:c r="C113" s="8" t="str">
        <x:v>Закупки</x:v>
      </x:c>
      <x:c r="D113" s="8" t="str">
        <x:v>business_change</x:v>
      </x:c>
      <x:c r="E113" s="8" t="str">
        <x:v>обучение при запуске филиала Закупки Казахстан</x:v>
      </x:c>
      <x:c r="F113" s="8" t="n">
        <x:v>14</x:v>
      </x:c>
      <x:c r="G113" s="8" t="str">
        <x:v>template_not_executed</x:v>
      </x:c>
    </x:row>
    <x:row r="114" ht="31.5" customHeight="1">
      <x:c r="A114" s="8" t="str">
        <x:v>V6-Q109</x:v>
      </x:c>
      <x:c r="B114" s="8" t="str">
        <x:v>KZ</x:v>
      </x:c>
      <x:c r="C114" s="8" t="str">
        <x:v>Руководитель бизнеса</x:v>
      </x:c>
      <x:c r="D114" s="8" t="str">
        <x:v>explicit_request</x:v>
      </x:c>
      <x:c r="E114" s="8" t="str">
        <x:v>ищем провайдера обучения Руководитель бизнеса Казахстан</x:v>
      </x:c>
      <x:c r="F114" s="8" t="n">
        <x:v>14</x:v>
      </x:c>
      <x:c r="G114" s="8" t="str">
        <x:v>template_not_executed</x:v>
      </x:c>
    </x:row>
    <x:row r="115" ht="31.5" customHeight="1">
      <x:c r="A115" s="8" t="str">
        <x:v>V6-Q110</x:v>
      </x:c>
      <x:c r="B115" s="8" t="str">
        <x:v>KZ</x:v>
      </x:c>
      <x:c r="C115" s="8" t="str">
        <x:v>Руководитель бизнеса</x:v>
      </x:c>
      <x:c r="D115" s="8" t="str">
        <x:v>expert_call</x:v>
      </x:c>
      <x:c r="E115" s="8" t="str">
        <x:v>нужен тренер спикер Руководитель бизнеса Казахстан</x:v>
      </x:c>
      <x:c r="F115" s="8" t="n">
        <x:v>14</x:v>
      </x:c>
      <x:c r="G115" s="8" t="str">
        <x:v>template_not_executed</x:v>
      </x:c>
    </x:row>
    <x:row r="116" ht="31.5" customHeight="1">
      <x:c r="A116" s="8" t="str">
        <x:v>V6-Q111</x:v>
      </x:c>
      <x:c r="B116" s="8" t="str">
        <x:v>KZ</x:v>
      </x:c>
      <x:c r="C116" s="8" t="str">
        <x:v>Руководитель бизнеса</x:v>
      </x:c>
      <x:c r="D116" s="8" t="str">
        <x:v>partner_pool</x:v>
      </x:c>
      <x:c r="E116" s="8" t="str">
        <x:v>приглашаем образовательных партнеров Руководитель бизнеса Казахстан</x:v>
      </x:c>
      <x:c r="F116" s="8" t="n">
        <x:v>14</x:v>
      </x:c>
      <x:c r="G116" s="8" t="str">
        <x:v>template_not_executed</x:v>
      </x:c>
    </x:row>
    <x:row r="117" ht="31.5" customHeight="1">
      <x:c r="A117" s="8" t="str">
        <x:v>V6-Q112</x:v>
      </x:c>
      <x:c r="B117" s="8" t="str">
        <x:v>KZ</x:v>
      </x:c>
      <x:c r="C117" s="8" t="str">
        <x:v>Руководитель бизнеса</x:v>
      </x:c>
      <x:c r="D117" s="8" t="str">
        <x:v>subcontract</x:v>
      </x:c>
      <x:c r="E117" s="8" t="str">
        <x:v>разработка курса подрядчик Руководитель бизнеса Казахстан</x:v>
      </x:c>
      <x:c r="F117" s="8" t="n">
        <x:v>14</x:v>
      </x:c>
      <x:c r="G117" s="8" t="str">
        <x:v>template_not_executed</x:v>
      </x:c>
    </x:row>
    <x:row r="118" ht="31.5" customHeight="1">
      <x:c r="A118" s="8" t="str">
        <x:v>V6-Q113</x:v>
      </x:c>
      <x:c r="B118" s="8" t="str">
        <x:v>KZ</x:v>
      </x:c>
      <x:c r="C118" s="8" t="str">
        <x:v>Руководитель бизнеса</x:v>
      </x:c>
      <x:c r="D118" s="8" t="str">
        <x:v>recommendation_request</x:v>
      </x:c>
      <x:c r="E118" s="8" t="str">
        <x:v>посоветуйте тренинг для команды Руководитель бизнеса Казахстан</x:v>
      </x:c>
      <x:c r="F118" s="8" t="n">
        <x:v>14</x:v>
      </x:c>
      <x:c r="G118" s="8" t="str">
        <x:v>template_not_executed</x:v>
      </x:c>
    </x:row>
    <x:row r="119" ht="31.5" customHeight="1">
      <x:c r="A119" s="8" t="str">
        <x:v>V6-Q114</x:v>
      </x:c>
      <x:c r="B119" s="8" t="str">
        <x:v>KZ</x:v>
      </x:c>
      <x:c r="C119" s="8" t="str">
        <x:v>Руководитель бизнеса</x:v>
      </x:c>
      <x:c r="D119" s="8" t="str">
        <x:v>business_change</x:v>
      </x:c>
      <x:c r="E119" s="8" t="str">
        <x:v>обучение при запуске филиала Руководитель бизнеса Казахстан</x:v>
      </x:c>
      <x:c r="F119" s="8" t="n">
        <x:v>14</x:v>
      </x:c>
      <x:c r="G119" s="8" t="str">
        <x:v>template_not_executed</x:v>
      </x:c>
    </x:row>
    <x:row r="120" ht="31.5" customHeight="1">
      <x:c r="A120" s="8" t="str">
        <x:v>V6-Q115</x:v>
      </x:c>
      <x:c r="B120" s="8" t="str">
        <x:v>KZ</x:v>
      </x:c>
      <x:c r="C120" s="8" t="str">
        <x:v>Руководитель функции</x:v>
      </x:c>
      <x:c r="D120" s="8" t="str">
        <x:v>explicit_request</x:v>
      </x:c>
      <x:c r="E120" s="8" t="str">
        <x:v>ищем провайдера обучения Руководитель функции Казахстан</x:v>
      </x:c>
      <x:c r="F120" s="8" t="n">
        <x:v>14</x:v>
      </x:c>
      <x:c r="G120" s="8" t="str">
        <x:v>template_not_executed</x:v>
      </x:c>
    </x:row>
    <x:row r="121" ht="31.5" customHeight="1">
      <x:c r="A121" s="8" t="str">
        <x:v>V6-Q116</x:v>
      </x:c>
      <x:c r="B121" s="8" t="str">
        <x:v>KZ</x:v>
      </x:c>
      <x:c r="C121" s="8" t="str">
        <x:v>Руководитель функции</x:v>
      </x:c>
      <x:c r="D121" s="8" t="str">
        <x:v>expert_call</x:v>
      </x:c>
      <x:c r="E121" s="8" t="str">
        <x:v>нужен тренер спикер Руководитель функции Казахстан</x:v>
      </x:c>
      <x:c r="F121" s="8" t="n">
        <x:v>14</x:v>
      </x:c>
      <x:c r="G121" s="8" t="str">
        <x:v>template_not_executed</x:v>
      </x:c>
    </x:row>
    <x:row r="122" ht="31.5" customHeight="1">
      <x:c r="A122" s="8" t="str">
        <x:v>V6-Q117</x:v>
      </x:c>
      <x:c r="B122" s="8" t="str">
        <x:v>KZ</x:v>
      </x:c>
      <x:c r="C122" s="8" t="str">
        <x:v>Руководитель функции</x:v>
      </x:c>
      <x:c r="D122" s="8" t="str">
        <x:v>partner_pool</x:v>
      </x:c>
      <x:c r="E122" s="8" t="str">
        <x:v>приглашаем образовательных партнеров Руководитель функции Казахстан</x:v>
      </x:c>
      <x:c r="F122" s="8" t="n">
        <x:v>14</x:v>
      </x:c>
      <x:c r="G122" s="8" t="str">
        <x:v>template_not_executed</x:v>
      </x:c>
    </x:row>
    <x:row r="123" ht="31.5" customHeight="1">
      <x:c r="A123" s="8" t="str">
        <x:v>V6-Q118</x:v>
      </x:c>
      <x:c r="B123" s="8" t="str">
        <x:v>KZ</x:v>
      </x:c>
      <x:c r="C123" s="8" t="str">
        <x:v>Руководитель функции</x:v>
      </x:c>
      <x:c r="D123" s="8" t="str">
        <x:v>subcontract</x:v>
      </x:c>
      <x:c r="E123" s="8" t="str">
        <x:v>разработка курса подрядчик Руководитель функции Казахстан</x:v>
      </x:c>
      <x:c r="F123" s="8" t="n">
        <x:v>14</x:v>
      </x:c>
      <x:c r="G123" s="8" t="str">
        <x:v>template_not_executed</x:v>
      </x:c>
    </x:row>
    <x:row r="124" ht="31.5" customHeight="1">
      <x:c r="A124" s="8" t="str">
        <x:v>V6-Q119</x:v>
      </x:c>
      <x:c r="B124" s="8" t="str">
        <x:v>KZ</x:v>
      </x:c>
      <x:c r="C124" s="8" t="str">
        <x:v>Руководитель функции</x:v>
      </x:c>
      <x:c r="D124" s="8" t="str">
        <x:v>recommendation_request</x:v>
      </x:c>
      <x:c r="E124" s="8" t="str">
        <x:v>посоветуйте тренинг для команды Руководитель функции Казахстан</x:v>
      </x:c>
      <x:c r="F124" s="8" t="n">
        <x:v>14</x:v>
      </x:c>
      <x:c r="G124" s="8" t="str">
        <x:v>template_not_executed</x:v>
      </x:c>
    </x:row>
    <x:row r="125" ht="31.5" customHeight="1">
      <x:c r="A125" s="8" t="str">
        <x:v>V6-Q120</x:v>
      </x:c>
      <x:c r="B125" s="8" t="str">
        <x:v>KZ</x:v>
      </x:c>
      <x:c r="C125" s="8" t="str">
        <x:v>Руководитель функции</x:v>
      </x:c>
      <x:c r="D125" s="8" t="str">
        <x:v>business_change</x:v>
      </x:c>
      <x:c r="E125" s="8" t="str">
        <x:v>обучение при запуске филиала Руководитель функции Казахстан</x:v>
      </x:c>
      <x:c r="F125" s="8" t="n">
        <x:v>14</x:v>
      </x:c>
      <x:c r="G125" s="8" t="str">
        <x:v>template_not_executed</x:v>
      </x:c>
    </x:row>
    <x:row r="126" ht="31.5" customHeight="1">
      <x:c r="A126" s="8" t="str">
        <x:v>V6-Q121</x:v>
      </x:c>
      <x:c r="B126" s="8" t="str">
        <x:v>KZ</x:v>
      </x:c>
      <x:c r="C126" s="8" t="str">
        <x:v>КУ/методист</x:v>
      </x:c>
      <x:c r="D126" s="8" t="str">
        <x:v>explicit_request</x:v>
      </x:c>
      <x:c r="E126" s="8" t="str">
        <x:v>ищем провайдера обучения КУ/методист Казахстан</x:v>
      </x:c>
      <x:c r="F126" s="8" t="n">
        <x:v>14</x:v>
      </x:c>
      <x:c r="G126" s="8" t="str">
        <x:v>template_not_executed</x:v>
      </x:c>
    </x:row>
    <x:row r="127" ht="31.5" customHeight="1">
      <x:c r="A127" s="8" t="str">
        <x:v>V6-Q122</x:v>
      </x:c>
      <x:c r="B127" s="8" t="str">
        <x:v>KZ</x:v>
      </x:c>
      <x:c r="C127" s="8" t="str">
        <x:v>КУ/методист</x:v>
      </x:c>
      <x:c r="D127" s="8" t="str">
        <x:v>expert_call</x:v>
      </x:c>
      <x:c r="E127" s="8" t="str">
        <x:v>нужен тренер спикер КУ/методист Казахстан</x:v>
      </x:c>
      <x:c r="F127" s="8" t="n">
        <x:v>14</x:v>
      </x:c>
      <x:c r="G127" s="8" t="str">
        <x:v>template_not_executed</x:v>
      </x:c>
    </x:row>
    <x:row r="128" ht="31.5" customHeight="1">
      <x:c r="A128" s="8" t="str">
        <x:v>V6-Q123</x:v>
      </x:c>
      <x:c r="B128" s="8" t="str">
        <x:v>KZ</x:v>
      </x:c>
      <x:c r="C128" s="8" t="str">
        <x:v>КУ/методист</x:v>
      </x:c>
      <x:c r="D128" s="8" t="str">
        <x:v>partner_pool</x:v>
      </x:c>
      <x:c r="E128" s="8" t="str">
        <x:v>приглашаем образовательных партнеров КУ/методист Казахстан</x:v>
      </x:c>
      <x:c r="F128" s="8" t="n">
        <x:v>14</x:v>
      </x:c>
      <x:c r="G128" s="8" t="str">
        <x:v>template_not_executed</x:v>
      </x:c>
    </x:row>
    <x:row r="129" ht="31.5" customHeight="1">
      <x:c r="A129" s="8" t="str">
        <x:v>V6-Q124</x:v>
      </x:c>
      <x:c r="B129" s="8" t="str">
        <x:v>KZ</x:v>
      </x:c>
      <x:c r="C129" s="8" t="str">
        <x:v>КУ/методист</x:v>
      </x:c>
      <x:c r="D129" s="8" t="str">
        <x:v>subcontract</x:v>
      </x:c>
      <x:c r="E129" s="8" t="str">
        <x:v>разработка курса подрядчик КУ/методист Казахстан</x:v>
      </x:c>
      <x:c r="F129" s="8" t="n">
        <x:v>14</x:v>
      </x:c>
      <x:c r="G129" s="8" t="str">
        <x:v>template_not_executed</x:v>
      </x:c>
    </x:row>
    <x:row r="130" ht="31.5" customHeight="1">
      <x:c r="A130" s="8" t="str">
        <x:v>V6-Q125</x:v>
      </x:c>
      <x:c r="B130" s="8" t="str">
        <x:v>KZ</x:v>
      </x:c>
      <x:c r="C130" s="8" t="str">
        <x:v>КУ/методист</x:v>
      </x:c>
      <x:c r="D130" s="8" t="str">
        <x:v>recommendation_request</x:v>
      </x:c>
      <x:c r="E130" s="8" t="str">
        <x:v>посоветуйте тренинг для команды КУ/методист Казахстан</x:v>
      </x:c>
      <x:c r="F130" s="8" t="n">
        <x:v>14</x:v>
      </x:c>
      <x:c r="G130" s="8" t="str">
        <x:v>template_not_executed</x:v>
      </x:c>
    </x:row>
    <x:row r="131" ht="31.5" customHeight="1">
      <x:c r="A131" s="8" t="str">
        <x:v>V6-Q126</x:v>
      </x:c>
      <x:c r="B131" s="8" t="str">
        <x:v>KZ</x:v>
      </x:c>
      <x:c r="C131" s="8" t="str">
        <x:v>КУ/методист</x:v>
      </x:c>
      <x:c r="D131" s="8" t="str">
        <x:v>business_change</x:v>
      </x:c>
      <x:c r="E131" s="8" t="str">
        <x:v>обучение при запуске филиала КУ/методист Казахстан</x:v>
      </x:c>
      <x:c r="F131" s="8" t="n">
        <x:v>14</x:v>
      </x:c>
      <x:c r="G131" s="8" t="str">
        <x:v>template_not_executed</x:v>
      </x:c>
    </x:row>
    <x:row r="132" ht="31.5" customHeight="1">
      <x:c r="A132" s="8" t="str">
        <x:v>V6-Q127</x:v>
      </x:c>
      <x:c r="B132" s="8" t="str">
        <x:v>KZ</x:v>
      </x:c>
      <x:c r="C132" s="8" t="str">
        <x:v>Организатор/агентство</x:v>
      </x:c>
      <x:c r="D132" s="8" t="str">
        <x:v>explicit_request</x:v>
      </x:c>
      <x:c r="E132" s="8" t="str">
        <x:v>ищем провайдера обучения Организатор/агентство Казахстан</x:v>
      </x:c>
      <x:c r="F132" s="8" t="n">
        <x:v>14</x:v>
      </x:c>
      <x:c r="G132" s="8" t="str">
        <x:v>template_not_executed</x:v>
      </x:c>
    </x:row>
    <x:row r="133" ht="31.5" customHeight="1">
      <x:c r="A133" s="8" t="str">
        <x:v>V6-Q128</x:v>
      </x:c>
      <x:c r="B133" s="8" t="str">
        <x:v>KZ</x:v>
      </x:c>
      <x:c r="C133" s="8" t="str">
        <x:v>Организатор/агентство</x:v>
      </x:c>
      <x:c r="D133" s="8" t="str">
        <x:v>expert_call</x:v>
      </x:c>
      <x:c r="E133" s="8" t="str">
        <x:v>нужен тренер спикер Организатор/агентство Казахстан</x:v>
      </x:c>
      <x:c r="F133" s="8" t="n">
        <x:v>14</x:v>
      </x:c>
      <x:c r="G133" s="8" t="str">
        <x:v>template_not_executed</x:v>
      </x:c>
    </x:row>
    <x:row r="134" ht="31.5" customHeight="1">
      <x:c r="A134" s="8" t="str">
        <x:v>V6-Q129</x:v>
      </x:c>
      <x:c r="B134" s="8" t="str">
        <x:v>KZ</x:v>
      </x:c>
      <x:c r="C134" s="8" t="str">
        <x:v>Организатор/агентство</x:v>
      </x:c>
      <x:c r="D134" s="8" t="str">
        <x:v>partner_pool</x:v>
      </x:c>
      <x:c r="E134" s="8" t="str">
        <x:v>приглашаем образовательных партнеров Организатор/агентство Казахстан</x:v>
      </x:c>
      <x:c r="F134" s="8" t="n">
        <x:v>14</x:v>
      </x:c>
      <x:c r="G134" s="8" t="str">
        <x:v>template_not_executed</x:v>
      </x:c>
    </x:row>
    <x:row r="135" ht="31.5" customHeight="1">
      <x:c r="A135" s="8" t="str">
        <x:v>V6-Q130</x:v>
      </x:c>
      <x:c r="B135" s="8" t="str">
        <x:v>KZ</x:v>
      </x:c>
      <x:c r="C135" s="8" t="str">
        <x:v>Организатор/агентство</x:v>
      </x:c>
      <x:c r="D135" s="8" t="str">
        <x:v>subcontract</x:v>
      </x:c>
      <x:c r="E135" s="8" t="str">
        <x:v>разработка курса подрядчик Организатор/агентство Казахстан</x:v>
      </x:c>
      <x:c r="F135" s="8" t="n">
        <x:v>14</x:v>
      </x:c>
      <x:c r="G135" s="8" t="str">
        <x:v>template_not_executed</x:v>
      </x:c>
    </x:row>
    <x:row r="136" ht="31.5" customHeight="1">
      <x:c r="A136" s="8" t="str">
        <x:v>V6-Q131</x:v>
      </x:c>
      <x:c r="B136" s="8" t="str">
        <x:v>KZ</x:v>
      </x:c>
      <x:c r="C136" s="8" t="str">
        <x:v>Организатор/агентство</x:v>
      </x:c>
      <x:c r="D136" s="8" t="str">
        <x:v>recommendation_request</x:v>
      </x:c>
      <x:c r="E136" s="8" t="str">
        <x:v>посоветуйте тренинг для команды Организатор/агентство Казахстан</x:v>
      </x:c>
      <x:c r="F136" s="8" t="n">
        <x:v>14</x:v>
      </x:c>
      <x:c r="G136" s="8" t="str">
        <x:v>template_not_executed</x:v>
      </x:c>
    </x:row>
    <x:row r="137" ht="31.5" customHeight="1">
      <x:c r="A137" s="8" t="str">
        <x:v>V6-Q132</x:v>
      </x:c>
      <x:c r="B137" s="8" t="str">
        <x:v>KZ</x:v>
      </x:c>
      <x:c r="C137" s="8" t="str">
        <x:v>Организатор/агентство</x:v>
      </x:c>
      <x:c r="D137" s="8" t="str">
        <x:v>business_change</x:v>
      </x:c>
      <x:c r="E137" s="8" t="str">
        <x:v>обучение при запуске филиала Организатор/агентство Казахстан</x:v>
      </x:c>
      <x:c r="F137" s="8" t="n">
        <x:v>14</x:v>
      </x:c>
      <x:c r="G137" s="8" t="str">
        <x:v>template_not_executed</x:v>
      </x:c>
    </x:row>
    <x:row r="138" ht="31.5" customHeight="1">
      <x:c r="A138" s="8" t="str">
        <x:v>V6-Q133</x:v>
      </x:c>
      <x:c r="B138" s="8" t="str">
        <x:v>KZ</x:v>
      </x:c>
      <x:c r="C138" s="8" t="str">
        <x:v>Ассоциация/сообщество</x:v>
      </x:c>
      <x:c r="D138" s="8" t="str">
        <x:v>explicit_request</x:v>
      </x:c>
      <x:c r="E138" s="8" t="str">
        <x:v>ищем провайдера обучения Ассоциация/сообщество Казахстан</x:v>
      </x:c>
      <x:c r="F138" s="8" t="n">
        <x:v>14</x:v>
      </x:c>
      <x:c r="G138" s="8" t="str">
        <x:v>template_not_executed</x:v>
      </x:c>
    </x:row>
    <x:row r="139" ht="31.5" customHeight="1">
      <x:c r="A139" s="8" t="str">
        <x:v>V6-Q134</x:v>
      </x:c>
      <x:c r="B139" s="8" t="str">
        <x:v>KZ</x:v>
      </x:c>
      <x:c r="C139" s="8" t="str">
        <x:v>Ассоциация/сообщество</x:v>
      </x:c>
      <x:c r="D139" s="8" t="str">
        <x:v>expert_call</x:v>
      </x:c>
      <x:c r="E139" s="8" t="str">
        <x:v>нужен тренер спикер Ассоциация/сообщество Казахстан</x:v>
      </x:c>
      <x:c r="F139" s="8" t="n">
        <x:v>14</x:v>
      </x:c>
      <x:c r="G139" s="8" t="str">
        <x:v>template_not_executed</x:v>
      </x:c>
    </x:row>
    <x:row r="140" ht="31.5" customHeight="1">
      <x:c r="A140" s="8" t="str">
        <x:v>V6-Q135</x:v>
      </x:c>
      <x:c r="B140" s="8" t="str">
        <x:v>KZ</x:v>
      </x:c>
      <x:c r="C140" s="8" t="str">
        <x:v>Ассоциация/сообщество</x:v>
      </x:c>
      <x:c r="D140" s="8" t="str">
        <x:v>partner_pool</x:v>
      </x:c>
      <x:c r="E140" s="8" t="str">
        <x:v>приглашаем образовательных партнеров Ассоциация/сообщество Казахстан</x:v>
      </x:c>
      <x:c r="F140" s="8" t="n">
        <x:v>14</x:v>
      </x:c>
      <x:c r="G140" s="8" t="str">
        <x:v>template_not_executed</x:v>
      </x:c>
    </x:row>
    <x:row r="141" ht="31.5" customHeight="1">
      <x:c r="A141" s="8" t="str">
        <x:v>V6-Q136</x:v>
      </x:c>
      <x:c r="B141" s="8" t="str">
        <x:v>KZ</x:v>
      </x:c>
      <x:c r="C141" s="8" t="str">
        <x:v>Ассоциация/сообщество</x:v>
      </x:c>
      <x:c r="D141" s="8" t="str">
        <x:v>subcontract</x:v>
      </x:c>
      <x:c r="E141" s="8" t="str">
        <x:v>разработка курса подрядчик Ассоциация/сообщество Казахстан</x:v>
      </x:c>
      <x:c r="F141" s="8" t="n">
        <x:v>14</x:v>
      </x:c>
      <x:c r="G141" s="8" t="str">
        <x:v>template_not_executed</x:v>
      </x:c>
    </x:row>
    <x:row r="142" ht="31.5" customHeight="1">
      <x:c r="A142" s="8" t="str">
        <x:v>V6-Q137</x:v>
      </x:c>
      <x:c r="B142" s="8" t="str">
        <x:v>KZ</x:v>
      </x:c>
      <x:c r="C142" s="8" t="str">
        <x:v>Ассоциация/сообщество</x:v>
      </x:c>
      <x:c r="D142" s="8" t="str">
        <x:v>recommendation_request</x:v>
      </x:c>
      <x:c r="E142" s="8" t="str">
        <x:v>посоветуйте тренинг для команды Ассоциация/сообщество Казахстан</x:v>
      </x:c>
      <x:c r="F142" s="8" t="n">
        <x:v>14</x:v>
      </x:c>
      <x:c r="G142" s="8" t="str">
        <x:v>template_not_executed</x:v>
      </x:c>
    </x:row>
    <x:row r="143" ht="31.5" customHeight="1">
      <x:c r="A143" s="8" t="str">
        <x:v>V6-Q138</x:v>
      </x:c>
      <x:c r="B143" s="8" t="str">
        <x:v>KZ</x:v>
      </x:c>
      <x:c r="C143" s="8" t="str">
        <x:v>Ассоциация/сообщество</x:v>
      </x:c>
      <x:c r="D143" s="8" t="str">
        <x:v>business_change</x:v>
      </x:c>
      <x:c r="E143" s="8" t="str">
        <x:v>обучение при запуске филиала Ассоциация/сообщество Казахстан</x:v>
      </x:c>
      <x:c r="F143" s="8" t="n">
        <x:v>14</x:v>
      </x:c>
      <x:c r="G143" s="8" t="str">
        <x:v>template_not_executed</x:v>
      </x:c>
    </x:row>
    <x:row r="144" ht="31.5" customHeight="1">
      <x:c r="A144" s="8" t="str">
        <x:v>V6-Q139</x:v>
      </x:c>
      <x:c r="B144" s="8" t="str">
        <x:v>KZ</x:v>
      </x:c>
      <x:c r="C144" s="8" t="str">
        <x:v>EdTech/провайдер</x:v>
      </x:c>
      <x:c r="D144" s="8" t="str">
        <x:v>explicit_request</x:v>
      </x:c>
      <x:c r="E144" s="8" t="str">
        <x:v>ищем провайдера обучения EdTech/провайдер Казахстан</x:v>
      </x:c>
      <x:c r="F144" s="8" t="n">
        <x:v>14</x:v>
      </x:c>
      <x:c r="G144" s="8" t="str">
        <x:v>template_not_executed</x:v>
      </x:c>
    </x:row>
    <x:row r="145" ht="31.5" customHeight="1">
      <x:c r="A145" s="8" t="str">
        <x:v>V6-Q140</x:v>
      </x:c>
      <x:c r="B145" s="8" t="str">
        <x:v>KZ</x:v>
      </x:c>
      <x:c r="C145" s="8" t="str">
        <x:v>EdTech/провайдер</x:v>
      </x:c>
      <x:c r="D145" s="8" t="str">
        <x:v>expert_call</x:v>
      </x:c>
      <x:c r="E145" s="8" t="str">
        <x:v>нужен тренер спикер EdTech/провайдер Казахстан</x:v>
      </x:c>
      <x:c r="F145" s="8" t="n">
        <x:v>14</x:v>
      </x:c>
      <x:c r="G145" s="8" t="str">
        <x:v>template_not_executed</x:v>
      </x:c>
    </x:row>
    <x:row r="146" ht="31.5" customHeight="1">
      <x:c r="A146" s="8" t="str">
        <x:v>V6-Q141</x:v>
      </x:c>
      <x:c r="B146" s="8" t="str">
        <x:v>KZ</x:v>
      </x:c>
      <x:c r="C146" s="8" t="str">
        <x:v>EdTech/провайдер</x:v>
      </x:c>
      <x:c r="D146" s="8" t="str">
        <x:v>partner_pool</x:v>
      </x:c>
      <x:c r="E146" s="8" t="str">
        <x:v>приглашаем образовательных партнеров EdTech/провайдер Казахстан</x:v>
      </x:c>
      <x:c r="F146" s="8" t="n">
        <x:v>14</x:v>
      </x:c>
      <x:c r="G146" s="8" t="str">
        <x:v>template_not_executed</x:v>
      </x:c>
    </x:row>
    <x:row r="147" ht="31.5" customHeight="1">
      <x:c r="A147" s="8" t="str">
        <x:v>V6-Q142</x:v>
      </x:c>
      <x:c r="B147" s="8" t="str">
        <x:v>KZ</x:v>
      </x:c>
      <x:c r="C147" s="8" t="str">
        <x:v>EdTech/провайдер</x:v>
      </x:c>
      <x:c r="D147" s="8" t="str">
        <x:v>subcontract</x:v>
      </x:c>
      <x:c r="E147" s="8" t="str">
        <x:v>разработка курса подрядчик EdTech/провайдер Казахстан</x:v>
      </x:c>
      <x:c r="F147" s="8" t="n">
        <x:v>14</x:v>
      </x:c>
      <x:c r="G147" s="8" t="str">
        <x:v>template_not_executed</x:v>
      </x:c>
    </x:row>
    <x:row r="148" ht="31.5" customHeight="1">
      <x:c r="A148" s="8" t="str">
        <x:v>V6-Q143</x:v>
      </x:c>
      <x:c r="B148" s="8" t="str">
        <x:v>KZ</x:v>
      </x:c>
      <x:c r="C148" s="8" t="str">
        <x:v>EdTech/провайдер</x:v>
      </x:c>
      <x:c r="D148" s="8" t="str">
        <x:v>recommendation_request</x:v>
      </x:c>
      <x:c r="E148" s="8" t="str">
        <x:v>посоветуйте тренинг для команды EdTech/провайдер Казахстан</x:v>
      </x:c>
      <x:c r="F148" s="8" t="n">
        <x:v>14</x:v>
      </x:c>
      <x:c r="G148" s="8" t="str">
        <x:v>template_not_executed</x:v>
      </x:c>
    </x:row>
    <x:row r="149" ht="31.5" customHeight="1">
      <x:c r="A149" s="8" t="str">
        <x:v>V6-Q144</x:v>
      </x:c>
      <x:c r="B149" s="8" t="str">
        <x:v>KZ</x:v>
      </x:c>
      <x:c r="C149" s="8" t="str">
        <x:v>EdTech/провайдер</x:v>
      </x:c>
      <x:c r="D149" s="8" t="str">
        <x:v>business_change</x:v>
      </x:c>
      <x:c r="E149" s="8" t="str">
        <x:v>обучение при запуске филиала EdTech/провайдер Казахстан</x:v>
      </x:c>
      <x:c r="F149" s="8" t="n">
        <x:v>14</x:v>
      </x:c>
      <x:c r="G149" s="8" t="str">
        <x:v>template_not_executed</x:v>
      </x:c>
    </x:row>
  </x:sheetData>
  <x:pageMargins left="0.7" right="0.7" top="0.75" bottom="0.75" header="0.3" footer="0.3"/>
  <x:tableParts count="1">
    <x:tablePart xmlns:r="http://schemas.openxmlformats.org/officeDocument/2006/relationships" r:id="R3ac648a31d3a436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36.66999816894531" hidden="0" customWidth="1"/>
    <x:col min="3" max="3" width="75.55999755859375" hidden="0" customWidth="1"/>
    <x:col min="4" max="4" width="26.670000076293945" hidden="0" customWidth="1"/>
    <x:col min="5" max="5" width="21.110000610351562" hidden="0" customWidth="1"/>
  </x:cols>
  <x:sheetData>
    <x:row r="1">
      <x:c r="A1" s="2"/>
      <x:c r="B1" s="2"/>
      <x:c r="C1" s="2"/>
      <x:c r="D1" s="2"/>
      <x:c r="E1" s="2"/>
    </x:row>
    <x:row r="2" ht="24" customHeight="1">
      <x:c r="A2" s="3" t="str">
        <x:v>Пилот готов к запуску</x:v>
      </x:c>
      <x:c r="B2" s="2"/>
      <x:c r="C2" s="2"/>
      <x:c r="D2" s="2"/>
      <x:c r="E2" s="2"/>
    </x:row>
    <x:row r="3" ht="22.5" customHeight="1">
      <x:c r="A3" s="4" t="str">
        <x:v>D0 — подготовка, D1–D14 — наблюдение. Дата старта и расписание не установлены.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3.75" customHeight="1">
      <x:c r="A5" s="7" t="str">
        <x:v>День</x:v>
      </x:c>
      <x:c r="B5" s="7" t="str">
        <x:v>Задача</x:v>
      </x:c>
      <x:c r="C5" s="7" t="str">
        <x:v>Критерий выполнения</x:v>
      </x:c>
      <x:c r="D5" s="7" t="str">
        <x:v>Статус</x:v>
      </x:c>
      <x:c r="E5" s="7" t="str">
        <x:v>Ответственный</x:v>
      </x:c>
    </x:row>
    <x:row r="6" ht="34.5" customHeight="1">
      <x:c r="A6" s="8" t="str">
        <x:v>D0</x:v>
      </x:c>
      <x:c r="B6" s="8" t="str">
        <x:v>Согласовать определения и базу</x:v>
      </x:c>
      <x:c r="C6" s="8" t="str">
        <x:v>Зафиксировать одинаковые источники и окно сравнения; назвать владельца; внести реальный остаток бюджета.</x:v>
      </x:c>
      <x:c r="D6" s="8" t="str">
        <x:v>planned_not_scheduled</x:v>
      </x:c>
      <x:c r="E6" s="8"/>
    </x:row>
    <x:row r="7" ht="31.5" customHeight="1">
      <x:c r="A7" s="8" t="str">
        <x:v>D1</x:v>
      </x:c>
      <x:c r="B7" s="8" t="str">
        <x:v>33 исходных маршрута</x:v>
      </x:c>
      <x:c r="C7" s="8" t="str">
        <x:v>Для каждого проверить метод доступа; недоступные оставить с причиной и задачей восстановления.</x:v>
      </x:c>
      <x:c r="D7" s="8" t="str">
        <x:v>planned_not_scheduled</x:v>
      </x:c>
      <x:c r="E7" s="8"/>
    </x:row>
    <x:row r="8" ht="34.5" customHeight="1">
      <x:c r="A8" s="8" t="str">
        <x:v>D2</x:v>
      </x:c>
      <x:c r="B8" s="8" t="str">
        <x:v>Прямые запросы</x:v>
      </x:c>
      <x:c r="C8" s="8" t="str">
        <x:v>Разобрать 37 перечитанных карточек; отдельно просрочки, ограничения и восстановление первоисточника.</x:v>
      </x:c>
      <x:c r="D8" s="8" t="str">
        <x:v>planned_not_scheduled</x:v>
      </x:c>
      <x:c r="E8" s="8"/>
    </x:row>
    <x:row r="9" ht="31.5" customHeight="1">
      <x:c r="A9" s="8" t="str">
        <x:v>D3</x:v>
      </x:c>
      <x:c r="B9" s="8" t="str">
        <x:v>Кто покупает</x:v>
      </x:c>
      <x:c r="C9" s="8" t="str">
        <x:v>Установить функцию и официальный маршрут; отделить заказчика от посредника и от провайдера.</x:v>
      </x:c>
      <x:c r="D9" s="8" t="str">
        <x:v>planned_not_scheduled</x:v>
      </x:c>
      <x:c r="E9" s="8"/>
    </x:row>
    <x:row r="10" ht="34.5" customHeight="1">
      <x:c r="A10" s="8" t="str">
        <x:v>D4</x:v>
      </x:c>
      <x:c r="B10" s="8" t="str">
        <x:v>Комментарии и вложения</x:v>
      </x:c>
      <x:c r="C10" s="8" t="str">
        <x:v>Выбрать доступные ветки; извлечь вопросы, PDF/ТЗ и сроки, сохранить ссылку на родительскую запись.</x:v>
      </x:c>
      <x:c r="D10" s="8" t="str">
        <x:v>planned_not_scheduled</x:v>
      </x:c>
      <x:c r="E10" s="8"/>
    </x:row>
    <x:row r="11" ht="31.5" customHeight="1">
      <x:c r="A11" s="8" t="str">
        <x:v>D5</x:v>
      </x:c>
      <x:c r="B11" s="8" t="str">
        <x:v>Партнеры и субподряд</x:v>
      </x:c>
      <x:c r="C11" s="8" t="str">
        <x:v>Проверить пулы спикеров, разработку курсов, мероприятия и постоянные приглашения.</x:v>
      </x:c>
      <x:c r="D11" s="8" t="str">
        <x:v>planned_not_scheduled</x:v>
      </x:c>
      <x:c r="E11" s="8"/>
    </x:row>
    <x:row r="12" ht="34.5" customHeight="1">
      <x:c r="A12" s="8" t="str">
        <x:v>D6</x:v>
      </x:c>
      <x:c r="B12" s="8" t="str">
        <x:v>Беларусь и Казахстан</x:v>
      </x:c>
      <x:c r="C12" s="8" t="str">
        <x:v>Расширить местные профессиональные сообщества; пробовать русские, белорусские и казахские варианты с языковой проверкой.</x:v>
      </x:c>
      <x:c r="D12" s="8" t="str">
        <x:v>planned_not_scheduled</x:v>
      </x:c>
      <x:c r="E12" s="8"/>
    </x:row>
    <x:row r="13" ht="34.5" customHeight="1">
      <x:c r="A13" s="8" t="str">
        <x:v>D7</x:v>
      </x:c>
      <x:c r="B13" s="8" t="str">
        <x:v>Промежуточная оценка</x:v>
      </x:c>
      <x:c r="C13" s="8" t="str">
        <x:v>Сравнить выход квалифицированных возможностей на час и стоимость; неизвестное не превращать в ноль.</x:v>
      </x:c>
      <x:c r="D13" s="8" t="str">
        <x:v>planned_not_scheduled</x:v>
      </x:c>
      <x:c r="E13" s="8"/>
    </x:row>
    <x:row r="14" ht="31.5" customHeight="1">
      <x:c r="A14" s="8" t="str">
        <x:v>D8</x:v>
      </x:c>
      <x:c r="B14" s="8" t="str">
        <x:v>Новые поверхности</x:v>
      </x:c>
      <x:c r="C14" s="8" t="str">
        <x:v>20% доступной емкости оставить на новые источники и восстановление недоступных.</x:v>
      </x:c>
      <x:c r="D14" s="8" t="str">
        <x:v>planned_not_scheduled</x:v>
      </x:c>
      <x:c r="E14" s="8"/>
    </x:row>
    <x:row r="15" ht="31.5" customHeight="1">
      <x:c r="A15" s="8" t="str">
        <x:v>D9</x:v>
      </x:c>
      <x:c r="B15" s="8" t="str">
        <x:v>Роли вне HR</x:v>
      </x:c>
      <x:c r="C15" s="8" t="str">
        <x:v>Искать закупки, руководителей функций, владельцев бизнеса, организаторов и ассоциации.</x:v>
      </x:c>
      <x:c r="D15" s="8" t="str">
        <x:v>planned_not_scheduled</x:v>
      </x:c>
      <x:c r="E15" s="8"/>
    </x:row>
    <x:row r="16" ht="31.5" customHeight="1">
      <x:c r="A16" s="8" t="str">
        <x:v>D10</x:v>
      </x:c>
      <x:c r="B16" s="8" t="str">
        <x:v>Цепочки событий</x:v>
      </x:c>
      <x:c r="C16" s="8" t="str">
        <x:v>Связывать найм, запуск филиала, бюджет и запрос обучения только с доказанной организацией.</x:v>
      </x:c>
      <x:c r="D16" s="8" t="str">
        <x:v>planned_not_scheduled</x:v>
      </x:c>
      <x:c r="E16" s="8"/>
    </x:row>
    <x:row r="17" ht="31.5" customHeight="1">
      <x:c r="A17" s="8" t="str">
        <x:v>D11</x:v>
      </x:c>
      <x:c r="B17" s="8" t="str">
        <x:v>Повторные циклы</x:v>
      </x:c>
      <x:c r="C17" s="8" t="str">
        <x:v>Прошедшее обучение направить в будущие планы и резерв провайдеров.</x:v>
      </x:c>
      <x:c r="D17" s="8" t="str">
        <x:v>planned_not_scheduled</x:v>
      </x:c>
      <x:c r="E17" s="8"/>
    </x:row>
    <x:row r="18" ht="31.5" customHeight="1">
      <x:c r="A18" s="8" t="str">
        <x:v>D12</x:v>
      </x:c>
      <x:c r="B18" s="8" t="str">
        <x:v>Повторная проверка</x:v>
      </x:c>
      <x:c r="C18" s="8" t="str">
        <x:v>Перед предложением перечитать срок, статус, контакт и возможность исполнения МИСБ.</x:v>
      </x:c>
      <x:c r="D18" s="8" t="str">
        <x:v>planned_not_scheduled</x:v>
      </x:c>
      <x:c r="E18" s="8"/>
    </x:row>
    <x:row r="19" ht="34.5" customHeight="1">
      <x:c r="A19" s="8" t="str">
        <x:v>D13</x:v>
      </x:c>
      <x:c r="B19" s="8" t="str">
        <x:v>Обратная связь</x:v>
      </x:c>
      <x:c r="C19" s="8" t="str">
        <x:v>Заполнить исходы и причины: не по профилю, закрыто, недоступно, нет исполнителя, дубль, бюджет, отложено.</x:v>
      </x:c>
      <x:c r="D19" s="8" t="str">
        <x:v>planned_not_scheduled</x:v>
      </x:c>
      <x:c r="E19" s="8"/>
    </x:row>
    <x:row r="20" ht="34.5" customHeight="1">
      <x:c r="A20" s="8" t="str">
        <x:v>D14</x:v>
      </x:c>
      <x:c r="B20" s="8" t="str">
        <x:v>Решение о масштабе</x:v>
      </x:c>
      <x:c r="C20" s="8" t="str">
        <x:v>Сравнить с базой по уникальным квалифицированным возможностям; зафиксировать ограничения охвата.</x:v>
      </x:c>
      <x:c r="D20" s="8" t="str">
        <x:v>planned_not_scheduled</x:v>
      </x:c>
      <x:c r="E20" s="8"/>
    </x:row>
  </x:sheetData>
  <x:pageMargins left="0.7" right="0.7" top="0.75" bottom="0.75" header="0.3" footer="0.3"/>
  <x:tableParts count="1">
    <x:tablePart xmlns:r="http://schemas.openxmlformats.org/officeDocument/2006/relationships" r:id="Rd0b5f0d51cca4c8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33000183105469" hidden="0" customWidth="1"/>
    <x:col min="2" max="2" width="20" hidden="0" customWidth="1"/>
    <x:col min="3" max="3" width="20" hidden="0" customWidth="1"/>
    <x:col min="4" max="4" width="26.670000076293945" hidden="0" customWidth="1"/>
    <x:col min="5" max="5" width="37.779998779296875" hidden="0" customWidth="1"/>
  </x:cols>
  <x:sheetData>
    <x:row r="1">
      <x:c r="A1" s="12"/>
      <x:c r="B1" s="12"/>
      <x:c r="C1" s="12"/>
      <x:c r="D1" s="12"/>
      <x:c r="E1" s="12"/>
    </x:row>
    <x:row r="2" ht="25.5" customHeight="1">
      <x:c r="A2" s="13" t="str">
        <x:v>Общий предел: 10 000 ₽ в месяц</x:v>
      </x:c>
      <x:c r="B2" s="12"/>
      <x:c r="C2" s="12"/>
      <x:c r="D2" s="12"/>
      <x:c r="E2" s="12"/>
    </x:row>
    <x:row r="3">
      <x:c r="A3" s="12" t="str">
        <x:v>Распределение — предложение; фактические затраты и тарифы неизвестны.</x:v>
      </x:c>
      <x:c r="B3" s="12"/>
      <x:c r="C3" s="12"/>
      <x:c r="D3" s="12"/>
      <x:c r="E3" s="12"/>
    </x:row>
    <x:row r="4">
      <x:c r="A4" s="12"/>
      <x:c r="B4" s="12"/>
      <x:c r="C4" s="12"/>
      <x:c r="D4" s="12"/>
      <x:c r="E4" s="12"/>
    </x:row>
    <x:row r="5">
      <x:c r="A5" s="12" t="str">
        <x:v>Месячный предел, ₽</x:v>
      </x:c>
      <x:c r="B5" s="16" t="n">
        <x:v>10000</x:v>
      </x:c>
      <x:c r="C5" s="12"/>
      <x:c r="D5" s="12"/>
      <x:c r="E5" s="12"/>
    </x:row>
    <x:row r="6">
      <x:c r="A6" s="12"/>
      <x:c r="B6" s="12"/>
      <x:c r="C6" s="12"/>
      <x:c r="D6" s="12"/>
      <x:c r="E6" s="12"/>
    </x:row>
    <x:row r="7" ht="24" customHeight="1">
      <x:c r="A7" s="15" t="str">
        <x:v>Статья</x:v>
      </x:c>
      <x:c r="B7" s="15" t="str">
        <x:v>План, ₽</x:v>
      </x:c>
      <x:c r="C7" s="15" t="str">
        <x:v>Факт, ₽</x:v>
      </x:c>
      <x:c r="D7" s="15" t="str">
        <x:v>Статус факта</x:v>
      </x:c>
      <x:c r="E7" s="12"/>
    </x:row>
    <x:row r="8" ht="24" customHeight="1">
      <x:c r="A8" s="12" t="str">
        <x:v>Хостинг / хранение</x:v>
      </x:c>
      <x:c r="B8" s="18" t="n">
        <x:v>1000</x:v>
      </x:c>
      <x:c r="C8" s="18"/>
      <x:c r="D8" s="12" t="str">
        <x:f>IF(ISNUMBER(C8),"Внесен","Неизвестен")</x:f>
        <x:v>Неизвестен</x:v>
      </x:c>
      <x:c r="E8" s="12"/>
    </x:row>
    <x:row r="9" ht="24" customHeight="1">
      <x:c r="A9" s="12" t="str">
        <x:v>Поиск / данные</x:v>
      </x:c>
      <x:c r="B9" s="18" t="n">
        <x:v>2500</x:v>
      </x:c>
      <x:c r="C9" s="18"/>
      <x:c r="D9" s="12" t="str">
        <x:f>IF(ISNUMBER(C9),"Внесен","Неизвестен")</x:f>
        <x:v>Неизвестен</x:v>
      </x:c>
      <x:c r="E9" s="12"/>
    </x:row>
    <x:row r="10" ht="24" customHeight="1">
      <x:c r="A10" s="12" t="str">
        <x:v>LLM</x:v>
      </x:c>
      <x:c r="B10" s="18" t="n">
        <x:v>2500</x:v>
      </x:c>
      <x:c r="C10" s="18"/>
      <x:c r="D10" s="12" t="str">
        <x:f>IF(ISNUMBER(C10),"Внесен","Неизвестен")</x:f>
        <x:v>Неизвестен</x:v>
      </x:c>
      <x:c r="E10" s="12"/>
    </x:row>
    <x:row r="11" ht="24" customHeight="1">
      <x:c r="A11" s="12" t="str">
        <x:v>OCR / аудио</x:v>
      </x:c>
      <x:c r="B11" s="18" t="n">
        <x:v>1000</x:v>
      </x:c>
      <x:c r="C11" s="18"/>
      <x:c r="D11" s="12" t="str">
        <x:f>IF(ISNUMBER(C11),"Внесен","Неизвестен")</x:f>
        <x:v>Неизвестен</x:v>
      </x:c>
      <x:c r="E11" s="12"/>
    </x:row>
    <x:row r="12" ht="24" customHeight="1">
      <x:c r="A12" s="12" t="str">
        <x:v>Доступ / API</x:v>
      </x:c>
      <x:c r="B12" s="18" t="n">
        <x:v>1500</x:v>
      </x:c>
      <x:c r="C12" s="18"/>
      <x:c r="D12" s="12" t="str">
        <x:f>IF(ISNUMBER(C12),"Внесен","Неизвестен")</x:f>
        <x:v>Неизвестен</x:v>
      </x:c>
      <x:c r="E12" s="12"/>
    </x:row>
    <x:row r="13" ht="24" customHeight="1">
      <x:c r="A13" s="12" t="str">
        <x:v>Резерв</x:v>
      </x:c>
      <x:c r="B13" s="18" t="n">
        <x:v>1500</x:v>
      </x:c>
      <x:c r="C13" s="18"/>
      <x:c r="D13" s="12" t="str">
        <x:f>IF(ISNUMBER(C13),"Внесен","Неизвестен")</x:f>
        <x:v>Неизвестен</x:v>
      </x:c>
      <x:c r="E13" s="12"/>
    </x:row>
    <x:row r="14" ht="24" customHeight="1">
      <x:c r="A14" s="12"/>
      <x:c r="B14" s="19"/>
      <x:c r="C14" s="19"/>
      <x:c r="D14" s="12"/>
      <x:c r="E14" s="12"/>
    </x:row>
    <x:row r="15" ht="24" customHeight="1">
      <x:c r="A15" s="12" t="str">
        <x:v>План распределен, ₽</x:v>
      </x:c>
      <x:c r="B15" s="19" t="n">
        <x:f>SUM(B8:B13)</x:f>
        <x:v>10000</x:v>
      </x:c>
      <x:c r="C15" s="19"/>
      <x:c r="D15" s="12"/>
      <x:c r="E15" s="12"/>
    </x:row>
    <x:row r="16" ht="24" customHeight="1">
      <x:c r="A16" s="12" t="str">
        <x:v>Остаток плана, ₽</x:v>
      </x:c>
      <x:c r="B16" s="19" t="n">
        <x:f>B5-B15</x:f>
        <x:v>0</x:v>
      </x:c>
      <x:c r="C16" s="19"/>
      <x:c r="D16" s="12"/>
      <x:c r="E16" s="12"/>
    </x:row>
    <x:row r="17" ht="24" customHeight="1">
      <x:c r="A17" s="12" t="str">
        <x:v>Расход — полный факт, ₽</x:v>
      </x:c>
      <x:c r="B17" s="19" t="str">
        <x:f>IF(COUNT(C8:C13)=6,SUM(C8:C13),"Неизвестен")</x:f>
        <x:v>Неизвестен</x:v>
      </x:c>
      <x:c r="C17" s="19"/>
      <x:c r="D17" s="12"/>
      <x:c r="E17" s="12"/>
    </x:row>
    <x:row r="18" ht="24" customHeight="1">
      <x:c r="A18" s="12" t="str">
        <x:v>Остаток после факта, ₽</x:v>
      </x:c>
      <x:c r="B18" s="19" t="str">
        <x:f>IF(ISNUMBER(B17),B5-B17,"Неизвестен")</x:f>
        <x:v>Неизвестен</x:v>
      </x:c>
      <x:c r="C18" s="19"/>
      <x:c r="D18" s="12"/>
      <x:c r="E18" s="12"/>
    </x:row>
    <x:row r="19" ht="24" customHeight="1">
      <x:c r="A19" s="12" t="str">
        <x:v>Проверка лимита</x:v>
      </x:c>
      <x:c r="B19" s="12" t="str">
        <x:f>IF(ISNUMBER(B18),IF(B18&gt;0,"В пределах лимита","Лимит исчерпан"),"Внести факт")</x:f>
        <x:v>Внести факт</x:v>
      </x:c>
      <x:c r="C19" s="12"/>
      <x:c r="D19" s="12"/>
      <x:c r="E19" s="12"/>
    </x:row>
    <x:row r="20" ht="24" customHeight="1">
      <x:c r="A20" s="12" t="str">
        <x:v>Доля разведки новых источников</x:v>
      </x:c>
      <x:c r="B20" s="17" t="n">
        <x:v>0.2</x:v>
      </x:c>
      <x:c r="C20" s="12"/>
      <x:c r="D20" s="12"/>
      <x:c r="E20" s="12"/>
    </x:row>
    <x:row r="21" ht="24" customHeight="1">
      <x:c r="A21" s="12" t="str">
        <x:v>Оплата труда</x:v>
      </x:c>
      <x:c r="B21" s="12" t="str">
        <x:v>Учитывать отдельно</x:v>
      </x:c>
      <x:c r="C21" s="12"/>
      <x:c r="D21" s="12"/>
      <x:c r="E21" s="12"/>
    </x:row>
    <x:row r="22" ht="24" customHeight="1">
      <x:c r="A22" s="12"/>
      <x:c r="B22" s="12"/>
      <x:c r="C22" s="12"/>
      <x:c r="D22" s="12"/>
      <x:c r="E22" s="12"/>
    </x:row>
    <x:row r="23" ht="24" customHeight="1">
      <x:c r="A23" s="12" t="str">
        <x:v>Если предел включает труд, объем пилота нужно уменьшить. Платные вызовы не запускались.</x:v>
      </x:c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.559999465942383" hidden="0" customWidth="1"/>
    <x:col min="2" max="2" width="111.11000061035156" hidden="0" customWidth="1"/>
  </x:cols>
  <x:sheetData>
    <x:row r="1">
      <x:c r="A1" s="2"/>
      <x:c r="B1" s="2"/>
    </x:row>
    <x:row r="2" ht="24" customHeight="1">
      <x:c r="A2" s="3" t="str">
        <x:v>Передача в Claude</x:v>
      </x:c>
      <x:c r="B2" s="2"/>
    </x:row>
    <x:row r="3" ht="22.5" customHeight="1">
      <x:c r="A3" s="4" t="str">
        <x:v>Полная история, проверенные поправки, машинные данные и офлайн-правила находятся в ZIP.</x:v>
      </x:c>
      <x:c r="B3" s="2"/>
    </x:row>
    <x:row r="4">
      <x:c r="A4" s="2"/>
      <x:c r="B4" s="2"/>
    </x:row>
    <x:row r="5" ht="33.75" customHeight="1">
      <x:c r="A5" s="7" t="str">
        <x:v>Раздел</x:v>
      </x:c>
      <x:c r="B5" s="7" t="str">
        <x:v>Инструкция</x:v>
      </x:c>
    </x:row>
    <x:row r="6" ht="31.5" customHeight="1">
      <x:c r="A6" s="8" t="str">
        <x:v>Старт</x:v>
      </x:c>
      <x:c r="B6" s="8" t="str">
        <x:v>START_HERE_CLAUDE_V6.txt в полном ZIP.</x:v>
      </x:c>
    </x:row>
    <x:row r="7" ht="31.5" customHeight="1">
      <x:c r="A7" s="8" t="str">
        <x:v>Полнота</x:v>
      </x:c>
      <x:c r="B7" s="8" t="str">
        <x:v>Весь v5 сохранен побайтово в v5/. Пилот не заменяет широкий каталог.</x:v>
      </x:c>
    </x:row>
    <x:row r="8" ht="31.5" customHeight="1">
      <x:c r="A8" s="8" t="str">
        <x:v>Приоритет</x:v>
      </x:c>
      <x:c r="B8" s="8" t="str">
        <x:v>Действия 37 → покупатель → доступ → возможность исполнения → адресное предложение.</x:v>
      </x:c>
    </x:row>
    <x:row r="9" ht="31.5" customHeight="1">
      <x:c r="A9" s="8" t="str">
        <x:v>Квалификация</x:v>
      </x:c>
      <x:c r="B9" s="8" t="str">
        <x:v>Пять независимых осей; общий балл не маскирует закрытый заказ или отсутствие доступа.</x:v>
      </x:c>
    </x:row>
    <x:row r="10" ht="31.5" customHeight="1">
      <x:c r="A10" s="8" t="str">
        <x:v>Обратная связь</x:v>
      </x:c>
      <x:c r="B10" s="8" t="str">
        <x:v>Заполнять исходы по ID; перенос из книги в feedback.jsonl выполняется явно.</x:v>
      </x:c>
    </x:row>
    <x:row r="11" ht="31.5" customHeight="1">
      <x:c r="A11" s="8" t="str">
        <x:v>Проверка</x:v>
      </x:c>
      <x:c r="B11" s="8" t="str">
        <x:v>python code/qualify.py validate</x:v>
      </x:c>
    </x:row>
    <x:row r="12" ht="31.5" customHeight="1">
      <x:c r="A12" s="8" t="str">
        <x:v>Обновление даты</x:v>
      </x:c>
      <x:c r="B12" s="8" t="str">
        <x:v>python code/qualify.py rebuild --as-of YYYY-MM-DD</x:v>
      </x:c>
    </x:row>
    <x:row r="13" ht="31.5" customHeight="1">
      <x:c r="A13" s="8" t="str">
        <x:v>10x</x:v>
      </x:c>
      <x:c r="B13" s="8" t="str">
        <x:v>Цель пилота; базовая линия и фактический рост еще не измерены.</x:v>
      </x:c>
    </x:row>
    <x:row r="14" ht="31.5" customHeight="1">
      <x:c r="A14" s="8" t="str">
        <x:v>Запуск</x:v>
      </x:c>
      <x:c r="B14" s="8" t="str">
        <x:v>Дата старта не назначена. Live-коннекторы, расписание и рассылки не запускались.</x:v>
      </x:c>
    </x:row>
  </x:sheetData>
  <x:pageMargins left="0.7" right="0.7" top="0.75" bottom="0.75" header="0.3" footer="0.3"/>
  <x:tableParts count="1">
    <x:tablePart xmlns:r="http://schemas.openxmlformats.org/officeDocument/2006/relationships" r:id="Re46d9e4f9b1f462d"/>
  </x:tableParts>
</x:worksheet>
</file>