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24a6e1867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65644a6d4c4548e1"/>
    <x:sheet xmlns:r="http://schemas.openxmlformats.org/officeDocument/2006/relationships" name="Новые 417" sheetId="2" r:id="R0ab0eb607a3f4579"/>
    <x:sheet xmlns:r="http://schemas.openxmlformats.org/officeDocument/2006/relationships" name="Проверки 100" sheetId="3" r:id="R33baa4c917444c28"/>
    <x:sheet xmlns:r="http://schemas.openxmlformats.org/officeDocument/2006/relationships" name="Приглашения и запросы" sheetId="4" r:id="Rcbbdb38840ec4222"/>
    <x:sheet xmlns:r="http://schemas.openxmlformats.org/officeDocument/2006/relationships" name="Маршруты" sheetId="5" r:id="R799f5fdcf03d450b"/>
    <x:sheet xmlns:r="http://schemas.openxmlformats.org/officeDocument/2006/relationships" name="Направления" sheetId="6" r:id="R9a6acb5e51a143b3"/>
    <x:sheet xmlns:r="http://schemas.openxmlformats.org/officeDocument/2006/relationships" name="Пилот 20" sheetId="7" r:id="Rd0ccc333fcca4eda"/>
    <x:sheet xmlns:r="http://schemas.openxmlformats.org/officeDocument/2006/relationships" name="Эффективность" sheetId="8" r:id="Rf2f0ad13de824a8f"/>
    <x:sheet xmlns:r="http://schemas.openxmlformats.org/officeDocument/2006/relationships" name="Поиск 360" sheetId="9" r:id="R5e7b40124c0a46c8"/>
    <x:sheet xmlns:r="http://schemas.openxmlformats.org/officeDocument/2006/relationships" name="Журнал чтения" sheetId="10" r:id="Rb2563e03fb8d44d6"/>
    <x:sheet xmlns:r="http://schemas.openxmlformats.org/officeDocument/2006/relationships" name="Бюджет" sheetId="11" r:id="R1619084c3f1e483a"/>
    <x:sheet xmlns:r="http://schemas.openxmlformats.org/officeDocument/2006/relationships" name="Claude" sheetId="12" r:id="Re3d2242cf54e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%"/>
  </x:numFmts>
  <x:fonts count="10">
    <x:font>
      <x:sz val="11"/>
      <x:name val="Carlito"/>
    </x:font>
    <x:font>
      <x:sz val="10"/>
      <x:color rgb="FF213C4B"/>
      <x:name val="Arial"/>
    </x:font>
    <x:font>
      <x:b/>
      <x:sz val="17"/>
      <x:color rgb="FF183B51"/>
      <x:name val="Arial"/>
    </x:font>
    <x:font>
      <x:sz val="10"/>
      <x:color rgb="FF637583"/>
      <x:name val="Arial"/>
    </x:font>
    <x:font>
      <x:b/>
      <x:sz val="10"/>
      <x:color rgb="FFFFFFFF"/>
      <x:name val="Arial"/>
    </x:font>
    <x:font>
      <x:sz val="11"/>
      <x:color rgb="FF213C4B"/>
      <x:name val="Arial"/>
    </x:font>
    <x:font>
      <x:b/>
      <x:sz val="18"/>
      <x:color rgb="FF183B51"/>
      <x:name val="Arial"/>
    </x:font>
    <x:font>
      <x:b/>
      <x:sz val="11"/>
      <x:color rgb="FFFFFFFF"/>
      <x:name val="Arial"/>
    </x:font>
    <x:font>
      <x:b/>
      <x:sz val="20"/>
      <x:color rgb="FF183B51"/>
      <x:name val="Arial"/>
    </x:font>
    <x:font>
      <x:b/>
      <x:sz val="11"/>
      <x:color rgb="FF213C4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1"/>
      </x:patternFill>
    </x:fill>
    <x:fill>
      <x:patternFill patternType="solid">
        <x:fgColor rgb="FFFFF1C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ba99e8c0a41ed" /><Relationship Type="http://schemas.openxmlformats.org/officeDocument/2006/relationships/theme" Target="/xl/theme/theme1.xml" Id="R2b6958ffcd5e4a87" /><Relationship Type="http://schemas.openxmlformats.org/officeDocument/2006/relationships/sharedStrings" Target="/xl/sharedStrings.xml" Id="Rde75fcd7e215439e" /><Relationship Type="http://schemas.openxmlformats.org/officeDocument/2006/relationships/worksheet" Target="/xl/worksheets/sheet1.xml" Id="R65644a6d4c4548e1" /><Relationship Type="http://schemas.openxmlformats.org/officeDocument/2006/relationships/worksheet" Target="/xl/worksheets/sheet2.xml" Id="R0ab0eb607a3f4579" /><Relationship Type="http://schemas.openxmlformats.org/officeDocument/2006/relationships/worksheet" Target="/xl/worksheets/sheet3.xml" Id="R33baa4c917444c28" /><Relationship Type="http://schemas.openxmlformats.org/officeDocument/2006/relationships/worksheet" Target="/xl/worksheets/sheet4.xml" Id="Rcbbdb38840ec4222" /><Relationship Type="http://schemas.openxmlformats.org/officeDocument/2006/relationships/worksheet" Target="/xl/worksheets/sheet5.xml" Id="R799f5fdcf03d450b" /><Relationship Type="http://schemas.openxmlformats.org/officeDocument/2006/relationships/worksheet" Target="/xl/worksheets/sheet6.xml" Id="R9a6acb5e51a143b3" /><Relationship Type="http://schemas.openxmlformats.org/officeDocument/2006/relationships/worksheet" Target="/xl/worksheets/sheet7.xml" Id="Rd0ccc333fcca4eda" /><Relationship Type="http://schemas.openxmlformats.org/officeDocument/2006/relationships/worksheet" Target="/xl/worksheets/sheet8.xml" Id="Rf2f0ad13de824a8f" /><Relationship Type="http://schemas.openxmlformats.org/officeDocument/2006/relationships/worksheet" Target="/xl/worksheets/sheet9.xml" Id="R5e7b40124c0a46c8" /><Relationship Type="http://schemas.openxmlformats.org/officeDocument/2006/relationships/worksheet" Target="/xl/worksheets/sheet10.xml" Id="Rb2563e03fb8d44d6" /><Relationship Type="http://schemas.openxmlformats.org/officeDocument/2006/relationships/worksheet" Target="/xl/worksheets/sheet11.xml" Id="R1619084c3f1e483a" /><Relationship Type="http://schemas.openxmlformats.org/officeDocument/2006/relationships/worksheet" Target="/xl/worksheets/sheet12.xml" Id="Re3d2242cf54e4f76" /></Relationships>
</file>

<file path=xl/tables/table1.xml><?xml version="1.0" encoding="utf-8"?>
<x:table xmlns:x="http://schemas.openxmlformats.org/spreadsheetml/2006/main" id="1" name="NewSources" displayName="NewSources" ref="A5:Q422" headerRowCount="1" totalsRowCount="0" totalsRowShown="0">
  <x:tableColumns count="17">
    <x:tableColumn id="1" name="Источник ID"/>
    <x:tableColumn id="2" name="Название / заголовок"/>
    <x:tableColumn id="3" name="Направление поиска"/>
    <x:tableColumn id="4" name="Вывод / следующий фокус"/>
    <x:tableColumn id="5" name="Страна — подсказка"/>
    <x:tableColumn id="6" name="Платформа"/>
    <x:tableColumn id="7" name="Тип источника"/>
    <x:tableColumn id="8" name="Доступ"/>
    <x:tableColumn id="9" name="Присутствие покупателя"/>
    <x:tableColumn id="10" name="Профиль МИСБ"/>
    <x:tableColumn id="11" name="Свежесть"/>
    <x:tableColumn id="12" name="Возможность действия"/>
    <x:tableColumn id="13" name="Новый охват"/>
    <x:tableColumn id="14" name="Надежность сбора"/>
    <x:tableColumn id="15" name="Проверка ID"/>
    <x:tableColumn id="16" name="URL"/>
    <x:tableColumn id="17" name="Происхожд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" displayName="Reviews" ref="A5:M105" headerRowCount="1" totalsRowCount="0" totalsRowShown="0">
  <x:tableColumns count="13">
    <x:tableColumn id="1" name="Проверка ID"/>
    <x:tableColumn id="2" name="Источник"/>
    <x:tableColumn id="3" name="Результат чтения"/>
    <x:tableColumn id="4" name="Содержательный вывод"/>
    <x:tableColumn id="5" name="Тип"/>
    <x:tableColumn id="6" name="Дата в источнике"/>
    <x:tableColumn id="7" name="Тип даты"/>
    <x:tableColumn id="8" name="Публичный контакт"/>
    <x:tableColumn id="9" name="Следующий шаг"/>
    <x:tableColumn id="10" name="Попыток"/>
    <x:tableColumn id="11" name="URL"/>
    <x:tableColumn id="12" name="Источник ID"/>
    <x:tableColumn id="13" name="Свидетельств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mples" displayName="Examples" ref="A5:L26" headerRowCount="1" totalsRowCount="0" totalsRowShown="0">
  <x:tableColumns count="12">
    <x:tableColumn id="1" name="Пример ID"/>
    <x:tableColumn id="2" name="Источник"/>
    <x:tableColumn id="3" name="Тип примера"/>
    <x:tableColumn id="4" name="Что найдено"/>
    <x:tableColumn id="5" name="Дата в источнике"/>
    <x:tableColumn id="6" name="Тип даты"/>
    <x:tableColumn id="7" name="Свежесть 14 дней"/>
    <x:tableColumn id="8" name="Открыто сейчас"/>
    <x:tableColumn id="9" name="Маршрут контакта"/>
    <x:tableColumn id="10" name="Следующий шаг"/>
    <x:tableColumn id="11" name="URL"/>
    <x:tableColumn id="12" name="Источник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utes" displayName="Routes" ref="A5:H25" headerRowCount="1" totalsRowCount="0" totalsRowShown="0">
  <x:tableColumns count="8">
    <x:tableColumn id="1" name="Маршрут ID"/>
    <x:tableColumn id="2" name="Источник"/>
    <x:tableColumn id="3" name="Ссылка / назначение"/>
    <x:tableColumn id="4" name="Доступ"/>
    <x:tableColumn id="5" name="Точный URL"/>
    <x:tableColumn id="6" name="Связь"/>
    <x:tableColumn id="7" name="Родительский URL"/>
    <x:tableColumn id="8" name="Источник 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cks" displayName="Tracks" ref="A5:E15" headerRowCount="1" totalsRowCount="0" totalsRowShown="0">
  <x:tableColumns count="5">
    <x:tableColumn id="1" name="Направление"/>
    <x:tableColumn id="2" name="Исходная цель"/>
    <x:tableColumn id="3" name="Найдено кандидатов"/>
    <x:tableColumn id="4" name="Недобор к цели"/>
    <x:tableColumn id="5" name="Что проверять дальш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lot" displayName="Pilot" ref="A5:G25" headerRowCount="1" totalsRowCount="0" totalsRowShown="0">
  <x:tableColumns count="7">
    <x:tableColumn id="1" name="Источник ID"/>
    <x:tableColumn id="2" name="Название"/>
    <x:tableColumn id="3" name="Направление"/>
    <x:tableColumn id="4" name="Поток"/>
    <x:tableColumn id="5" name="Ручной доступ"/>
    <x:tableColumn id="6" name="URL"/>
    <x:tableColumn id="7" name="Стату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rformance" displayName="Performance" ref="A5:O444" headerRowCount="1" totalsRowCount="0" totalsRowShown="0">
  <x:tableColumns count="15">
    <x:tableColumn id="1" name="Источник ID"/>
    <x:tableColumn id="2" name="Название"/>
    <x:tableColumn id="3" name="Направление"/>
    <x:tableColumn id="4" name="Наблюдений"/>
    <x:tableColumn id="5" name="Уникальных возможностей"/>
    <x:tableColumn id="6" name="Квалифицированных"/>
    <x:tableColumn id="7" name="Покупатель подтвердил"/>
    <x:tableColumn id="8" name="Заказов"/>
    <x:tableColumn id="9" name="Расход, ₽"/>
    <x:tableColumn id="10" name="Время, мин"/>
    <x:tableColumn id="11" name="₽ / квалифицированную"/>
    <x:tableColumn id="12" name="Мин / квалифицированную"/>
    <x:tableColumn id="13" name="Начало периода"/>
    <x:tableColumn id="14" name="Конец периода"/>
    <x:tableColumn id="15" name="Следующий шаг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ries" displayName="Queries" ref="A5:E365" headerRowCount="1" totalsRowCount="0" totalsRowShown="0">
  <x:tableColumns count="5">
    <x:tableColumn id="1" name="Запрос ID"/>
    <x:tableColumn id="2" name="Страна"/>
    <x:tableColumn id="3" name="Роль"/>
    <x:tableColumn id="4" name="Запрос"/>
    <x:tableColumn id="5" name="Стату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ading" displayName="Reading" ref="A5:H140" headerRowCount="1" totalsRowCount="0" totalsRowShown="0">
  <x:tableColumns count="8">
    <x:tableColumn id="1" name="Попытка ID"/>
    <x:tableColumn id="2" name="Источник"/>
    <x:tableColumn id="3" name="Цель чтения"/>
    <x:tableColumn id="4" name="Результат"/>
    <x:tableColumn id="5" name="Дата проверки"/>
    <x:tableColumn id="6" name="URL"/>
    <x:tableColumn id="7" name="Web-ref"/>
    <x:tableColumn id="8" name="SHA-256 ответ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laudeGuide" displayName="ClaudeGuide" ref="A5:B18" headerRowCount="1" totalsRowCount="0" totalsRowShown="0">
  <x:tableColumns count="2">
    <x:tableColumn id="1" name="Раздел"/>
    <x:tableColumn id="2" name="Инструк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0dc432268b44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c3093d4dd942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0345ee75df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77a473e91441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dee0ae0cea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09fa3f61154c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7a4e2b89ac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e4d7da11484f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1679c60d894a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492b737437e4e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220001220703125" hidden="0" customWidth="1"/>
    <x:col min="2" max="2" width="19.440000534057617" hidden="0" customWidth="1"/>
    <x:col min="3" max="3" width="4.440000057220459" hidden="0" customWidth="1"/>
    <x:col min="4" max="4" width="77.77999877929688" hidden="0" customWidth="1"/>
  </x:cols>
  <x:sheetData>
    <x:row r="1">
      <x:c r="A1" s="13"/>
      <x:c r="B1" s="13"/>
      <x:c r="C1" s="13"/>
      <x:c r="D1" s="13"/>
    </x:row>
    <x:row r="2" ht="31.5" customHeight="1">
      <x:c r="A2" s="19" t="str">
        <x:v>МИСБ • расширение источников v7</x:v>
      </x:c>
      <x:c r="B2" s="13"/>
      <x:c r="C2" s="13"/>
      <x:c r="D2" s="13"/>
    </x:row>
    <x:row r="3">
      <x:c r="A3" s="13" t="str">
        <x:v>Срез 02.10.2026 • все прежние материалы сохранены в полном ZIP</x:v>
      </x:c>
      <x:c r="B3" s="13"/>
      <x:c r="C3" s="13"/>
      <x:c r="D3" s="13"/>
    </x:row>
    <x:row r="4">
      <x:c r="A4" s="13"/>
      <x:c r="B4" s="13"/>
      <x:c r="C4" s="13"/>
      <x:c r="D4" s="13"/>
    </x:row>
    <x:row r="5">
      <x:c r="A5" s="13"/>
      <x:c r="B5" s="13"/>
      <x:c r="C5" s="13"/>
      <x:c r="D5" s="13"/>
    </x:row>
    <x:row r="6" ht="45.75" customHeight="1">
      <x:c r="A6" s="13" t="str">
        <x:v>Новых кандидатов</x:v>
      </x:c>
      <x:c r="B6" s="13" t="n">
        <x:f>COUNTA('Новые 417'!A6:A422)</x:f>
        <x:v>417</x:v>
      </x:c>
      <x:c r="C6" s="13"/>
      <x:c r="D6" s="21" t="str">
        <x:v>Как превратить расширение в поток возможностей</x:v>
      </x:c>
    </x:row>
    <x:row r="7" ht="45.75" customHeight="1">
      <x:c r="A7" s="13" t="str">
        <x:v>Приоритетных источников проверено</x:v>
      </x:c>
      <x:c r="B7" s="13" t="n">
        <x:f>COUNTA('Проверки 100'!A6:A105)</x:f>
        <x:v>100</x:v>
      </x:c>
      <x:c r="C7" s="13"/>
      <x:c r="D7" s="20" t="str">
        <x:v>Проверки 100 → точный запрос / приглашение → актуальность → владелец → соответствие МИСБ.</x:v>
      </x:c>
    </x:row>
    <x:row r="8" ht="45.75" customHeight="1">
      <x:c r="A8" s="13" t="str">
        <x:v>Попыток чтения</x:v>
      </x:c>
      <x:c r="B8" s="13" t="n">
        <x:f>COUNTA('Журнал чтения'!A6:A140)</x:f>
        <x:v>135</x:v>
      </x:c>
      <x:c r="C8" s="13"/>
      <x:c r="D8" s="20" t="str">
        <x:v>417 кандидатов распределены по 10 направлениям. Это новые адреса, а не 417 подтвержденных покупателей.</x:v>
      </x:c>
    </x:row>
    <x:row r="9" ht="45.75" customHeight="1">
      <x:c r="A9" s="13" t="str">
        <x:v>Точных наблюденных переходов</x:v>
      </x:c>
      <x:c r="B9" s="13" t="n">
        <x:f>COUNTA('Маршруты'!A6:A25)</x:f>
        <x:v>20</x:v>
      </x:c>
      <x:c r="C9" s="13"/>
      <x:c r="D9" s="20" t="str">
        <x:v>В расширении преобладают сайты: 392 из 417. Социальные маршруты и закрытые чаты требуют дальнейшего углубления.</x:v>
      </x:c>
    </x:row>
    <x:row r="10" ht="45.75" customHeight="1">
      <x:c r="A10" s="13" t="str">
        <x:v>Примеров приглашений / запросов</x:v>
      </x:c>
      <x:c r="B10" s="13" t="n">
        <x:f>COUNTA('Приглашения и запросы'!A6:A26)</x:f>
        <x:v>21</x:v>
      </x:c>
      <x:c r="C10" s="13"/>
      <x:c r="D10" s="20" t="str">
        <x:v>2634 задачи по поверхностям сохраняют комментарии, вложения, авторов, первоисточники и партнерство в зоне поиска.</x:v>
      </x:c>
    </x:row>
    <x:row r="11" ht="45.75" customHeight="1">
      <x:c r="A11" s="13" t="str">
        <x:v>Выполненных поисковых запросов</x:v>
      </x:c>
      <x:c r="B11" s="13" t="n">
        <x:v>120</x:v>
      </x:c>
      <x:c r="C11" s="13"/>
      <x:c r="D11" s="20" t="str">
        <x:v>439 карточек эффективности: новые источники и проверенные прежние. Вводить фактические результаты пилота.</x:v>
      </x:c>
    </x:row>
    <x:row r="12" ht="45.75" customHeight="1">
      <x:c r="A12" s="13" t="str">
        <x:v>Всего ключей в новом поиске</x:v>
      </x:c>
      <x:c r="B12" s="13" t="n">
        <x:v>1026</x:v>
      </x:c>
      <x:c r="C12" s="13"/>
      <x:c r="D12" s="20" t="str">
        <x:v>Разведка получает 20% мощности; слабые и редкие источники не удаляются.</x:v>
      </x:c>
    </x:row>
    <x:row r="13" ht="45.75" customHeight="1">
      <x:c r="A13" s="13" t="str">
        <x:v>Сохранено прежних маршрутов</x:v>
      </x:c>
      <x:c r="B13" s="13" t="n">
        <x:v>4156</x:v>
      </x:c>
      <x:c r="C13" s="13"/>
      <x:c r="D13" s="20" t="str">
        <x:v>Граница свежести: 19.09–02.10.2026. Не путать дату чтения, публикации, события и дедлайн.</x:v>
      </x:c>
    </x:row>
    <x:row r="14" ht="26.25" customHeight="1">
      <x:c r="A14" s="13" t="str">
        <x:v>Новых подтвержденных покупателей</x:v>
      </x:c>
      <x:c r="B14" s="13" t="n">
        <x:v>0</x:v>
      </x:c>
      <x:c r="C14" s="13"/>
      <x:c r="D14" s="13"/>
    </x:row>
    <x:row r="15" ht="26.25" customHeight="1">
      <x:c r="A15" s="13" t="str">
        <x:v>Полный охват 14 дней</x:v>
      </x:c>
      <x:c r="B15" s="13" t="str">
        <x:v>Не установлен</x:v>
      </x:c>
      <x:c r="C15" s="13"/>
      <x:c r="D15" s="13"/>
    </x:row>
    <x:row r="16" ht="26.25" customHeight="1">
      <x:c r="A16" s="13" t="str">
        <x:v>10x прирост качественных лидов</x:v>
      </x:c>
      <x:c r="B16" s="13" t="str">
        <x:v>Не измерен</x:v>
      </x:c>
      <x:c r="C16" s="13"/>
      <x:c r="D16" s="13"/>
    </x:row>
    <x:row r="17">
      <x:c r="A17" s="13"/>
      <x:c r="B17" s="13"/>
      <x:c r="C17" s="13"/>
      <x:c r="D17" s="13"/>
    </x:row>
    <x:row r="18">
      <x:c r="A18" s="13"/>
      <x:c r="B18" s="13"/>
      <x:c r="C18" s="13"/>
      <x:c r="D18" s="13"/>
    </x:row>
    <x:row r="19" ht="24" customHeight="1">
      <x:c r="A19" s="13" t="str">
        <x:v>Следующий шаг: ограниченный пилот 20 источников и ручная проверка пропусков.</x:v>
      </x:c>
      <x:c r="B19" s="13"/>
      <x:c r="C19" s="13"/>
      <x:c r="D19" s="13"/>
    </x:row>
    <x:row r="20" ht="24" customHeight="1">
      <x:c r="A20" s="13"/>
      <x:c r="B20" s="13"/>
      <x:c r="C20" s="13"/>
      <x:c r="D20" s="13"/>
    </x:row>
    <x:row r="21" ht="24" customHeight="1">
      <x:c r="A21" s="13" t="str">
        <x:v>Пилот и расписание не запущены; весь v6 находится внутри ZIP.</x:v>
      </x:c>
      <x:c r="B21" s="13"/>
      <x:c r="C21" s="13"/>
      <x:c r="D21" s="13"/>
    </x:row>
    <x:row r="22" ht="24" customHeight="1">
      <x:c r="A22" s="13"/>
      <x:c r="B22" s="13"/>
      <x:c r="C22" s="13"/>
      <x:c r="D22" s="13"/>
    </x:row>
    <x:row r="23" ht="24" customHeight="1">
      <x:c r="A23" s="13" t="str">
        <x:v>Книга дополняет полный архив. Машинные данные и код — в пакете для Claude.</x:v>
      </x:c>
      <x:c r="B23" s="13"/>
      <x:c r="C23" s="13"/>
      <x:c r="D23" s="13"/>
    </x:row>
    <x:row r="24" ht="24" customHeight="1">
      <x:c r="A24" s="13"/>
      <x:c r="B24" s="13"/>
      <x:c r="C24" s="13"/>
      <x:c r="D24" s="13"/>
    </x:row>
    <x:row r="25" ht="24" customHeight="1">
      <x:c r="A25" s="13" t="str">
        <x:v>10 000 ₽ / месяц — общий технический денежный предел; тарифы и факт требуют учета.</x:v>
      </x:c>
      <x:c r="B25" s="13"/>
      <x:c r="C25" s="13"/>
      <x:c r="D25" s="13"/>
    </x:row>
    <x:row r="26">
      <x:c r="A26" s="13"/>
      <x:c r="B26" s="13"/>
      <x:c r="C26" s="13"/>
      <x:c r="D26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37.779998779296875" hidden="0" customWidth="1"/>
    <x:col min="3" max="3" width="26.670000076293945" hidden="0" customWidth="1"/>
    <x:col min="4" max="4" width="62.220001220703125" hidden="0" customWidth="1"/>
    <x:col min="5" max="5" width="17.219999313354492" hidden="0" customWidth="1"/>
    <x:col min="6" max="6" width="14.4399995803833" hidden="0" customWidth="1"/>
    <x:col min="7" max="7" width="26.670000076293945" hidden="0" customWidth="1"/>
    <x:col min="8" max="8" width="22.219999313354492" hidden="0" customWidth="1"/>
    <x:col min="9" max="9" width="25.559999465942383" hidden="0" customWidth="1"/>
    <x:col min="10" max="10" width="26.670000076293945" hidden="0" customWidth="1"/>
    <x:col min="11" max="11" width="21.110000610351562" hidden="0" customWidth="1"/>
    <x:col min="12" max="12" width="26.670000076293945" hidden="0" customWidth="1"/>
    <x:col min="13" max="13" width="21.110000610351562" hidden="0" customWidth="1"/>
    <x:col min="14" max="14" width="24.440000534057617" hidden="0" customWidth="1"/>
    <x:col min="15" max="15" width="16.670000076293945" hidden="0" customWidth="1"/>
    <x:col min="16" max="16" width="56.66999816894531" hidden="0" customWidth="1"/>
    <x:col min="17" max="17" width="33.3300018310546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6.25" customHeight="1">
      <x:c r="A2" s="3" t="str">
        <x:v>417 новых кандидатов • 10 направлений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.5" customHeight="1">
      <x:c r="A3" s="4" t="str">
        <x:v>Новый ключ домена/социального адреса не равен новой независимой организации. Полные свидетельства — JSONL.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36" customHeight="1">
      <x:c r="A5" s="7" t="str">
        <x:v>Источник ID</x:v>
      </x:c>
      <x:c r="B5" s="7" t="str">
        <x:v>Название / заголовок</x:v>
      </x:c>
      <x:c r="C5" s="7" t="str">
        <x:v>Направление поиска</x:v>
      </x:c>
      <x:c r="D5" s="7" t="str">
        <x:v>Вывод / следующий фокус</x:v>
      </x:c>
      <x:c r="E5" s="7" t="str">
        <x:v>Страна — подсказка</x:v>
      </x:c>
      <x:c r="F5" s="7" t="str">
        <x:v>Платформа</x:v>
      </x:c>
      <x:c r="G5" s="7" t="str">
        <x:v>Тип источника</x:v>
      </x:c>
      <x:c r="H5" s="7" t="str">
        <x:v>Доступ</x:v>
      </x:c>
      <x:c r="I5" s="7" t="str">
        <x:v>Присутствие покупателя</x:v>
      </x:c>
      <x:c r="J5" s="7" t="str">
        <x:v>Профиль МИСБ</x:v>
      </x:c>
      <x:c r="K5" s="7" t="str">
        <x:v>Свежесть</x:v>
      </x:c>
      <x:c r="L5" s="7" t="str">
        <x:v>Возможность действия</x:v>
      </x:c>
      <x:c r="M5" s="7" t="str">
        <x:v>Новый охват</x:v>
      </x:c>
      <x:c r="N5" s="7" t="str">
        <x:v>Надежность сбора</x:v>
      </x:c>
      <x:c r="O5" s="7" t="str">
        <x:v>Проверка ID</x:v>
      </x:c>
      <x:c r="P5" s="7" t="str">
        <x:v>URL</x:v>
      </x:c>
      <x:c r="Q5" s="7" t="str">
        <x:v>Происхождение</x:v>
      </x:c>
    </x:row>
    <x:row r="6" ht="35.25" customHeight="1">
      <x:c r="A6" s="8" t="str">
        <x:v>V7-S5286645120</x:v>
      </x:c>
      <x:c r="B6" s="8" t="str">
        <x:v>Бизнес-клуб NOVA — закрытый клуб собственников бизнеса, Москва</x:v>
      </x:c>
      <x:c r="C6" s="8" t="str">
        <x:v>Бизнес-клубы и сети</x:v>
      </x:c>
      <x:c r="D6" s="8" t="str">
        <x:v>Закрытый клуб собственников с правилами против продаж внутри. Рассматривать через организатора и образовательное партнерство.</x:v>
      </x:c>
      <x:c r="E6" s="8" t="str">
        <x:v>RU</x:v>
      </x:c>
      <x:c r="F6" s="8" t="str">
        <x:v>Сайт</x:v>
      </x:c>
      <x:c r="G6" s="8" t="str">
        <x:v>closed_business_community</x:v>
      </x:c>
      <x:c r="H6" s="8" t="str">
        <x:v>Прочитана часть</x:v>
      </x:c>
      <x:c r="I6" s="8" t="str">
        <x:v>Аудитория / организация</x:v>
      </x:c>
      <x:c r="J6" s="8" t="str">
        <x:v>Кандидат по теме / аудитории</x:v>
      </x:c>
      <x:c r="K6" s="8" t="str">
        <x:v>Не установлено</x:v>
      </x:c>
      <x:c r="L6" s="8" t="str">
        <x:v>Есть форма / контакт</x:v>
      </x:c>
      <x:c r="M6" s="8" t="str">
        <x:v>Новый ключ источника</x:v>
      </x:c>
      <x:c r="N6" s="8" t="str">
        <x:v>Прочитана часть</x:v>
      </x:c>
      <x:c r="O6" s="8" t="str">
        <x:v>V7-R081</x:v>
      </x:c>
      <x:c r="P6" s="8" t="str">
        <x:v>https://club-nova.ru/</x:v>
      </x:c>
      <x:c r="Q6" s="8" t="str">
        <x:v>turn1099search9</x:v>
      </x:c>
    </x:row>
    <x:row r="7" ht="35.25" customHeight="1">
      <x:c r="A7" s="8" t="str">
        <x:v>V7-S7cf84ce65b</x:v>
      </x:c>
      <x:c r="B7" s="8" t="str">
        <x:v>Бизнес-клуб Раменки</x:v>
      </x:c>
      <x:c r="C7" s="8" t="str">
        <x:v>Бизнес-клубы и сети</x:v>
      </x:c>
      <x:c r="D7" s="8" t="str">
        <x:v>Клуб Раменки проводит встречи с приглашенными спикерами и имеет закрытый чат. Условия выступления уточняются.</x:v>
      </x:c>
      <x:c r="E7" s="8" t="str">
        <x:v>RU</x:v>
      </x:c>
      <x:c r="F7" s="8" t="str">
        <x:v>Сайт</x:v>
      </x:c>
      <x:c r="G7" s="8" t="str">
        <x:v>guest_speaker_network</x:v>
      </x:c>
      <x:c r="H7" s="8" t="str">
        <x:v>Прочитана часть</x:v>
      </x:c>
      <x:c r="I7" s="8" t="str">
        <x:v>Аудитория / организация</x:v>
      </x:c>
      <x:c r="J7" s="8" t="str">
        <x:v>Кандидат по теме / аудитории</x:v>
      </x:c>
      <x:c r="K7" s="8" t="str">
        <x:v>Не установлено</x:v>
      </x:c>
      <x:c r="L7" s="8" t="str">
        <x:v>further_resolution_needed</x:v>
      </x:c>
      <x:c r="M7" s="8" t="str">
        <x:v>Новый ключ источника</x:v>
      </x:c>
      <x:c r="N7" s="8" t="str">
        <x:v>Прочитана часть</x:v>
      </x:c>
      <x:c r="O7" s="8" t="str">
        <x:v>V7-R082</x:v>
      </x:c>
      <x:c r="P7" s="8" t="str">
        <x:v>https://localbusinessclub.ru/</x:v>
      </x:c>
      <x:c r="Q7" s="8" t="str">
        <x:v>turn1101search21</x:v>
      </x:c>
    </x:row>
    <x:row r="8" ht="35.25" customHeight="1">
      <x:c r="A8" s="8" t="str">
        <x:v>V7-Sca3637f5e2</x:v>
      </x:c>
      <x:c r="B8" s="8" t="str">
        <x:v>Спикеры для бизнеса и лекции для предпринимателей – приглашенные эксперты</x:v>
      </x:c>
      <x:c r="C8" s="8" t="str">
        <x:v>Бизнес-клубы и сети</x:v>
      </x:c>
      <x:c r="D8" s="8" t="str">
        <x:v>PROБИЗНЕС прямо ищет практиков для B2B-выступлений и принимает заявки. Оплата и доступность слота не названы.</x:v>
      </x:c>
      <x:c r="E8" s="8" t="str">
        <x:v>RU</x:v>
      </x:c>
      <x:c r="F8" s="8" t="str">
        <x:v>Сайт</x:v>
      </x:c>
      <x:c r="G8" s="8" t="str">
        <x:v>speaker_application</x:v>
      </x:c>
      <x:c r="H8" s="8" t="str">
        <x:v>Прочитана часть</x:v>
      </x:c>
      <x:c r="I8" s="8" t="str">
        <x:v>Аудитория / организация</x:v>
      </x:c>
      <x:c r="J8" s="8" t="str">
        <x:v>Кандидат по теме / аудитории</x:v>
      </x:c>
      <x:c r="K8" s="8" t="str">
        <x:v>Не установлено</x:v>
      </x:c>
      <x:c r="L8" s="8" t="str">
        <x:v>Есть форма / контакт</x:v>
      </x:c>
      <x:c r="M8" s="8" t="str">
        <x:v>Новый ключ источника</x:v>
      </x:c>
      <x:c r="N8" s="8" t="str">
        <x:v>Прочитана часть</x:v>
      </x:c>
      <x:c r="O8" s="8" t="str">
        <x:v>V7-R083</x:v>
      </x:c>
      <x:c r="P8" s="8" t="str">
        <x:v>https://probusinessclub.ru/speakers</x:v>
      </x:c>
      <x:c r="Q8" s="8" t="str">
        <x:v>turn1099search12; turn1099search24; turn1099search33</x:v>
      </x:c>
    </x:row>
    <x:row r="9" ht="35.25" customHeight="1">
      <x:c r="A9" s="8" t="str">
        <x:v>V7-S7aca20cc74</x:v>
      </x:c>
      <x:c r="B9" s="8" t="str">
        <x:v>Бизнес-клуб BizPride в Алматы — открытое сообщество для МСБ</x:v>
      </x:c>
      <x:c r="C9" s="8" t="str">
        <x:v>Бизнес-клубы и сети</x:v>
      </x:c>
      <x:c r="D9" s="8" t="str">
        <x:v>BizPride описывает чат предпринимателей и поиск подрядчиков. Сами запросы участников не прочитаны.</x:v>
      </x:c>
      <x:c r="E9" s="8" t="str">
        <x:v>KZ</x:v>
      </x:c>
      <x:c r="F9" s="8" t="str">
        <x:v>Сайт</x:v>
      </x:c>
      <x:c r="G9" s="8" t="str">
        <x:v>closed_business_community</x:v>
      </x:c>
      <x:c r="H9" s="8" t="str">
        <x:v>Прочитана часть</x:v>
      </x:c>
      <x:c r="I9" s="8" t="str">
        <x:v>Аудитория / организация</x:v>
      </x:c>
      <x:c r="J9" s="8" t="str">
        <x:v>Кандидат по теме / аудитории</x:v>
      </x:c>
      <x:c r="K9" s="8" t="str">
        <x:v>Не установлено</x:v>
      </x:c>
      <x:c r="L9" s="8" t="str">
        <x:v>further_resolution_needed</x:v>
      </x:c>
      <x:c r="M9" s="8" t="str">
        <x:v>Новый ключ источника</x:v>
      </x:c>
      <x:c r="N9" s="8" t="str">
        <x:v>Прочитана часть</x:v>
      </x:c>
      <x:c r="O9" s="8" t="str">
        <x:v>V7-R084</x:v>
      </x:c>
      <x:c r="P9" s="8" t="str">
        <x:v>https://bizpride.kz/business-club/</x:v>
      </x:c>
      <x:c r="Q9" s="8" t="str">
        <x:v>turn1099search16; turn1099search2; turn1090search7</x:v>
      </x:c>
    </x:row>
    <x:row r="10" ht="35.25" customHeight="1">
      <x:c r="A10" s="8" t="str">
        <x:v>V7-S2bdb29ccb8</x:v>
      </x:c>
      <x:c r="B10" s="8" t="str">
        <x:v>Бизнес-сообщество предпринимателей - «Эквиум» Казахстан</x:v>
      </x:c>
      <x:c r="C10" s="8" t="str">
        <x:v>Бизнес-клубы и сети</x:v>
      </x:c>
      <x:c r="D10" s="8" t="str">
        <x:v>Повторная ошибка чтения клуба Эквиум Казахстан; доступ остается неизвестным.</x:v>
      </x:c>
      <x:c r="E10" s="8" t="str">
        <x:v>KZ</x:v>
      </x:c>
      <x:c r="F10" s="8" t="str">
        <x:v>Сайт</x:v>
      </x:c>
      <x:c r="G10" s="8" t="str">
        <x:v>access_unresolved</x:v>
      </x:c>
      <x:c r="H10" s="8" t="str">
        <x:v>Ошибка доступа</x:v>
      </x:c>
      <x:c r="I10" s="8" t="str">
        <x:v>Не установлено</x:v>
      </x:c>
      <x:c r="J10" s="8" t="str">
        <x:v>Кандидат по теме / аудитории</x:v>
      </x:c>
      <x:c r="K10" s="8" t="str">
        <x:v>Не установлено</x:v>
      </x:c>
      <x:c r="L10" s="8" t="str">
        <x:v>further_resolution_needed</x:v>
      </x:c>
      <x:c r="M10" s="8" t="str">
        <x:v>Новый ключ источника</x:v>
      </x:c>
      <x:c r="N10" s="8" t="str">
        <x:v>Ошибка доступа</x:v>
      </x:c>
      <x:c r="O10" s="8" t="str">
        <x:v>V7-R085</x:v>
      </x:c>
      <x:c r="P10" s="8" t="str">
        <x:v>https://equium.kz/</x:v>
      </x:c>
      <x:c r="Q10" s="8" t="str">
        <x:v>turn1099search7</x:v>
      </x:c>
    </x:row>
    <x:row r="11" ht="35.25" customHeight="1">
      <x:c r="A11" s="8" t="str">
        <x:v>V7-S61d25a5a00</x:v>
      </x:c>
      <x:c r="B11" s="8" t="str">
        <x:v>№1 Бизнес сообщество в Казахстане</x:v>
      </x:c>
      <x:c r="C11" s="8" t="str">
        <x:v>Бизнес-клубы и сети</x:v>
      </x:c>
      <x:c r="D11" s="8" t="str">
        <x:v>Сайт вернул HTTP 402 дважды. Причину и стоимость доступа не выводить из кода ошибки.</x:v>
      </x:c>
      <x:c r="E11" s="8" t="str">
        <x:v>KZ</x:v>
      </x:c>
      <x:c r="F11" s="8" t="str">
        <x:v>Сайт</x:v>
      </x:c>
      <x:c r="G11" s="8" t="str">
        <x:v>access_unresolved</x:v>
      </x:c>
      <x:c r="H11" s="8" t="str">
        <x:v>Ошибка доступа</x:v>
      </x:c>
      <x:c r="I11" s="8" t="str">
        <x:v>Не установлено</x:v>
      </x:c>
      <x:c r="J11" s="8" t="str">
        <x:v>Кандидат по теме / аудитории</x:v>
      </x:c>
      <x:c r="K11" s="8" t="str">
        <x:v>Не установлено</x:v>
      </x:c>
      <x:c r="L11" s="8" t="str">
        <x:v>further_resolution_needed</x:v>
      </x:c>
      <x:c r="M11" s="8" t="str">
        <x:v>Новый ключ источника</x:v>
      </x:c>
      <x:c r="N11" s="8" t="str">
        <x:v>Ошибка доступа</x:v>
      </x:c>
      <x:c r="O11" s="8" t="str">
        <x:v>V7-R086</x:v>
      </x:c>
      <x:c r="P11" s="8" t="str">
        <x:v>https://friendscommunity.kz/</x:v>
      </x:c>
      <x:c r="Q11" s="8" t="str">
        <x:v>turn1099search10</x:v>
      </x:c>
    </x:row>
    <x:row r="12" ht="35.25" customHeight="1">
      <x:c r="A12" s="8" t="str">
        <x:v>V7-S468cc38e30</x:v>
      </x:c>
      <x:c r="B12" s="8" t="str">
        <x:v>26 Business Club — Сообщество high-impact предпринимателей</x:v>
      </x:c>
      <x:c r="C12" s="8" t="str">
        <x:v>Бизнес-клубы и сети</x:v>
      </x:c>
      <x:c r="D12" s="8" t="str">
        <x:v>Две попытки извлечения не дали текста. Наличие JS-страницы не подтверждает просмотр содержания.</x:v>
      </x:c>
      <x:c r="E12" s="8" t="str">
        <x:v>KZ</x:v>
      </x:c>
      <x:c r="F12" s="8" t="str">
        <x:v>Сайт</x:v>
      </x:c>
      <x:c r="G12" s="8" t="str">
        <x:v>empty_extraction</x:v>
      </x:c>
      <x:c r="H12" s="8" t="str">
        <x:v>Пустое извлечение</x:v>
      </x:c>
      <x:c r="I12" s="8" t="str">
        <x:v>Не установлено</x:v>
      </x:c>
      <x:c r="J12" s="8" t="str">
        <x:v>Кандидат по теме / аудитории</x:v>
      </x:c>
      <x:c r="K12" s="8" t="str">
        <x:v>Не установлено</x:v>
      </x:c>
      <x:c r="L12" s="8" t="str">
        <x:v>further_resolution_needed</x:v>
      </x:c>
      <x:c r="M12" s="8" t="str">
        <x:v>Новый ключ источника</x:v>
      </x:c>
      <x:c r="N12" s="8" t="str">
        <x:v>Пустое извлечение</x:v>
      </x:c>
      <x:c r="O12" s="8" t="str">
        <x:v>V7-R087</x:v>
      </x:c>
      <x:c r="P12" s="8" t="str">
        <x:v>https://www.26businessclub.kz/</x:v>
      </x:c>
      <x:c r="Q12" s="8" t="str">
        <x:v>turn1099search18</x:v>
      </x:c>
    </x:row>
    <x:row r="13" ht="35.25" customHeight="1">
      <x:c r="A13" s="8" t="str">
        <x:v>V7-S9526f21382</x:v>
      </x:c>
      <x:c r="B13" s="8" t="str">
        <x:v>Практикум 2.0 для предпринимателей - Бизнес клуб "Аномалия"</x:v>
      </x:c>
      <x:c r="C13" s="8" t="str">
        <x:v>Бизнес-клубы и сети</x:v>
      </x:c>
      <x:c r="D13" s="8" t="str">
        <x:v>После повторной попытки прочитана публикация 18 июня 2026 о прошедшем практикуме.</x:v>
      </x:c>
      <x:c r="E13" s="8" t="str">
        <x:v>BY</x:v>
      </x:c>
      <x:c r="F13" s="8" t="str">
        <x:v>Сайт</x:v>
      </x:c>
      <x:c r="G13" s="8" t="str">
        <x:v>past_event</x:v>
      </x:c>
      <x:c r="H13" s="8" t="str">
        <x:v>Прочитана часть</x:v>
      </x:c>
      <x:c r="I13" s="8" t="str">
        <x:v>Аудитория / организация</x:v>
      </x:c>
      <x:c r="J13" s="8" t="str">
        <x:v>Кандидат по теме / аудитории</x:v>
      </x:c>
      <x:c r="K13" s="8" t="str">
        <x:v>dated_context_see_date_kind</x:v>
      </x:c>
      <x:c r="L13" s="8" t="str">
        <x:v>further_resolution_needed</x:v>
      </x:c>
      <x:c r="M13" s="8" t="str">
        <x:v>Новый ключ источника</x:v>
      </x:c>
      <x:c r="N13" s="8" t="str">
        <x:v>Прочитана часть</x:v>
      </x:c>
      <x:c r="O13" s="8" t="str">
        <x:v>V7-R088</x:v>
      </x:c>
      <x:c r="P13" s="8" t="str">
        <x:v>https://anomalia-club.by/praktikum-2-0-dlya-predprinimatelei/</x:v>
      </x:c>
      <x:c r="Q13" s="8" t="str">
        <x:v>turn1101search7; turn1101search19</x:v>
      </x:c>
    </x:row>
    <x:row r="14" ht="35.25" customHeight="1">
      <x:c r="A14" s="8" t="str">
        <x:v>V7-S4e3c66d1d7</x:v>
      </x:c>
      <x:c r="B14" s="8" t="str">
        <x:v>club.startupbelarus.by</x:v>
      </x:c>
      <x:c r="C14" s="8" t="str">
        <x:v>Бизнес-клубы и сети</x:v>
      </x:c>
      <x:c r="D14" s="8" t="str">
        <x:v>Кейс-клуб Стартап технологии обсуждает задачи бизнеса с практиками. Найден общий контакт, не конкретный заказ.</x:v>
      </x:c>
      <x:c r="E14" s="8" t="str">
        <x:v>BY</x:v>
      </x:c>
      <x:c r="F14" s="8" t="str">
        <x:v>Сайт</x:v>
      </x:c>
      <x:c r="G14" s="8" t="str">
        <x:v>expert_business_community</x:v>
      </x:c>
      <x:c r="H14" s="8" t="str">
        <x:v>Прочитана часть</x:v>
      </x:c>
      <x:c r="I14" s="8" t="str">
        <x:v>Аудитория / организация</x:v>
      </x:c>
      <x:c r="J14" s="8" t="str">
        <x:v>Кандидат по теме / аудитории</x:v>
      </x:c>
      <x:c r="K14" s="8" t="str">
        <x:v>Не установлено</x:v>
      </x:c>
      <x:c r="L14" s="8" t="str">
        <x:v>Есть форма / контакт</x:v>
      </x:c>
      <x:c r="M14" s="8" t="str">
        <x:v>Новый ключ источника</x:v>
      </x:c>
      <x:c r="N14" s="8" t="str">
        <x:v>Прочитана часть</x:v>
      </x:c>
      <x:c r="O14" s="8" t="str">
        <x:v>V7-R089</x:v>
      </x:c>
      <x:c r="P14" s="8" t="str">
        <x:v>https://club.startupbelarus.by/</x:v>
      </x:c>
      <x:c r="Q14" s="8" t="str">
        <x:v>turn1101search6</x:v>
      </x:c>
    </x:row>
    <x:row r="15" ht="47.25" customHeight="1">
      <x:c r="A15" s="8" t="str">
        <x:v>V7-Sd1bc080a0b</x:v>
      </x:c>
      <x:c r="B15" s="8" t="str">
        <x:v>Пост-релиз xxii ассамблеи деловых кругов республики беларусь | официальный сайт СЮЛ "Республиканская конфедерация предпринимательства"</x:v>
      </x:c>
      <x:c r="C15" s="8" t="str">
        <x:v>Бизнес-клубы и сети</x:v>
      </x:c>
      <x:c r="D15" s="8" t="str">
        <x:v>Пост-релиз Республиканской конфедерации предпринимательства Беларуси дважды вернул 403.</x:v>
      </x:c>
      <x:c r="E15" s="8" t="str">
        <x:v>BY</x:v>
      </x:c>
      <x:c r="F15" s="8" t="str">
        <x:v>Сайт</x:v>
      </x:c>
      <x:c r="G15" s="8" t="str">
        <x:v>access_unresolved</x:v>
      </x:c>
      <x:c r="H15" s="8" t="str">
        <x:v>Ошибка доступа</x:v>
      </x:c>
      <x:c r="I15" s="8" t="str">
        <x:v>Не установлено</x:v>
      </x:c>
      <x:c r="J15" s="8" t="str">
        <x:v>Кандидат по теме / аудитории</x:v>
      </x:c>
      <x:c r="K15" s="8" t="str">
        <x:v>Не установлено</x:v>
      </x:c>
      <x:c r="L15" s="8" t="str">
        <x:v>further_resolution_needed</x:v>
      </x:c>
      <x:c r="M15" s="8" t="str">
        <x:v>Новый ключ источника</x:v>
      </x:c>
      <x:c r="N15" s="8" t="str">
        <x:v>Ошибка доступа</x:v>
      </x:c>
      <x:c r="O15" s="8" t="str">
        <x:v>V7-R090</x:v>
      </x:c>
      <x:c r="P15" s="8" t="str">
        <x:v>https://www.rce.by/post-reliz2025.php</x:v>
      </x:c>
      <x:c r="Q15" s="8" t="str">
        <x:v>turn1101search16; turn1108search7; turn1100search17</x:v>
      </x:c>
    </x:row>
    <x:row r="16" ht="35.25" customHeight="1">
      <x:c r="A16" s="8" t="str">
        <x:v>V7-Scf5c3b44a5</x:v>
      </x:c>
      <x:c r="B16" s="8" t="str">
        <x:v>Корпоративная Академия Росатома – Telegram</x:v>
      </x:c>
      <x:c r="C16" s="8" t="str">
        <x:v>КУ и образовательные партнерства</x:v>
      </x:c>
      <x:c r="D16" s="8" t="str">
        <x:v>Прочитан старый отфильтрованный Telegram-фрагмент Академии Росатома. Текущая лента недоступна.</x:v>
      </x:c>
      <x:c r="E16" s="8" t="str">
        <x:v>Не установлена</x:v>
      </x:c>
      <x:c r="F16" s="8" t="str">
        <x:v>Telegram</x:v>
      </x:c>
      <x:c r="G16" s="8" t="str">
        <x:v>historical_feed</x:v>
      </x:c>
      <x:c r="H16" s="8" t="str">
        <x:v>Прочитана часть</x:v>
      </x:c>
      <x:c r="I16" s="8" t="str">
        <x:v>Аудитория / организация</x:v>
      </x:c>
      <x:c r="J16" s="8" t="str">
        <x:v>Кандидат по теме / аудитории</x:v>
      </x:c>
      <x:c r="K16" s="8" t="str">
        <x:v>Не установлено</x:v>
      </x:c>
      <x:c r="L16" s="8" t="str">
        <x:v>further_resolution_needed</x:v>
      </x:c>
      <x:c r="M16" s="8" t="str">
        <x:v>Новый ключ источника</x:v>
      </x:c>
      <x:c r="N16" s="8" t="str">
        <x:v>Прочитана часть</x:v>
      </x:c>
      <x:c r="O16" s="8" t="str">
        <x:v>V7-R059</x:v>
      </x:c>
      <x:c r="P16" s="8" t="str">
        <x:v>https://t.me/s/academyrosatom?before=1691&amp;q=%23%D0%90%D0%BA%D0%B0%D0%B4%D0%B5%D0%BC%D0%B8%D1%8F%D0%9E%D0%B1%D1%83%D1%87%D0%B0%D0%B5%D1%82</x:v>
      </x:c>
      <x:c r="Q16" s="8" t="str">
        <x:v>turn1094search25</x:v>
      </x:c>
    </x:row>
    <x:row r="17" ht="35.25" customHeight="1">
      <x:c r="A17" s="8" t="str">
        <x:v>V7-S8be40b09b3</x:v>
      </x:c>
      <x:c r="B17" s="8" t="str">
        <x:v>Корпоративный университет BAXI (БАКСИ) – обучение, партнерство, ценности БДР Термия Рус</x:v>
      </x:c>
      <x:c r="C17" s="8" t="str">
        <x:v>КУ и образовательные партнерства</x:v>
      </x:c>
      <x:c r="D17" s="8" t="str">
        <x:v>BAXI обучает партнеров, владельцев бизнеса и менеджеров. Рабочие технические семинары отделены от управленческих задач.</x:v>
      </x:c>
      <x:c r="E17" s="8" t="str">
        <x:v>RU</x:v>
      </x:c>
      <x:c r="F17" s="8" t="str">
        <x:v>Сайт</x:v>
      </x:c>
      <x:c r="G17" s="8" t="str">
        <x:v>corporate_learning_ecosystem</x:v>
      </x:c>
      <x:c r="H17" s="8" t="str">
        <x:v>Прочитана часть</x:v>
      </x:c>
      <x:c r="I17" s="8" t="str">
        <x:v>Аудитория / организация</x:v>
      </x:c>
      <x:c r="J17" s="8" t="str">
        <x:v>mixed_or_adjacent</x:v>
      </x:c>
      <x:c r="K17" s="8" t="str">
        <x:v>Не установлено</x:v>
      </x:c>
      <x:c r="L17" s="8" t="str">
        <x:v>further_resolution_needed</x:v>
      </x:c>
      <x:c r="M17" s="8" t="str">
        <x:v>Новый ключ источника</x:v>
      </x:c>
      <x:c r="N17" s="8" t="str">
        <x:v>Прочитана часть</x:v>
      </x:c>
      <x:c r="O17" s="8" t="str">
        <x:v>V7-R052</x:v>
      </x:c>
      <x:c r="P17" s="8" t="str">
        <x:v>https://baxi.ru/partners/university/</x:v>
      </x:c>
      <x:c r="Q17" s="8" t="str">
        <x:v>turn1110search16</x:v>
      </x:c>
    </x:row>
    <x:row r="18" ht="35.25" customHeight="1">
      <x:c r="A18" s="8" t="str">
        <x:v>V7-Sc848e540a7</x:v>
      </x:c>
      <x:c r="B18" s="8" t="str">
        <x:v>Как стать партнёрской образовательной организацией</x:v>
      </x:c>
      <x:c r="C18" s="8" t="str">
        <x:v>КУ и образовательные партнерства</x:v>
      </x:c>
      <x:c r="D18" s="8" t="str">
        <x:v>Найденный путь относится к партнерству со школами для абитуриентов и возвращает 403. Требуется другой раздел ДПО.</x:v>
      </x:c>
      <x:c r="E18" s="8" t="str">
        <x:v>RU</x:v>
      </x:c>
      <x:c r="F18" s="8" t="str">
        <x:v>Сайт</x:v>
      </x:c>
      <x:c r="G18" s="8" t="str">
        <x:v>wrong_surface_and_access</x:v>
      </x:c>
      <x:c r="H18" s="8" t="str">
        <x:v>Ошибка доступа</x:v>
      </x:c>
      <x:c r="I18" s="8" t="str">
        <x:v>Не установлено</x:v>
      </x:c>
      <x:c r="J18" s="8" t="str">
        <x:v>mixed_or_adjacent</x:v>
      </x:c>
      <x:c r="K18" s="8" t="str">
        <x:v>Не установлено</x:v>
      </x:c>
      <x:c r="L18" s="8" t="str">
        <x:v>further_resolution_needed</x:v>
      </x:c>
      <x:c r="M18" s="8" t="str">
        <x:v>Новый ключ источника</x:v>
      </x:c>
      <x:c r="N18" s="8" t="str">
        <x:v>Ошибка доступа</x:v>
      </x:c>
      <x:c r="O18" s="8" t="str">
        <x:v>V7-R060</x:v>
      </x:c>
      <x:c r="P18" s="8" t="str">
        <x:v>https://www.fa.ru/for-applicants/priyemka/schools/partner/</x:v>
      </x:c>
      <x:c r="Q18" s="8" t="str">
        <x:v>turn1094search8; turn1094search14; turn1091search19; turn1091search24</x:v>
      </x:c>
    </x:row>
    <x:row r="19" ht="35.25" customHeight="1">
      <x:c r="A19" s="8" t="str">
        <x:v>V7-S2b1db7eaaa</x:v>
      </x:c>
      <x:c r="B19" s="8" t="str">
        <x:v>Корпоративные преподаватели Технического университета УГМК</x:v>
      </x:c>
      <x:c r="C19" s="8" t="str">
        <x:v>КУ и образовательные партнерства</x:v>
      </x:c>
      <x:c r="D19" s="8" t="str">
        <x:v>Технический университет УГМК набирает корпоративных преподавателей и указывает возмездные условия. Доступность для внешней организации уточнить.</x:v>
      </x:c>
      <x:c r="E19" s="8" t="str">
        <x:v>Не установлена</x:v>
      </x:c>
      <x:c r="F19" s="8" t="str">
        <x:v>Сайт</x:v>
      </x:c>
      <x:c r="G19" s="8" t="str">
        <x:v>paid_corporate_teacher_pool</x:v>
      </x:c>
      <x:c r="H19" s="8" t="str">
        <x:v>Прочитана часть</x:v>
      </x:c>
      <x:c r="I19" s="8" t="str">
        <x:v>Аудитория / организация</x:v>
      </x:c>
      <x:c r="J19" s="8" t="str">
        <x:v>Кандидат по теме / аудитории</x:v>
      </x:c>
      <x:c r="K19" s="8" t="str">
        <x:v>Не установлено</x:v>
      </x:c>
      <x:c r="L19" s="8" t="str">
        <x:v>Есть форма / контакт</x:v>
      </x:c>
      <x:c r="M19" s="8" t="str">
        <x:v>Новый ключ источника</x:v>
      </x:c>
      <x:c r="N19" s="8" t="str">
        <x:v>Прочитана часть</x:v>
      </x:c>
      <x:c r="O19" s="8" t="str">
        <x:v>V7-R051</x:v>
      </x:c>
      <x:c r="P19" s="8" t="str">
        <x:v>https://korp.eduugmk.com/</x:v>
      </x:c>
      <x:c r="Q19" s="8" t="str">
        <x:v>turn1094search1</x:v>
      </x:c>
    </x:row>
    <x:row r="20" ht="35.25" customHeight="1">
      <x:c r="A20" s="8" t="str">
        <x:v>V7-S463f7cbaa9</x:v>
      </x:c>
      <x:c r="B20" s="8" t="str">
        <x:v>Сведения об образовательной организации</x:v>
      </x:c>
      <x:c r="C20" s="8" t="str">
        <x:v>КУ и образовательные партнерства</x:v>
      </x:c>
      <x:c r="D20" s="8" t="str">
        <x:v>Найден официальный образовательный контакт КУ РМК. Он не доказывает владение прежним запросом коучинга.</x:v>
      </x:c>
      <x:c r="E20" s="8" t="str">
        <x:v>RU</x:v>
      </x:c>
      <x:c r="F20" s="8" t="str">
        <x:v>Сайт</x:v>
      </x:c>
      <x:c r="G20" s="8" t="str">
        <x:v>corporate_university_contact</x:v>
      </x:c>
      <x:c r="H20" s="8" t="str">
        <x:v>Прочитана часть</x:v>
      </x:c>
      <x:c r="I20" s="8" t="str">
        <x:v>Аудитория / организация</x:v>
      </x:c>
      <x:c r="J20" s="8" t="str">
        <x:v>Кандидат по теме / аудитории</x:v>
      </x:c>
      <x:c r="K20" s="8" t="str">
        <x:v>Не установлено</x:v>
      </x:c>
      <x:c r="L20" s="8" t="str">
        <x:v>Есть форма / контакт</x:v>
      </x:c>
      <x:c r="M20" s="8" t="str">
        <x:v>Новый ключ источника</x:v>
      </x:c>
      <x:c r="N20" s="8" t="str">
        <x:v>Прочитана часть</x:v>
      </x:c>
      <x:c r="O20" s="8" t="str">
        <x:v>V7-R053</x:v>
      </x:c>
      <x:c r="P20" s="8" t="str">
        <x:v>https://curmk.ru/about_oo</x:v>
      </x:c>
      <x:c r="Q20" s="8" t="str">
        <x:v>turn1094search21</x:v>
      </x:c>
    </x:row>
    <x:row r="21" ht="35.25" customHeight="1">
      <x:c r="A21" s="8" t="str">
        <x:v>V7-S3ac006e7ae</x:v>
      </x:c>
      <x:c r="B21" s="8" t="str">
        <x:v>Корпоративная Академия "эВ-групп" — обучение персонала</x:v>
      </x:c>
      <x:c r="C21" s="8" t="str">
        <x:v>КУ и образовательные партнерства</x:v>
      </x:c>
      <x:c r="D21" s="8" t="str">
        <x:v>Академия эВ-групп обучает сотрудников, дочерние компании и партнеров. Внешний заказ не найден.</x:v>
      </x:c>
      <x:c r="E21" s="8" t="str">
        <x:v>Не установлена</x:v>
      </x:c>
      <x:c r="F21" s="8" t="str">
        <x:v>Сайт</x:v>
      </x:c>
      <x:c r="G21" s="8" t="str">
        <x:v>corporate_university_contact</x:v>
      </x:c>
      <x:c r="H21" s="8" t="str">
        <x:v>Прочитана часть</x:v>
      </x:c>
      <x:c r="I21" s="8" t="str">
        <x:v>Аудитория / организация</x:v>
      </x:c>
      <x:c r="J21" s="8" t="str">
        <x:v>Кандидат по теме / аудитории</x:v>
      </x:c>
      <x:c r="K21" s="8" t="str">
        <x:v>Не установлено</x:v>
      </x:c>
      <x:c r="L21" s="8" t="str">
        <x:v>Есть форма / контакт</x:v>
      </x:c>
      <x:c r="M21" s="8" t="str">
        <x:v>Новый ключ источника</x:v>
      </x:c>
      <x:c r="N21" s="8" t="str">
        <x:v>Прочитана часть</x:v>
      </x:c>
      <x:c r="O21" s="8" t="str">
        <x:v>V7-R054</x:v>
      </x:c>
      <x:c r="P21" s="8" t="str">
        <x:v>https://www.ev.group/academy/</x:v>
      </x:c>
      <x:c r="Q21" s="8" t="str">
        <x:v>turn1094search28</x:v>
      </x:c>
    </x:row>
    <x:row r="22" ht="47.25" customHeight="1">
      <x:c r="A22" s="8" t="str">
        <x:v>V7-Sfb2f3cb02d</x:v>
      </x:c>
      <x:c r="B22" s="8" t="str">
        <x:v>Центр «Мой Бизнес» — Центр «Мой бизнес» приглашает к сотрудничеству спикеров и лекторов - Центр мой бизнес Орёл</x:v>
      </x:c>
      <x:c r="C22" s="8" t="str">
        <x:v>Палаты и центры развития</x:v>
      </x:c>
      <x:c r="D22" s="8" t="str">
        <x:v>Центр Мой бизнес Орёл публикует правила подачи предложений спикеров. Дата 14 июля 2025, прием сейчас требует уточнения.</x:v>
      </x:c>
      <x:c r="E22" s="8" t="str">
        <x:v>RU</x:v>
      </x:c>
      <x:c r="F22" s="8" t="str">
        <x:v>Сайт</x:v>
      </x:c>
      <x:c r="G22" s="8" t="str">
        <x:v>standing_speaker_invitation</x:v>
      </x:c>
      <x:c r="H22" s="8" t="str">
        <x:v>Прочитана часть</x:v>
      </x:c>
      <x:c r="I22" s="8" t="str">
        <x:v>Аудитория / организация</x:v>
      </x:c>
      <x:c r="J22" s="8" t="str">
        <x:v>Кандидат по теме / аудитории</x:v>
      </x:c>
      <x:c r="K22" s="8" t="str">
        <x:v>dated_context_see_date_kind</x:v>
      </x:c>
      <x:c r="L22" s="8" t="str">
        <x:v>Есть форма / контакт</x:v>
      </x:c>
      <x:c r="M22" s="8" t="str">
        <x:v>Новый ключ источника</x:v>
      </x:c>
      <x:c r="N22" s="8" t="str">
        <x:v>Прочитана часть</x:v>
      </x:c>
      <x:c r="O22" s="8" t="str">
        <x:v>V7-R071</x:v>
      </x:c>
      <x:c r="P22" s="8" t="str">
        <x:v>https://msb-orel.ru/events/czentr-moj-biznes-priglashaet-k-sotrudnichestvu-spikerov-i-lektorov</x:v>
      </x:c>
      <x:c r="Q22" s="8" t="str">
        <x:v>turn1102search10; turn1267search10</x:v>
      </x:c>
    </x:row>
    <x:row r="23" ht="35.25" customHeight="1">
      <x:c r="A23" s="8" t="str">
        <x:v>V7-Sa2b398a91e</x:v>
      </x:c>
      <x:c r="B23" s="8" t="str">
        <x:v>Как стать спикером центра «Мой бизнес» | АНО «Мой бизнес»</x:v>
      </x:c>
      <x:c r="C23" s="8" t="str">
        <x:v>Палаты и центры развития</x:v>
      </x:c>
      <x:c r="D23" s="8" t="str">
        <x:v>Вологодский центр принимает портфолио и программы на бланке организации. Публикация 26 августа 2025.</x:v>
      </x:c>
      <x:c r="E23" s="8" t="str">
        <x:v>RU</x:v>
      </x:c>
      <x:c r="F23" s="8" t="str">
        <x:v>Сайт</x:v>
      </x:c>
      <x:c r="G23" s="8" t="str">
        <x:v>standing_speaker_invitation</x:v>
      </x:c>
      <x:c r="H23" s="8" t="str">
        <x:v>Прочитана часть</x:v>
      </x:c>
      <x:c r="I23" s="8" t="str">
        <x:v>Аудитория / организация</x:v>
      </x:c>
      <x:c r="J23" s="8" t="str">
        <x:v>Кандидат по теме / аудитории</x:v>
      </x:c>
      <x:c r="K23" s="8" t="str">
        <x:v>dated_context_see_date_kind</x:v>
      </x:c>
      <x:c r="L23" s="8" t="str">
        <x:v>Есть форма / контакт</x:v>
      </x:c>
      <x:c r="M23" s="8" t="str">
        <x:v>Новый ключ источника</x:v>
      </x:c>
      <x:c r="N23" s="8" t="str">
        <x:v>Прочитана часть</x:v>
      </x:c>
      <x:c r="O23" s="8" t="str">
        <x:v>V7-R072</x:v>
      </x:c>
      <x:c r="P23" s="8" t="str">
        <x:v>https://mb35.ru/novosti/kak-stat-spikerom-tsentra-moy-biznes/</x:v>
      </x:c>
      <x:c r="Q23" s="8" t="str">
        <x:v>turn1102search0</x:v>
      </x:c>
    </x:row>
    <x:row r="24" ht="35.25" customHeight="1">
      <x:c r="A24" s="8" t="str">
        <x:v>V7-Sdf3544e88a</x:v>
      </x:c>
      <x:c r="B24" s="8" t="str">
        <x:v>Хотите стать экспертом Центра «Мой бизнес» и заявить о себе?</x:v>
      </x:c>
      <x:c r="C24" s="8" t="str">
        <x:v>Палаты и центры развития</x:v>
      </x:c>
      <x:c r="D24" s="8" t="str">
        <x:v>Приглашение тюменского центра относится к событию ноября 2024. Не считать действующим сроком.</x:v>
      </x:c>
      <x:c r="E24" s="8" t="str">
        <x:v>Не установлена</x:v>
      </x:c>
      <x:c r="F24" s="8" t="str">
        <x:v>Сайт</x:v>
      </x:c>
      <x:c r="G24" s="8" t="str">
        <x:v>historical_expert_call</x:v>
      </x:c>
      <x:c r="H24" s="8" t="str">
        <x:v>Прочитана часть</x:v>
      </x:c>
      <x:c r="I24" s="8" t="str">
        <x:v>Аудитория / организация</x:v>
      </x:c>
      <x:c r="J24" s="8" t="str">
        <x:v>Кандидат по теме / аудитории</x:v>
      </x:c>
      <x:c r="K24" s="8" t="str">
        <x:v>dated_context_see_date_kind</x:v>
      </x:c>
      <x:c r="L24" s="8" t="str">
        <x:v>Есть форма / контакт</x:v>
      </x:c>
      <x:c r="M24" s="8" t="str">
        <x:v>Новый ключ источника</x:v>
      </x:c>
      <x:c r="N24" s="8" t="str">
        <x:v>Прочитана часть</x:v>
      </x:c>
      <x:c r="O24" s="8" t="str">
        <x:v>V7-R073</x:v>
      </x:c>
      <x:c r="P24" s="8" t="str">
        <x:v>https://xn---72-9cdulgg0aog6b.xn--p1ai/information/news/khotite-stat-ekspertom-tsentra-moy-biznes-i-zayavit-o-sebe/</x:v>
      </x:c>
      <x:c r="Q24" s="8" t="str">
        <x:v>turn1102search7; turn1267search2; turn1267search7</x:v>
      </x:c>
    </x:row>
    <x:row r="25" ht="35.25" customHeight="1">
      <x:c r="A25" s="8" t="str">
        <x:v>V7-S48ead27887</x:v>
      </x:c>
      <x:c r="B25" s="8" t="str">
        <x:v>Союз "Торгово-промышленная палата города Дубны"</x:v>
      </x:c>
      <x:c r="C25" s="8" t="str">
        <x:v>Палаты и центры развития</x:v>
      </x:c>
      <x:c r="D25" s="8" t="str">
        <x:v>Прочитаны новости ТПП Дубны, включая даты 1 октября 2026; прямого запроса обучения не выявлено.</x:v>
      </x:c>
      <x:c r="E25" s="8" t="str">
        <x:v>RU</x:v>
      </x:c>
      <x:c r="F25" s="8" t="str">
        <x:v>Сайт</x:v>
      </x:c>
      <x:c r="G25" s="8" t="str">
        <x:v>chamber_news</x:v>
      </x:c>
      <x:c r="H25" s="8" t="str">
        <x:v>Прочитана часть</x:v>
      </x:c>
      <x:c r="I25" s="8" t="str">
        <x:v>Аудитория / организация</x:v>
      </x:c>
      <x:c r="J25" s="8" t="str">
        <x:v>Кандидат по теме / аудитории</x:v>
      </x:c>
      <x:c r="K25" s="8" t="str">
        <x:v>Не установлено</x:v>
      </x:c>
      <x:c r="L25" s="8" t="str">
        <x:v>further_resolution_needed</x:v>
      </x:c>
      <x:c r="M25" s="8" t="str">
        <x:v>Новый ключ источника</x:v>
      </x:c>
      <x:c r="N25" s="8" t="str">
        <x:v>Прочитана часть</x:v>
      </x:c>
      <x:c r="O25" s="8" t="str">
        <x:v>V7-R074</x:v>
      </x:c>
      <x:c r="P25" s="8" t="str">
        <x:v>https://dubna.tpprf.ru/ru/</x:v>
      </x:c>
      <x:c r="Q25" s="8" t="str">
        <x:v>turn1102search31</x:v>
      </x:c>
    </x:row>
    <x:row r="26" ht="35.25" customHeight="1">
      <x:c r="A26" s="8" t="str">
        <x:v>V7-Sff951dc50e</x:v>
      </x:c>
      <x:c r="B26" s="8" t="str">
        <x:v>ЦПЭ - Центр поддержки экспорта | Тула</x:v>
      </x:c>
      <x:c r="C26" s="8" t="str">
        <x:v>Палаты и центры развития</x:v>
      </x:c>
      <x:c r="D26" s="8" t="str">
        <x:v>У тульского центра экспорта есть образовательные анонсы конца сентября и октября 2026. Ищем организатора/следующий цикл, не покупателя по анонсу.</x:v>
      </x:c>
      <x:c r="E26" s="8" t="str">
        <x:v>RU</x:v>
      </x:c>
      <x:c r="F26" s="8" t="str">
        <x:v>Сайт</x:v>
      </x:c>
      <x:c r="G26" s="8" t="str">
        <x:v>training_program_operator</x:v>
      </x:c>
      <x:c r="H26" s="8" t="str">
        <x:v>Прочитана часть</x:v>
      </x:c>
      <x:c r="I26" s="8" t="str">
        <x:v>Аудитория / организация</x:v>
      </x:c>
      <x:c r="J26" s="8" t="str">
        <x:v>Кандидат по теме / аудитории</x:v>
      </x:c>
      <x:c r="K26" s="8" t="str">
        <x:v>Не установлено</x:v>
      </x:c>
      <x:c r="L26" s="8" t="str">
        <x:v>further_resolution_needed</x:v>
      </x:c>
      <x:c r="M26" s="8" t="str">
        <x:v>Новый ключ источника</x:v>
      </x:c>
      <x:c r="N26" s="8" t="str">
        <x:v>Прочитана часть</x:v>
      </x:c>
      <x:c r="O26" s="8" t="str">
        <x:v>V7-R077</x:v>
      </x:c>
      <x:c r="P26" s="8" t="str">
        <x:v>https://export71.ru/</x:v>
      </x:c>
      <x:c r="Q26" s="8" t="str">
        <x:v>turn1102search20</x:v>
      </x:c>
    </x:row>
    <x:row r="27" ht="35.25" customHeight="1">
      <x:c r="A27" s="8" t="str">
        <x:v>V7-Sd51036b56e</x:v>
      </x:c>
      <x:c r="B27" s="8" t="str">
        <x:v>Союз "ТПП Краснодарского края"</x:v>
      </x:c>
      <x:c r="C27" s="8" t="str">
        <x:v>Палаты и центры развития</x:v>
      </x:c>
      <x:c r="D27" s="8" t="str">
        <x:v>Выбранная новость ТПП Кубани относится к апрелю 2026. Нужна текущая лента образовательных инициатив.</x:v>
      </x:c>
      <x:c r="E27" s="8" t="str">
        <x:v>RU</x:v>
      </x:c>
      <x:c r="F27" s="8" t="str">
        <x:v>Сайт</x:v>
      </x:c>
      <x:c r="G27" s="8" t="str">
        <x:v>past_event</x:v>
      </x:c>
      <x:c r="H27" s="8" t="str">
        <x:v>Прочитана часть</x:v>
      </x:c>
      <x:c r="I27" s="8" t="str">
        <x:v>Аудитория / организация</x:v>
      </x:c>
      <x:c r="J27" s="8" t="str">
        <x:v>Кандидат по теме / аудитории</x:v>
      </x:c>
      <x:c r="K27" s="8" t="str">
        <x:v>Не установлено</x:v>
      </x:c>
      <x:c r="L27" s="8" t="str">
        <x:v>further_resolution_needed</x:v>
      </x:c>
      <x:c r="M27" s="8" t="str">
        <x:v>Новый ключ источника</x:v>
      </x:c>
      <x:c r="N27" s="8" t="str">
        <x:v>Прочитана часть</x:v>
      </x:c>
      <x:c r="O27" s="8" t="str">
        <x:v>V7-R075</x:v>
      </x:c>
      <x:c r="P27" s="8" t="str">
        <x:v>https://kuban.tpprf.ru/ru/announcements/601051/</x:v>
      </x:c>
      <x:c r="Q27" s="8" t="str">
        <x:v>turn1102search28</x:v>
      </x:c>
    </x:row>
    <x:row r="28" ht="35.25" customHeight="1">
      <x:c r="A28" s="8" t="str">
        <x:v>V7-Sad37182e5b</x:v>
      </x:c>
      <x:c r="B28" s="8" t="str">
        <x:v>О Центре поддержки предпринимательства «Стартап технологии» - Startup Weekend Belarus</x:v>
      </x:c>
      <x:c r="C28" s="8" t="str">
        <x:v>Палаты и центры развития</x:v>
      </x:c>
      <x:c r="D28" s="8" t="str">
        <x:v>Белорусский центр Стартап технологии организует события и приглашает партнеров. Оплачиваемый образовательный заказ не указан.</x:v>
      </x:c>
      <x:c r="E28" s="8" t="str">
        <x:v>BY</x:v>
      </x:c>
      <x:c r="F28" s="8" t="str">
        <x:v>Сайт</x:v>
      </x:c>
      <x:c r="G28" s="8" t="str">
        <x:v>business_support_network</x:v>
      </x:c>
      <x:c r="H28" s="8" t="str">
        <x:v>Прочитана часть</x:v>
      </x:c>
      <x:c r="I28" s="8" t="str">
        <x:v>Аудитория / организация</x:v>
      </x:c>
      <x:c r="J28" s="8" t="str">
        <x:v>Кандидат по теме / аудитории</x:v>
      </x:c>
      <x:c r="K28" s="8" t="str">
        <x:v>Не установлено</x:v>
      </x:c>
      <x:c r="L28" s="8" t="str">
        <x:v>further_resolution_needed</x:v>
      </x:c>
      <x:c r="M28" s="8" t="str">
        <x:v>Новый ключ источника</x:v>
      </x:c>
      <x:c r="N28" s="8" t="str">
        <x:v>Прочитана часть</x:v>
      </x:c>
      <x:c r="O28" s="8" t="str">
        <x:v>V7-R078</x:v>
      </x:c>
      <x:c r="P28" s="8" t="str">
        <x:v>https://startupweekend.by/st/</x:v>
      </x:c>
      <x:c r="Q28" s="8" t="str">
        <x:v>turn1100search14</x:v>
      </x:c>
    </x:row>
    <x:row r="29" ht="35.25" customHeight="1">
      <x:c r="A29" s="8" t="str">
        <x:v>V7-S64b48bb8de</x:v>
      </x:c>
      <x:c r="B29" s="8" t="str">
        <x:v>Союз "Торгово-промышленная палата Республики Татарстан"</x:v>
      </x:c>
      <x:c r="C29" s="8" t="str">
        <x:v>Палаты и центры развития</x:v>
      </x:c>
      <x:c r="D29" s="8" t="str">
        <x:v>У ТПП Татарстана видны новости конца сентября 2026; границы полной истории не проверены.</x:v>
      </x:c>
      <x:c r="E29" s="8" t="str">
        <x:v>RU</x:v>
      </x:c>
      <x:c r="F29" s="8" t="str">
        <x:v>Сайт</x:v>
      </x:c>
      <x:c r="G29" s="8" t="str">
        <x:v>chamber_news</x:v>
      </x:c>
      <x:c r="H29" s="8" t="str">
        <x:v>Прочитана часть</x:v>
      </x:c>
      <x:c r="I29" s="8" t="str">
        <x:v>Аудитория / организация</x:v>
      </x:c>
      <x:c r="J29" s="8" t="str">
        <x:v>Кандидат по теме / аудитории</x:v>
      </x:c>
      <x:c r="K29" s="8" t="str">
        <x:v>Не установлено</x:v>
      </x:c>
      <x:c r="L29" s="8" t="str">
        <x:v>further_resolution_needed</x:v>
      </x:c>
      <x:c r="M29" s="8" t="str">
        <x:v>Новый ключ источника</x:v>
      </x:c>
      <x:c r="N29" s="8" t="str">
        <x:v>Прочитана часть</x:v>
      </x:c>
      <x:c r="O29" s="8" t="str">
        <x:v>V7-R076</x:v>
      </x:c>
      <x:c r="P29" s="8" t="str">
        <x:v>https://tatarstan.tpprf.ru/ru/</x:v>
      </x:c>
      <x:c r="Q29" s="8" t="str">
        <x:v>turn1102search26</x:v>
      </x:c>
    </x:row>
    <x:row r="30" ht="35.25" customHeight="1">
      <x:c r="A30" s="8" t="str">
        <x:v>V7-Sb5ab71bdd9</x:v>
      </x:c>
      <x:c r="B30" s="8" t="str">
        <x:v>Центр поддержки предпринимательства</x:v>
      </x:c>
      <x:c r="C30" s="8" t="str">
        <x:v>Палаты и центры развития</x:v>
      </x:c>
      <x:c r="D30" s="8" t="str">
        <x:v>АСБ Консалт публикует вебинары для бизнеса. Последний видимый анонс 16 сентября 2026, вне выбранного окна.</x:v>
      </x:c>
      <x:c r="E30" s="8" t="str">
        <x:v>BY</x:v>
      </x:c>
      <x:c r="F30" s="8" t="str">
        <x:v>Сайт</x:v>
      </x:c>
      <x:c r="G30" s="8" t="str">
        <x:v>training_program_operator</x:v>
      </x:c>
      <x:c r="H30" s="8" t="str">
        <x:v>Прочитана часть</x:v>
      </x:c>
      <x:c r="I30" s="8" t="str">
        <x:v>Аудитория / организация</x:v>
      </x:c>
      <x:c r="J30" s="8" t="str">
        <x:v>Кандидат по теме / аудитории</x:v>
      </x:c>
      <x:c r="K30" s="8" t="str">
        <x:v>dated_context_see_date_kind</x:v>
      </x:c>
      <x:c r="L30" s="8" t="str">
        <x:v>Есть форма / контакт</x:v>
      </x:c>
      <x:c r="M30" s="8" t="str">
        <x:v>Новый ключ источника</x:v>
      </x:c>
      <x:c r="N30" s="8" t="str">
        <x:v>Прочитана часть</x:v>
      </x:c>
      <x:c r="O30" s="8" t="str">
        <x:v>V7-R080</x:v>
      </x:c>
      <x:c r="P30" s="8" t="str">
        <x:v>https://asbconsult.by/press-centr_nekz/</x:v>
      </x:c>
      <x:c r="Q30" s="8" t="str">
        <x:v>turn1100search0</x:v>
      </x:c>
    </x:row>
    <x:row r="31" ht="35.25" customHeight="1">
      <x:c r="A31" s="8" t="str">
        <x:v>V7-S5d2ad3bd5a</x:v>
      </x:c>
      <x:c r="B31" s="8" t="str">
        <x:v>Центр поддержки предпринимательства. Финансовая поддержка малого бизнеса ─ konsalt.by</x:v>
      </x:c>
      <x:c r="C31" s="8" t="str">
        <x:v>Палаты и центры развития</x:v>
      </x:c>
      <x:c r="D31" s="8" t="str">
        <x:v>Белорусский центр привлекает внешних специалистов на семинары. Конкретную незакрытую тему требуется уточнить.</x:v>
      </x:c>
      <x:c r="E31" s="8" t="str">
        <x:v>BY</x:v>
      </x:c>
      <x:c r="F31" s="8" t="str">
        <x:v>Сайт</x:v>
      </x:c>
      <x:c r="G31" s="8" t="str">
        <x:v>training_program_operator</x:v>
      </x:c>
      <x:c r="H31" s="8" t="str">
        <x:v>Прочитана часть</x:v>
      </x:c>
      <x:c r="I31" s="8" t="str">
        <x:v>Аудитория / организация</x:v>
      </x:c>
      <x:c r="J31" s="8" t="str">
        <x:v>Кандидат по теме / аудитории</x:v>
      </x:c>
      <x:c r="K31" s="8" t="str">
        <x:v>Не установлено</x:v>
      </x:c>
      <x:c r="L31" s="8" t="str">
        <x:v>Есть форма / контакт</x:v>
      </x:c>
      <x:c r="M31" s="8" t="str">
        <x:v>Новый ключ источника</x:v>
      </x:c>
      <x:c r="N31" s="8" t="str">
        <x:v>Прочитана часть</x:v>
      </x:c>
      <x:c r="O31" s="8" t="str">
        <x:v>V7-R079</x:v>
      </x:c>
      <x:c r="P31" s="8" t="str">
        <x:v>https://www.konsalt.by/uslugi/centr-podderzhki-predprinimatelya.html</x:v>
      </x:c>
      <x:c r="Q31" s="8" t="str">
        <x:v>turn1100search1</x:v>
      </x:c>
    </x:row>
    <x:row r="32" ht="59.25" customHeight="1">
      <x:c r="A32" s="8" t="str">
        <x:v>V7-S4072063ba3</x:v>
      </x:c>
      <x:c r="B32" s="8" t="str">
        <x:v>Приглашение</x:v>
      </x:c>
      <x:c r="C32" s="8" t="str">
        <x:v>Организаторы деловых мероприятий</x:v>
      </x:c>
      <x:c r="D32" s="8" t="str">
        <x:v>Вложение относится к агрофоруму 5 декабря 2024. Полезен организатор следующего цикла.</x:v>
      </x:c>
      <x:c r="E32" s="8" t="str">
        <x:v>Не установлена</x:v>
      </x:c>
      <x:c r="F32" s="8" t="str">
        <x:v>Сайт</x:v>
      </x:c>
      <x:c r="G32" s="8" t="str">
        <x:v>historical_attachment</x:v>
      </x:c>
      <x:c r="H32" s="8" t="str">
        <x:v>Прочитана часть</x:v>
      </x:c>
      <x:c r="I32" s="8" t="str">
        <x:v>Аудитория / организация</x:v>
      </x:c>
      <x:c r="J32" s="8" t="str">
        <x:v>Кандидат по теме / аудитории</x:v>
      </x:c>
      <x:c r="K32" s="8" t="str">
        <x:v>dated_context_see_date_kind</x:v>
      </x:c>
      <x:c r="L32" s="8" t="str">
        <x:v>further_resolution_needed</x:v>
      </x:c>
      <x:c r="M32" s="8" t="str">
        <x:v>Новый ключ источника</x:v>
      </x:c>
      <x:c r="N32" s="8" t="str">
        <x:v>Прочитана часть</x:v>
      </x:c>
      <x:c r="O32" s="8" t="str">
        <x:v>V7-R066</x:v>
      </x:c>
      <x:c r="P32" s="8" t="str">
        <x:v>https://kazsut.com/wp-content/uploads/%D0%9F%D1%80%D0%B8%D0%B3%D0%BB%D0%B0%D1%88%D0%B5%D0%BD%D0%B8%D0%B5-%D0%BD%D0%B0-%D0%A4%D0%BE%D1%80%D1%83%D0%BC-Asia-AGRO-%D0%9F%D0%B5%D1%80%D0%B5%D1%80%D0%B0%D0%B1%D0%BE%D1%82%D0%BA%D0%B0-4.0-2024.pdf?t=</x:v>
      </x:c>
      <x:c r="Q32" s="8" t="str">
        <x:v>turn1098search26</x:v>
      </x:c>
    </x:row>
    <x:row r="33" ht="35.25" customHeight="1">
      <x:c r="A33" s="8" t="str">
        <x:v>V7-S42275a4852</x:v>
      </x:c>
      <x:c r="B33" s="8" t="str">
        <x:v>Как стать спикером - Суровый Питерский Форум про маркетинг, SMM и бизнес</x:v>
      </x:c>
      <x:c r="C33" s="8" t="str">
        <x:v>Организаторы деловых мероприятий</x:v>
      </x:c>
      <x:c r="D33" s="8" t="str">
        <x:v>Есть условия отбора практиков для форума. Гонорар и свободные места не подтверждены; вложение открылось лишь страницей Диска.</x:v>
      </x:c>
      <x:c r="E33" s="8" t="str">
        <x:v>RU</x:v>
      </x:c>
      <x:c r="F33" s="8" t="str">
        <x:v>Сайт</x:v>
      </x:c>
      <x:c r="G33" s="8" t="str">
        <x:v>speaker_application</x:v>
      </x:c>
      <x:c r="H33" s="8" t="str">
        <x:v>Прочитана часть</x:v>
      </x:c>
      <x:c r="I33" s="8" t="str">
        <x:v>Аудитория / организация</x:v>
      </x:c>
      <x:c r="J33" s="8" t="str">
        <x:v>Кандидат по теме / аудитории</x:v>
      </x:c>
      <x:c r="K33" s="8" t="str">
        <x:v>Не установлено</x:v>
      </x:c>
      <x:c r="L33" s="8" t="str">
        <x:v>Есть форма / контакт</x:v>
      </x:c>
      <x:c r="M33" s="8" t="str">
        <x:v>Новый ключ источника</x:v>
      </x:c>
      <x:c r="N33" s="8" t="str">
        <x:v>Прочитана часть</x:v>
      </x:c>
      <x:c r="O33" s="8" t="str">
        <x:v>V7-R062</x:v>
      </x:c>
      <x:c r="P33" s="8" t="str">
        <x:v>https://smmconfa.ru/become_speaker/</x:v>
      </x:c>
      <x:c r="Q33" s="8" t="str">
        <x:v>turn1109search17</x:v>
      </x:c>
    </x:row>
    <x:row r="34" ht="35.25" customHeight="1">
      <x:c r="A34" s="8" t="str">
        <x:v>V7-S04d4a79a44</x:v>
      </x:c>
      <x:c r="B34" s="8" t="str">
        <x:v>Стать спикером SOC Forum: подайте заявку до 11 сентября 2026</x:v>
      </x:c>
      <x:c r="C34" s="8" t="str">
        <x:v>Организаторы деловых мероприятий</x:v>
      </x:c>
      <x:c r="D34" s="8" t="str">
        <x:v>На странице SOC Forum указан срок 11 сентября 2026. Участие для спикеров бесплатно, но это не обещание гонорара.</x:v>
      </x:c>
      <x:c r="E34" s="8" t="str">
        <x:v>RU</x:v>
      </x:c>
      <x:c r="F34" s="8" t="str">
        <x:v>Сайт</x:v>
      </x:c>
      <x:c r="G34" s="8" t="str">
        <x:v>past_deadline</x:v>
      </x:c>
      <x:c r="H34" s="8" t="str">
        <x:v>Прочитана часть</x:v>
      </x:c>
      <x:c r="I34" s="8" t="str">
        <x:v>Аудитория / организация</x:v>
      </x:c>
      <x:c r="J34" s="8" t="str">
        <x:v>Кандидат по теме / аудитории</x:v>
      </x:c>
      <x:c r="K34" s="8" t="str">
        <x:v>dated_context_see_date_kind</x:v>
      </x:c>
      <x:c r="L34" s="8" t="str">
        <x:v>further_resolution_needed</x:v>
      </x:c>
      <x:c r="M34" s="8" t="str">
        <x:v>Новый ключ источника</x:v>
      </x:c>
      <x:c r="N34" s="8" t="str">
        <x:v>Прочитана часть</x:v>
      </x:c>
      <x:c r="O34" s="8" t="str">
        <x:v>V7-R063</x:v>
      </x:c>
      <x:c r="P34" s="8" t="str">
        <x:v>https://forumsoc.ru/become-a-speaker/</x:v>
      </x:c>
      <x:c r="Q34" s="8" t="str">
        <x:v>turn1109search5</x:v>
      </x:c>
    </x:row>
    <x:row r="35" ht="35.25" customHeight="1">
      <x:c r="A35" s="8" t="str">
        <x:v>V7-Sffb9ad3f04</x:v>
      </x:c>
      <x:c r="B35" s="8" t="str">
        <x:v>Как стать спикером конференции HR API?</x:v>
      </x:c>
      <x:c r="C35" s="8" t="str">
        <x:v>Организаторы деловых мероприятий</x:v>
      </x:c>
      <x:c r="D35" s="8" t="str">
        <x:v>Страница заявки HR API отдает только служебное изображение; форму и актуальность прочитать не удалось.</x:v>
      </x:c>
      <x:c r="E35" s="8" t="str">
        <x:v>Не установлена</x:v>
      </x:c>
      <x:c r="F35" s="8" t="str">
        <x:v>Сайт</x:v>
      </x:c>
      <x:c r="G35" s="8" t="str">
        <x:v>empty_extraction</x:v>
      </x:c>
      <x:c r="H35" s="8" t="str">
        <x:v>Пустое извлечение</x:v>
      </x:c>
      <x:c r="I35" s="8" t="str">
        <x:v>Не установлено</x:v>
      </x:c>
      <x:c r="J35" s="8" t="str">
        <x:v>Кандидат по теме / аудитории</x:v>
      </x:c>
      <x:c r="K35" s="8" t="str">
        <x:v>Не установлено</x:v>
      </x:c>
      <x:c r="L35" s="8" t="str">
        <x:v>further_resolution_needed</x:v>
      </x:c>
      <x:c r="M35" s="8" t="str">
        <x:v>Новый ключ источника</x:v>
      </x:c>
      <x:c r="N35" s="8" t="str">
        <x:v>Пустое извлечение</x:v>
      </x:c>
      <x:c r="O35" s="8" t="str">
        <x:v>V7-R061</x:v>
      </x:c>
      <x:c r="P35" s="8" t="str">
        <x:v>https://hrapiconf.com/cfp</x:v>
      </x:c>
      <x:c r="Q35" s="8" t="str">
        <x:v>turn1097search19</x:v>
      </x:c>
    </x:row>
    <x:row r="36" ht="35.25" customHeight="1">
      <x:c r="A36" s="8" t="str">
        <x:v>V7-Sc0fa290396</x:v>
      </x:c>
      <x:c r="B36" s="8" t="str">
        <x:v>HR-club</x:v>
      </x:c>
      <x:c r="C36" s="8" t="str">
        <x:v>Организаторы деловых мероприятий</x:v>
      </x:c>
      <x:c r="D36" s="8" t="str">
        <x:v>HR-club принимает заявки спикеров и спонсоров в общей форме; эти коммерческие роли нужно различать.</x:v>
      </x:c>
      <x:c r="E36" s="8" t="str">
        <x:v>RU</x:v>
      </x:c>
      <x:c r="F36" s="8" t="str">
        <x:v>Сайт</x:v>
      </x:c>
      <x:c r="G36" s="8" t="str">
        <x:v>speaker_application</x:v>
      </x:c>
      <x:c r="H36" s="8" t="str">
        <x:v>Прочитана часть</x:v>
      </x:c>
      <x:c r="I36" s="8" t="str">
        <x:v>Аудитория / организация</x:v>
      </x:c>
      <x:c r="J36" s="8" t="str">
        <x:v>Кандидат по теме / аудитории</x:v>
      </x:c>
      <x:c r="K36" s="8" t="str">
        <x:v>Не установлено</x:v>
      </x:c>
      <x:c r="L36" s="8" t="str">
        <x:v>Есть форма / контакт</x:v>
      </x:c>
      <x:c r="M36" s="8" t="str">
        <x:v>Новый ключ источника</x:v>
      </x:c>
      <x:c r="N36" s="8" t="str">
        <x:v>Прочитана часть</x:v>
      </x:c>
      <x:c r="O36" s="8" t="str">
        <x:v>V7-R064</x:v>
      </x:c>
      <x:c r="P36" s="8" t="str">
        <x:v>https://hrclub-conf.ru/</x:v>
      </x:c>
      <x:c r="Q36" s="8" t="str">
        <x:v>turn1097search22</x:v>
      </x:c>
    </x:row>
    <x:row r="37" ht="35.25" customHeight="1">
      <x:c r="A37" s="8" t="str">
        <x:v>V7-S1b80b7cbbe</x:v>
      </x:c>
      <x:c r="B37" s="8" t="str">
        <x:v>Конференция ПОТОК: Большой HR-день</x:v>
      </x:c>
      <x:c r="C37" s="8" t="str">
        <x:v>Организаторы деловых мероприятий</x:v>
      </x:c>
      <x:c r="D37" s="8" t="str">
        <x:v>Большой HR-день заявлен на 16 ноября 2026. Наличие события не доказывает незакрытый слот спикера.</x:v>
      </x:c>
      <x:c r="E37" s="8" t="str">
        <x:v>RU</x:v>
      </x:c>
      <x:c r="F37" s="8" t="str">
        <x:v>Сайт</x:v>
      </x:c>
      <x:c r="G37" s="8" t="str">
        <x:v>future_event</x:v>
      </x:c>
      <x:c r="H37" s="8" t="str">
        <x:v>Прочитана часть</x:v>
      </x:c>
      <x:c r="I37" s="8" t="str">
        <x:v>Аудитория / организация</x:v>
      </x:c>
      <x:c r="J37" s="8" t="str">
        <x:v>Кандидат по теме / аудитории</x:v>
      </x:c>
      <x:c r="K37" s="8" t="str">
        <x:v>dated_context_see_date_kind</x:v>
      </x:c>
      <x:c r="L37" s="8" t="str">
        <x:v>further_resolution_needed</x:v>
      </x:c>
      <x:c r="M37" s="8" t="str">
        <x:v>Новый ключ источника</x:v>
      </x:c>
      <x:c r="N37" s="8" t="str">
        <x:v>Прочитана часть</x:v>
      </x:c>
      <x:c r="O37" s="8" t="str">
        <x:v>V7-R065</x:v>
      </x:c>
      <x:c r="P37" s="8" t="str">
        <x:v>https://potokconf.ru/hr</x:v>
      </x:c>
      <x:c r="Q37" s="8" t="str">
        <x:v>turn1097search12; turn1097search16</x:v>
      </x:c>
    </x:row>
    <x:row r="38" ht="35.25" customHeight="1">
      <x:c r="A38" s="8" t="str">
        <x:v>V7-S9a3b273a27</x:v>
      </x:c>
      <x:c r="B38" s="8" t="str">
        <x:v>HoReCa</x:v>
      </x:c>
      <x:c r="C38" s="8" t="str">
        <x:v>Организаторы деловых мероприятий</x:v>
      </x:c>
      <x:c r="D38" s="8" t="str">
        <x:v>Прочитана PDF-программа HoReCa 2026: апрельское событие. Сохранить организаторов и тематические треки для следующего цикла.</x:v>
      </x:c>
      <x:c r="E38" s="8" t="str">
        <x:v>BY</x:v>
      </x:c>
      <x:c r="F38" s="8" t="str">
        <x:v>Сайт</x:v>
      </x:c>
      <x:c r="G38" s="8" t="str">
        <x:v>past_event_attachment</x:v>
      </x:c>
      <x:c r="H38" s="8" t="str">
        <x:v>Прочитана часть</x:v>
      </x:c>
      <x:c r="I38" s="8" t="str">
        <x:v>Аудитория / организация</x:v>
      </x:c>
      <x:c r="J38" s="8" t="str">
        <x:v>Кандидат по теме / аудитории</x:v>
      </x:c>
      <x:c r="K38" s="8" t="str">
        <x:v>dated_context_see_date_kind</x:v>
      </x:c>
      <x:c r="L38" s="8" t="str">
        <x:v>further_resolution_needed</x:v>
      </x:c>
      <x:c r="M38" s="8" t="str">
        <x:v>Новый ключ источника</x:v>
      </x:c>
      <x:c r="N38" s="8" t="str">
        <x:v>Прочитана часть</x:v>
      </x:c>
      <x:c r="O38" s="8" t="str">
        <x:v>V7-R069</x:v>
      </x:c>
      <x:c r="P38" s="8" t="str">
        <x:v>https://horecaexpo.by/</x:v>
      </x:c>
      <x:c r="Q38" s="8" t="str">
        <x:v>turn1097search9</x:v>
      </x:c>
    </x:row>
    <x:row r="39" ht="35.25" customHeight="1">
      <x:c r="A39" s="8" t="str">
        <x:v>V7-S0a2221efc2</x:v>
      </x:c>
      <x:c r="B39" s="8" t="str">
        <x:v>ProductConf 2026</x:v>
      </x:c>
      <x:c r="C39" s="8" t="str">
        <x:v>Организаторы деловых мероприятий</x:v>
      </x:c>
      <x:c r="D39" s="8" t="str">
        <x:v>Прием докладов ProductConf закончился 25 января 2026. Использовать следующий цикл.</x:v>
      </x:c>
      <x:c r="E39" s="8" t="str">
        <x:v>RU</x:v>
      </x:c>
      <x:c r="F39" s="8" t="str">
        <x:v>Сайт</x:v>
      </x:c>
      <x:c r="G39" s="8" t="str">
        <x:v>past_deadline</x:v>
      </x:c>
      <x:c r="H39" s="8" t="str">
        <x:v>Прочитана часть</x:v>
      </x:c>
      <x:c r="I39" s="8" t="str">
        <x:v>Аудитория / организация</x:v>
      </x:c>
      <x:c r="J39" s="8" t="str">
        <x:v>Кандидат по теме / аудитории</x:v>
      </x:c>
      <x:c r="K39" s="8" t="str">
        <x:v>dated_context_see_date_kind</x:v>
      </x:c>
      <x:c r="L39" s="8" t="str">
        <x:v>further_resolution_needed</x:v>
      </x:c>
      <x:c r="M39" s="8" t="str">
        <x:v>Новый ключ источника</x:v>
      </x:c>
      <x:c r="N39" s="8" t="str">
        <x:v>Прочитана часть</x:v>
      </x:c>
      <x:c r="O39" s="8" t="str">
        <x:v>V7-R070</x:v>
      </x:c>
      <x:c r="P39" s="8" t="str">
        <x:v>https://productconf.ru/apply-as-speaker/</x:v>
      </x:c>
      <x:c r="Q39" s="8" t="str">
        <x:v>turn1097search27</x:v>
      </x:c>
    </x:row>
    <x:row r="40" ht="35.25" customHeight="1">
      <x:c r="A40" s="8" t="str">
        <x:v>V7-S483a0bbc8e</x:v>
      </x:c>
      <x:c r="B40" s="8" t="str">
        <x:v>Вступить в Клуб финансовых директоров</x:v>
      </x:c>
      <x:c r="C40" s="8" t="str">
        <x:v>Руководители функций</x:v>
      </x:c>
      <x:c r="D40" s="8" t="str">
        <x:v>Клуб финансовых директоров описывает закрытый чат и мероприятия. Доступ к сообщениям и стоимость участия не проверены.</x:v>
      </x:c>
      <x:c r="E40" s="8" t="str">
        <x:v>RU</x:v>
      </x:c>
      <x:c r="F40" s="8" t="str">
        <x:v>Сайт</x:v>
      </x:c>
      <x:c r="G40" s="8" t="str">
        <x:v>membership_route</x:v>
      </x:c>
      <x:c r="H40" s="8" t="str">
        <x:v>Прочитана часть</x:v>
      </x:c>
      <x:c r="I40" s="8" t="str">
        <x:v>Аудитория / организация</x:v>
      </x:c>
      <x:c r="J40" s="8" t="str">
        <x:v>Кандидат по теме / аудитории</x:v>
      </x:c>
      <x:c r="K40" s="8" t="str">
        <x:v>Не установлено</x:v>
      </x:c>
      <x:c r="L40" s="8" t="str">
        <x:v>further_resolution_needed</x:v>
      </x:c>
      <x:c r="M40" s="8" t="str">
        <x:v>Новый ключ источника</x:v>
      </x:c>
      <x:c r="N40" s="8" t="str">
        <x:v>Прочитана часть</x:v>
      </x:c>
      <x:c r="O40" s="8" t="str">
        <x:v>V7-R012</x:v>
      </x:c>
      <x:c r="P40" s="8" t="str">
        <x:v>https://club.fd.ru/</x:v>
      </x:c>
      <x:c r="Q40" s="8" t="str">
        <x:v>turn1247search4; turn1088search26; turn1106search4; turn1247search8</x:v>
      </x:c>
    </x:row>
    <x:row r="41" ht="47.25" customHeight="1">
      <x:c r="A41" s="8" t="str">
        <x:v>V7-S5ef01ce831</x:v>
      </x:c>
      <x:c r="B41" s="8" t="str">
        <x:v>Союз Проектных Менеджеров Республики Казахстан - Партнеры СПМ РК</x:v>
      </x:c>
      <x:c r="C41" s="8" t="str">
        <x:v>Руководители функций</x:v>
      </x:c>
      <x:c r="D41" s="8" t="str">
        <x:v>СПМ РК приглашает практиков для разработки и проведения программ. Открытость конкретного задания и контракт с МИСБ уточняются.</x:v>
      </x:c>
      <x:c r="E41" s="8" t="str">
        <x:v>KZ</x:v>
      </x:c>
      <x:c r="F41" s="8" t="str">
        <x:v>Сайт</x:v>
      </x:c>
      <x:c r="G41" s="8" t="str">
        <x:v>expert_pool</x:v>
      </x:c>
      <x:c r="H41" s="8" t="str">
        <x:v>Прочитана часть</x:v>
      </x:c>
      <x:c r="I41" s="8" t="str">
        <x:v>Аудитория / организация</x:v>
      </x:c>
      <x:c r="J41" s="8" t="str">
        <x:v>Кандидат по теме / аудитории</x:v>
      </x:c>
      <x:c r="K41" s="8" t="str">
        <x:v>Не установлено</x:v>
      </x:c>
      <x:c r="L41" s="8" t="str">
        <x:v>Есть форма / контакт</x:v>
      </x:c>
      <x:c r="M41" s="8" t="str">
        <x:v>Новый ключ источника</x:v>
      </x:c>
      <x:c r="N41" s="8" t="str">
        <x:v>Прочитана часть</x:v>
      </x:c>
      <x:c r="O41" s="8" t="str">
        <x:v>V7-R011</x:v>
      </x:c>
      <x:c r="P41" s="8" t="str">
        <x:v>https://spmrk.kz/ru/about/partners</x:v>
      </x:c>
      <x:c r="Q41" s="8" t="str">
        <x:v>turn1083search23; turn1083search13; turn1083search19; turn1083search22; turn1090search3; turn1083search9; turn1083search16</x:v>
      </x:c>
    </x:row>
    <x:row r="42" ht="35.25" customHeight="1">
      <x:c r="A42" s="8" t="str">
        <x:v>V7-S53bc7cc615</x:v>
      </x:c>
      <x:c r="B42" s="8" t="str">
        <x:v>Санкт-Петербургский клуб ИТ-директоров «SPb CIO Club</x:v>
      </x:c>
      <x:c r="C42" s="8" t="str">
        <x:v>Руководители функций</x:v>
      </x:c>
      <x:c r="D42" s="8" t="str">
        <x:v>ИТ-клуб предлагает участие поставщиков. Проверить стоимость и возможность образовательного партнерства.</x:v>
      </x:c>
      <x:c r="E42" s="8" t="str">
        <x:v>RU</x:v>
      </x:c>
      <x:c r="F42" s="8" t="str">
        <x:v>Сайт</x:v>
      </x:c>
      <x:c r="G42" s="8" t="str">
        <x:v>sponsorship_route</x:v>
      </x:c>
      <x:c r="H42" s="8" t="str">
        <x:v>Прочитана часть</x:v>
      </x:c>
      <x:c r="I42" s="8" t="str">
        <x:v>Аудитория / организация</x:v>
      </x:c>
      <x:c r="J42" s="8" t="str">
        <x:v>Кандидат по теме / аудитории</x:v>
      </x:c>
      <x:c r="K42" s="8" t="str">
        <x:v>Не установлено</x:v>
      </x:c>
      <x:c r="L42" s="8" t="str">
        <x:v>Есть форма / контакт</x:v>
      </x:c>
      <x:c r="M42" s="8" t="str">
        <x:v>Новый ключ источника</x:v>
      </x:c>
      <x:c r="N42" s="8" t="str">
        <x:v>Прочитана часть</x:v>
      </x:c>
      <x:c r="O42" s="8" t="str">
        <x:v>V7-R014</x:v>
      </x:c>
      <x:c r="P42" s="8" t="str">
        <x:v>https://www.spbcioclub.ru/about/</x:v>
      </x:c>
      <x:c r="Q42" s="8" t="str">
        <x:v>turn1103search5</x:v>
      </x:c>
    </x:row>
    <x:row r="43" ht="35.25" customHeight="1">
      <x:c r="A43" s="8" t="str">
        <x:v>V7-S931d7f18e4</x:v>
      </x:c>
      <x:c r="B43" s="8" t="str">
        <x:v>СТМЛК - сообщество топ-менеджеров логистических компаний</x:v>
      </x:c>
      <x:c r="C43" s="8" t="str">
        <x:v>Руководители функций</x:v>
      </x:c>
      <x:c r="D43" s="8" t="str">
        <x:v>Сообщество руководителей логистики открыто к образовательным организациям; есть отдельные VK и Telegram.</x:v>
      </x:c>
      <x:c r="E43" s="8" t="str">
        <x:v>RU</x:v>
      </x:c>
      <x:c r="F43" s="8" t="str">
        <x:v>Сайт</x:v>
      </x:c>
      <x:c r="G43" s="8" t="str">
        <x:v>association_partnership</x:v>
      </x:c>
      <x:c r="H43" s="8" t="str">
        <x:v>Прочитана часть</x:v>
      </x:c>
      <x:c r="I43" s="8" t="str">
        <x:v>Аудитория / организация</x:v>
      </x:c>
      <x:c r="J43" s="8" t="str">
        <x:v>Кандидат по теме / аудитории</x:v>
      </x:c>
      <x:c r="K43" s="8" t="str">
        <x:v>Не установлено</x:v>
      </x:c>
      <x:c r="L43" s="8" t="str">
        <x:v>Есть форма / контакт</x:v>
      </x:c>
      <x:c r="M43" s="8" t="str">
        <x:v>Новый ключ источника</x:v>
      </x:c>
      <x:c r="N43" s="8" t="str">
        <x:v>Прочитана часть</x:v>
      </x:c>
      <x:c r="O43" s="8" t="str">
        <x:v>V7-R017</x:v>
      </x:c>
      <x:c r="P43" s="8" t="str">
        <x:v>https://tmlc.ru/about</x:v>
      </x:c>
      <x:c r="Q43" s="8" t="str">
        <x:v>turn1088search13</x:v>
      </x:c>
    </x:row>
    <x:row r="44" ht="35.25" customHeight="1">
      <x:c r="A44" s="8" t="str">
        <x:v>V7-S6033ef9a7e</x:v>
      </x:c>
      <x:c r="B44" s="8" t="str">
        <x:v>Описание проекта | Клуб топ-менеджеров 4CIO</x:v>
      </x:c>
      <x:c r="C44" s="8" t="str">
        <x:v>Руководители функций</x:v>
      </x:c>
      <x:c r="D44" s="8" t="str">
        <x:v>Прочитаны образовательный проект и партнерская страница 4CIO. Партнерство связано с продвижением; это не заказ обучения.</x:v>
      </x:c>
      <x:c r="E44" s="8" t="str">
        <x:v>RU</x:v>
      </x:c>
      <x:c r="F44" s="8" t="str">
        <x:v>Сайт</x:v>
      </x:c>
      <x:c r="G44" s="8" t="str">
        <x:v>sponsorship_route</x:v>
      </x:c>
      <x:c r="H44" s="8" t="str">
        <x:v>Прочитана часть</x:v>
      </x:c>
      <x:c r="I44" s="8" t="str">
        <x:v>Аудитория / организация</x:v>
      </x:c>
      <x:c r="J44" s="8" t="str">
        <x:v>Кандидат по теме / аудитории</x:v>
      </x:c>
      <x:c r="K44" s="8" t="str">
        <x:v>Не установлено</x:v>
      </x:c>
      <x:c r="L44" s="8" t="str">
        <x:v>further_resolution_needed</x:v>
      </x:c>
      <x:c r="M44" s="8" t="str">
        <x:v>Новый ключ источника</x:v>
      </x:c>
      <x:c r="N44" s="8" t="str">
        <x:v>Прочитана часть</x:v>
      </x:c>
      <x:c r="O44" s="8" t="str">
        <x:v>V7-R013</x:v>
      </x:c>
      <x:c r="P44" s="8" t="str">
        <x:v>https://4cio.ru/pages/677</x:v>
      </x:c>
      <x:c r="Q44" s="8" t="str">
        <x:v>turn1083search7; turn1103search8</x:v>
      </x:c>
    </x:row>
    <x:row r="45" ht="35.25" customHeight="1">
      <x:c r="A45" s="8" t="str">
        <x:v>V7-S435d490a4a</x:v>
      </x:c>
      <x:c r="B45" s="8" t="str">
        <x:v>CMO Club Russia - Ассоциация Директоров по маркетингу ...</x:v>
      </x:c>
      <x:c r="C45" s="8" t="str">
        <x:v>Руководители функций</x:v>
      </x:c>
      <x:c r="D45" s="8" t="str">
        <x:v>Сообщество директоров по маркетингу. Полезно искать образовательные задачи членов; прямой запрос не найден.</x:v>
      </x:c>
      <x:c r="E45" s="8" t="str">
        <x:v>RU</x:v>
      </x:c>
      <x:c r="F45" s="8" t="str">
        <x:v>Сайт</x:v>
      </x:c>
      <x:c r="G45" s="8" t="str">
        <x:v>professional_association</x:v>
      </x:c>
      <x:c r="H45" s="8" t="str">
        <x:v>Прочитана часть</x:v>
      </x:c>
      <x:c r="I45" s="8" t="str">
        <x:v>Аудитория / организация</x:v>
      </x:c>
      <x:c r="J45" s="8" t="str">
        <x:v>Кандидат по теме / аудитории</x:v>
      </x:c>
      <x:c r="K45" s="8" t="str">
        <x:v>Не установлено</x:v>
      </x:c>
      <x:c r="L45" s="8" t="str">
        <x:v>further_resolution_needed</x:v>
      </x:c>
      <x:c r="M45" s="8" t="str">
        <x:v>Новый ключ источника</x:v>
      </x:c>
      <x:c r="N45" s="8" t="str">
        <x:v>Прочитана часть</x:v>
      </x:c>
      <x:c r="O45" s="8" t="str">
        <x:v>V7-R015</x:v>
      </x:c>
      <x:c r="P45" s="8" t="str">
        <x:v>https://cmoclubrussia.ru/</x:v>
      </x:c>
      <x:c r="Q45" s="8" t="str">
        <x:v>turn1106search0</x:v>
      </x:c>
    </x:row>
    <x:row r="46" ht="35.25" customHeight="1">
      <x:c r="A46" s="8" t="str">
        <x:v>V7-Sd3423809f1</x:v>
      </x:c>
      <x:c r="B46" s="8" t="str">
        <x:v>Клуб финансовых директоров: Главная</x:v>
      </x:c>
      <x:c r="C46" s="8" t="str">
        <x:v>Руководители функций</x:v>
      </x:c>
      <x:c r="D46" s="8" t="str">
        <x:v>Финансовый клуб публикует совместные образовательные инициативы. Пример email в форме не является контактом.</x:v>
      </x:c>
      <x:c r="E46" s="8" t="str">
        <x:v>RU</x:v>
      </x:c>
      <x:c r="F46" s="8" t="str">
        <x:v>Сайт</x:v>
      </x:c>
      <x:c r="G46" s="8" t="str">
        <x:v>professional_association</x:v>
      </x:c>
      <x:c r="H46" s="8" t="str">
        <x:v>Прочитана часть</x:v>
      </x:c>
      <x:c r="I46" s="8" t="str">
        <x:v>Аудитория / организация</x:v>
      </x:c>
      <x:c r="J46" s="8" t="str">
        <x:v>Кандидат по теме / аудитории</x:v>
      </x:c>
      <x:c r="K46" s="8" t="str">
        <x:v>Не установлено</x:v>
      </x:c>
      <x:c r="L46" s="8" t="str">
        <x:v>further_resolution_needed</x:v>
      </x:c>
      <x:c r="M46" s="8" t="str">
        <x:v>Новый ключ источника</x:v>
      </x:c>
      <x:c r="N46" s="8" t="str">
        <x:v>Прочитана часть</x:v>
      </x:c>
      <x:c r="O46" s="8" t="str">
        <x:v>V7-R016</x:v>
      </x:c>
      <x:c r="P46" s="8" t="str">
        <x:v>https://financial-directors-club.ru/</x:v>
      </x:c>
      <x:c r="Q46" s="8" t="str">
        <x:v>turn1106search22; turn1183search11</x:v>
      </x:c>
    </x:row>
    <x:row r="47" ht="35.25" customHeight="1">
      <x:c r="A47" s="8" t="str">
        <x:v>V7-Sd283c226c8</x:v>
      </x:c>
      <x:c r="B47" s="8" t="str">
        <x:v>GlobalCIO | DigitalExperts - сообщество ИТ-руководителей и ...</x:v>
      </x:c>
      <x:c r="C47" s="8" t="str">
        <x:v>Руководители функций</x:v>
      </x:c>
      <x:c r="D47" s="8" t="str">
        <x:v>Профессиональное сообщество ИТ-руководителей. Материал об обучении от 10 марта 2026 ведет к собственной академии.</x:v>
      </x:c>
      <x:c r="E47" s="8" t="str">
        <x:v>RU</x:v>
      </x:c>
      <x:c r="F47" s="8" t="str">
        <x:v>Сайт</x:v>
      </x:c>
      <x:c r="G47" s="8" t="str">
        <x:v>professional_community</x:v>
      </x:c>
      <x:c r="H47" s="8" t="str">
        <x:v>Прочитана часть</x:v>
      </x:c>
      <x:c r="I47" s="8" t="str">
        <x:v>Аудитория / организация</x:v>
      </x:c>
      <x:c r="J47" s="8" t="str">
        <x:v>Кандидат по теме / аудитории</x:v>
      </x:c>
      <x:c r="K47" s="8" t="str">
        <x:v>Не установлено</x:v>
      </x:c>
      <x:c r="L47" s="8" t="str">
        <x:v>Есть форма / контакт</x:v>
      </x:c>
      <x:c r="M47" s="8" t="str">
        <x:v>Новый ключ источника</x:v>
      </x:c>
      <x:c r="N47" s="8" t="str">
        <x:v>Прочитана часть</x:v>
      </x:c>
      <x:c r="O47" s="8" t="str">
        <x:v>V7-R020</x:v>
      </x:c>
      <x:c r="P47" s="8" t="str">
        <x:v>https://globalcio.ru/</x:v>
      </x:c>
      <x:c r="Q47" s="8" t="str">
        <x:v>turn1103search21</x:v>
      </x:c>
    </x:row>
    <x:row r="48" ht="35.25" customHeight="1">
      <x:c r="A48" s="8" t="str">
        <x:v>V7-Sbb3bf1a453</x:v>
      </x:c>
      <x:c r="B48" s="8" t="str">
        <x:v>О компании</x:v>
      </x:c>
      <x:c r="C48" s="8" t="str">
        <x:v>Руководители функций</x:v>
      </x:c>
      <x:c r="D48" s="8" t="str">
        <x:v>Ассоциация проектного управления: обучение, сертификация и подготовка тренеров.</x:v>
      </x:c>
      <x:c r="E48" s="8" t="str">
        <x:v>KZ</x:v>
      </x:c>
      <x:c r="F48" s="8" t="str">
        <x:v>Сайт</x:v>
      </x:c>
      <x:c r="G48" s="8" t="str">
        <x:v>professional_association</x:v>
      </x:c>
      <x:c r="H48" s="8" t="str">
        <x:v>Прочитана часть</x:v>
      </x:c>
      <x:c r="I48" s="8" t="str">
        <x:v>Аудитория / организация</x:v>
      </x:c>
      <x:c r="J48" s="8" t="str">
        <x:v>Кандидат по теме / аудитории</x:v>
      </x:c>
      <x:c r="K48" s="8" t="str">
        <x:v>Не установлено</x:v>
      </x:c>
      <x:c r="L48" s="8" t="str">
        <x:v>Есть форма / контакт</x:v>
      </x:c>
      <x:c r="M48" s="8" t="str">
        <x:v>Новый ключ источника</x:v>
      </x:c>
      <x:c r="N48" s="8" t="str">
        <x:v>Прочитана часть</x:v>
      </x:c>
      <x:c r="O48" s="8" t="str">
        <x:v>V7-R018</x:v>
      </x:c>
      <x:c r="P48" s="8" t="str">
        <x:v>https://www.kpma.kz/aboutus/o-kompanii.html</x:v>
      </x:c>
      <x:c r="Q48" s="8" t="str">
        <x:v>turn1083search15</x:v>
      </x:c>
    </x:row>
    <x:row r="49" ht="35.25" customHeight="1">
      <x:c r="A49" s="8" t="str">
        <x:v>V7-S43b1b3cd6f</x:v>
      </x:c>
      <x:c r="B49" s="8" t="str">
        <x:v>ACPA - Ассоциация сертифицированных профессиональных бухгалтеров</x:v>
      </x:c>
      <x:c r="C49" s="8" t="str">
        <x:v>Отраслевые объединения</x:v>
      </x:c>
      <x:c r="D49" s="8" t="str">
        <x:v>Бухгалтерская ассоциация Казахстана; партнерство и образовательная аудитория, без конкретного заказа.</x:v>
      </x:c>
      <x:c r="E49" s="8" t="str">
        <x:v>KZ</x:v>
      </x:c>
      <x:c r="F49" s="8" t="str">
        <x:v>Сайт</x:v>
      </x:c>
      <x:c r="G49" s="8" t="str">
        <x:v>professional_association</x:v>
      </x:c>
      <x:c r="H49" s="8" t="str">
        <x:v>Прочитана часть</x:v>
      </x:c>
      <x:c r="I49" s="8" t="str">
        <x:v>Аудитория / организация</x:v>
      </x:c>
      <x:c r="J49" s="8" t="str">
        <x:v>Кандидат по теме / аудитории</x:v>
      </x:c>
      <x:c r="K49" s="8" t="str">
        <x:v>Не установлено</x:v>
      </x:c>
      <x:c r="L49" s="8" t="str">
        <x:v>Есть форма / контакт</x:v>
      </x:c>
      <x:c r="M49" s="8" t="str">
        <x:v>Новый ключ источника</x:v>
      </x:c>
      <x:c r="N49" s="8" t="str">
        <x:v>Прочитана часть</x:v>
      </x:c>
      <x:c r="O49" s="8" t="str">
        <x:v>V7-R019</x:v>
      </x:c>
      <x:c r="P49" s="8" t="str">
        <x:v>https://acpa.kz/</x:v>
      </x:c>
      <x:c r="Q49" s="8" t="str">
        <x:v>turn1108search12; turn1108search16; turn1083search17</x:v>
      </x:c>
    </x:row>
    <x:row r="50" ht="35.25" customHeight="1">
      <x:c r="A50" s="8" t="str">
        <x:v>V7-Sd345f458a2</x:v>
      </x:c>
      <x:c r="B50" s="8" t="str">
        <x:v>Ассоциация загородных отелей России</x:v>
      </x:c>
      <x:c r="C50" s="8" t="str">
        <x:v>Отраслевые объединения</x:v>
      </x:c>
      <x:c r="D50" s="8" t="str">
        <x:v>Есть закрытые чаты владельцев отелей и партнерская программа поставщиков. Доступ и коммерческие условия нужно уточнить.</x:v>
      </x:c>
      <x:c r="E50" s="8" t="str">
        <x:v>Не установлена</x:v>
      </x:c>
      <x:c r="F50" s="8" t="str">
        <x:v>Сайт</x:v>
      </x:c>
      <x:c r="G50" s="8" t="str">
        <x:v>membership_and_partner_route</x:v>
      </x:c>
      <x:c r="H50" s="8" t="str">
        <x:v>Прочитана часть</x:v>
      </x:c>
      <x:c r="I50" s="8" t="str">
        <x:v>Аудитория / организация</x:v>
      </x:c>
      <x:c r="J50" s="8" t="str">
        <x:v>Кандидат по теме / аудитории</x:v>
      </x:c>
      <x:c r="K50" s="8" t="str">
        <x:v>Не установлено</x:v>
      </x:c>
      <x:c r="L50" s="8" t="str">
        <x:v>further_resolution_needed</x:v>
      </x:c>
      <x:c r="M50" s="8" t="str">
        <x:v>Новый ключ источника</x:v>
      </x:c>
      <x:c r="N50" s="8" t="str">
        <x:v>Прочитана часть</x:v>
      </x:c>
      <x:c r="O50" s="8" t="str">
        <x:v>V7-R021</x:v>
      </x:c>
      <x:c r="P50" s="8" t="str">
        <x:v>https://azo-hotels.com/</x:v>
      </x:c>
      <x:c r="Q50" s="8" t="str">
        <x:v>turn1085search29</x:v>
      </x:c>
    </x:row>
    <x:row r="51" ht="35.25" customHeight="1">
      <x:c r="A51" s="8" t="str">
        <x:v>V7-S85d9ad0352</x:v>
      </x:c>
      <x:c r="B51" s="8" t="str">
        <x:v>Ассоциация экспертов, спикеров, модераторов и продюсеров | Членство и деловой сезон 2026–2027</x:v>
      </x:c>
      <x:c r="C51" s="8" t="str">
        <x:v>Отраслевые объединения</x:v>
      </x:c>
      <x:c r="D51" s="8" t="str">
        <x:v>Ассоциация спикеров предлагает участие в профессиональной сети. Членство не равно гарантированным оплачиваемым заказам.</x:v>
      </x:c>
      <x:c r="E51" s="8" t="str">
        <x:v>RU</x:v>
      </x:c>
      <x:c r="F51" s="8" t="str">
        <x:v>Сайт</x:v>
      </x:c>
      <x:c r="G51" s="8" t="str">
        <x:v>speaker_membership</x:v>
      </x:c>
      <x:c r="H51" s="8" t="str">
        <x:v>Прочитана часть</x:v>
      </x:c>
      <x:c r="I51" s="8" t="str">
        <x:v>Аудитория / организация</x:v>
      </x:c>
      <x:c r="J51" s="8" t="str">
        <x:v>Кандидат по теме / аудитории</x:v>
      </x:c>
      <x:c r="K51" s="8" t="str">
        <x:v>Не установлено</x:v>
      </x:c>
      <x:c r="L51" s="8" t="str">
        <x:v>further_resolution_needed</x:v>
      </x:c>
      <x:c r="M51" s="8" t="str">
        <x:v>Новый ключ источника</x:v>
      </x:c>
      <x:c r="N51" s="8" t="str">
        <x:v>Прочитана часть</x:v>
      </x:c>
      <x:c r="O51" s="8" t="str">
        <x:v>V7-R022</x:v>
      </x:c>
      <x:c r="P51" s="8" t="str">
        <x:v>https://aesmp.ru/</x:v>
      </x:c>
      <x:c r="Q51" s="8" t="str">
        <x:v>turn1086search1</x:v>
      </x:c>
    </x:row>
    <x:row r="52" ht="47.25" customHeight="1">
      <x:c r="A52" s="8" t="str">
        <x:v>V7-S479a96013c</x:v>
      </x:c>
      <x:c r="B52" s="8" t="str">
        <x:v>Ассоциация предприятий легкой промышленности Казахстана — Страница 2</x:v>
      </x:c>
      <x:c r="C52" s="8" t="str">
        <x:v>Отраслевые объединения</x:v>
      </x:c>
      <x:c r="D52" s="8" t="str">
        <x:v>Ассоциация легкой промышленности публикует образовательные события и новости предприятий.</x:v>
      </x:c>
      <x:c r="E52" s="8" t="str">
        <x:v>KZ</x:v>
      </x:c>
      <x:c r="F52" s="8" t="str">
        <x:v>Сайт</x:v>
      </x:c>
      <x:c r="G52" s="8" t="str">
        <x:v>industry_association</x:v>
      </x:c>
      <x:c r="H52" s="8" t="str">
        <x:v>Прочитана часть</x:v>
      </x:c>
      <x:c r="I52" s="8" t="str">
        <x:v>Аудитория / организация</x:v>
      </x:c>
      <x:c r="J52" s="8" t="str">
        <x:v>Кандидат по теме / аудитории</x:v>
      </x:c>
      <x:c r="K52" s="8" t="str">
        <x:v>Не установлено</x:v>
      </x:c>
      <x:c r="L52" s="8" t="str">
        <x:v>further_resolution_needed</x:v>
      </x:c>
      <x:c r="M52" s="8" t="str">
        <x:v>Новый ключ источника</x:v>
      </x:c>
      <x:c r="N52" s="8" t="str">
        <x:v>Прочитана часть</x:v>
      </x:c>
      <x:c r="O52" s="8" t="str">
        <x:v>V7-R026</x:v>
      </x:c>
      <x:c r="P52" s="8" t="str">
        <x:v>https://aplp.kz/page/2/</x:v>
      </x:c>
      <x:c r="Q52" s="8" t="str">
        <x:v>turn1108search18; turn1108search1; turn1108search5; turn1108search20; turn1108search22; turn1108search23</x:v>
      </x:c>
    </x:row>
    <x:row r="53" ht="35.25" customHeight="1">
      <x:c r="A53" s="8" t="str">
        <x:v>V7-S7dda2a59e6</x:v>
      </x:c>
      <x:c r="B53" s="8" t="str">
        <x:v>Мероприятия для членов СРО | Ассоциация «СРО «АЛЬЯНС СТРОИТЕЛЕЙ»</x:v>
      </x:c>
      <x:c r="C53" s="8" t="str">
        <x:v>Отраслевые объединения</x:v>
      </x:c>
      <x:c r="D53" s="8" t="str">
        <x:v>Регулярные семинары для членов строительной СРО; искать организатора и планы следующего цикла.</x:v>
      </x:c>
      <x:c r="E53" s="8" t="str">
        <x:v>RU</x:v>
      </x:c>
      <x:c r="F53" s="8" t="str">
        <x:v>Сайт</x:v>
      </x:c>
      <x:c r="G53" s="8" t="str">
        <x:v>association_training_offer</x:v>
      </x:c>
      <x:c r="H53" s="8" t="str">
        <x:v>Прочитана часть</x:v>
      </x:c>
      <x:c r="I53" s="8" t="str">
        <x:v>Аудитория / организация</x:v>
      </x:c>
      <x:c r="J53" s="8" t="str">
        <x:v>Кандидат по теме / аудитории</x:v>
      </x:c>
      <x:c r="K53" s="8" t="str">
        <x:v>Не установлено</x:v>
      </x:c>
      <x:c r="L53" s="8" t="str">
        <x:v>further_resolution_needed</x:v>
      </x:c>
      <x:c r="M53" s="8" t="str">
        <x:v>Новый ключ источника</x:v>
      </x:c>
      <x:c r="N53" s="8" t="str">
        <x:v>Прочитана часть</x:v>
      </x:c>
      <x:c r="O53" s="8" t="str">
        <x:v>V7-R027</x:v>
      </x:c>
      <x:c r="P53" s="8" t="str">
        <x:v>https://www.as-sro.ru/seminars</x:v>
      </x:c>
      <x:c r="Q53" s="8" t="str">
        <x:v>turn1086search7</x:v>
      </x:c>
    </x:row>
    <x:row r="54" ht="35.25" customHeight="1">
      <x:c r="A54" s="8" t="str">
        <x:v>V7-Sac4f4552dd</x:v>
      </x:c>
      <x:c r="B54" s="8" t="str">
        <x:v>Главная</x:v>
      </x:c>
      <x:c r="C54" s="8" t="str">
        <x:v>Отраслевые объединения</x:v>
      </x:c>
      <x:c r="D54" s="8" t="str">
        <x:v>После повторной попытки сайт Белинфоком прочитан. Первичная ошибка не означает, что источник не работает.</x:v>
      </x:c>
      <x:c r="E54" s="8" t="str">
        <x:v>BY</x:v>
      </x:c>
      <x:c r="F54" s="8" t="str">
        <x:v>Сайт</x:v>
      </x:c>
      <x:c r="G54" s="8" t="str">
        <x:v>professional_association</x:v>
      </x:c>
      <x:c r="H54" s="8" t="str">
        <x:v>Прочитана часть</x:v>
      </x:c>
      <x:c r="I54" s="8" t="str">
        <x:v>Аудитория / организация</x:v>
      </x:c>
      <x:c r="J54" s="8" t="str">
        <x:v>Кандидат по теме / аудитории</x:v>
      </x:c>
      <x:c r="K54" s="8" t="str">
        <x:v>Не установлено</x:v>
      </x:c>
      <x:c r="L54" s="8" t="str">
        <x:v>further_resolution_needed</x:v>
      </x:c>
      <x:c r="M54" s="8" t="str">
        <x:v>Новый ключ источника</x:v>
      </x:c>
      <x:c r="N54" s="8" t="str">
        <x:v>Прочитана часть</x:v>
      </x:c>
      <x:c r="O54" s="8" t="str">
        <x:v>V7-R024</x:v>
      </x:c>
      <x:c r="P54" s="8" t="str">
        <x:v>https://belinfocom.by/</x:v>
      </x:c>
      <x:c r="Q54" s="8" t="str">
        <x:v>turn1085search22</x:v>
      </x:c>
    </x:row>
    <x:row r="55" ht="35.25" customHeight="1">
      <x:c r="A55" s="8" t="str">
        <x:v>V7-Sf38ececf82</x:v>
      </x:c>
      <x:c r="B55" s="8" t="str">
        <x:v>Мероприятия для членов СРО | Ассоциация «СРО «БЕЗОПАСНОСТЬ И КАЧЕСТВО»</x:v>
      </x:c>
      <x:c r="C55" s="8" t="str">
        <x:v>Отраслевые объединения</x:v>
      </x:c>
      <x:c r="D55" s="8" t="str">
        <x:v>Семинары другой СРО частично совпадают с программой Альянса строителей. Проверить общего организатора, не считать репост новым спросом.</x:v>
      </x:c>
      <x:c r="E55" s="8" t="str">
        <x:v>RU</x:v>
      </x:c>
      <x:c r="F55" s="8" t="str">
        <x:v>Сайт</x:v>
      </x:c>
      <x:c r="G55" s="8" t="str">
        <x:v>association_training_offer</x:v>
      </x:c>
      <x:c r="H55" s="8" t="str">
        <x:v>Прочитана часть</x:v>
      </x:c>
      <x:c r="I55" s="8" t="str">
        <x:v>Аудитория / организация</x:v>
      </x:c>
      <x:c r="J55" s="8" t="str">
        <x:v>Кандидат по теме / аудитории</x:v>
      </x:c>
      <x:c r="K55" s="8" t="str">
        <x:v>Не установлено</x:v>
      </x:c>
      <x:c r="L55" s="8" t="str">
        <x:v>further_resolution_needed</x:v>
      </x:c>
      <x:c r="M55" s="8" t="str">
        <x:v>Новый ключ источника</x:v>
      </x:c>
      <x:c r="N55" s="8" t="str">
        <x:v>Прочитана часть</x:v>
      </x:c>
      <x:c r="O55" s="8" t="str">
        <x:v>V7-R028</x:v>
      </x:c>
      <x:c r="P55" s="8" t="str">
        <x:v>https://www.bik-sro.ru/seminars</x:v>
      </x:c>
      <x:c r="Q55" s="8" t="str">
        <x:v>turn1086search11</x:v>
      </x:c>
    </x:row>
    <x:row r="56" ht="59.25" customHeight="1">
      <x:c r="A56" s="8" t="str">
        <x:v>V7-S555bad87a5</x:v>
      </x:c>
      <x:c r="B56" s="8" t="str">
        <x:v>Союз машиностроителей приглашает на курс повышения квалификации «Организация эффективной работы отдела технического контроля: практика передовых предприятий» - Россоюзхолодпром</x:v>
      </x:c>
      <x:c r="C56" s="8" t="str">
        <x:v>Отраслевые объединения</x:v>
      </x:c>
      <x:c r="D56" s="8" t="str">
        <x:v>Страница об обучении недоступна при повторе. Сохранена для восстановления.</x:v>
      </x:c>
      <x:c r="E56" s="8" t="str">
        <x:v>RU</x:v>
      </x:c>
      <x:c r="F56" s="8" t="str">
        <x:v>Сайт</x:v>
      </x:c>
      <x:c r="G56" s="8" t="str">
        <x:v>access_unresolved</x:v>
      </x:c>
      <x:c r="H56" s="8" t="str">
        <x:v>Ошибка доступа</x:v>
      </x:c>
      <x:c r="I56" s="8" t="str">
        <x:v>Не установлено</x:v>
      </x:c>
      <x:c r="J56" s="8" t="str">
        <x:v>Кандидат по теме / аудитории</x:v>
      </x:c>
      <x:c r="K56" s="8" t="str">
        <x:v>Не установлено</x:v>
      </x:c>
      <x:c r="L56" s="8" t="str">
        <x:v>further_resolution_needed</x:v>
      </x:c>
      <x:c r="M56" s="8" t="str">
        <x:v>Новый ключ источника</x:v>
      </x:c>
      <x:c r="N56" s="8" t="str">
        <x:v>Ошибка доступа</x:v>
      </x:c>
      <x:c r="O56" s="8" t="str">
        <x:v>V7-R029</x:v>
      </x:c>
      <x:c r="P56" s="8" t="str">
        <x:v>https://holodunion.ru/news/obuchenie-seminary-konferentsii/soyuz-mashinostroiteley-priglashaet-na-kurs-povysheniya-kvalifikatsii-organizatsiya-effektivnoy-rabo/</x:v>
      </x:c>
      <x:c r="Q56" s="8" t="str">
        <x:v>turn1086search30</x:v>
      </x:c>
    </x:row>
    <x:row r="57" ht="35.25" customHeight="1">
      <x:c r="A57" s="8" t="str">
        <x:v>V7-S8330215cd0</x:v>
      </x:c>
      <x:c r="B57" s="8" t="str">
        <x:v>Преимущества членства - Ассоциация Kazdidac</x:v>
      </x:c>
      <x:c r="C57" s="8" t="str">
        <x:v>Отраслевые объединения</x:v>
      </x:c>
      <x:c r="D57" s="8" t="str">
        <x:v>EdTech-ассоциация с образовательными проектами, включая дошкольную сферу. Для МИСБ выделить корпоративную часть.</x:v>
      </x:c>
      <x:c r="E57" s="8" t="str">
        <x:v>KZ</x:v>
      </x:c>
      <x:c r="F57" s="8" t="str">
        <x:v>Сайт</x:v>
      </x:c>
      <x:c r="G57" s="8" t="str">
        <x:v>adjacent_education_network</x:v>
      </x:c>
      <x:c r="H57" s="8" t="str">
        <x:v>Прочитана часть</x:v>
      </x:c>
      <x:c r="I57" s="8" t="str">
        <x:v>Аудитория / организация</x:v>
      </x:c>
      <x:c r="J57" s="8" t="str">
        <x:v>mixed_or_adjacent</x:v>
      </x:c>
      <x:c r="K57" s="8" t="str">
        <x:v>Не установлено</x:v>
      </x:c>
      <x:c r="L57" s="8" t="str">
        <x:v>further_resolution_needed</x:v>
      </x:c>
      <x:c r="M57" s="8" t="str">
        <x:v>Новый ключ источника</x:v>
      </x:c>
      <x:c r="N57" s="8" t="str">
        <x:v>Прочитана часть</x:v>
      </x:c>
      <x:c r="O57" s="8" t="str">
        <x:v>V7-R025</x:v>
      </x:c>
      <x:c r="P57" s="8" t="str">
        <x:v>https://kazdidac.kz/how-to-join/why-join</x:v>
      </x:c>
      <x:c r="Q57" s="8" t="str">
        <x:v>turn1085search9; turn1108search17</x:v>
      </x:c>
    </x:row>
    <x:row r="58" ht="35.25" customHeight="1">
      <x:c r="A58" s="8" t="str">
        <x:v>V7-Sd6b0cd05ec</x:v>
      </x:c>
      <x:c r="B58" s="8" t="str">
        <x:v>Что дает членство в ААУ</x:v>
      </x:c>
      <x:c r="C58" s="8" t="str">
        <x:v>Отраслевые объединения</x:v>
      </x:c>
      <x:c r="D58" s="8" t="str">
        <x:v>Фармацевтическая ассоциация проводит обучение членов; выявлять программу и ответственного за экспертов.</x:v>
      </x:c>
      <x:c r="E58" s="8" t="str">
        <x:v>RU</x:v>
      </x:c>
      <x:c r="F58" s="8" t="str">
        <x:v>Сайт</x:v>
      </x:c>
      <x:c r="G58" s="8" t="str">
        <x:v>association_training_offer</x:v>
      </x:c>
      <x:c r="H58" s="8" t="str">
        <x:v>Прочитана часть</x:v>
      </x:c>
      <x:c r="I58" s="8" t="str">
        <x:v>Аудитория / организация</x:v>
      </x:c>
      <x:c r="J58" s="8" t="str">
        <x:v>Кандидат по теме / аудитории</x:v>
      </x:c>
      <x:c r="K58" s="8" t="str">
        <x:v>Не установлено</x:v>
      </x:c>
      <x:c r="L58" s="8" t="str">
        <x:v>Есть форма / контакт</x:v>
      </x:c>
      <x:c r="M58" s="8" t="str">
        <x:v>Новый ключ источника</x:v>
      </x:c>
      <x:c r="N58" s="8" t="str">
        <x:v>Прочитана часть</x:v>
      </x:c>
      <x:c r="O58" s="8" t="str">
        <x:v>V7-R023</x:v>
      </x:c>
      <x:c r="P58" s="8" t="str">
        <x:v>https://www.sojuzpharma.ru/about/aau/</x:v>
      </x:c>
      <x:c r="Q58" s="8" t="str">
        <x:v>turn1086search14; turn1086search18; turn1086search23; turn1086search34</x:v>
      </x:c>
    </x:row>
    <x:row r="59" ht="35.25" customHeight="1">
      <x:c r="A59" s="8" t="str">
        <x:v>V7-Sf9dee745f9</x:v>
      </x:c>
      <x:c r="B59" s="8" t="str">
        <x:v>Семинары и конференции</x:v>
      </x:c>
      <x:c r="C59" s="8" t="str">
        <x:v>Отраслевые объединения</x:v>
      </x:c>
      <x:c r="D59" s="8" t="str">
        <x:v>Ассоциация уже называет образовательного партнера. Возможен субподряд или дополняющая тема, но потребность не заявлена.</x:v>
      </x:c>
      <x:c r="E59" s="8" t="str">
        <x:v>RU</x:v>
      </x:c>
      <x:c r="F59" s="8" t="str">
        <x:v>Сайт</x:v>
      </x:c>
      <x:c r="G59" s="8" t="str">
        <x:v>existing_training_partner</x:v>
      </x:c>
      <x:c r="H59" s="8" t="str">
        <x:v>Прочитана часть</x:v>
      </x:c>
      <x:c r="I59" s="8" t="str">
        <x:v>Аудитория / организация</x:v>
      </x:c>
      <x:c r="J59" s="8" t="str">
        <x:v>Кандидат по теме / аудитории</x:v>
      </x:c>
      <x:c r="K59" s="8" t="str">
        <x:v>Не установлено</x:v>
      </x:c>
      <x:c r="L59" s="8" t="str">
        <x:v>Есть форма / контакт</x:v>
      </x:c>
      <x:c r="M59" s="8" t="str">
        <x:v>Новый ключ источника</x:v>
      </x:c>
      <x:c r="N59" s="8" t="str">
        <x:v>Прочитана часть</x:v>
      </x:c>
      <x:c r="O59" s="8" t="str">
        <x:v>V7-R030</x:v>
      </x:c>
      <x:c r="P59" s="8" t="str">
        <x:v>https://asstr.ru/seminars</x:v>
      </x:c>
      <x:c r="Q59" s="8" t="str">
        <x:v>turn1086search20</x:v>
      </x:c>
    </x:row>
    <x:row r="60" ht="47.25" customHeight="1">
      <x:c r="A60" s="8" t="str">
        <x:v>V7-Se18ccb41d5</x:v>
      </x:c>
      <x:c r="B60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60" s="8" t="str">
        <x:v>LMS и студии курсов</x:v>
      </x:c>
      <x:c r="D60" s="8" t="str">
        <x:v>Открытые Технологии отдельно приглашают разработчиков образовательного контента, включая библиотеки совместимых курсов.</x:v>
      </x:c>
      <x:c r="E60" s="8" t="str">
        <x:v>RU</x:v>
      </x:c>
      <x:c r="F60" s="8" t="str">
        <x:v>Сайт</x:v>
      </x:c>
      <x:c r="G60" s="8" t="str">
        <x:v>content_partner_pool</x:v>
      </x:c>
      <x:c r="H60" s="8" t="str">
        <x:v>Прочитана часть</x:v>
      </x:c>
      <x:c r="I60" s="8" t="str">
        <x:v>Аудитория / организация</x:v>
      </x:c>
      <x:c r="J60" s="8" t="str">
        <x:v>Кандидат по теме / аудитории</x:v>
      </x:c>
      <x:c r="K60" s="8" t="str">
        <x:v>Не установлено</x:v>
      </x:c>
      <x:c r="L60" s="8" t="str">
        <x:v>Есть форма / контакт</x:v>
      </x:c>
      <x:c r="M60" s="8" t="str">
        <x:v>Новый ключ источника</x:v>
      </x:c>
      <x:c r="N60" s="8" t="str">
        <x:v>Прочитана часть</x:v>
      </x:c>
      <x:c r="O60" s="8" t="str">
        <x:v>V7-R041</x:v>
      </x:c>
      <x:c r="P60" s="8" t="str">
        <x:v>https://opentechnology.ru/cooperation</x:v>
      </x:c>
      <x:c r="Q60" s="8" t="str">
        <x:v>turn1093search12</x:v>
      </x:c>
    </x:row>
    <x:row r="61" ht="35.25" customHeight="1">
      <x:c r="A61" s="8" t="str">
        <x:v>V7-Sd64e325143</x:v>
      </x:c>
      <x:c r="B61" s="8" t="str">
        <x:v>5 способов монетизации для e-learning-студии</x:v>
      </x:c>
      <x:c r="C61" s="8" t="str">
        <x:v>LMS и студии курсов</x:v>
      </x:c>
      <x:c r="D61" s="8" t="str">
        <x:v>Brusnika.LMS описывает партнерские продажи платформы, а не покупку контента у МИСБ.</x:v>
      </x:c>
      <x:c r="E61" s="8" t="str">
        <x:v>Не установлена</x:v>
      </x:c>
      <x:c r="F61" s="8" t="str">
        <x:v>Сайт</x:v>
      </x:c>
      <x:c r="G61" s="8" t="str">
        <x:v>referral_partnership</x:v>
      </x:c>
      <x:c r="H61" s="8" t="str">
        <x:v>Прочитана часть</x:v>
      </x:c>
      <x:c r="I61" s="8" t="str">
        <x:v>Аудитория / организация</x:v>
      </x:c>
      <x:c r="J61" s="8" t="str">
        <x:v>Кандидат по теме / аудитории</x:v>
      </x:c>
      <x:c r="K61" s="8" t="str">
        <x:v>Не установлено</x:v>
      </x:c>
      <x:c r="L61" s="8" t="str">
        <x:v>further_resolution_needed</x:v>
      </x:c>
      <x:c r="M61" s="8" t="str">
        <x:v>Новый ключ источника</x:v>
      </x:c>
      <x:c r="N61" s="8" t="str">
        <x:v>Прочитана часть</x:v>
      </x:c>
      <x:c r="O61" s="8" t="str">
        <x:v>V7-R048</x:v>
      </x:c>
      <x:c r="P61" s="8" t="str">
        <x:v>https://brusnika-lms.com/ru/blog/posts/5-ways-to-monetize-elearning-studio</x:v>
      </x:c>
      <x:c r="Q61" s="8" t="str">
        <x:v>turn1093search27</x:v>
      </x:c>
    </x:row>
    <x:row r="62" ht="35.25" customHeight="1">
      <x:c r="A62" s="8" t="str">
        <x:v>V7-S5c4da160f0</x:v>
      </x:c>
      <x:c r="B62" s="8" t="str">
        <x:v>eDISCUS: Разработка электронных курсов для LMS</x:v>
      </x:c>
      <x:c r="C62" s="8" t="str">
        <x:v>LMS и студии курсов</x:v>
      </x:c>
      <x:c r="D62" s="8" t="str">
        <x:v>Студия электронных курсов Казахстана; подтверждено предложение услуг, субподряд остается гипотезой.</x:v>
      </x:c>
      <x:c r="E62" s="8" t="str">
        <x:v>KZ</x:v>
      </x:c>
      <x:c r="F62" s="8" t="str">
        <x:v>Сайт</x:v>
      </x:c>
      <x:c r="G62" s="8" t="str">
        <x:v>course_studio_offer</x:v>
      </x:c>
      <x:c r="H62" s="8" t="str">
        <x:v>Прочитана часть</x:v>
      </x:c>
      <x:c r="I62" s="8" t="str">
        <x:v>Аудитория / организация</x:v>
      </x:c>
      <x:c r="J62" s="8" t="str">
        <x:v>Кандидат по теме / аудитории</x:v>
      </x:c>
      <x:c r="K62" s="8" t="str">
        <x:v>Не установлено</x:v>
      </x:c>
      <x:c r="L62" s="8" t="str">
        <x:v>Есть форма / контакт</x:v>
      </x:c>
      <x:c r="M62" s="8" t="str">
        <x:v>Новый ключ источника</x:v>
      </x:c>
      <x:c r="N62" s="8" t="str">
        <x:v>Прочитана часть</x:v>
      </x:c>
      <x:c r="O62" s="8" t="str">
        <x:v>V7-R042</x:v>
      </x:c>
      <x:c r="P62" s="8" t="str">
        <x:v>https://ediscus.kz/</x:v>
      </x:c>
      <x:c r="Q62" s="8" t="str">
        <x:v>turn1089search0</x:v>
      </x:c>
    </x:row>
    <x:row r="63" ht="35.25" customHeight="1">
      <x:c r="A63" s="8" t="str">
        <x:v>V7-S68396b42d5</x:v>
      </x:c>
      <x:c r="B63" s="8" t="str">
        <x:v>Образовательные услуги академии SENSYS</x:v>
      </x:c>
      <x:c r="C63" s="8" t="str">
        <x:v>LMS и студии курсов</x:v>
      </x:c>
      <x:c r="D63" s="8" t="str">
        <x:v>Академия SENSYS включает технические рабочие профессии и управленцев. Отбирать только подходящую аудиторию.</x:v>
      </x:c>
      <x:c r="E63" s="8" t="str">
        <x:v>Не установлена</x:v>
      </x:c>
      <x:c r="F63" s="8" t="str">
        <x:v>Сайт</x:v>
      </x:c>
      <x:c r="G63" s="8" t="str">
        <x:v>mixed_audience_provider</x:v>
      </x:c>
      <x:c r="H63" s="8" t="str">
        <x:v>Прочитана часть</x:v>
      </x:c>
      <x:c r="I63" s="8" t="str">
        <x:v>Аудитория / организация</x:v>
      </x:c>
      <x:c r="J63" s="8" t="str">
        <x:v>mixed_or_adjacent</x:v>
      </x:c>
      <x:c r="K63" s="8" t="str">
        <x:v>Не установлено</x:v>
      </x:c>
      <x:c r="L63" s="8" t="str">
        <x:v>further_resolution_needed</x:v>
      </x:c>
      <x:c r="M63" s="8" t="str">
        <x:v>Новый ключ источника</x:v>
      </x:c>
      <x:c r="N63" s="8" t="str">
        <x:v>Прочитана часть</x:v>
      </x:c>
      <x:c r="O63" s="8" t="str">
        <x:v>V7-R049</x:v>
      </x:c>
      <x:c r="P63" s="8" t="str">
        <x:v>https://by.pro-sensys.com/services/</x:v>
      </x:c>
      <x:c r="Q63" s="8" t="str">
        <x:v>turn1089search18; turn1089search25</x:v>
      </x:c>
    </x:row>
    <x:row r="64" ht="35.25" customHeight="1">
      <x:c r="A64" s="8" t="str">
        <x:v>V7-S5793ff89d0</x:v>
      </x:c>
      <x:c r="B64" s="8" t="str">
        <x:v>Разработка электронных курсов. Проектирование образовательного курса - Лабмедиа в Казахстане</x:v>
      </x:c>
      <x:c r="C64" s="8" t="str">
        <x:v>LMS и студии курсов</x:v>
      </x:c>
      <x:c r="D64" s="8" t="str">
        <x:v>Партнерская страница Лабмедиа предлагает вознаграждение за продажи продуктов. Не считать это заказом разработки курсов.</x:v>
      </x:c>
      <x:c r="E64" s="8" t="str">
        <x:v>KZ</x:v>
      </x:c>
      <x:c r="F64" s="8" t="str">
        <x:v>Сайт</x:v>
      </x:c>
      <x:c r="G64" s="8" t="str">
        <x:v>referral_partnership</x:v>
      </x:c>
      <x:c r="H64" s="8" t="str">
        <x:v>Прочитана часть</x:v>
      </x:c>
      <x:c r="I64" s="8" t="str">
        <x:v>Аудитория / организация</x:v>
      </x:c>
      <x:c r="J64" s="8" t="str">
        <x:v>Кандидат по теме / аудитории</x:v>
      </x:c>
      <x:c r="K64" s="8" t="str">
        <x:v>Не установлено</x:v>
      </x:c>
      <x:c r="L64" s="8" t="str">
        <x:v>further_resolution_needed</x:v>
      </x:c>
      <x:c r="M64" s="8" t="str">
        <x:v>Новый ключ источника</x:v>
      </x:c>
      <x:c r="N64" s="8" t="str">
        <x:v>Прочитана часть</x:v>
      </x:c>
      <x:c r="O64" s="8" t="str">
        <x:v>V7-R043</x:v>
      </x:c>
      <x:c r="P64" s="8" t="str">
        <x:v>https://www.labmedia.kz/ru/e-learning</x:v>
      </x:c>
      <x:c r="Q64" s="8" t="str">
        <x:v>turn1089search1; turn1089search10</x:v>
      </x:c>
    </x:row>
    <x:row r="65" ht="35.25" customHeight="1">
      <x:c r="A65" s="8" t="str">
        <x:v>V7-Sad097f9a69</x:v>
      </x:c>
      <x:c r="B65" s="8" t="str">
        <x:v>Разработка электронных курсов от WellDone</x:v>
      </x:c>
      <x:c r="C65" s="8" t="str">
        <x:v>LMS и студии курсов</x:v>
      </x:c>
      <x:c r="D65" s="8" t="str">
        <x:v>Форма WellDone регистрирует клиентскую сделку и лицензию. Это канал партнерских продаж, не публичная заявка на производство курса.</x:v>
      </x:c>
      <x:c r="E65" s="8" t="str">
        <x:v>KZ</x:v>
      </x:c>
      <x:c r="F65" s="8" t="str">
        <x:v>Сайт</x:v>
      </x:c>
      <x:c r="G65" s="8" t="str">
        <x:v>reseller_deal_registration</x:v>
      </x:c>
      <x:c r="H65" s="8" t="str">
        <x:v>Прочитана часть</x:v>
      </x:c>
      <x:c r="I65" s="8" t="str">
        <x:v>Аудитория / организация</x:v>
      </x:c>
      <x:c r="J65" s="8" t="str">
        <x:v>Кандидат по теме / аудитории</x:v>
      </x:c>
      <x:c r="K65" s="8" t="str">
        <x:v>Не установлено</x:v>
      </x:c>
      <x:c r="L65" s="8" t="str">
        <x:v>Есть форма / контакт</x:v>
      </x:c>
      <x:c r="M65" s="8" t="str">
        <x:v>Новый ключ источника</x:v>
      </x:c>
      <x:c r="N65" s="8" t="str">
        <x:v>Прочитана часть</x:v>
      </x:c>
      <x:c r="O65" s="8" t="str">
        <x:v>V7-R044</x:v>
      </x:c>
      <x:c r="P65" s="8" t="str">
        <x:v>https://well-done.kz/</x:v>
      </x:c>
      <x:c r="Q65" s="8" t="str">
        <x:v>turn1089search2</x:v>
      </x:c>
    </x:row>
    <x:row r="66" ht="35.25" customHeight="1">
      <x:c r="A66" s="8" t="str">
        <x:v>V7-Scdfed7e877</x:v>
      </x:c>
      <x:c r="B66" s="8" t="str">
        <x:v>Мероприятия сообщества Business Lead Биржа бизнес-заказов | Business Lead</x:v>
      </x:c>
      <x:c r="C66" s="8" t="str">
        <x:v>Проектная работа и эксперты</x:v>
      </x:c>
      <x:c r="D66" s="8" t="str">
        <x:v>Business Lead: сообщество и образовательные мероприятия. Для заказов нужно отдельно открыть соответствующий раздел.</x:v>
      </x:c>
      <x:c r="E66" s="8" t="str">
        <x:v>RU</x:v>
      </x:c>
      <x:c r="F66" s="8" t="str">
        <x:v>Сайт</x:v>
      </x:c>
      <x:c r="G66" s="8" t="str">
        <x:v>business_network</x:v>
      </x:c>
      <x:c r="H66" s="8" t="str">
        <x:v>Прочитана часть</x:v>
      </x:c>
      <x:c r="I66" s="8" t="str">
        <x:v>Аудитория / организация</x:v>
      </x:c>
      <x:c r="J66" s="8" t="str">
        <x:v>Кандидат по теме / аудитории</x:v>
      </x:c>
      <x:c r="K66" s="8" t="str">
        <x:v>Не установлено</x:v>
      </x:c>
      <x:c r="L66" s="8" t="str">
        <x:v>Есть форма / контакт</x:v>
      </x:c>
      <x:c r="M66" s="8" t="str">
        <x:v>Новый ключ источника</x:v>
      </x:c>
      <x:c r="N66" s="8" t="str">
        <x:v>Прочитана часть</x:v>
      </x:c>
      <x:c r="O66" s="8" t="str">
        <x:v>V7-R091</x:v>
      </x:c>
      <x:c r="P66" s="8" t="str">
        <x:v>https://2lead.ru/blog/other/meropriyatiya-soobshchestva-business-lead</x:v>
      </x:c>
      <x:c r="Q66" s="8" t="str">
        <x:v>turn1104search13; turn1095search18</x:v>
      </x:c>
    </x:row>
    <x:row r="67" ht="47.25" customHeight="1">
      <x:c r="A67" s="8" t="str">
        <x:v>V7-S3b30c35e66</x:v>
      </x:c>
      <x:c r="B67" s="8" t="str">
        <x:v>Ищем методолога образовательных курсов Нужен человек, который умеет… — SMMLANCER - работа в соц.сетях! — TG.ME</x:v>
      </x:c>
      <x:c r="C67" s="8" t="str">
        <x:v>Проектная работа и эксперты</x:v>
      </x:c>
      <x:c r="D67" s="8" t="str">
        <x:v>Есть запрос методолога для создания курсов от 14 сентября 2026. Он старше двух недель; актуальность не подтверждена.</x:v>
      </x:c>
      <x:c r="E67" s="8" t="str">
        <x:v>Не установлена</x:v>
      </x:c>
      <x:c r="F67" s="8" t="str">
        <x:v>Telegram</x:v>
      </x:c>
      <x:c r="G67" s="8" t="str">
        <x:v>course_methodologist_request</x:v>
      </x:c>
      <x:c r="H67" s="8" t="str">
        <x:v>Прочитана часть</x:v>
      </x:c>
      <x:c r="I67" s="8" t="str">
        <x:v>request_examples_seen</x:v>
      </x:c>
      <x:c r="J67" s="8" t="str">
        <x:v>Кандидат по теме / аудитории</x:v>
      </x:c>
      <x:c r="K67" s="8" t="str">
        <x:v>dated_context_see_date_kind</x:v>
      </x:c>
      <x:c r="L67" s="8" t="str">
        <x:v>further_resolution_needed</x:v>
      </x:c>
      <x:c r="M67" s="8" t="str">
        <x:v>Новый ключ источника</x:v>
      </x:c>
      <x:c r="N67" s="8" t="str">
        <x:v>Прочитана часть</x:v>
      </x:c>
      <x:c r="O67" s="8" t="str">
        <x:v>V7-R092</x:v>
      </x:c>
      <x:c r="P67" s="8" t="str">
        <x:v>https://tg.me/smmlancer/8652</x:v>
      </x:c>
      <x:c r="Q67" s="8" t="str">
        <x:v>turn1095search1</x:v>
      </x:c>
    </x:row>
    <x:row r="68" ht="47.25" customHeight="1">
      <x:c r="A68" s="8" t="str">
        <x:v>V7-S681d2bb13f</x:v>
      </x:c>
      <x:c r="B68" s="8" t="str">
        <x:v>Вся творческая работа. Event hunter. Петербург – Telegram</x:v>
      </x:c>
      <x:c r="C68" s="8" t="str">
        <x:v>Проектная работа и эксперты</x:v>
      </x:c>
      <x:c r="D68" s="8" t="str">
        <x:v>Event hunter содержит профессиональные задания, рекламу, детские занятия и развлекательные события. Нужен широкий сбор с последующей тематической разметкой.</x:v>
      </x:c>
      <x:c r="E68" s="8" t="str">
        <x:v>Не установлена</x:v>
      </x:c>
      <x:c r="F68" s="8" t="str">
        <x:v>Telegram</x:v>
      </x:c>
      <x:c r="G68" s="8" t="str">
        <x:v>mixed_project_feed</x:v>
      </x:c>
      <x:c r="H68" s="8" t="str">
        <x:v>Прочитана часть</x:v>
      </x:c>
      <x:c r="I68" s="8" t="str">
        <x:v>Аудитория / организация</x:v>
      </x:c>
      <x:c r="J68" s="8" t="str">
        <x:v>mixed_or_adjacent</x:v>
      </x:c>
      <x:c r="K68" s="8" t="str">
        <x:v>Не установлено</x:v>
      </x:c>
      <x:c r="L68" s="8" t="str">
        <x:v>further_resolution_needed</x:v>
      </x:c>
      <x:c r="M68" s="8" t="str">
        <x:v>Новый ключ источника</x:v>
      </x:c>
      <x:c r="N68" s="8" t="str">
        <x:v>Прочитана часть</x:v>
      </x:c>
      <x:c r="O68" s="8" t="str">
        <x:v>V7-R093</x:v>
      </x:c>
      <x:c r="P68" s="8" t="str">
        <x:v>https://t.me/s/spbeventjob?before=106617&amp;q=%23%D0%A1%D0%BF%D0%B8%D0%BA%D0%B5%D1%80</x:v>
      </x:c>
      <x:c r="Q68" s="8" t="str">
        <x:v>turn1096search15; turn1208search3; turn1208search5; turn1208search0; turn1208search4</x:v>
      </x:c>
    </x:row>
    <x:row r="69" ht="35.25" customHeight="1">
      <x:c r="A69" s="8" t="str">
        <x:v>V7-S5411233558</x:v>
      </x:c>
      <x:c r="B69" s="8" t="str">
        <x:v>Бизнес-тренер — ПРОГРЕСС&amp;CO — Актау · Гибрид · Частичная — Finder.work</x:v>
      </x:c>
      <x:c r="C69" s="8" t="str">
        <x:v>Проектная работа и эксперты</x:v>
      </x:c>
      <x:c r="D69" s="8" t="str">
        <x:v>ПРОГРЕСС&amp;CO в Актау приглашает тренеров корпоративных программ. Публикация 6 августа 2026; актуальность проверить у первоисточника.</x:v>
      </x:c>
      <x:c r="E69" s="8" t="str">
        <x:v>Не установлена</x:v>
      </x:c>
      <x:c r="F69" s="8" t="str">
        <x:v>Сайт</x:v>
      </x:c>
      <x:c r="G69" s="8" t="str">
        <x:v>trainer_recruitment</x:v>
      </x:c>
      <x:c r="H69" s="8" t="str">
        <x:v>Прочитана часть</x:v>
      </x:c>
      <x:c r="I69" s="8" t="str">
        <x:v>Аудитория / организация</x:v>
      </x:c>
      <x:c r="J69" s="8" t="str">
        <x:v>Кандидат по теме / аудитории</x:v>
      </x:c>
      <x:c r="K69" s="8" t="str">
        <x:v>dated_context_see_date_kind</x:v>
      </x:c>
      <x:c r="L69" s="8" t="str">
        <x:v>Есть форма / контакт</x:v>
      </x:c>
      <x:c r="M69" s="8" t="str">
        <x:v>Новый ключ источника</x:v>
      </x:c>
      <x:c r="N69" s="8" t="str">
        <x:v>Прочитана часть</x:v>
      </x:c>
      <x:c r="O69" s="8" t="str">
        <x:v>V7-R099</x:v>
      </x:c>
      <x:c r="P69" s="8" t="str">
        <x:v>https://kz.finder.work/vacancy/28065058</x:v>
      </x:c>
      <x:c r="Q69" s="8" t="str">
        <x:v>turn1095search15</x:v>
      </x:c>
    </x:row>
    <x:row r="70" ht="35.25" customHeight="1">
      <x:c r="A70" s="8" t="str">
        <x:v>V7-S933287c25b</x:v>
      </x:c>
      <x:c r="B70" s="8" t="str">
        <x:v>Методолог (EdTech) в Sergey Sergeev | Hirify</x:v>
      </x:c>
      <x:c r="C70" s="8" t="str">
        <x:v>Проектная работа и эксперты</x:v>
      </x:c>
      <x:c r="D70" s="8" t="str">
        <x:v>Запрос на микро-курсы для предпринимателей архивирован. Не считать открытым лидом.</x:v>
      </x:c>
      <x:c r="E70" s="8" t="str">
        <x:v>Не установлена</x:v>
      </x:c>
      <x:c r="F70" s="8" t="str">
        <x:v>Сайт</x:v>
      </x:c>
      <x:c r="G70" s="8" t="str">
        <x:v>archived_project</x:v>
      </x:c>
      <x:c r="H70" s="8" t="str">
        <x:v>Прочитана часть</x:v>
      </x:c>
      <x:c r="I70" s="8" t="str">
        <x:v>request_examples_seen</x:v>
      </x:c>
      <x:c r="J70" s="8" t="str">
        <x:v>Кандидат по теме / аудитории</x:v>
      </x:c>
      <x:c r="K70" s="8" t="str">
        <x:v>Не установлено</x:v>
      </x:c>
      <x:c r="L70" s="8" t="str">
        <x:v>further_resolution_needed</x:v>
      </x:c>
      <x:c r="M70" s="8" t="str">
        <x:v>Новый ключ источника</x:v>
      </x:c>
      <x:c r="N70" s="8" t="str">
        <x:v>Прочитана часть</x:v>
      </x:c>
      <x:c r="O70" s="8" t="str">
        <x:v>V7-R098</x:v>
      </x:c>
      <x:c r="P70" s="8" t="str">
        <x:v>https://hirify.me/jobs/487898-metodolog-edtech</x:v>
      </x:c>
      <x:c r="Q70" s="8" t="str">
        <x:v>turn1095search17</x:v>
      </x:c>
    </x:row>
    <x:row r="71" ht="35.25" customHeight="1">
      <x:c r="A71" s="8" t="str">
        <x:v>V7-Scb11e4689a</x:v>
      </x:c>
      <x:c r="B71" s="8" t="str">
        <x:v>Партнерская программа для тренинговых компаний и преподавателей</x:v>
      </x:c>
      <x:c r="C71" s="8" t="str">
        <x:v>Провайдеры и бизнес-школы</x:v>
      </x:c>
      <x:c r="D71" s="8" t="str">
        <x:v>Simformer предлагает сотрудничество тренинговым компаниям и преподавателям вокруг платформы бизнес-симуляций.</x:v>
      </x:c>
      <x:c r="E71" s="8" t="str">
        <x:v>Не установлена</x:v>
      </x:c>
      <x:c r="F71" s="8" t="str">
        <x:v>Сайт</x:v>
      </x:c>
      <x:c r="G71" s="8" t="str">
        <x:v>platform_partnership</x:v>
      </x:c>
      <x:c r="H71" s="8" t="str">
        <x:v>Прочитана часть</x:v>
      </x:c>
      <x:c r="I71" s="8" t="str">
        <x:v>Аудитория / организация</x:v>
      </x:c>
      <x:c r="J71" s="8" t="str">
        <x:v>Кандидат по теме / аудитории</x:v>
      </x:c>
      <x:c r="K71" s="8" t="str">
        <x:v>Не установлено</x:v>
      </x:c>
      <x:c r="L71" s="8" t="str">
        <x:v>further_resolution_needed</x:v>
      </x:c>
      <x:c r="M71" s="8" t="str">
        <x:v>Новый ключ источника</x:v>
      </x:c>
      <x:c r="N71" s="8" t="str">
        <x:v>Прочитана часть</x:v>
      </x:c>
      <x:c r="O71" s="8" t="str">
        <x:v>V7-R031</x:v>
      </x:c>
      <x:c r="P71" s="8" t="str">
        <x:v>https://simformer.com/ru/for-partners/</x:v>
      </x:c>
      <x:c r="Q71" s="8" t="str">
        <x:v>turn1092search12</x:v>
      </x:c>
    </x:row>
    <x:row r="72" ht="35.25" customHeight="1">
      <x:c r="A72" s="8" t="str">
        <x:v>V7-S3f62f435c1</x:v>
      </x:c>
      <x:c r="B72" s="8" t="str">
        <x:v>Спикерам: как создавать курсы</x:v>
      </x:c>
      <x:c r="C72" s="8" t="str">
        <x:v>Провайдеры и бизнес-школы</x:v>
      </x:c>
      <x:c r="D72" s="8" t="str">
        <x:v>Slurm приглашает авторов и спикеров IT-курсов. Тематику и договор с образовательной организацией требуется согласовать.</x:v>
      </x:c>
      <x:c r="E72" s="8" t="str">
        <x:v>Не установлена</x:v>
      </x:c>
      <x:c r="F72" s="8" t="str">
        <x:v>Сайт</x:v>
      </x:c>
      <x:c r="G72" s="8" t="str">
        <x:v>course_author_pool</x:v>
      </x:c>
      <x:c r="H72" s="8" t="str">
        <x:v>Прочитана часть</x:v>
      </x:c>
      <x:c r="I72" s="8" t="str">
        <x:v>Аудитория / организация</x:v>
      </x:c>
      <x:c r="J72" s="8" t="str">
        <x:v>Кандидат по теме / аудитории</x:v>
      </x:c>
      <x:c r="K72" s="8" t="str">
        <x:v>Не установлено</x:v>
      </x:c>
      <x:c r="L72" s="8" t="str">
        <x:v>Есть форма / контакт</x:v>
      </x:c>
      <x:c r="M72" s="8" t="str">
        <x:v>Новый ключ источника</x:v>
      </x:c>
      <x:c r="N72" s="8" t="str">
        <x:v>Прочитана часть</x:v>
      </x:c>
      <x:c r="O72" s="8" t="str">
        <x:v>V7-R032</x:v>
      </x:c>
      <x:c r="P72" s="8" t="str">
        <x:v>https://slurm.io/for-speakers</x:v>
      </x:c>
      <x:c r="Q72" s="8" t="str">
        <x:v>turn1090search29</x:v>
      </x:c>
    </x:row>
    <x:row r="73" ht="35.25" customHeight="1">
      <x:c r="A73" s="8" t="str">
        <x:v>V7-Sb1d33b490a</x:v>
      </x:c>
      <x:c r="B73" s="8" t="str">
        <x:v>Международная Академия Информатизации - Конкурс по набору бизнес-тренеров</x:v>
      </x:c>
      <x:c r="C73" s="8" t="str">
        <x:v>Провайдеры и бизнес-школы</x:v>
      </x:c>
      <x:c r="D73" s="8" t="str">
        <x:v>Перепечатка приглашения СПМ РК, датированная 27 августа 2026. Связать с источником 11, не удваивать потребность.</x:v>
      </x:c>
      <x:c r="E73" s="8" t="str">
        <x:v>KZ</x:v>
      </x:c>
      <x:c r="F73" s="8" t="str">
        <x:v>Сайт</x:v>
      </x:c>
      <x:c r="G73" s="8" t="str">
        <x:v>repost_expert_pool</x:v>
      </x:c>
      <x:c r="H73" s="8" t="str">
        <x:v>Прочитана часть</x:v>
      </x:c>
      <x:c r="I73" s="8" t="str">
        <x:v>Аудитория / организация</x:v>
      </x:c>
      <x:c r="J73" s="8" t="str">
        <x:v>Кандидат по теме / аудитории</x:v>
      </x:c>
      <x:c r="K73" s="8" t="str">
        <x:v>dated_context_see_date_kind</x:v>
      </x:c>
      <x:c r="L73" s="8" t="str">
        <x:v>further_resolution_needed</x:v>
      </x:c>
      <x:c r="M73" s="8" t="str">
        <x:v>Новый ключ источника</x:v>
      </x:c>
      <x:c r="N73" s="8" t="str">
        <x:v>Прочитана часть</x:v>
      </x:c>
      <x:c r="O73" s="8" t="str">
        <x:v>V7-R035</x:v>
      </x:c>
      <x:c r="P73" s="8" t="str">
        <x:v>https://academy.kz/kk/news/nashi-novosti/item/6638-konkurs-po-naboru-biznes-trenerov</x:v>
      </x:c>
      <x:c r="Q73" s="8" t="str">
        <x:v>turn1090search0; turn1212search0; turn1212search1</x:v>
      </x:c>
    </x:row>
    <x:row r="74" ht="35.25" customHeight="1">
      <x:c r="A74" s="8" t="str">
        <x:v>V7-S563f083c46</x:v>
      </x:c>
      <x:c r="B74" s="8" t="str">
        <x:v>Вакансии / Об академии / БИЗНЕС АКАДЕМИЯ DKS - официальный сайт учебного центра</x:v>
      </x:c>
      <x:c r="C74" s="8" t="str">
        <x:v>Провайдеры и бизнес-школы</x:v>
      </x:c>
      <x:c r="D74" s="8" t="str">
        <x:v>DKS приглашает преподавателей-практиков; предусмотрены аккредитация и трудовое соглашение. Это не подтвержденный субподряд МИСБ.</x:v>
      </x:c>
      <x:c r="E74" s="8" t="str">
        <x:v>RU</x:v>
      </x:c>
      <x:c r="F74" s="8" t="str">
        <x:v>Сайт</x:v>
      </x:c>
      <x:c r="G74" s="8" t="str">
        <x:v>individual_trainer_recruitment</x:v>
      </x:c>
      <x:c r="H74" s="8" t="str">
        <x:v>Прочитана часть</x:v>
      </x:c>
      <x:c r="I74" s="8" t="str">
        <x:v>Аудитория / организация</x:v>
      </x:c>
      <x:c r="J74" s="8" t="str">
        <x:v>Кандидат по теме / аудитории</x:v>
      </x:c>
      <x:c r="K74" s="8" t="str">
        <x:v>Не установлено</x:v>
      </x:c>
      <x:c r="L74" s="8" t="str">
        <x:v>Есть форма / контакт</x:v>
      </x:c>
      <x:c r="M74" s="8" t="str">
        <x:v>Новый ключ источника</x:v>
      </x:c>
      <x:c r="N74" s="8" t="str">
        <x:v>Прочитана часть</x:v>
      </x:c>
      <x:c r="O74" s="8" t="str">
        <x:v>V7-R033</x:v>
      </x:c>
      <x:c r="P74" s="8" t="str">
        <x:v>https://btacademy.ru/about/vakansii/</x:v>
      </x:c>
      <x:c r="Q74" s="8" t="str">
        <x:v>turn1092search18</x:v>
      </x:c>
    </x:row>
    <x:row r="75" ht="35.25" customHeight="1">
      <x:c r="A75" s="8" t="str">
        <x:v>V7-S9dffdbe77b</x:v>
      </x:c>
      <x:c r="B75" s="8" t="str">
        <x:v>Приглашаем в Клуб бизнес-тренеров - БИЗНЕС-ТРЕНЕРЫ</x:v>
      </x:c>
      <x:c r="C75" s="8" t="str">
        <x:v>Провайдеры и бизнес-школы</x:v>
      </x:c>
      <x:c r="D75" s="8" t="str">
        <x:v>Клуб бизнес-тренеров: развитие выступлений и контактов. Публикация от 13 марта 2026; не свежий заказ.</x:v>
      </x:c>
      <x:c r="E75" s="8" t="str">
        <x:v>RU</x:v>
      </x:c>
      <x:c r="F75" s="8" t="str">
        <x:v>Сайт</x:v>
      </x:c>
      <x:c r="G75" s="8" t="str">
        <x:v>speaker_membership</x:v>
      </x:c>
      <x:c r="H75" s="8" t="str">
        <x:v>Прочитана часть</x:v>
      </x:c>
      <x:c r="I75" s="8" t="str">
        <x:v>Аудитория / организация</x:v>
      </x:c>
      <x:c r="J75" s="8" t="str">
        <x:v>Кандидат по теме / аудитории</x:v>
      </x:c>
      <x:c r="K75" s="8" t="str">
        <x:v>dated_context_see_date_kind</x:v>
      </x:c>
      <x:c r="L75" s="8" t="str">
        <x:v>further_resolution_needed</x:v>
      </x:c>
      <x:c r="M75" s="8" t="str">
        <x:v>Новый ключ источника</x:v>
      </x:c>
      <x:c r="N75" s="8" t="str">
        <x:v>Прочитана часть</x:v>
      </x:c>
      <x:c r="O75" s="8" t="str">
        <x:v>V7-R034</x:v>
      </x:c>
      <x:c r="P75" s="8" t="str">
        <x:v>https://business-trainers.ru/priglashaem-v-klub-biznes-trenerov/</x:v>
      </x:c>
      <x:c r="Q75" s="8" t="str">
        <x:v>turn1090search35</x:v>
      </x:c>
    </x:row>
    <x:row r="76" ht="35.25" customHeight="1">
      <x:c r="A76" s="8" t="str">
        <x:v>V7-Sc38b87bc48</x:v>
      </x:c>
      <x:c r="B76" s="8" t="str">
        <x:v>Inter Partner - Организатор международных бизнес-мероприятий</x:v>
      </x:c>
      <x:c r="C76" s="8" t="str">
        <x:v>Провайдеры и бизнес-школы</x:v>
      </x:c>
      <x:c r="D76" s="8" t="str">
        <x:v>Организатор деловых мероприятий Казахстана приглашает к сотрудничеству; конкретная образовательная задача не указана.</x:v>
      </x:c>
      <x:c r="E76" s="8" t="str">
        <x:v>KZ</x:v>
      </x:c>
      <x:c r="F76" s="8" t="str">
        <x:v>Сайт</x:v>
      </x:c>
      <x:c r="G76" s="8" t="str">
        <x:v>organizer_partnership</x:v>
      </x:c>
      <x:c r="H76" s="8" t="str">
        <x:v>Прочитана часть</x:v>
      </x:c>
      <x:c r="I76" s="8" t="str">
        <x:v>Аудитория / организация</x:v>
      </x:c>
      <x:c r="J76" s="8" t="str">
        <x:v>Кандидат по теме / аудитории</x:v>
      </x:c>
      <x:c r="K76" s="8" t="str">
        <x:v>Не установлено</x:v>
      </x:c>
      <x:c r="L76" s="8" t="str">
        <x:v>Есть форма / контакт</x:v>
      </x:c>
      <x:c r="M76" s="8" t="str">
        <x:v>Новый ключ источника</x:v>
      </x:c>
      <x:c r="N76" s="8" t="str">
        <x:v>Прочитана часть</x:v>
      </x:c>
      <x:c r="O76" s="8" t="str">
        <x:v>V7-R036</x:v>
      </x:c>
      <x:c r="P76" s="8" t="str">
        <x:v>https://www.interpartner.kz/</x:v>
      </x:c>
      <x:c r="Q76" s="8" t="str">
        <x:v>turn1090search12</x:v>
      </x:c>
    </x:row>
    <x:row r="77" ht="35.25" customHeight="1">
      <x:c r="A77" s="8" t="str">
        <x:v>V7-S0b81b8c8aa</x:v>
      </x:c>
      <x:c r="B77" s="8" t="str">
        <x:v>Сотрудничество с организациями и предприятиями</x:v>
      </x:c>
      <x:c r="C77" s="8" t="str">
        <x:v>Провайдеры и бизнес-школы</x:v>
      </x:c>
      <x:c r="D77" s="8" t="str">
        <x:v>Новое завтра предлагает компаниям купить обучение. Это партнер-кандидат, а не покупательский запрос.</x:v>
      </x:c>
      <x:c r="E77" s="8" t="str">
        <x:v>BY</x:v>
      </x:c>
      <x:c r="F77" s="8" t="str">
        <x:v>Сайт</x:v>
      </x:c>
      <x:c r="G77" s="8" t="str">
        <x:v>provider_offer</x:v>
      </x:c>
      <x:c r="H77" s="8" t="str">
        <x:v>Прочитана часть</x:v>
      </x:c>
      <x:c r="I77" s="8" t="str">
        <x:v>Аудитория / организация</x:v>
      </x:c>
      <x:c r="J77" s="8" t="str">
        <x:v>Кандидат по теме / аудитории</x:v>
      </x:c>
      <x:c r="K77" s="8" t="str">
        <x:v>Не установлено</x:v>
      </x:c>
      <x:c r="L77" s="8" t="str">
        <x:v>further_resolution_needed</x:v>
      </x:c>
      <x:c r="M77" s="8" t="str">
        <x:v>Новый ключ источника</x:v>
      </x:c>
      <x:c r="N77" s="8" t="str">
        <x:v>Прочитана часть</x:v>
      </x:c>
      <x:c r="O77" s="8" t="str">
        <x:v>V7-R038</x:v>
      </x:c>
      <x:c r="P77" s="8" t="str">
        <x:v>https://www.novoezavtra.by/sotrudnichestvo</x:v>
      </x:c>
      <x:c r="Q77" s="8" t="str">
        <x:v>turn1092search17; turn1089search21</x:v>
      </x:c>
    </x:row>
    <x:row r="78" ht="35.25" customHeight="1">
      <x:c r="A78" s="8" t="str">
        <x:v>V7-S819b1005ce</x:v>
      </x:c>
      <x:c r="B78" s="8" t="str">
        <x:v>Партнерам</x:v>
      </x:c>
      <x:c r="C78" s="8" t="str">
        <x:v>Провайдеры и бизнес-школы</x:v>
      </x:c>
      <x:c r="D78" s="8" t="str">
        <x:v>LTC принимает резюме тренеров в HR-службу; предложения промосотрудничества направляются отдельно.</x:v>
      </x:c>
      <x:c r="E78" s="8" t="str">
        <x:v>RU</x:v>
      </x:c>
      <x:c r="F78" s="8" t="str">
        <x:v>Сайт</x:v>
      </x:c>
      <x:c r="G78" s="8" t="str">
        <x:v>trainer_cv_route</x:v>
      </x:c>
      <x:c r="H78" s="8" t="str">
        <x:v>Прочитана часть</x:v>
      </x:c>
      <x:c r="I78" s="8" t="str">
        <x:v>Аудитория / организация</x:v>
      </x:c>
      <x:c r="J78" s="8" t="str">
        <x:v>Кандидат по теме / аудитории</x:v>
      </x:c>
      <x:c r="K78" s="8" t="str">
        <x:v>Не установлено</x:v>
      </x:c>
      <x:c r="L78" s="8" t="str">
        <x:v>Есть форма / контакт</x:v>
      </x:c>
      <x:c r="M78" s="8" t="str">
        <x:v>Новый ключ источника</x:v>
      </x:c>
      <x:c r="N78" s="8" t="str">
        <x:v>Прочитана часть</x:v>
      </x:c>
      <x:c r="O78" s="8" t="str">
        <x:v>V7-R040</x:v>
      </x:c>
      <x:c r="P78" s="8" t="str">
        <x:v>https://1ltc.ru/%D1%81%D0%BE%D1%82%D1%80%D1%83%D0%B4%D0%BD%D0%B8%D1%87%D0%B5%D1%81%D1%82%D0%B2%D0%BE/</x:v>
      </x:c>
      <x:c r="Q78" s="8" t="str">
        <x:v>turn1092search3</x:v>
      </x:c>
    </x:row>
    <x:row r="79" ht="35.25" customHeight="1">
      <x:c r="A79" s="8" t="str">
        <x:v>V7-S744a59ce08</x:v>
      </x:c>
      <x:c r="B79" s="8" t="str">
        <x:v>Abadan &amp; Co. — Корпоративное обучение и бизнес-тренинги в Казахстане</x:v>
      </x:c>
      <x:c r="C79" s="8" t="str">
        <x:v>Провайдеры и бизнес-школы</x:v>
      </x:c>
      <x:c r="D79" s="8" t="str">
        <x:v>Провайдер корпоративного обучения. Кнопка сотрудничества ведет к продаже услуг; набор внешних провайдеров не доказан.</x:v>
      </x:c>
      <x:c r="E79" s="8" t="str">
        <x:v>KZ</x:v>
      </x:c>
      <x:c r="F79" s="8" t="str">
        <x:v>Сайт</x:v>
      </x:c>
      <x:c r="G79" s="8" t="str">
        <x:v>provider_offer</x:v>
      </x:c>
      <x:c r="H79" s="8" t="str">
        <x:v>Прочитана часть</x:v>
      </x:c>
      <x:c r="I79" s="8" t="str">
        <x:v>Аудитория / организация</x:v>
      </x:c>
      <x:c r="J79" s="8" t="str">
        <x:v>Кандидат по теме / аудитории</x:v>
      </x:c>
      <x:c r="K79" s="8" t="str">
        <x:v>Не установлено</x:v>
      </x:c>
      <x:c r="L79" s="8" t="str">
        <x:v>further_resolution_needed</x:v>
      </x:c>
      <x:c r="M79" s="8" t="str">
        <x:v>Новый ключ источника</x:v>
      </x:c>
      <x:c r="N79" s="8" t="str">
        <x:v>Прочитана часть</x:v>
      </x:c>
      <x:c r="O79" s="8" t="str">
        <x:v>V7-R037</x:v>
      </x:c>
      <x:c r="P79" s="8" t="str">
        <x:v>https://www.abadan.kz/</x:v>
      </x:c>
      <x:c r="Q79" s="8" t="str">
        <x:v>turn1090search16</x:v>
      </x:c>
    </x:row>
    <x:row r="80" ht="35.25" customHeight="1">
      <x:c r="A80" s="8" t="str">
        <x:v>V7-Sfa3ab462bb</x:v>
      </x:c>
      <x:c r="B80" s="8" t="str">
        <x:v>ВРЕМЯ:HR</x:v>
      </x:c>
      <x:c r="C80" s="8" t="str">
        <x:v>Региональные HR-сообщества</x:v>
      </x:c>
      <x:c r="D80" s="8" t="str">
        <x:v>Региональное HR-сообщество принимает предложения выступлений и сотрудничества. Найдены отдельные канал, чат и MAX.</x:v>
      </x:c>
      <x:c r="E80" s="8" t="str">
        <x:v>RU</x:v>
      </x:c>
      <x:c r="F80" s="8" t="str">
        <x:v>Сайт</x:v>
      </x:c>
      <x:c r="G80" s="8" t="str">
        <x:v>cooperation_invitation</x:v>
      </x:c>
      <x:c r="H80" s="8" t="str">
        <x:v>Прочитана часть</x:v>
      </x:c>
      <x:c r="I80" s="8" t="str">
        <x:v>Аудитория / организация</x:v>
      </x:c>
      <x:c r="J80" s="8" t="str">
        <x:v>Кандидат по теме / аудитории</x:v>
      </x:c>
      <x:c r="K80" s="8" t="str">
        <x:v>Не установлено</x:v>
      </x:c>
      <x:c r="L80" s="8" t="str">
        <x:v>Есть форма / контакт</x:v>
      </x:c>
      <x:c r="M80" s="8" t="str">
        <x:v>Новый ключ источника</x:v>
      </x:c>
      <x:c r="N80" s="8" t="str">
        <x:v>Прочитана часть</x:v>
      </x:c>
      <x:c r="O80" s="8" t="str">
        <x:v>V7-R001</x:v>
      </x:c>
      <x:c r="P80" s="8" t="str">
        <x:v>https://hrtime-nn.ru/</x:v>
      </x:c>
      <x:c r="Q80" s="8" t="str">
        <x:v>turn1087search19</x:v>
      </x:c>
    </x:row>
    <x:row r="81" ht="33" customHeight="1">
      <x:c r="A81" s="8" t="str">
        <x:v>V7-Sc83c2c8841</x:v>
      </x:c>
      <x:c r="B81" s="8" t="str">
        <x:v>Telegram: View @hr_only</x:v>
      </x:c>
      <x:c r="C81" s="8" t="str">
        <x:v>Региональные HR-сообщества</x:v>
      </x:c>
      <x:c r="D81" s="8" t="str">
        <x:v>Видна карточка HR-чата, сообщения недоступны в публичном чтении.</x:v>
      </x:c>
      <x:c r="E81" s="8" t="str">
        <x:v>Не установлена</x:v>
      </x:c>
      <x:c r="F81" s="8" t="str">
        <x:v>Telegram</x:v>
      </x:c>
      <x:c r="G81" s="8" t="str">
        <x:v>community_preview</x:v>
      </x:c>
      <x:c r="H81" s="8" t="str">
        <x:v>Только карточка</x:v>
      </x:c>
      <x:c r="I81" s="8" t="str">
        <x:v>Не установлено</x:v>
      </x:c>
      <x:c r="J81" s="8" t="str">
        <x:v>Кандидат по теме / аудитории</x:v>
      </x:c>
      <x:c r="K81" s="8" t="str">
        <x:v>Не установлено</x:v>
      </x:c>
      <x:c r="L81" s="8" t="str">
        <x:v>further_resolution_needed</x:v>
      </x:c>
      <x:c r="M81" s="8" t="str">
        <x:v>Новый ключ источника</x:v>
      </x:c>
      <x:c r="N81" s="8" t="str">
        <x:v>Только карточка</x:v>
      </x:c>
      <x:c r="O81" s="8" t="str">
        <x:v>V7-R003</x:v>
      </x:c>
      <x:c r="P81" s="8" t="str">
        <x:v>https://t.me/hr_only</x:v>
      </x:c>
      <x:c r="Q81" s="8" t="str">
        <x:v>turn1087search0</x:v>
      </x:c>
    </x:row>
    <x:row r="82" ht="35.25" customHeight="1">
      <x:c r="A82" s="8" t="str">
        <x:v>V7-S8bb0eb5451</x:v>
      </x:c>
      <x:c r="B82" s="8" t="str">
        <x:v>HR-сообщество - Пермская Торгово-Промышленная Палата</x:v>
      </x:c>
      <x:c r="C82" s="8" t="str">
        <x:v>Региональные HR-сообщества</x:v>
      </x:c>
      <x:c r="D82" s="8" t="str">
        <x:v>HR-раздел Пермской ТПП; отдельные события видны, сплошное окно не доказано.</x:v>
      </x:c>
      <x:c r="E82" s="8" t="str">
        <x:v>RU</x:v>
      </x:c>
      <x:c r="F82" s="8" t="str">
        <x:v>Сайт</x:v>
      </x:c>
      <x:c r="G82" s="8" t="str">
        <x:v>community_news</x:v>
      </x:c>
      <x:c r="H82" s="8" t="str">
        <x:v>Прочитана часть</x:v>
      </x:c>
      <x:c r="I82" s="8" t="str">
        <x:v>Аудитория / организация</x:v>
      </x:c>
      <x:c r="J82" s="8" t="str">
        <x:v>Кандидат по теме / аудитории</x:v>
      </x:c>
      <x:c r="K82" s="8" t="str">
        <x:v>Не установлено</x:v>
      </x:c>
      <x:c r="L82" s="8" t="str">
        <x:v>further_resolution_needed</x:v>
      </x:c>
      <x:c r="M82" s="8" t="str">
        <x:v>Новый ключ источника</x:v>
      </x:c>
      <x:c r="N82" s="8" t="str">
        <x:v>Прочитана часть</x:v>
      </x:c>
      <x:c r="O82" s="8" t="str">
        <x:v>V7-R005</x:v>
      </x:c>
      <x:c r="P82" s="8" t="str">
        <x:v>https://www.permtpp.ru/tags/hr-soobshchestvo/?SHOWALL_2=1</x:v>
      </x:c>
      <x:c r="Q82" s="8" t="str">
        <x:v>turn1084search11</x:v>
      </x:c>
    </x:row>
    <x:row r="83" ht="35.25" customHeight="1">
      <x:c r="A83" s="8" t="str">
        <x:v>V7-S87810b61c6</x:v>
      </x:c>
      <x:c r="B83" s="8" t="str">
        <x:v>HR конференция 15 апреля 2026 в Беларуси | HR Day</x:v>
      </x:c>
      <x:c r="C83" s="8" t="str">
        <x:v>Региональные HR-сообщества</x:v>
      </x:c>
      <x:c r="D83" s="8" t="str">
        <x:v>HR-конференция Беларуси состоялась 15 апреля 2026. Использовать организатора и будущий цикл.</x:v>
      </x:c>
      <x:c r="E83" s="8" t="str">
        <x:v>BY</x:v>
      </x:c>
      <x:c r="F83" s="8" t="str">
        <x:v>Сайт</x:v>
      </x:c>
      <x:c r="G83" s="8" t="str">
        <x:v>past_event</x:v>
      </x:c>
      <x:c r="H83" s="8" t="str">
        <x:v>Прочитана часть</x:v>
      </x:c>
      <x:c r="I83" s="8" t="str">
        <x:v>Аудитория / организация</x:v>
      </x:c>
      <x:c r="J83" s="8" t="str">
        <x:v>Кандидат по теме / аудитории</x:v>
      </x:c>
      <x:c r="K83" s="8" t="str">
        <x:v>dated_context_see_date_kind</x:v>
      </x:c>
      <x:c r="L83" s="8" t="str">
        <x:v>further_resolution_needed</x:v>
      </x:c>
      <x:c r="M83" s="8" t="str">
        <x:v>Новый ключ источника</x:v>
      </x:c>
      <x:c r="N83" s="8" t="str">
        <x:v>Прочитана часть</x:v>
      </x:c>
      <x:c r="O83" s="8" t="str">
        <x:v>V7-R006</x:v>
      </x:c>
      <x:c r="P83" s="8" t="str">
        <x:v>https://www.hrday.by/</x:v>
      </x:c>
      <x:c r="Q83" s="8" t="str">
        <x:v>turn1087search32</x:v>
      </x:c>
    </x:row>
    <x:row r="84" ht="35.25" customHeight="1">
      <x:c r="A84" s="8" t="str">
        <x:v>V7-S63c48d56f4</x:v>
      </x:c>
      <x:c r="B84" s="8" t="str">
        <x:v>Бизнес-клуб «Атланты» в Москве - сообщество предпринимателей и бизнесменов</x:v>
      </x:c>
      <x:c r="C84" s="8" t="str">
        <x:v>Бизнес-клубы и сети</x:v>
      </x:c>
      <x:c r="D84" s="8" t="str">
        <x:v>Найден профессиональный/образовательный контекст. Покупательские запросы и возможность сбора еще не проверены.</x:v>
      </x:c>
      <x:c r="E84" s="8" t="str">
        <x:v>RU</x:v>
      </x:c>
      <x:c r="F84" s="8" t="str">
        <x:v>Сайт</x:v>
      </x:c>
      <x:c r="G84" s="8" t="str">
        <x:v>unverified_candidate</x:v>
      </x:c>
      <x:c r="H84" s="8" t="str">
        <x:v>Не проверен</x:v>
      </x:c>
      <x:c r="I84" s="8" t="str">
        <x:v>Не установлено</x:v>
      </x:c>
      <x:c r="J84" s="8" t="str">
        <x:v>Только контекст поиска</x:v>
      </x:c>
      <x:c r="K84" s="8" t="str">
        <x:v>Не установлено</x:v>
      </x:c>
      <x:c r="L84" s="8" t="str">
        <x:v>Не установлено</x:v>
      </x:c>
      <x:c r="M84" s="8" t="str">
        <x:v>Новый ключ источника</x:v>
      </x:c>
      <x:c r="N84" s="8" t="str">
        <x:v>Не установлено</x:v>
      </x:c>
      <x:c r="O84" s="8"/>
      <x:c r="P84" s="8" t="str">
        <x:v>https://atlanty.ru/</x:v>
      </x:c>
      <x:c r="Q84" s="8" t="str">
        <x:v>turn1099search31; turn1103search0</x:v>
      </x:c>
    </x:row>
    <x:row r="85" ht="35.25" customHeight="1">
      <x:c r="A85" s="8" t="str">
        <x:v>V7-S16219a0993</x:v>
      </x:c>
      <x:c r="B85" s="8" t="str">
        <x:v>Бизнес-сообщество «Основатели» | Бизнес-клуб для предпринимателей</x:v>
      </x:c>
      <x:c r="C85" s="8" t="str">
        <x:v>Бизнес-клубы и сети</x:v>
      </x:c>
      <x:c r="D85" s="8" t="str">
        <x:v>Найден профессиональный/образовательный контекст. Покупательские запросы и возможность сбора еще не проверены.</x:v>
      </x:c>
      <x:c r="E85" s="8" t="str">
        <x:v>Не установлена</x:v>
      </x:c>
      <x:c r="F85" s="8" t="str">
        <x:v>Сайт</x:v>
      </x:c>
      <x:c r="G85" s="8" t="str">
        <x:v>unverified_candidate</x:v>
      </x:c>
      <x:c r="H85" s="8" t="str">
        <x:v>Не проверен</x:v>
      </x:c>
      <x:c r="I85" s="8" t="str">
        <x:v>Не установлено</x:v>
      </x:c>
      <x:c r="J85" s="8" t="str">
        <x:v>Только контекст поиска</x:v>
      </x:c>
      <x:c r="K85" s="8" t="str">
        <x:v>Не установлено</x:v>
      </x:c>
      <x:c r="L85" s="8" t="str">
        <x:v>Не установлено</x:v>
      </x:c>
      <x:c r="M85" s="8" t="str">
        <x:v>Новый ключ источника</x:v>
      </x:c>
      <x:c r="N85" s="8" t="str">
        <x:v>Не установлено</x:v>
      </x:c>
      <x:c r="O85" s="8"/>
      <x:c r="P85" s="8" t="str">
        <x:v>https://osnovateli.org/</x:v>
      </x:c>
      <x:c r="Q85" s="8" t="str">
        <x:v>turn1099search32; turn1101search18</x:v>
      </x:c>
    </x:row>
    <x:row r="86" ht="35.25" customHeight="1">
      <x:c r="A86" s="8" t="str">
        <x:v>V7-Se02dcdcdaf</x:v>
      </x:c>
      <x:c r="B86" s="8" t="str">
        <x:v>Бизнес-клубы Казахстана 2026: сообщества предпринимателей</x:v>
      </x:c>
      <x:c r="C86" s="8" t="str">
        <x:v>Бизнес-клубы и сети</x:v>
      </x:c>
      <x:c r="D86" s="8" t="str">
        <x:v>Найден профессиональный/образовательный контекст. Покупательские запросы и возможность сбора еще не проверены.</x:v>
      </x:c>
      <x:c r="E86" s="8" t="str">
        <x:v>KZ</x:v>
      </x:c>
      <x:c r="F86" s="8" t="str">
        <x:v>Сайт</x:v>
      </x:c>
      <x:c r="G86" s="8" t="str">
        <x:v>unverified_candidate</x:v>
      </x:c>
      <x:c r="H86" s="8" t="str">
        <x:v>Не проверен</x:v>
      </x:c>
      <x:c r="I86" s="8" t="str">
        <x:v>Не установлено</x:v>
      </x:c>
      <x:c r="J86" s="8" t="str">
        <x:v>Только контекст поиска</x:v>
      </x:c>
      <x:c r="K86" s="8" t="str">
        <x:v>Не установлено</x:v>
      </x:c>
      <x:c r="L86" s="8" t="str">
        <x:v>Не установлено</x:v>
      </x:c>
      <x:c r="M86" s="8" t="str">
        <x:v>Новый ключ источника</x:v>
      </x:c>
      <x:c r="N86" s="8" t="str">
        <x:v>Не установлено</x:v>
      </x:c>
      <x:c r="O86" s="8"/>
      <x:c r="P86" s="8" t="str">
        <x:v>https://1club.kz/blog/soobshchestva-kazahstana/</x:v>
      </x:c>
      <x:c r="Q86" s="8" t="str">
        <x:v>turn1099search1</x:v>
      </x:c>
    </x:row>
    <x:row r="87" ht="35.25" customHeight="1">
      <x:c r="A87" s="8" t="str">
        <x:v>V7-S8b26d4bda0</x:v>
      </x:c>
      <x:c r="B87" s="8" t="str">
        <x:v>ФОРУМ - ГРУППА ДЛЯ СОБСТВЕННИКОВ БИЗНЕСА — 16 сен, Москва | АСУТ Лаб</x:v>
      </x:c>
      <x:c r="C87" s="8" t="str">
        <x:v>Бизнес-клубы и сети</x:v>
      </x:c>
      <x:c r="D87" s="8" t="str">
        <x:v>Найден профессиональный/образовательный контекст. Покупательские запросы и возможность сбора еще не проверены.</x:v>
      </x:c>
      <x:c r="E87" s="8" t="str">
        <x:v>Не установлена</x:v>
      </x:c>
      <x:c r="F87" s="8" t="str">
        <x:v>Сайт</x:v>
      </x:c>
      <x:c r="G87" s="8" t="str">
        <x:v>unverified_candidate</x:v>
      </x:c>
      <x:c r="H87" s="8" t="str">
        <x:v>Не проверен</x:v>
      </x:c>
      <x:c r="I87" s="8" t="str">
        <x:v>Не установлено</x:v>
      </x:c>
      <x:c r="J87" s="8" t="str">
        <x:v>Только контекст поиска</x:v>
      </x:c>
      <x:c r="K87" s="8" t="str">
        <x:v>Не установлено</x:v>
      </x:c>
      <x:c r="L87" s="8" t="str">
        <x:v>Не установлено</x:v>
      </x:c>
      <x:c r="M87" s="8" t="str">
        <x:v>Новый ключ источника</x:v>
      </x:c>
      <x:c r="N87" s="8" t="str">
        <x:v>Не установлено</x:v>
      </x:c>
      <x:c r="O87" s="8"/>
      <x:c r="P87" s="8" t="str">
        <x:v>https://asutlab.com/events/2026-09-16-forum-gruppa-dlya-sobstvennikov-biznesa.html</x:v>
      </x:c>
      <x:c r="Q87" s="8" t="str">
        <x:v>turn1099search20</x:v>
      </x:c>
    </x:row>
    <x:row r="88" ht="47.25" customHeight="1">
      <x:c r="A88" s="8" t="str">
        <x:v>V7-S227ff48191</x:v>
      </x:c>
      <x:c r="B88" s="8" t="str">
        <x:v>Бизнес-клуб Атмосфера. Окружи себя предпринимателями, с которыми решаются личные и бизнес‑задачи</x:v>
      </x:c>
      <x:c r="C88" s="8" t="str">
        <x:v>Бизнес-клубы и сети</x:v>
      </x:c>
      <x:c r="D88" s="8" t="str">
        <x:v>Найден профессиональный/образовательный контекст. Покупательские запросы и возможность сбора еще не проверены.</x:v>
      </x:c>
      <x:c r="E88" s="8" t="str">
        <x:v>RU</x:v>
      </x:c>
      <x:c r="F88" s="8" t="str">
        <x:v>Сайт</x:v>
      </x:c>
      <x:c r="G88" s="8" t="str">
        <x:v>unverified_candidate</x:v>
      </x:c>
      <x:c r="H88" s="8" t="str">
        <x:v>Не проверен</x:v>
      </x:c>
      <x:c r="I88" s="8" t="str">
        <x:v>Не установлено</x:v>
      </x:c>
      <x:c r="J88" s="8" t="str">
        <x:v>Только контекст поиска</x:v>
      </x:c>
      <x:c r="K88" s="8" t="str">
        <x:v>Не установлено</x:v>
      </x:c>
      <x:c r="L88" s="8" t="str">
        <x:v>Не установлено</x:v>
      </x:c>
      <x:c r="M88" s="8" t="str">
        <x:v>Новый ключ источника</x:v>
      </x:c>
      <x:c r="N88" s="8" t="str">
        <x:v>Не установлено</x:v>
      </x:c>
      <x:c r="O88" s="8"/>
      <x:c r="P88" s="8" t="str">
        <x:v>https://atmosphere-biz.ru/</x:v>
      </x:c>
      <x:c r="Q88" s="8" t="str">
        <x:v>turn1099search26</x:v>
      </x:c>
    </x:row>
    <x:row r="89" ht="35.25" customHeight="1">
      <x:c r="A89" s="8" t="str">
        <x:v>V7-S4dff7119b0</x:v>
      </x:c>
      <x:c r="B89" s="8" t="str">
        <x:v>«B2B community» бизнес-клуб</x:v>
      </x:c>
      <x:c r="C89" s="8" t="str">
        <x:v>Бизнес-клубы и сети</x:v>
      </x:c>
      <x:c r="D89" s="8" t="str">
        <x:v>Найден профессиональный/образовательный контекст. Покупательские запросы и возможность сбора еще не проверены.</x:v>
      </x:c>
      <x:c r="E89" s="8" t="str">
        <x:v>RU</x:v>
      </x:c>
      <x:c r="F89" s="8" t="str">
        <x:v>Сайт</x:v>
      </x:c>
      <x:c r="G89" s="8" t="str">
        <x:v>unverified_candidate</x:v>
      </x:c>
      <x:c r="H89" s="8" t="str">
        <x:v>Не проверен</x:v>
      </x:c>
      <x:c r="I89" s="8" t="str">
        <x:v>Не установлено</x:v>
      </x:c>
      <x:c r="J89" s="8" t="str">
        <x:v>Только контекст поиска</x:v>
      </x:c>
      <x:c r="K89" s="8" t="str">
        <x:v>Не установлено</x:v>
      </x:c>
      <x:c r="L89" s="8" t="str">
        <x:v>Не установлено</x:v>
      </x:c>
      <x:c r="M89" s="8" t="str">
        <x:v>Новый ключ источника</x:v>
      </x:c>
      <x:c r="N89" s="8" t="str">
        <x:v>Не установлено</x:v>
      </x:c>
      <x:c r="O89" s="8"/>
      <x:c r="P89" s="8" t="str">
        <x:v>https://b2b-community.ru/</x:v>
      </x:c>
      <x:c r="Q89" s="8" t="str">
        <x:v>turn1099search3</x:v>
      </x:c>
    </x:row>
    <x:row r="90" ht="35.25" customHeight="1">
      <x:c r="A90" s="8" t="str">
        <x:v>V7-S89e8056a8f</x:v>
      </x:c>
      <x:c r="B90" s="8" t="str">
        <x:v>Клуб предпринимателей Деловар</x:v>
      </x:c>
      <x:c r="C90" s="8" t="str">
        <x:v>Бизнес-клубы и сети</x:v>
      </x:c>
      <x:c r="D90" s="8" t="str">
        <x:v>Найден профессиональный/образовательный контекст. Покупательские запросы и возможность сбора еще не проверены.</x:v>
      </x:c>
      <x:c r="E90" s="8" t="str">
        <x:v>RU</x:v>
      </x:c>
      <x:c r="F90" s="8" t="str">
        <x:v>Сайт</x:v>
      </x:c>
      <x:c r="G90" s="8" t="str">
        <x:v>unverified_candidate</x:v>
      </x:c>
      <x:c r="H90" s="8" t="str">
        <x:v>Не проверен</x:v>
      </x:c>
      <x:c r="I90" s="8" t="str">
        <x:v>Не установлено</x:v>
      </x:c>
      <x:c r="J90" s="8" t="str">
        <x:v>Только контекст поиска</x:v>
      </x:c>
      <x:c r="K90" s="8" t="str">
        <x:v>Не установлено</x:v>
      </x:c>
      <x:c r="L90" s="8" t="str">
        <x:v>Не установлено</x:v>
      </x:c>
      <x:c r="M90" s="8" t="str">
        <x:v>Новый ключ источника</x:v>
      </x:c>
      <x:c r="N90" s="8" t="str">
        <x:v>Не установлено</x:v>
      </x:c>
      <x:c r="O90" s="8"/>
      <x:c r="P90" s="8" t="str">
        <x:v>https://delovar.ru/</x:v>
      </x:c>
      <x:c r="Q90" s="8" t="str">
        <x:v>turn1099search34; turn1101search24; turn1101search32</x:v>
      </x:c>
    </x:row>
    <x:row r="91" ht="35.25" customHeight="1">
      <x:c r="A91" s="8" t="str">
        <x:v>V7-Sc099fbb697</x:v>
      </x:c>
      <x:c r="B91" s="8" t="str">
        <x:v>Клуб предпринимателей Деловар. Смоленск</x:v>
      </x:c>
      <x:c r="C91" s="8" t="str">
        <x:v>Бизнес-клубы и сети</x:v>
      </x:c>
      <x:c r="D91" s="8" t="str">
        <x:v>Найден профессиональный/образовательный контекст. Покупательские запросы и возможность сбора еще не проверены.</x:v>
      </x:c>
      <x:c r="E91" s="8" t="str">
        <x:v>RU</x:v>
      </x:c>
      <x:c r="F91" s="8" t="str">
        <x:v>Сайт</x:v>
      </x:c>
      <x:c r="G91" s="8" t="str">
        <x:v>unverified_candidate</x:v>
      </x:c>
      <x:c r="H91" s="8" t="str">
        <x:v>Не проверен</x:v>
      </x:c>
      <x:c r="I91" s="8" t="str">
        <x:v>Не установлено</x:v>
      </x:c>
      <x:c r="J91" s="8" t="str">
        <x:v>Только контекст поиска</x:v>
      </x:c>
      <x:c r="K91" s="8" t="str">
        <x:v>Не установлено</x:v>
      </x:c>
      <x:c r="L91" s="8" t="str">
        <x:v>Не установлено</x:v>
      </x:c>
      <x:c r="M91" s="8" t="str">
        <x:v>Новый ключ источника</x:v>
      </x:c>
      <x:c r="N91" s="8" t="str">
        <x:v>Не установлено</x:v>
      </x:c>
      <x:c r="O91" s="8"/>
      <x:c r="P91" s="8" t="str">
        <x:v>https://delovarsml.ru/</x:v>
      </x:c>
      <x:c r="Q91" s="8" t="str">
        <x:v>turn1101search31</x:v>
      </x:c>
    </x:row>
    <x:row r="92" ht="47.25" customHeight="1">
      <x:c r="A92" s="8" t="str">
        <x:v>V7-Seaa45a6e04</x:v>
      </x:c>
      <x:c r="B92" s="8" t="str">
        <x:v>Бизнес клуб в Москве, сообщество предпринимателей для успешного ведения своего бизнеса, мастермайнд группы|Клуб равных</x:v>
      </x:c>
      <x:c r="C92" s="8" t="str">
        <x:v>Бизнес-клубы и сети</x:v>
      </x:c>
      <x:c r="D92" s="8" t="str">
        <x:v>Найден профессиональный/образовательный контекст. Покупательские запросы и возможность сбора еще не проверены.</x:v>
      </x:c>
      <x:c r="E92" s="8" t="str">
        <x:v>RU</x:v>
      </x:c>
      <x:c r="F92" s="8" t="str">
        <x:v>Сайт</x:v>
      </x:c>
      <x:c r="G92" s="8" t="str">
        <x:v>unverified_candidate</x:v>
      </x:c>
      <x:c r="H92" s="8" t="str">
        <x:v>Не проверен</x:v>
      </x:c>
      <x:c r="I92" s="8" t="str">
        <x:v>Не установлено</x:v>
      </x:c>
      <x:c r="J92" s="8" t="str">
        <x:v>Только контекст поиска</x:v>
      </x:c>
      <x:c r="K92" s="8" t="str">
        <x:v>Не установлено</x:v>
      </x:c>
      <x:c r="L92" s="8" t="str">
        <x:v>Не установлено</x:v>
      </x:c>
      <x:c r="M92" s="8" t="str">
        <x:v>Новый ключ источника</x:v>
      </x:c>
      <x:c r="N92" s="8" t="str">
        <x:v>Не установлено</x:v>
      </x:c>
      <x:c r="O92" s="8"/>
      <x:c r="P92" s="8" t="str">
        <x:v>https://equal-club.ru/</x:v>
      </x:c>
      <x:c r="Q92" s="8" t="str">
        <x:v>turn1099search22</x:v>
      </x:c>
    </x:row>
    <x:row r="93" ht="35.25" customHeight="1">
      <x:c r="A93" s="8" t="str">
        <x:v>V7-Sfd6127b918</x:v>
      </x:c>
      <x:c r="B93" s="8" t="str">
        <x:v>ЭВОЛЮТ — бизнес сообщество и клуб предпринимателей от 200 млн ₽</x:v>
      </x:c>
      <x:c r="C93" s="8" t="str">
        <x:v>Бизнес-клубы и сети</x:v>
      </x:c>
      <x:c r="D93" s="8" t="str">
        <x:v>Найден профессиональный/образовательный контекст. Покупательские запросы и возможность сбора еще не проверены.</x:v>
      </x:c>
      <x:c r="E93" s="8" t="str">
        <x:v>Не установлена</x:v>
      </x:c>
      <x:c r="F93" s="8" t="str">
        <x:v>Сайт</x:v>
      </x:c>
      <x:c r="G93" s="8" t="str">
        <x:v>unverified_candidate</x:v>
      </x:c>
      <x:c r="H93" s="8" t="str">
        <x:v>Не проверен</x:v>
      </x:c>
      <x:c r="I93" s="8" t="str">
        <x:v>Не установлено</x:v>
      </x:c>
      <x:c r="J93" s="8" t="str">
        <x:v>Только контекст поиска</x:v>
      </x:c>
      <x:c r="K93" s="8" t="str">
        <x:v>Не установлено</x:v>
      </x:c>
      <x:c r="L93" s="8" t="str">
        <x:v>Не установлено</x:v>
      </x:c>
      <x:c r="M93" s="8" t="str">
        <x:v>Новый ключ источника</x:v>
      </x:c>
      <x:c r="N93" s="8" t="str">
        <x:v>Не установлено</x:v>
      </x:c>
      <x:c r="O93" s="8"/>
      <x:c r="P93" s="8" t="str">
        <x:v>https://evolutclub.com/</x:v>
      </x:c>
      <x:c r="Q93" s="8" t="str">
        <x:v>turn1099search14</x:v>
      </x:c>
    </x:row>
    <x:row r="94" ht="35.25" customHeight="1">
      <x:c r="A94" s="8" t="str">
        <x:v>V7-S7dc8744e09</x:v>
      </x:c>
      <x:c r="B94" s="8" t="str">
        <x:v>Упаковка бизнеса во франшизу под ключ — Franch Royalty Group</x:v>
      </x:c>
      <x:c r="C94" s="8" t="str">
        <x:v>Бизнес-клубы и сети</x:v>
      </x:c>
      <x:c r="D94" s="8" t="str">
        <x:v>Найден профессиональный/образовательный контекст. Покупательские запросы и возможность сбора еще не проверены.</x:v>
      </x:c>
      <x:c r="E94" s="8" t="str">
        <x:v>RU</x:v>
      </x:c>
      <x:c r="F94" s="8" t="str">
        <x:v>Сайт</x:v>
      </x:c>
      <x:c r="G94" s="8" t="str">
        <x:v>unverified_candidate</x:v>
      </x:c>
      <x:c r="H94" s="8" t="str">
        <x:v>Не проверен</x:v>
      </x:c>
      <x:c r="I94" s="8" t="str">
        <x:v>Не установлено</x:v>
      </x:c>
      <x:c r="J94" s="8" t="str">
        <x:v>Только контекст поиска</x:v>
      </x:c>
      <x:c r="K94" s="8" t="str">
        <x:v>Не установлено</x:v>
      </x:c>
      <x:c r="L94" s="8" t="str">
        <x:v>Не установлено</x:v>
      </x:c>
      <x:c r="M94" s="8" t="str">
        <x:v>Новый ключ источника</x:v>
      </x:c>
      <x:c r="N94" s="8" t="str">
        <x:v>Не установлено</x:v>
      </x:c>
      <x:c r="O94" s="8"/>
      <x:c r="P94" s="8" t="str">
        <x:v>https://franch-royalty-group.ru/</x:v>
      </x:c>
      <x:c r="Q94" s="8" t="str">
        <x:v>turn1101search20</x:v>
      </x:c>
    </x:row>
    <x:row r="95" ht="35.25" customHeight="1">
      <x:c r="A95" s="8" t="str">
        <x:v>V7-Sbe4b5964c6</x:v>
      </x:c>
      <x:c r="B95" s="8" t="str">
        <x:v>Mentor Club. Среда — сообщество предпринимателей — Клуб менторов</x:v>
      </x:c>
      <x:c r="C95" s="8" t="str">
        <x:v>Бизнес-клубы и сети</x:v>
      </x:c>
      <x:c r="D95" s="8" t="str">
        <x:v>Найден профессиональный/образовательный контекст. Покупательские запросы и возможность сбора еще не проверены.</x:v>
      </x:c>
      <x:c r="E95" s="8" t="str">
        <x:v>RU</x:v>
      </x:c>
      <x:c r="F95" s="8" t="str">
        <x:v>Сайт</x:v>
      </x:c>
      <x:c r="G95" s="8" t="str">
        <x:v>unverified_candidate</x:v>
      </x:c>
      <x:c r="H95" s="8" t="str">
        <x:v>Не проверен</x:v>
      </x:c>
      <x:c r="I95" s="8" t="str">
        <x:v>Не установлено</x:v>
      </x:c>
      <x:c r="J95" s="8" t="str">
        <x:v>Только контекст поиска</x:v>
      </x:c>
      <x:c r="K95" s="8" t="str">
        <x:v>Не установлено</x:v>
      </x:c>
      <x:c r="L95" s="8" t="str">
        <x:v>Не установлено</x:v>
      </x:c>
      <x:c r="M95" s="8" t="str">
        <x:v>Новый ключ источника</x:v>
      </x:c>
      <x:c r="N95" s="8" t="str">
        <x:v>Не установлено</x:v>
      </x:c>
      <x:c r="O95" s="8"/>
      <x:c r="P95" s="8" t="str">
        <x:v>https://mentorclub.ru/sreda/</x:v>
      </x:c>
      <x:c r="Q95" s="8" t="str">
        <x:v>turn1099search4</x:v>
      </x:c>
    </x:row>
    <x:row r="96" ht="35.25" customHeight="1">
      <x:c r="A96" s="8" t="str">
        <x:v>V7-S1ed6f667e6</x:v>
      </x:c>
      <x:c r="B96" s="8" t="str">
        <x:v>Бизнес-клуб МОСТ в Ростове-на-Дону и онлайн — клуб собственников</x:v>
      </x:c>
      <x:c r="C96" s="8" t="str">
        <x:v>Бизнес-клубы и сети</x:v>
      </x:c>
      <x:c r="D96" s="8" t="str">
        <x:v>Найден профессиональный/образовательный контекст. Покупательские запросы и возможность сбора еще не проверены.</x:v>
      </x:c>
      <x:c r="E96" s="8" t="str">
        <x:v>RU</x:v>
      </x:c>
      <x:c r="F96" s="8" t="str">
        <x:v>Сайт</x:v>
      </x:c>
      <x:c r="G96" s="8" t="str">
        <x:v>unverified_candidate</x:v>
      </x:c>
      <x:c r="H96" s="8" t="str">
        <x:v>Не проверен</x:v>
      </x:c>
      <x:c r="I96" s="8" t="str">
        <x:v>Не установлено</x:v>
      </x:c>
      <x:c r="J96" s="8" t="str">
        <x:v>Только контекст поиска</x:v>
      </x:c>
      <x:c r="K96" s="8" t="str">
        <x:v>Не установлено</x:v>
      </x:c>
      <x:c r="L96" s="8" t="str">
        <x:v>Не установлено</x:v>
      </x:c>
      <x:c r="M96" s="8" t="str">
        <x:v>Новый ключ источника</x:v>
      </x:c>
      <x:c r="N96" s="8" t="str">
        <x:v>Не установлено</x:v>
      </x:c>
      <x:c r="O96" s="8"/>
      <x:c r="P96" s="8" t="str">
        <x:v>https://mostbiz.ru/</x:v>
      </x:c>
      <x:c r="Q96" s="8" t="str">
        <x:v>turn1099search27</x:v>
      </x:c>
    </x:row>
    <x:row r="97" ht="35.25" customHeight="1">
      <x:c r="A97" s="8" t="str">
        <x:v>V7-S3ca664c605</x:v>
      </x:c>
      <x:c r="B97" s="8" t="str">
        <x:v>Слет предпринимателей в Нидерландах</x:v>
      </x:c>
      <x:c r="C97" s="8" t="str">
        <x:v>Бизнес-клубы и сети</x:v>
      </x:c>
      <x:c r="D97" s="8" t="str">
        <x:v>Найден профессиональный/образовательный контекст. Покупательские запросы и возможность сбора еще не проверены.</x:v>
      </x:c>
      <x:c r="E97" s="8" t="str">
        <x:v>Не установлена</x:v>
      </x:c>
      <x:c r="F97" s="8" t="str">
        <x:v>Сайт</x:v>
      </x:c>
      <x:c r="G97" s="8" t="str">
        <x:v>unverified_candidate</x:v>
      </x:c>
      <x:c r="H97" s="8" t="str">
        <x:v>Не проверен</x:v>
      </x:c>
      <x:c r="I97" s="8" t="str">
        <x:v>Не установлено</x:v>
      </x:c>
      <x:c r="J97" s="8" t="str">
        <x:v>Только контекст поиска</x:v>
      </x:c>
      <x:c r="K97" s="8" t="str">
        <x:v>Не установлено</x:v>
      </x:c>
      <x:c r="L97" s="8" t="str">
        <x:v>Не установлено</x:v>
      </x:c>
      <x:c r="M97" s="8" t="str">
        <x:v>Новый ключ источника</x:v>
      </x:c>
      <x:c r="N97" s="8" t="str">
        <x:v>Не установлено</x:v>
      </x:c>
      <x:c r="O97" s="8"/>
      <x:c r="P97" s="8" t="str">
        <x:v>https://netherlands.mbcua.com/zlitr</x:v>
      </x:c>
      <x:c r="Q97" s="8" t="str">
        <x:v>turn1099search8</x:v>
      </x:c>
    </x:row>
    <x:row r="98" ht="35.25" customHeight="1">
      <x:c r="A98" s="8" t="str">
        <x:v>V7-S75ffc1f195</x:v>
      </x:c>
      <x:c r="B98" s="8" t="str">
        <x:v>Бизнес</x:v>
      </x:c>
      <x:c r="C98" s="8" t="str">
        <x:v>Бизнес-клубы и сети</x:v>
      </x:c>
      <x:c r="D98" s="8" t="str">
        <x:v>Найден профессиональный/образовательный контекст. Покупательские запросы и возможность сбора еще не проверены.</x:v>
      </x:c>
      <x:c r="E98" s="8" t="str">
        <x:v>RU</x:v>
      </x:c>
      <x:c r="F98" s="8" t="str">
        <x:v>Сайт</x:v>
      </x:c>
      <x:c r="G98" s="8" t="str">
        <x:v>unverified_candidate</x:v>
      </x:c>
      <x:c r="H98" s="8" t="str">
        <x:v>Не проверен</x:v>
      </x:c>
      <x:c r="I98" s="8" t="str">
        <x:v>Не установлено</x:v>
      </x:c>
      <x:c r="J98" s="8" t="str">
        <x:v>Только контекст поиска</x:v>
      </x:c>
      <x:c r="K98" s="8" t="str">
        <x:v>Не установлено</x:v>
      </x:c>
      <x:c r="L98" s="8" t="str">
        <x:v>Не установлено</x:v>
      </x:c>
      <x:c r="M98" s="8" t="str">
        <x:v>Новый ключ источника</x:v>
      </x:c>
      <x:c r="N98" s="8" t="str">
        <x:v>Не установлено</x:v>
      </x:c>
      <x:c r="O98" s="8"/>
      <x:c r="P98" s="8" t="str">
        <x:v>https://nn-young.ru/biznes</x:v>
      </x:c>
      <x:c r="Q98" s="8" t="str">
        <x:v>turn1101search12</x:v>
      </x:c>
    </x:row>
    <x:row r="99" ht="35.25" customHeight="1">
      <x:c r="A99" s="8" t="str">
        <x:v>V7-S0b63e0ce00</x:v>
      </x:c>
      <x:c r="B99" s="8" t="str">
        <x:v>Бизнес-клуб для предпринимателей "Однаволна" | Бизнес-сообщество в Москве</x:v>
      </x:c>
      <x:c r="C99" s="8" t="str">
        <x:v>Бизнес-клубы и сети</x:v>
      </x:c>
      <x:c r="D99" s="8" t="str">
        <x:v>Найден профессиональный/образовательный контекст. Покупательские запросы и возможность сбора еще не проверены.</x:v>
      </x:c>
      <x:c r="E99" s="8" t="str">
        <x:v>RU</x:v>
      </x:c>
      <x:c r="F99" s="8" t="str">
        <x:v>Сайт</x:v>
      </x:c>
      <x:c r="G99" s="8" t="str">
        <x:v>unverified_candidate</x:v>
      </x:c>
      <x:c r="H99" s="8" t="str">
        <x:v>Не проверен</x:v>
      </x:c>
      <x:c r="I99" s="8" t="str">
        <x:v>Не установлено</x:v>
      </x:c>
      <x:c r="J99" s="8" t="str">
        <x:v>Только контекст поиска</x:v>
      </x:c>
      <x:c r="K99" s="8" t="str">
        <x:v>Не установлено</x:v>
      </x:c>
      <x:c r="L99" s="8" t="str">
        <x:v>Не установлено</x:v>
      </x:c>
      <x:c r="M99" s="8" t="str">
        <x:v>Новый ключ источника</x:v>
      </x:c>
      <x:c r="N99" s="8" t="str">
        <x:v>Не установлено</x:v>
      </x:c>
      <x:c r="O99" s="8"/>
      <x:c r="P99" s="8" t="str">
        <x:v>https://podolsk.odna-volna.ru/</x:v>
      </x:c>
      <x:c r="Q99" s="8" t="str">
        <x:v>turn1101search28</x:v>
      </x:c>
    </x:row>
    <x:row r="100" ht="35.25" customHeight="1">
      <x:c r="A100" s="8" t="str">
        <x:v>V7-S76ad158468</x:v>
      </x:c>
      <x:c r="B100" s="8" t="str">
        <x:v>Профессиональный Союз Участников рынка франчайзинга</x:v>
      </x:c>
      <x:c r="C100" s="8" t="str">
        <x:v>Бизнес-клубы и сети</x:v>
      </x:c>
      <x:c r="D100" s="8" t="str">
        <x:v>Найден профессиональный/образовательный контекст. Покупательские запросы и возможность сбора еще не проверены.</x:v>
      </x:c>
      <x:c r="E100" s="8" t="str">
        <x:v>RU</x:v>
      </x:c>
      <x:c r="F100" s="8" t="str">
        <x:v>Сайт</x:v>
      </x:c>
      <x:c r="G100" s="8" t="str">
        <x:v>unverified_candidate</x:v>
      </x:c>
      <x:c r="H100" s="8" t="str">
        <x:v>Не проверен</x:v>
      </x:c>
      <x:c r="I100" s="8" t="str">
        <x:v>Не установлено</x:v>
      </x:c>
      <x:c r="J100" s="8" t="str">
        <x:v>Только контекст поиска</x:v>
      </x:c>
      <x:c r="K100" s="8" t="str">
        <x:v>Не установлено</x:v>
      </x:c>
      <x:c r="L100" s="8" t="str">
        <x:v>Не установлено</x:v>
      </x:c>
      <x:c r="M100" s="8" t="str">
        <x:v>Новый ключ источника</x:v>
      </x:c>
      <x:c r="N100" s="8" t="str">
        <x:v>Не установлено</x:v>
      </x:c>
      <x:c r="O100" s="8"/>
      <x:c r="P100" s="8" t="str">
        <x:v>https://psfrus.ru/</x:v>
      </x:c>
      <x:c r="Q100" s="8" t="str">
        <x:v>turn1101search9</x:v>
      </x:c>
    </x:row>
    <x:row r="101" ht="35.25" customHeight="1">
      <x:c r="A101" s="8" t="str">
        <x:v>V7-Sc8e71c29fa</x:v>
      </x:c>
      <x:c r="B101" s="8" t="str">
        <x:v>Copy of Бизнес-клуб Reforma. Сообщество предпринимателей и управленцев</x:v>
      </x:c>
      <x:c r="C101" s="8" t="str">
        <x:v>Бизнес-клубы и сети</x:v>
      </x:c>
      <x:c r="D101" s="8" t="str">
        <x:v>Найден профессиональный/образовательный контекст. Покупательские запросы и возможность сбора еще не проверены.</x:v>
      </x:c>
      <x:c r="E101" s="8" t="str">
        <x:v>Не установлена</x:v>
      </x:c>
      <x:c r="F101" s="8" t="str">
        <x:v>Сайт</x:v>
      </x:c>
      <x:c r="G101" s="8" t="str">
        <x:v>unverified_candidate</x:v>
      </x:c>
      <x:c r="H101" s="8" t="str">
        <x:v>Не проверен</x:v>
      </x:c>
      <x:c r="I101" s="8" t="str">
        <x:v>Не установлено</x:v>
      </x:c>
      <x:c r="J101" s="8" t="str">
        <x:v>Только контекст поиска</x:v>
      </x:c>
      <x:c r="K101" s="8" t="str">
        <x:v>Не установлено</x:v>
      </x:c>
      <x:c r="L101" s="8" t="str">
        <x:v>Не установлено</x:v>
      </x:c>
      <x:c r="M101" s="8" t="str">
        <x:v>Новый ключ источника</x:v>
      </x:c>
      <x:c r="N101" s="8" t="str">
        <x:v>Не установлено</x:v>
      </x:c>
      <x:c r="O101" s="8"/>
      <x:c r="P101" s="8" t="str">
        <x:v>https://reforma.business/tryit</x:v>
      </x:c>
      <x:c r="Q101" s="8" t="str">
        <x:v>turn1101search27</x:v>
      </x:c>
    </x:row>
    <x:row r="102" ht="35.25" customHeight="1">
      <x:c r="A102" s="8" t="str">
        <x:v>V7-S880c634507</x:v>
      </x:c>
      <x:c r="B102" s="8" t="str">
        <x:v>Международный клуб рестораторов — сообщество владельцев horeca-бизнеса | RestaurantWeek</x:v>
      </x:c>
      <x:c r="C102" s="8" t="str">
        <x:v>Бизнес-клубы и сети</x:v>
      </x:c>
      <x:c r="D102" s="8" t="str">
        <x:v>Найден профессиональный/образовательный контекст. Покупательские запросы и возможность сбора еще не проверены.</x:v>
      </x:c>
      <x:c r="E102" s="8" t="str">
        <x:v>RU</x:v>
      </x:c>
      <x:c r="F102" s="8" t="str">
        <x:v>Сайт</x:v>
      </x:c>
      <x:c r="G102" s="8" t="str">
        <x:v>unverified_candidate</x:v>
      </x:c>
      <x:c r="H102" s="8" t="str">
        <x:v>Не проверен</x:v>
      </x:c>
      <x:c r="I102" s="8" t="str">
        <x:v>Не установлено</x:v>
      </x:c>
      <x:c r="J102" s="8" t="str">
        <x:v>Только контекст поиска</x:v>
      </x:c>
      <x:c r="K102" s="8" t="str">
        <x:v>Не установлено</x:v>
      </x:c>
      <x:c r="L102" s="8" t="str">
        <x:v>Не установлено</x:v>
      </x:c>
      <x:c r="M102" s="8" t="str">
        <x:v>Новый ключ источника</x:v>
      </x:c>
      <x:c r="N102" s="8" t="str">
        <x:v>Не установлено</x:v>
      </x:c>
      <x:c r="O102" s="8"/>
      <x:c r="P102" s="8" t="str">
        <x:v>https://restaurantweek.ru/club</x:v>
      </x:c>
      <x:c r="Q102" s="8" t="str">
        <x:v>turn1099search19</x:v>
      </x:c>
    </x:row>
    <x:row r="103" ht="35.25" customHeight="1">
      <x:c r="A103" s="8" t="str">
        <x:v>V7-S8b640021a1</x:v>
      </x:c>
      <x:c r="B103" s="8" t="str">
        <x:v>Клуб ПИПЛ — бизнес-сообщество предпринимателей и экспертов</x:v>
      </x:c>
      <x:c r="C103" s="8" t="str">
        <x:v>Бизнес-клубы и сети</x:v>
      </x:c>
      <x:c r="D103" s="8" t="str">
        <x:v>Найден профессиональный/образовательный контекст. Покупательские запросы и возможность сбора еще не проверены.</x:v>
      </x:c>
      <x:c r="E103" s="8" t="str">
        <x:v>RU</x:v>
      </x:c>
      <x:c r="F103" s="8" t="str">
        <x:v>Сайт</x:v>
      </x:c>
      <x:c r="G103" s="8" t="str">
        <x:v>unverified_candidate</x:v>
      </x:c>
      <x:c r="H103" s="8" t="str">
        <x:v>Не проверен</x:v>
      </x:c>
      <x:c r="I103" s="8" t="str">
        <x:v>Не установлено</x:v>
      </x:c>
      <x:c r="J103" s="8" t="str">
        <x:v>Только контекст поиска</x:v>
      </x:c>
      <x:c r="K103" s="8" t="str">
        <x:v>Не установлено</x:v>
      </x:c>
      <x:c r="L103" s="8" t="str">
        <x:v>Не установлено</x:v>
      </x:c>
      <x:c r="M103" s="8" t="str">
        <x:v>Новый ключ источника</x:v>
      </x:c>
      <x:c r="N103" s="8" t="str">
        <x:v>Не установлено</x:v>
      </x:c>
      <x:c r="O103" s="8"/>
      <x:c r="P103" s="8" t="str">
        <x:v>https://spbpeople.ru/</x:v>
      </x:c>
      <x:c r="Q103" s="8" t="str">
        <x:v>turn1099search21</x:v>
      </x:c>
    </x:row>
    <x:row r="104" ht="35.25" customHeight="1">
      <x:c r="A104" s="8" t="str">
        <x:v>V7-S1fbfe60a5f</x:v>
      </x:c>
      <x:c r="B104" s="8" t="str">
        <x:v>Бизнес-клуб TERRA Sochi - бесплатное обучение и наставничество предпренимателей в Сочи</x:v>
      </x:c>
      <x:c r="C104" s="8" t="str">
        <x:v>Бизнес-клубы и сети</x:v>
      </x:c>
      <x:c r="D104" s="8" t="str">
        <x:v>Найден профессиональный/образовательный контекст. Покупательские запросы и возможность сбора еще не проверены.</x:v>
      </x:c>
      <x:c r="E104" s="8" t="str">
        <x:v>RU</x:v>
      </x:c>
      <x:c r="F104" s="8" t="str">
        <x:v>Сайт</x:v>
      </x:c>
      <x:c r="G104" s="8" t="str">
        <x:v>unverified_candidate</x:v>
      </x:c>
      <x:c r="H104" s="8" t="str">
        <x:v>Не проверен</x:v>
      </x:c>
      <x:c r="I104" s="8" t="str">
        <x:v>Не установлено</x:v>
      </x:c>
      <x:c r="J104" s="8" t="str">
        <x:v>Только контекст поиска</x:v>
      </x:c>
      <x:c r="K104" s="8" t="str">
        <x:v>Не установлено</x:v>
      </x:c>
      <x:c r="L104" s="8" t="str">
        <x:v>Не установлено</x:v>
      </x:c>
      <x:c r="M104" s="8" t="str">
        <x:v>Новый ключ источника</x:v>
      </x:c>
      <x:c r="N104" s="8" t="str">
        <x:v>Не установлено</x:v>
      </x:c>
      <x:c r="O104" s="8"/>
      <x:c r="P104" s="8" t="str">
        <x:v>https://terra-sochi.ru/</x:v>
      </x:c>
      <x:c r="Q104" s="8" t="str">
        <x:v>turn1101search17</x:v>
      </x:c>
    </x:row>
    <x:row r="105" ht="35.25" customHeight="1">
      <x:c r="A105" s="8" t="str">
        <x:v>V7-S5c96bb0c88</x:v>
      </x:c>
      <x:c r="B105" s="8" t="str">
        <x:v>Coca-Cola Belesteri – поддержка предпринимательства в Казахстане</x:v>
      </x:c>
      <x:c r="C105" s="8" t="str">
        <x:v>Бизнес-клубы и сети</x:v>
      </x:c>
      <x:c r="D105" s="8" t="str">
        <x:v>Найден профессиональный/образовательный контекст. Покупательские запросы и возможность сбора еще не проверены.</x:v>
      </x:c>
      <x:c r="E105" s="8" t="str">
        <x:v>KZ</x:v>
      </x:c>
      <x:c r="F105" s="8" t="str">
        <x:v>Сайт</x:v>
      </x:c>
      <x:c r="G105" s="8" t="str">
        <x:v>unverified_candidate</x:v>
      </x:c>
      <x:c r="H105" s="8" t="str">
        <x:v>Не проверен</x:v>
      </x:c>
      <x:c r="I105" s="8" t="str">
        <x:v>Не установлено</x:v>
      </x:c>
      <x:c r="J105" s="8" t="str">
        <x:v>Только контекст поиска</x:v>
      </x:c>
      <x:c r="K105" s="8" t="str">
        <x:v>Не установлено</x:v>
      </x:c>
      <x:c r="L105" s="8" t="str">
        <x:v>Не установлено</x:v>
      </x:c>
      <x:c r="M105" s="8" t="str">
        <x:v>Новый ключ источника</x:v>
      </x:c>
      <x:c r="N105" s="8" t="str">
        <x:v>Не установлено</x:v>
      </x:c>
      <x:c r="O105" s="8"/>
      <x:c r="P105" s="8" t="str">
        <x:v>https://ccb.kz/</x:v>
      </x:c>
      <x:c r="Q105" s="8" t="str">
        <x:v>turn1099search0; turn1095search3</x:v>
      </x:c>
    </x:row>
    <x:row r="106" ht="35.25" customHeight="1">
      <x:c r="A106" s="8" t="str">
        <x:v>V7-Sccabaaf823</x:v>
      </x:c>
      <x:c r="B106" s="8" t="str">
        <x:v>Бизнес-клуб для предпринимателей в Москве — DOM Club</x:v>
      </x:c>
      <x:c r="C106" s="8" t="str">
        <x:v>Бизнес-клубы и сети</x:v>
      </x:c>
      <x:c r="D106" s="8" t="str">
        <x:v>Найден профессиональный/образовательный контекст. Покупательские запросы и возможность сбора еще не проверены.</x:v>
      </x:c>
      <x:c r="E106" s="8" t="str">
        <x:v>Не установлена</x:v>
      </x:c>
      <x:c r="F106" s="8" t="str">
        <x:v>Сайт</x:v>
      </x:c>
      <x:c r="G106" s="8" t="str">
        <x:v>unverified_candidate</x:v>
      </x:c>
      <x:c r="H106" s="8" t="str">
        <x:v>Не проверен</x:v>
      </x:c>
      <x:c r="I106" s="8" t="str">
        <x:v>Не установлено</x:v>
      </x:c>
      <x:c r="J106" s="8" t="str">
        <x:v>Только контекст поиска</x:v>
      </x:c>
      <x:c r="K106" s="8" t="str">
        <x:v>Не установлено</x:v>
      </x:c>
      <x:c r="L106" s="8" t="str">
        <x:v>Не установлено</x:v>
      </x:c>
      <x:c r="M106" s="8" t="str">
        <x:v>Новый ключ источника</x:v>
      </x:c>
      <x:c r="N106" s="8" t="str">
        <x:v>Не установлено</x:v>
      </x:c>
      <x:c r="O106" s="8"/>
      <x:c r="P106" s="8" t="str">
        <x:v>https://www.dom-club.com/</x:v>
      </x:c>
      <x:c r="Q106" s="8" t="str">
        <x:v>turn1099search30</x:v>
      </x:c>
    </x:row>
    <x:row r="107" ht="35.25" customHeight="1">
      <x:c r="A107" s="8" t="str">
        <x:v>V7-Sed01d45ce5</x:v>
      </x:c>
      <x:c r="B107" s="8" t="str">
        <x:v>Обучение франчайзи: как передать стандарты сети и проверить их — Блог Edumotion</x:v>
      </x:c>
      <x:c r="C107" s="8" t="str">
        <x:v>Бизнес-клубы и сети</x:v>
      </x:c>
      <x:c r="D107" s="8" t="str">
        <x:v>Найден профессиональный/образовательный контекст. Покупательские запросы и возможность сбора еще не проверены.</x:v>
      </x:c>
      <x:c r="E107" s="8" t="str">
        <x:v>RU</x:v>
      </x:c>
      <x:c r="F107" s="8" t="str">
        <x:v>Сайт</x:v>
      </x:c>
      <x:c r="G107" s="8" t="str">
        <x:v>unverified_candidate</x:v>
      </x:c>
      <x:c r="H107" s="8" t="str">
        <x:v>Не проверен</x:v>
      </x:c>
      <x:c r="I107" s="8" t="str">
        <x:v>Не установлено</x:v>
      </x:c>
      <x:c r="J107" s="8" t="str">
        <x:v>Только контекст поиска</x:v>
      </x:c>
      <x:c r="K107" s="8" t="str">
        <x:v>Не установлено</x:v>
      </x:c>
      <x:c r="L107" s="8" t="str">
        <x:v>Не установлено</x:v>
      </x:c>
      <x:c r="M107" s="8" t="str">
        <x:v>Новый ключ источника</x:v>
      </x:c>
      <x:c r="N107" s="8" t="str">
        <x:v>Не установлено</x:v>
      </x:c>
      <x:c r="O107" s="8"/>
      <x:c r="P107" s="8" t="str">
        <x:v>https://edumotion.ru/blog/obuchenie-franchayzi/</x:v>
      </x:c>
      <x:c r="Q107" s="8" t="str">
        <x:v>turn1101search14</x:v>
      </x:c>
    </x:row>
    <x:row r="108" ht="35.25" customHeight="1">
      <x:c r="A108" s="8" t="str">
        <x:v>V7-S7ac6b59ced</x:v>
      </x:c>
      <x:c r="B108" s="8" t="str">
        <x:v>Фабрика бизнеса - Деловой клуб</x:v>
      </x:c>
      <x:c r="C108" s="8" t="str">
        <x:v>Бизнес-клубы и сети</x:v>
      </x:c>
      <x:c r="D108" s="8" t="str">
        <x:v>Найден профессиональный/образовательный контекст. Покупательские запросы и возможность сбора еще не проверены.</x:v>
      </x:c>
      <x:c r="E108" s="8" t="str">
        <x:v>RU</x:v>
      </x:c>
      <x:c r="F108" s="8" t="str">
        <x:v>Сайт</x:v>
      </x:c>
      <x:c r="G108" s="8" t="str">
        <x:v>unverified_candidate</x:v>
      </x:c>
      <x:c r="H108" s="8" t="str">
        <x:v>Не проверен</x:v>
      </x:c>
      <x:c r="I108" s="8" t="str">
        <x:v>Не установлено</x:v>
      </x:c>
      <x:c r="J108" s="8" t="str">
        <x:v>Только контекст поиска</x:v>
      </x:c>
      <x:c r="K108" s="8" t="str">
        <x:v>Не установлено</x:v>
      </x:c>
      <x:c r="L108" s="8" t="str">
        <x:v>Не установлено</x:v>
      </x:c>
      <x:c r="M108" s="8" t="str">
        <x:v>Новый ключ источника</x:v>
      </x:c>
      <x:c r="N108" s="8" t="str">
        <x:v>Не установлено</x:v>
      </x:c>
      <x:c r="O108" s="8"/>
      <x:c r="P108" s="8" t="str">
        <x:v>https://fabiz.ru/</x:v>
      </x:c>
      <x:c r="Q108" s="8" t="str">
        <x:v>turn1099search28</x:v>
      </x:c>
    </x:row>
    <x:row r="109" ht="35.25" customHeight="1">
      <x:c r="A109" s="8" t="str">
        <x:v>V7-S68c0e462d3</x:v>
      </x:c>
      <x:c r="B109" s="8" t="str">
        <x:v>Центр развития предпринимательства и инноваций</x:v>
      </x:c>
      <x:c r="C109" s="8" t="str">
        <x:v>Бизнес-клубы и сети</x:v>
      </x:c>
      <x:c r="D109" s="8" t="str">
        <x:v>Найден профессиональный/образовательный контекст. Покупательские запросы и возможность сбора еще не проверены.</x:v>
      </x:c>
      <x:c r="E109" s="8" t="str">
        <x:v>KZ</x:v>
      </x:c>
      <x:c r="F109" s="8" t="str">
        <x:v>Сайт</x:v>
      </x:c>
      <x:c r="G109" s="8" t="str">
        <x:v>unverified_candidate</x:v>
      </x:c>
      <x:c r="H109" s="8" t="str">
        <x:v>Не проверен</x:v>
      </x:c>
      <x:c r="I109" s="8" t="str">
        <x:v>Не установлено</x:v>
      </x:c>
      <x:c r="J109" s="8" t="str">
        <x:v>Только контекст поиска</x:v>
      </x:c>
      <x:c r="K109" s="8" t="str">
        <x:v>Не установлено</x:v>
      </x:c>
      <x:c r="L109" s="8" t="str">
        <x:v>Не установлено</x:v>
      </x:c>
      <x:c r="M109" s="8" t="str">
        <x:v>Новый ключ источника</x:v>
      </x:c>
      <x:c r="N109" s="8" t="str">
        <x:v>Не установлено</x:v>
      </x:c>
      <x:c r="O109" s="8"/>
      <x:c r="P109" s="8" t="str">
        <x:v>https://ku.edu.kz/files/dep/dn/RP.pdf</x:v>
      </x:c>
      <x:c r="Q109" s="8" t="str">
        <x:v>turn1099search37; turn1154search16</x:v>
      </x:c>
    </x:row>
    <x:row r="110" ht="35.25" customHeight="1">
      <x:c r="A110" s="8" t="str">
        <x:v>V7-Sd4807dc433</x:v>
      </x:c>
      <x:c r="B110" s="8" t="str">
        <x:v>ShareAI — Закрытый бизнес-клуб предпринимателей</x:v>
      </x:c>
      <x:c r="C110" s="8" t="str">
        <x:v>Бизнес-клубы и сети</x:v>
      </x:c>
      <x:c r="D110" s="8" t="str">
        <x:v>Найден профессиональный/образовательный контекст. Покупательские запросы и возможность сбора еще не проверены.</x:v>
      </x:c>
      <x:c r="E110" s="8" t="str">
        <x:v>Не установлена</x:v>
      </x:c>
      <x:c r="F110" s="8" t="str">
        <x:v>Сайт</x:v>
      </x:c>
      <x:c r="G110" s="8" t="str">
        <x:v>unverified_candidate</x:v>
      </x:c>
      <x:c r="H110" s="8" t="str">
        <x:v>Не проверен</x:v>
      </x:c>
      <x:c r="I110" s="8" t="str">
        <x:v>Не установлено</x:v>
      </x:c>
      <x:c r="J110" s="8" t="str">
        <x:v>Только контекст поиска</x:v>
      </x:c>
      <x:c r="K110" s="8" t="str">
        <x:v>Не установлено</x:v>
      </x:c>
      <x:c r="L110" s="8" t="str">
        <x:v>Не установлено</x:v>
      </x:c>
      <x:c r="M110" s="8" t="str">
        <x:v>Новый ключ источника</x:v>
      </x:c>
      <x:c r="N110" s="8" t="str">
        <x:v>Не установлено</x:v>
      </x:c>
      <x:c r="O110" s="8"/>
      <x:c r="P110" s="8" t="str">
        <x:v>https://shareai.space/</x:v>
      </x:c>
      <x:c r="Q110" s="8" t="str">
        <x:v>turn1099search29</x:v>
      </x:c>
    </x:row>
    <x:row r="111" ht="35.25" customHeight="1">
      <x:c r="A111" s="8" t="str">
        <x:v>V7-S1c35fd9319</x:v>
      </x:c>
      <x:c r="B111" s="8" t="str">
        <x:v>Обучение партнёров и дилеров — платформа Softbook</x:v>
      </x:c>
      <x:c r="C111" s="8" t="str">
        <x:v>Бизнес-клубы и сети</x:v>
      </x:c>
      <x:c r="D111" s="8" t="str">
        <x:v>Найден профессиональный/образовательный контекст. Покупательские запросы и возможность сбора еще не проверены.</x:v>
      </x:c>
      <x:c r="E111" s="8" t="str">
        <x:v>Не установлена</x:v>
      </x:c>
      <x:c r="F111" s="8" t="str">
        <x:v>Сайт</x:v>
      </x:c>
      <x:c r="G111" s="8" t="str">
        <x:v>unverified_candidate</x:v>
      </x:c>
      <x:c r="H111" s="8" t="str">
        <x:v>Не проверен</x:v>
      </x:c>
      <x:c r="I111" s="8" t="str">
        <x:v>Не установлено</x:v>
      </x:c>
      <x:c r="J111" s="8" t="str">
        <x:v>Только контекст поиска</x:v>
      </x:c>
      <x:c r="K111" s="8" t="str">
        <x:v>Не установлено</x:v>
      </x:c>
      <x:c r="L111" s="8" t="str">
        <x:v>Не установлено</x:v>
      </x:c>
      <x:c r="M111" s="8" t="str">
        <x:v>Новый ключ источника</x:v>
      </x:c>
      <x:c r="N111" s="8" t="str">
        <x:v>Не установлено</x:v>
      </x:c>
      <x:c r="O111" s="8"/>
      <x:c r="P111" s="8" t="str">
        <x:v>https://softbook.app/ru/solutions/partner-training</x:v>
      </x:c>
      <x:c r="Q111" s="8" t="str">
        <x:v>turn1101search0</x:v>
      </x:c>
    </x:row>
    <x:row r="112" ht="35.25" customHeight="1">
      <x:c r="A112" s="8" t="str">
        <x:v>V7-S5e8cc52d70</x:v>
      </x:c>
      <x:c r="B112" s="8" t="str">
        <x:v>Программы реализуются с учетом трех компонентов: обучение, консалтинг, наставничество</x:v>
      </x:c>
      <x:c r="C112" s="8" t="str">
        <x:v>Бизнес-клубы и сети</x:v>
      </x:c>
      <x:c r="D112" s="8" t="str">
        <x:v>Найден профессиональный/образовательный контекст. Покупательские запросы и возможность сбора еще не проверены.</x:v>
      </x:c>
      <x:c r="E112" s="8" t="str">
        <x:v>KZ</x:v>
      </x:c>
      <x:c r="F112" s="8" t="str">
        <x:v>Сайт</x:v>
      </x:c>
      <x:c r="G112" s="8" t="str">
        <x:v>unverified_candidate</x:v>
      </x:c>
      <x:c r="H112" s="8" t="str">
        <x:v>Не проверен</x:v>
      </x:c>
      <x:c r="I112" s="8" t="str">
        <x:v>Не установлено</x:v>
      </x:c>
      <x:c r="J112" s="8" t="str">
        <x:v>Только контекст поиска</x:v>
      </x:c>
      <x:c r="K112" s="8" t="str">
        <x:v>Не установлено</x:v>
      </x:c>
      <x:c r="L112" s="8" t="str">
        <x:v>Не установлено</x:v>
      </x:c>
      <x:c r="M112" s="8" t="str">
        <x:v>Новый ключ источника</x:v>
      </x:c>
      <x:c r="N112" s="8" t="str">
        <x:v>Не установлено</x:v>
      </x:c>
      <x:c r="O112" s="8"/>
      <x:c r="P112" s="8" t="str">
        <x:v>https://www.soros.kz/wp-content/uploads/2015/11/studying_of_barriers_of_development_of_youth_business.pdf</x:v>
      </x:c>
      <x:c r="Q112" s="8" t="str">
        <x:v>turn1099search39</x:v>
      </x:c>
    </x:row>
    <x:row r="113" ht="35.25" customHeight="1">
      <x:c r="A113" s="8" t="str">
        <x:v>V7-Sf0d733284d</x:v>
      </x:c>
      <x:c r="B113" s="8" t="str">
        <x:v>The One System: Лидер по систематизации бизнеса</x:v>
      </x:c>
      <x:c r="C113" s="8" t="str">
        <x:v>Бизнес-клубы и сети</x:v>
      </x:c>
      <x:c r="D113" s="8" t="str">
        <x:v>Найден профессиональный/образовательный контекст. Покупательские запросы и возможность сбора еще не проверены.</x:v>
      </x:c>
      <x:c r="E113" s="8" t="str">
        <x:v>KZ</x:v>
      </x:c>
      <x:c r="F113" s="8" t="str">
        <x:v>Сайт</x:v>
      </x:c>
      <x:c r="G113" s="8" t="str">
        <x:v>unverified_candidate</x:v>
      </x:c>
      <x:c r="H113" s="8" t="str">
        <x:v>Не проверен</x:v>
      </x:c>
      <x:c r="I113" s="8" t="str">
        <x:v>Не установлено</x:v>
      </x:c>
      <x:c r="J113" s="8" t="str">
        <x:v>Только контекст поиска</x:v>
      </x:c>
      <x:c r="K113" s="8" t="str">
        <x:v>Не установлено</x:v>
      </x:c>
      <x:c r="L113" s="8" t="str">
        <x:v>Не установлено</x:v>
      </x:c>
      <x:c r="M113" s="8" t="str">
        <x:v>Новый ключ источника</x:v>
      </x:c>
      <x:c r="N113" s="8" t="str">
        <x:v>Не установлено</x:v>
      </x:c>
      <x:c r="O113" s="8"/>
      <x:c r="P113" s="8" t="str">
        <x:v>https://system-one.kz/main</x:v>
      </x:c>
      <x:c r="Q113" s="8" t="str">
        <x:v>turn1099search5</x:v>
      </x:c>
    </x:row>
    <x:row r="114" ht="47.25" customHeight="1">
      <x:c r="A114" s="8" t="str">
        <x:v>V7-S902fdfa655</x:v>
      </x:c>
      <x:c r="B114" s="8" t="str">
        <x:v>Платформа управления франчайзинговой сетью Trafory Franchising — запуск, обучение и контроль франчайзи</x:v>
      </x:c>
      <x:c r="C114" s="8" t="str">
        <x:v>Бизнес-клубы и сети</x:v>
      </x:c>
      <x:c r="D114" s="8" t="str">
        <x:v>Найден профессиональный/образовательный контекст. Покупательские запросы и возможность сбора еще не проверены.</x:v>
      </x:c>
      <x:c r="E114" s="8" t="str">
        <x:v>Не установлена</x:v>
      </x:c>
      <x:c r="F114" s="8" t="str">
        <x:v>Сайт</x:v>
      </x:c>
      <x:c r="G114" s="8" t="str">
        <x:v>unverified_candidate</x:v>
      </x:c>
      <x:c r="H114" s="8" t="str">
        <x:v>Не проверен</x:v>
      </x:c>
      <x:c r="I114" s="8" t="str">
        <x:v>Не установлено</x:v>
      </x:c>
      <x:c r="J114" s="8" t="str">
        <x:v>Только контекст поиска</x:v>
      </x:c>
      <x:c r="K114" s="8" t="str">
        <x:v>Не установлено</x:v>
      </x:c>
      <x:c r="L114" s="8" t="str">
        <x:v>Не установлено</x:v>
      </x:c>
      <x:c r="M114" s="8" t="str">
        <x:v>Новый ключ источника</x:v>
      </x:c>
      <x:c r="N114" s="8" t="str">
        <x:v>Не установлено</x:v>
      </x:c>
      <x:c r="O114" s="8"/>
      <x:c r="P114" s="8" t="str">
        <x:v>https://trafory.com/franchising</x:v>
      </x:c>
      <x:c r="Q114" s="8" t="str">
        <x:v>turn1101search23</x:v>
      </x:c>
    </x:row>
    <x:row r="115" ht="35.25" customHeight="1">
      <x:c r="A115" s="8" t="str">
        <x:v>V7-S3e907495a7</x:v>
      </x:c>
      <x:c r="B115" s="8" t="str">
        <x:v>Бизнес-нетворкинг в Минске | Нетворкинг.бел</x:v>
      </x:c>
      <x:c r="C115" s="8" t="str">
        <x:v>Бизнес-клубы и сети</x:v>
      </x:c>
      <x:c r="D115" s="8" t="str">
        <x:v>Найден профессиональный/образовательный контекст. Покупательские запросы и возможность сбора еще не проверены.</x:v>
      </x:c>
      <x:c r="E115" s="8" t="str">
        <x:v>Не установлена</x:v>
      </x:c>
      <x:c r="F115" s="8" t="str">
        <x:v>Сайт</x:v>
      </x:c>
      <x:c r="G115" s="8" t="str">
        <x:v>unverified_candidate</x:v>
      </x:c>
      <x:c r="H115" s="8" t="str">
        <x:v>Не проверен</x:v>
      </x:c>
      <x:c r="I115" s="8" t="str">
        <x:v>Не установлено</x:v>
      </x:c>
      <x:c r="J115" s="8" t="str">
        <x:v>Только контекст поиска</x:v>
      </x:c>
      <x:c r="K115" s="8" t="str">
        <x:v>Не установлено</x:v>
      </x:c>
      <x:c r="L115" s="8" t="str">
        <x:v>Не установлено</x:v>
      </x:c>
      <x:c r="M115" s="8" t="str">
        <x:v>Новый ключ источника</x:v>
      </x:c>
      <x:c r="N115" s="8" t="str">
        <x:v>Не установлено</x:v>
      </x:c>
      <x:c r="O115" s="8"/>
      <x:c r="P115" s="8" t="str">
        <x:v>https://xn--b1acenjpefsr.xn--90ais/</x:v>
      </x:c>
      <x:c r="Q115" s="8" t="str">
        <x:v>turn1101search15</x:v>
      </x:c>
    </x:row>
    <x:row r="116" ht="35.25" customHeight="1">
      <x:c r="A116" s="8" t="str">
        <x:v>V7-Se297c19537</x:v>
      </x:c>
      <x:c r="B116" s="8" t="str">
        <x:v>Форум предпринимателей «Росмолодёжь.Предпринимай»</x:v>
      </x:c>
      <x:c r="C116" s="8" t="str">
        <x:v>Бизнес-клубы и сети</x:v>
      </x:c>
      <x:c r="D116" s="8" t="str">
        <x:v>Найден профессиональный/образовательный контекст. Покупательские запросы и возможность сбора еще не проверены.</x:v>
      </x:c>
      <x:c r="E116" s="8" t="str">
        <x:v>Не установлена</x:v>
      </x:c>
      <x:c r="F116" s="8" t="str">
        <x:v>Сайт</x:v>
      </x:c>
      <x:c r="G116" s="8" t="str">
        <x:v>unverified_candidate</x:v>
      </x:c>
      <x:c r="H116" s="8" t="str">
        <x:v>Не проверен</x:v>
      </x:c>
      <x:c r="I116" s="8" t="str">
        <x:v>Не установлено</x:v>
      </x:c>
      <x:c r="J116" s="8" t="str">
        <x:v>Только контекст поиска</x:v>
      </x:c>
      <x:c r="K116" s="8" t="str">
        <x:v>Не установлено</x:v>
      </x:c>
      <x:c r="L116" s="8" t="str">
        <x:v>Не установлено</x:v>
      </x:c>
      <x:c r="M116" s="8" t="str">
        <x:v>Новый ключ источника</x:v>
      </x:c>
      <x:c r="N116" s="8" t="str">
        <x:v>Не установлено</x:v>
      </x:c>
      <x:c r="O116" s="8"/>
      <x:c r="P116" s="8" t="str">
        <x:v>https://xn--b1afplgu6e.xn--p1ai/</x:v>
      </x:c>
      <x:c r="Q116" s="8" t="str">
        <x:v>turn1101search25</x:v>
      </x:c>
    </x:row>
    <x:row r="117" ht="35.25" customHeight="1">
      <x:c r="A117" s="8" t="str">
        <x:v>V7-Sb83d454162</x:v>
      </x:c>
      <x:c r="B117" s="8" t="str">
        <x:v>YARDS - сообщество осознанных предпринимателей и франчайзеров</x:v>
      </x:c>
      <x:c r="C117" s="8" t="str">
        <x:v>Бизнес-клубы и сети</x:v>
      </x:c>
      <x:c r="D117" s="8" t="str">
        <x:v>Найден профессиональный/образовательный контекст. Покупательские запросы и возможность сбора еще не проверены.</x:v>
      </x:c>
      <x:c r="E117" s="8" t="str">
        <x:v>Не установлена</x:v>
      </x:c>
      <x:c r="F117" s="8" t="str">
        <x:v>Сайт</x:v>
      </x:c>
      <x:c r="G117" s="8" t="str">
        <x:v>unverified_candidate</x:v>
      </x:c>
      <x:c r="H117" s="8" t="str">
        <x:v>Не проверен</x:v>
      </x:c>
      <x:c r="I117" s="8" t="str">
        <x:v>Не установлено</x:v>
      </x:c>
      <x:c r="J117" s="8" t="str">
        <x:v>Только контекст поиска</x:v>
      </x:c>
      <x:c r="K117" s="8" t="str">
        <x:v>Не установлено</x:v>
      </x:c>
      <x:c r="L117" s="8" t="str">
        <x:v>Не установлено</x:v>
      </x:c>
      <x:c r="M117" s="8" t="str">
        <x:v>Новый ключ источника</x:v>
      </x:c>
      <x:c r="N117" s="8" t="str">
        <x:v>Не установлено</x:v>
      </x:c>
      <x:c r="O117" s="8"/>
      <x:c r="P117" s="8" t="str">
        <x:v>https://yards.community/</x:v>
      </x:c>
      <x:c r="Q117" s="8" t="str">
        <x:v>turn1101search10</x:v>
      </x:c>
    </x:row>
    <x:row r="118" ht="35.25" customHeight="1">
      <x:c r="A118" s="8" t="str">
        <x:v>V7-S47dfce2fd1</x:v>
      </x:c>
      <x:c r="B118" s="8" t="str">
        <x:v>Aspandau — Академия управления</x:v>
      </x:c>
      <x:c r="C118" s="8" t="str">
        <x:v>Бизнес-клубы и сети</x:v>
      </x:c>
      <x:c r="D118" s="8" t="str">
        <x:v>Найден профессиональный/образовательный контекст. Покупательские запросы и возможность сбора еще не проверены.</x:v>
      </x:c>
      <x:c r="E118" s="8" t="str">
        <x:v>KZ</x:v>
      </x:c>
      <x:c r="F118" s="8" t="str">
        <x:v>Сайт</x:v>
      </x:c>
      <x:c r="G118" s="8" t="str">
        <x:v>unverified_candidate</x:v>
      </x:c>
      <x:c r="H118" s="8" t="str">
        <x:v>Не проверен</x:v>
      </x:c>
      <x:c r="I118" s="8" t="str">
        <x:v>Не установлено</x:v>
      </x:c>
      <x:c r="J118" s="8" t="str">
        <x:v>Только контекст поиска</x:v>
      </x:c>
      <x:c r="K118" s="8" t="str">
        <x:v>Не установлено</x:v>
      </x:c>
      <x:c r="L118" s="8" t="str">
        <x:v>Не установлено</x:v>
      </x:c>
      <x:c r="M118" s="8" t="str">
        <x:v>Новый ключ источника</x:v>
      </x:c>
      <x:c r="N118" s="8" t="str">
        <x:v>Не установлено</x:v>
      </x:c>
      <x:c r="O118" s="8"/>
      <x:c r="P118" s="8" t="str">
        <x:v>https://aspandau-academy.kz/</x:v>
      </x:c>
      <x:c r="Q118" s="8" t="str">
        <x:v>turn1099search13</x:v>
      </x:c>
    </x:row>
    <x:row r="119" ht="47.25" customHeight="1">
      <x:c r="A119" s="8" t="str">
        <x:v>V7-S184c2065be</x:v>
      </x:c>
      <x:c r="B119" s="8" t="str">
        <x:v>Бизнес-тренинги, семинары и курсы для предпринимателей и руководителей бизнеса в Казахстане | Компания «BGC»</x:v>
      </x:c>
      <x:c r="C119" s="8" t="str">
        <x:v>Бизнес-клубы и сети</x:v>
      </x:c>
      <x:c r="D119" s="8" t="str">
        <x:v>Найден профессиональный/образовательный контекст. Покупательские запросы и возможность сбора еще не проверены.</x:v>
      </x:c>
      <x:c r="E119" s="8" t="str">
        <x:v>KZ</x:v>
      </x:c>
      <x:c r="F119" s="8" t="str">
        <x:v>Сайт</x:v>
      </x:c>
      <x:c r="G119" s="8" t="str">
        <x:v>unverified_candidate</x:v>
      </x:c>
      <x:c r="H119" s="8" t="str">
        <x:v>Не проверен</x:v>
      </x:c>
      <x:c r="I119" s="8" t="str">
        <x:v>Не установлено</x:v>
      </x:c>
      <x:c r="J119" s="8" t="str">
        <x:v>Только контекст поиска</x:v>
      </x:c>
      <x:c r="K119" s="8" t="str">
        <x:v>Не установлено</x:v>
      </x:c>
      <x:c r="L119" s="8" t="str">
        <x:v>Не установлено</x:v>
      </x:c>
      <x:c r="M119" s="8" t="str">
        <x:v>Новый ключ источника</x:v>
      </x:c>
      <x:c r="N119" s="8" t="str">
        <x:v>Не установлено</x:v>
      </x:c>
      <x:c r="O119" s="8"/>
      <x:c r="P119" s="8" t="str">
        <x:v>https://bgc.kz/</x:v>
      </x:c>
      <x:c r="Q119" s="8" t="str">
        <x:v>turn1099search15</x:v>
      </x:c>
    </x:row>
    <x:row r="120" ht="35.25" customHeight="1">
      <x:c r="A120" s="8" t="str">
        <x:v>V7-S4e443d8a07</x:v>
      </x:c>
      <x:c r="B120" s="8" t="str">
        <x:v>Business Camp 2026 - Бизнес возможностей</x:v>
      </x:c>
      <x:c r="C120" s="8" t="str">
        <x:v>Бизнес-клубы и сети</x:v>
      </x:c>
      <x:c r="D120" s="8" t="str">
        <x:v>Найден профессиональный/образовательный контекст. Покупательские запросы и возможность сбора еще не проверены.</x:v>
      </x:c>
      <x:c r="E120" s="8" t="str">
        <x:v>KZ</x:v>
      </x:c>
      <x:c r="F120" s="8" t="str">
        <x:v>Сайт</x:v>
      </x:c>
      <x:c r="G120" s="8" t="str">
        <x:v>unverified_candidate</x:v>
      </x:c>
      <x:c r="H120" s="8" t="str">
        <x:v>Не проверен</x:v>
      </x:c>
      <x:c r="I120" s="8" t="str">
        <x:v>Не установлено</x:v>
      </x:c>
      <x:c r="J120" s="8" t="str">
        <x:v>Только контекст поиска</x:v>
      </x:c>
      <x:c r="K120" s="8" t="str">
        <x:v>Не установлено</x:v>
      </x:c>
      <x:c r="L120" s="8" t="str">
        <x:v>Не установлено</x:v>
      </x:c>
      <x:c r="M120" s="8" t="str">
        <x:v>Новый ключ источника</x:v>
      </x:c>
      <x:c r="N120" s="8" t="str">
        <x:v>Не установлено</x:v>
      </x:c>
      <x:c r="O120" s="8"/>
      <x:c r="P120" s="8" t="str">
        <x:v>https://kaizenclub.kz/astana-2026-orlov</x:v>
      </x:c>
      <x:c r="Q120" s="8" t="str">
        <x:v>turn1099search17</x:v>
      </x:c>
    </x:row>
    <x:row r="121" ht="47.25" customHeight="1">
      <x:c r="A121" s="8" t="str">
        <x:v>V7-S49ce379bfe</x:v>
      </x:c>
      <x:c r="B121" s="8" t="str">
        <x:v>КОРПУС Петербурга и СберУниверситет стали партнерами — «Корпоративный университет Санкт-Петербурга (КОРПУС)»</x:v>
      </x:c>
      <x:c r="C121" s="8" t="str">
        <x:v>КУ и образовательные партнерства</x:v>
      </x:c>
      <x:c r="D121" s="8" t="str">
        <x:v>Найден профессиональный/образовательный контекст. Покупательские запросы и возможность сбора еще не проверены.</x:v>
      </x:c>
      <x:c r="E121" s="8" t="str">
        <x:v>RU</x:v>
      </x:c>
      <x:c r="F121" s="8" t="str">
        <x:v>Сайт</x:v>
      </x:c>
      <x:c r="G121" s="8" t="str">
        <x:v>unverified_candidate</x:v>
      </x:c>
      <x:c r="H121" s="8" t="str">
        <x:v>Не проверен</x:v>
      </x:c>
      <x:c r="I121" s="8" t="str">
        <x:v>Не установлено</x:v>
      </x:c>
      <x:c r="J121" s="8" t="str">
        <x:v>Только контекст поиска</x:v>
      </x:c>
      <x:c r="K121" s="8" t="str">
        <x:v>Не установлено</x:v>
      </x:c>
      <x:c r="L121" s="8" t="str">
        <x:v>Не установлено</x:v>
      </x:c>
      <x:c r="M121" s="8" t="str">
        <x:v>Новый ключ источника</x:v>
      </x:c>
      <x:c r="N121" s="8" t="str">
        <x:v>Не установлено</x:v>
      </x:c>
      <x:c r="O121" s="8"/>
      <x:c r="P121" s="8" t="str">
        <x:v>https://www.corpusspb.ru/novosti/korpus-peterburga-i-sberuniversitet-stali-partnerami</x:v>
      </x:c>
      <x:c r="Q121" s="8" t="str">
        <x:v>turn1265search0; turn1265search10</x:v>
      </x:c>
    </x:row>
    <x:row r="122" ht="35.25" customHeight="1">
      <x:c r="A122" s="8" t="str">
        <x:v>V7-S701186cb9c</x:v>
      </x:c>
      <x:c r="B122" s="8" t="str">
        <x:v>Партнёрства | Coventry University in Kazakhstan</x:v>
      </x:c>
      <x:c r="C122" s="8" t="str">
        <x:v>КУ и образовательные партнерства</x:v>
      </x:c>
      <x:c r="D122" s="8" t="str">
        <x:v>Найден профессиональный/образовательный контекст. Покупательские запросы и возможность сбора еще не проверены.</x:v>
      </x:c>
      <x:c r="E122" s="8" t="str">
        <x:v>KZ</x:v>
      </x:c>
      <x:c r="F122" s="8" t="str">
        <x:v>Сайт</x:v>
      </x:c>
      <x:c r="G122" s="8" t="str">
        <x:v>unverified_candidate</x:v>
      </x:c>
      <x:c r="H122" s="8" t="str">
        <x:v>Не проверен</x:v>
      </x:c>
      <x:c r="I122" s="8" t="str">
        <x:v>Не установлено</x:v>
      </x:c>
      <x:c r="J122" s="8" t="str">
        <x:v>Только контекст поиска</x:v>
      </x:c>
      <x:c r="K122" s="8" t="str">
        <x:v>Не установлено</x:v>
      </x:c>
      <x:c r="L122" s="8" t="str">
        <x:v>Не установлено</x:v>
      </x:c>
      <x:c r="M122" s="8" t="str">
        <x:v>Новый ключ источника</x:v>
      </x:c>
      <x:c r="N122" s="8" t="str">
        <x:v>Не установлено</x:v>
      </x:c>
      <x:c r="O122" s="8"/>
      <x:c r="P122" s="8" t="str">
        <x:v>https://coventry.edu.kz/ru/partnerships</x:v>
      </x:c>
      <x:c r="Q122" s="8" t="str">
        <x:v>turn1091search2</x:v>
      </x:c>
    </x:row>
    <x:row r="123" ht="35.25" customHeight="1">
      <x:c r="A123" s="8" t="str">
        <x:v>V7-Se021002c87</x:v>
      </x:c>
      <x:c r="B123" s="8" t="str">
        <x:v>Корпоративный университет (КУ) / HR-WIKI КСК ЭКСПЕРТ</x:v>
      </x:c>
      <x:c r="C123" s="8" t="str">
        <x:v>КУ и образовательные партнерства</x:v>
      </x:c>
      <x:c r="D123" s="8" t="str">
        <x:v>Найден профессиональный/образовательный контекст. Покупательские запросы и возможность сбора еще не проверены.</x:v>
      </x:c>
      <x:c r="E123" s="8" t="str">
        <x:v>Не установлена</x:v>
      </x:c>
      <x:c r="F123" s="8" t="str">
        <x:v>Сайт</x:v>
      </x:c>
      <x:c r="G123" s="8" t="str">
        <x:v>unverified_candidate</x:v>
      </x:c>
      <x:c r="H123" s="8" t="str">
        <x:v>Не проверен</x:v>
      </x:c>
      <x:c r="I123" s="8" t="str">
        <x:v>Не установлено</x:v>
      </x:c>
      <x:c r="J123" s="8" t="str">
        <x:v>Только контекст поиска</x:v>
      </x:c>
      <x:c r="K123" s="8" t="str">
        <x:v>Не установлено</x:v>
      </x:c>
      <x:c r="L123" s="8" t="str">
        <x:v>Не установлено</x:v>
      </x:c>
      <x:c r="M123" s="8" t="str">
        <x:v>Новый ключ источника</x:v>
      </x:c>
      <x:c r="N123" s="8" t="str">
        <x:v>Не установлено</x:v>
      </x:c>
      <x:c r="O123" s="8"/>
      <x:c r="P123" s="8" t="str">
        <x:v>https://journal.ksk.expert/wiki/korporativnyy-universitet-ku/</x:v>
      </x:c>
      <x:c r="Q123" s="8" t="str">
        <x:v>turn1210search8</x:v>
      </x:c>
    </x:row>
    <x:row r="124" ht="71.25" customHeight="1">
      <x:c r="A124" s="8" t="str">
        <x:v>V7-S02db5f4aad</x:v>
      </x:c>
      <x:c r="B124" s="8" t="str">
        <x:v>Корпоративный университет ERG Corporate University провел первый в Казахстане международный форум корпоративных университетов   Форум стал площадкой для профессионального обмена опытом между… | Valentina Satarova</x:v>
      </x:c>
      <x:c r="C124" s="8" t="str">
        <x:v>КУ и образовательные партнерства</x:v>
      </x:c>
      <x:c r="D124" s="8" t="str">
        <x:v>Найден профессиональный/образовательный контекст. Покупательские запросы и возможность сбора еще не проверены.</x:v>
      </x:c>
      <x:c r="E124" s="8" t="str">
        <x:v>Не установлена</x:v>
      </x:c>
      <x:c r="F124" s="8" t="str">
        <x:v>LinkedIn</x:v>
      </x:c>
      <x:c r="G124" s="8" t="str">
        <x:v>unverified_candidate</x:v>
      </x:c>
      <x:c r="H124" s="8" t="str">
        <x:v>Не проверен</x:v>
      </x:c>
      <x:c r="I124" s="8" t="str">
        <x:v>Не установлено</x:v>
      </x:c>
      <x:c r="J124" s="8" t="str">
        <x:v>Только контекст поиска</x:v>
      </x:c>
      <x:c r="K124" s="8" t="str">
        <x:v>Не установлено</x:v>
      </x:c>
      <x:c r="L124" s="8" t="str">
        <x:v>Не установлено</x:v>
      </x:c>
      <x:c r="M124" s="8" t="str">
        <x:v>Новый ключ источника</x:v>
      </x:c>
      <x:c r="N124" s="8" t="str">
        <x:v>Не установлено</x:v>
      </x:c>
      <x:c r="O124" s="8"/>
      <x:c r="P124" s="8" t="str">
        <x:v>https://ru.linkedin.com/posts/valentina-satarova-3885b224_%D0%BA%D0%BE%D1%80%D0%BF%D0%BE%D1%80%D0%B0%D1%82%D0%B8%D0%B2%D0%BD%D1%8B%D0%B9-%D1%83%D0%BD%D0%B8%D0%B2%D0%B5%D1%80%D1%81%D0%B8%D1%82%D0%B5%D1%82-erg-corporate-activity-7330584503842656256-zVXm</x:v>
      </x:c>
      <x:c r="Q124" s="8" t="str">
        <x:v>turn1091search7</x:v>
      </x:c>
    </x:row>
    <x:row r="125" ht="35.25" customHeight="1">
      <x:c r="A125" s="8" t="str">
        <x:v>V7-Sa405979309</x:v>
      </x:c>
      <x:c r="B125" s="8" t="str">
        <x:v>МАИ и Академия «Роскосмоса» начнут сотрудничать в подготовке кадров</x:v>
      </x:c>
      <x:c r="C125" s="8" t="str">
        <x:v>КУ и образовательные партнерства</x:v>
      </x:c>
      <x:c r="D125" s="8" t="str">
        <x:v>Найден профессиональный/образовательный контекст. Покупательские запросы и возможность сбора еще не проверены.</x:v>
      </x:c>
      <x:c r="E125" s="8" t="str">
        <x:v>RU</x:v>
      </x:c>
      <x:c r="F125" s="8" t="str">
        <x:v>Сайт</x:v>
      </x:c>
      <x:c r="G125" s="8" t="str">
        <x:v>unverified_candidate</x:v>
      </x:c>
      <x:c r="H125" s="8" t="str">
        <x:v>Не проверен</x:v>
      </x:c>
      <x:c r="I125" s="8" t="str">
        <x:v>Не установлено</x:v>
      </x:c>
      <x:c r="J125" s="8" t="str">
        <x:v>Только контекст поиска</x:v>
      </x:c>
      <x:c r="K125" s="8" t="str">
        <x:v>Не установлено</x:v>
      </x:c>
      <x:c r="L125" s="8" t="str">
        <x:v>Не установлено</x:v>
      </x:c>
      <x:c r="M125" s="8" t="str">
        <x:v>Новый ключ источника</x:v>
      </x:c>
      <x:c r="N125" s="8" t="str">
        <x:v>Не установлено</x:v>
      </x:c>
      <x:c r="O125" s="8"/>
      <x:c r="P125" s="8" t="str">
        <x:v>https://mai.ru/press/news/detail.php?ID=165369</x:v>
      </x:c>
      <x:c r="Q125" s="8" t="str">
        <x:v>turn1110search11</x:v>
      </x:c>
    </x:row>
    <x:row r="126" ht="35.25" customHeight="1">
      <x:c r="A126" s="8" t="str">
        <x:v>V7-S7490381f9b</x:v>
      </x:c>
      <x:c r="B126" s="8" t="str">
        <x:v>Proaction и «Нефтьмагистраль»: запускаем формат живых встреч для распределенного бизнеса</x:v>
      </x:c>
      <x:c r="C126" s="8" t="str">
        <x:v>КУ и образовательные партнерства</x:v>
      </x:c>
      <x:c r="D126" s="8" t="str">
        <x:v>Найден профессиональный/образовательный контекст. Покупательские запросы и возможность сбора еще не проверены.</x:v>
      </x:c>
      <x:c r="E126" s="8" t="str">
        <x:v>Не установлена</x:v>
      </x:c>
      <x:c r="F126" s="8" t="str">
        <x:v>Сайт</x:v>
      </x:c>
      <x:c r="G126" s="8" t="str">
        <x:v>unverified_candidate</x:v>
      </x:c>
      <x:c r="H126" s="8" t="str">
        <x:v>Не проверен</x:v>
      </x:c>
      <x:c r="I126" s="8" t="str">
        <x:v>Не установлено</x:v>
      </x:c>
      <x:c r="J126" s="8" t="str">
        <x:v>Только контекст поиска</x:v>
      </x:c>
      <x:c r="K126" s="8" t="str">
        <x:v>Не установлено</x:v>
      </x:c>
      <x:c r="L126" s="8" t="str">
        <x:v>Не установлено</x:v>
      </x:c>
      <x:c r="M126" s="8" t="str">
        <x:v>Новый ключ источника</x:v>
      </x:c>
      <x:c r="N126" s="8" t="str">
        <x:v>Не установлено</x:v>
      </x:c>
      <x:c r="O126" s="8"/>
      <x:c r="P126" s="8" t="str">
        <x:v>https://proaction.pro/news/priglashaem-v-neftmagistral-23-ijula</x:v>
      </x:c>
      <x:c r="Q126" s="8" t="str">
        <x:v>turn1094search0</x:v>
      </x:c>
    </x:row>
    <x:row r="127" ht="35.25" customHeight="1">
      <x:c r="A127" s="8" t="str">
        <x:v>V7-Sd3a273314d</x:v>
      </x:c>
      <x:c r="B127" s="8" t="str">
        <x:v>Курсы для сотрудников Корпоративной Академии Росатома</x:v>
      </x:c>
      <x:c r="C127" s="8" t="str">
        <x:v>КУ и образовательные партнерства</x:v>
      </x:c>
      <x:c r="D127" s="8" t="str">
        <x:v>Найден профессиональный/образовательный контекст. Покупательские запросы и возможность сбора еще не проверены.</x:v>
      </x:c>
      <x:c r="E127" s="8" t="str">
        <x:v>Не установлена</x:v>
      </x:c>
      <x:c r="F127" s="8" t="str">
        <x:v>Сайт</x:v>
      </x:c>
      <x:c r="G127" s="8" t="str">
        <x:v>unverified_candidate</x:v>
      </x:c>
      <x:c r="H127" s="8" t="str">
        <x:v>Не проверен</x:v>
      </x:c>
      <x:c r="I127" s="8" t="str">
        <x:v>Не установлено</x:v>
      </x:c>
      <x:c r="J127" s="8" t="str">
        <x:v>Только контекст поиска</x:v>
      </x:c>
      <x:c r="K127" s="8" t="str">
        <x:v>Не установлено</x:v>
      </x:c>
      <x:c r="L127" s="8" t="str">
        <x:v>Не установлено</x:v>
      </x:c>
      <x:c r="M127" s="8" t="str">
        <x:v>Новый ключ источника</x:v>
      </x:c>
      <x:c r="N127" s="8" t="str">
        <x:v>Не установлено</x:v>
      </x:c>
      <x:c r="O127" s="8"/>
      <x:c r="P127" s="8" t="str">
        <x:v>https://rosatomtalents.team/sotrudniki/courses</x:v>
      </x:c>
      <x:c r="Q127" s="8" t="str">
        <x:v>turn1094search24; turn1094search26</x:v>
      </x:c>
    </x:row>
    <x:row r="128" ht="35.25" customHeight="1">
      <x:c r="A128" s="8" t="str">
        <x:v>V7-Sdf1fafe87f</x:v>
      </x:c>
      <x:c r="B128" s="8" t="str">
        <x:v>Университеты-партнеры - СПбГЭУ</x:v>
      </x:c>
      <x:c r="C128" s="8" t="str">
        <x:v>КУ и образовательные партнерства</x:v>
      </x:c>
      <x:c r="D128" s="8" t="str">
        <x:v>Найден профессиональный/образовательный контекст. Покупательские запросы и возможность сбора еще не проверены.</x:v>
      </x:c>
      <x:c r="E128" s="8" t="str">
        <x:v>RU</x:v>
      </x:c>
      <x:c r="F128" s="8" t="str">
        <x:v>Сайт</x:v>
      </x:c>
      <x:c r="G128" s="8" t="str">
        <x:v>unverified_candidate</x:v>
      </x:c>
      <x:c r="H128" s="8" t="str">
        <x:v>Не проверен</x:v>
      </x:c>
      <x:c r="I128" s="8" t="str">
        <x:v>Не установлено</x:v>
      </x:c>
      <x:c r="J128" s="8" t="str">
        <x:v>Только контекст поиска</x:v>
      </x:c>
      <x:c r="K128" s="8" t="str">
        <x:v>Не установлено</x:v>
      </x:c>
      <x:c r="L128" s="8" t="str">
        <x:v>Не установлено</x:v>
      </x:c>
      <x:c r="M128" s="8" t="str">
        <x:v>Новый ключ источника</x:v>
      </x:c>
      <x:c r="N128" s="8" t="str">
        <x:v>Не установлено</x:v>
      </x:c>
      <x:c r="O128" s="8"/>
      <x:c r="P128" s="8" t="str">
        <x:v>https://unecon.ru/mezhdunarodnye-svyazi/upravlenie-mezhdunarodnogo-sotrudnichestva/universitety-partnery/</x:v>
      </x:c>
      <x:c r="Q128" s="8" t="str">
        <x:v>turn1091search17</x:v>
      </x:c>
    </x:row>
    <x:row r="129" ht="35.25" customHeight="1">
      <x:c r="A129" s="8" t="str">
        <x:v>V7-S2b2f6de8f5</x:v>
      </x:c>
      <x:c r="B129" s="8" t="str">
        <x:v>Обучение и развитие персонала</x:v>
      </x:c>
      <x:c r="C129" s="8" t="str">
        <x:v>КУ и образовательные партнерства</x:v>
      </x:c>
      <x:c r="D129" s="8" t="str">
        <x:v>Найден профессиональный/образовательный контекст. Покупательские запросы и возможность сбора еще не проверены.</x:v>
      </x:c>
      <x:c r="E129" s="8" t="str">
        <x:v>RU</x:v>
      </x:c>
      <x:c r="F129" s="8" t="str">
        <x:v>Сайт</x:v>
      </x:c>
      <x:c r="G129" s="8" t="str">
        <x:v>unverified_candidate</x:v>
      </x:c>
      <x:c r="H129" s="8" t="str">
        <x:v>Не проверен</x:v>
      </x:c>
      <x:c r="I129" s="8" t="str">
        <x:v>Не установлено</x:v>
      </x:c>
      <x:c r="J129" s="8" t="str">
        <x:v>Только контекст поиска</x:v>
      </x:c>
      <x:c r="K129" s="8" t="str">
        <x:v>Не установлено</x:v>
      </x:c>
      <x:c r="L129" s="8" t="str">
        <x:v>Не установлено</x:v>
      </x:c>
      <x:c r="M129" s="8" t="str">
        <x:v>Новый ключ источника</x:v>
      </x:c>
      <x:c r="N129" s="8" t="str">
        <x:v>Не установлено</x:v>
      </x:c>
      <x:c r="O129" s="8"/>
      <x:c r="P129" s="8" t="str">
        <x:v>https://www.akm.ru/upload/akmrating/Fesko-annual-report_2023.pdf</x:v>
      </x:c>
      <x:c r="Q129" s="8" t="str">
        <x:v>turn1110search37; turn1094search35</x:v>
      </x:c>
    </x:row>
    <x:row r="130" ht="35.25" customHeight="1">
      <x:c r="A130" s="8" t="str">
        <x:v>V7-S355d116108</x:v>
      </x:c>
      <x:c r="B130" s="8" t="str">
        <x:v>Как корпоративному университету стать партнером для бизнеса</x:v>
      </x:c>
      <x:c r="C130" s="8" t="str">
        <x:v>КУ и образовательные партнерства</x:v>
      </x:c>
      <x:c r="D130" s="8" t="str">
        <x:v>Найден профессиональный/образовательный контекст. Покупательские запросы и возможность сбора еще не проверены.</x:v>
      </x:c>
      <x:c r="E130" s="8" t="str">
        <x:v>RU</x:v>
      </x:c>
      <x:c r="F130" s="8" t="str">
        <x:v>Сайт</x:v>
      </x:c>
      <x:c r="G130" s="8" t="str">
        <x:v>unverified_candidate</x:v>
      </x:c>
      <x:c r="H130" s="8" t="str">
        <x:v>Не проверен</x:v>
      </x:c>
      <x:c r="I130" s="8" t="str">
        <x:v>Не установлено</x:v>
      </x:c>
      <x:c r="J130" s="8" t="str">
        <x:v>Только контекст поиска</x:v>
      </x:c>
      <x:c r="K130" s="8" t="str">
        <x:v>Не установлено</x:v>
      </x:c>
      <x:c r="L130" s="8" t="str">
        <x:v>Не установлено</x:v>
      </x:c>
      <x:c r="M130" s="8" t="str">
        <x:v>Новый ключ источника</x:v>
      </x:c>
      <x:c r="N130" s="8" t="str">
        <x:v>Не установлено</x:v>
      </x:c>
      <x:c r="O130" s="8"/>
      <x:c r="P130" s="8" t="str">
        <x:v>https://blog.icontextgroup.ru/articles/kak-korporativnomu-universitetu-stat-partnerom-dlya-biznesa</x:v>
      </x:c>
      <x:c r="Q130" s="8" t="str">
        <x:v>turn1094search16</x:v>
      </x:c>
    </x:row>
    <x:row r="131" ht="47.25" customHeight="1">
      <x:c r="A131" s="8" t="str">
        <x:v>V7-S59f5e56219</x:v>
      </x:c>
      <x:c r="B131" s="8" t="str">
        <x:v>Директор проектов Академии кибербезопасности в СберУниверситет (корпоративный университет Сбера)</x:v>
      </x:c>
      <x:c r="C131" s="8" t="str">
        <x:v>КУ и образовательные партнерства</x:v>
      </x:c>
      <x:c r="D131" s="8" t="str">
        <x:v>Найден профессиональный/образовательный контекст. Покупательские запросы и возможность сбора еще не проверены.</x:v>
      </x:c>
      <x:c r="E131" s="8" t="str">
        <x:v>RU</x:v>
      </x:c>
      <x:c r="F131" s="8" t="str">
        <x:v>Сайт</x:v>
      </x:c>
      <x:c r="G131" s="8" t="str">
        <x:v>unverified_candidate</x:v>
      </x:c>
      <x:c r="H131" s="8" t="str">
        <x:v>Не проверен</x:v>
      </x:c>
      <x:c r="I131" s="8" t="str">
        <x:v>Не установлено</x:v>
      </x:c>
      <x:c r="J131" s="8" t="str">
        <x:v>Только контекст поиска</x:v>
      </x:c>
      <x:c r="K131" s="8" t="str">
        <x:v>Не установлено</x:v>
      </x:c>
      <x:c r="L131" s="8" t="str">
        <x:v>Не установлено</x:v>
      </x:c>
      <x:c r="M131" s="8" t="str">
        <x:v>Новый ключ источника</x:v>
      </x:c>
      <x:c r="N131" s="8" t="str">
        <x:v>Не установлено</x:v>
      </x:c>
      <x:c r="O131" s="8"/>
      <x:c r="P131" s="8" t="str">
        <x:v>https://facancy.ru/vacancies/direktor-proektov-akademii-kiberbezopasnosti-v-sberuniversitet-korporativnyi-universitet-sbera</x:v>
      </x:c>
      <x:c r="Q131" s="8" t="str">
        <x:v>turn1214search4</x:v>
      </x:c>
    </x:row>
    <x:row r="132" ht="47.25" customHeight="1">
      <x:c r="A132" s="8" t="str">
        <x:v>V7-Sa816b828e1</x:v>
      </x:c>
      <x:c r="B132" s="8" t="str">
        <x:v>Направление 2. Сотрудничество бизнеса и вузов: лучшие европейские практики. Российский и Казахский</x:v>
      </x:c>
      <x:c r="C132" s="8" t="str">
        <x:v>КУ и образовательные партнерства</x:v>
      </x:c>
      <x:c r="D132" s="8" t="str">
        <x:v>Найден профессиональный/образовательный контекст. Покупательские запросы и возможность сбора еще не проверены.</x:v>
      </x:c>
      <x:c r="E132" s="8" t="str">
        <x:v>KZ</x:v>
      </x:c>
      <x:c r="F132" s="8" t="str">
        <x:v>Сайт</x:v>
      </x:c>
      <x:c r="G132" s="8" t="str">
        <x:v>unverified_candidate</x:v>
      </x:c>
      <x:c r="H132" s="8" t="str">
        <x:v>Не проверен</x:v>
      </x:c>
      <x:c r="I132" s="8" t="str">
        <x:v>Не установлено</x:v>
      </x:c>
      <x:c r="J132" s="8" t="str">
        <x:v>Только контекст поиска</x:v>
      </x:c>
      <x:c r="K132" s="8" t="str">
        <x:v>Не установлено</x:v>
      </x:c>
      <x:c r="L132" s="8" t="str">
        <x:v>Не установлено</x:v>
      </x:c>
      <x:c r="M132" s="8" t="str">
        <x:v>Новый ключ источника</x:v>
      </x:c>
      <x:c r="N132" s="8" t="str">
        <x:v>Не установлено</x:v>
      </x:c>
      <x:c r="O132" s="8"/>
      <x:c r="P132" s="8" t="str">
        <x:v>https://www.kaznu.kz/content/files/pages/folder21060/-___1.PDF</x:v>
      </x:c>
      <x:c r="Q132" s="8" t="str">
        <x:v>turn1091search37</x:v>
      </x:c>
    </x:row>
    <x:row r="133" ht="35.25" customHeight="1">
      <x:c r="A133" s="8" t="str">
        <x:v>V7-S94fb95bdff</x:v>
      </x:c>
      <x:c r="B133" s="8" t="str">
        <x:v>1С:Электронное обучение. Корпоративный университет - Партнерам</x:v>
      </x:c>
      <x:c r="C133" s="8" t="str">
        <x:v>КУ и образовательные партнерства</x:v>
      </x:c>
      <x:c r="D133" s="8" t="str">
        <x:v>Найден профессиональный/образовательный контекст. Покупательские запросы и возможность сбора еще не проверены.</x:v>
      </x:c>
      <x:c r="E133" s="8" t="str">
        <x:v>RU</x:v>
      </x:c>
      <x:c r="F133" s="8" t="str">
        <x:v>Сайт</x:v>
      </x:c>
      <x:c r="G133" s="8" t="str">
        <x:v>unverified_candidate</x:v>
      </x:c>
      <x:c r="H133" s="8" t="str">
        <x:v>Не проверен</x:v>
      </x:c>
      <x:c r="I133" s="8" t="str">
        <x:v>Не установлено</x:v>
      </x:c>
      <x:c r="J133" s="8" t="str">
        <x:v>Только контекст поиска</x:v>
      </x:c>
      <x:c r="K133" s="8" t="str">
        <x:v>Не установлено</x:v>
      </x:c>
      <x:c r="L133" s="8" t="str">
        <x:v>Не установлено</x:v>
      </x:c>
      <x:c r="M133" s="8" t="str">
        <x:v>Новый ключ источника</x:v>
      </x:c>
      <x:c r="N133" s="8" t="str">
        <x:v>Не установлено</x:v>
      </x:c>
      <x:c r="O133" s="8"/>
      <x:c r="P133" s="8" t="str">
        <x:v>https://solutions.1c.ru/catalog/elearning-universitycorp/partners</x:v>
      </x:c>
      <x:c r="Q133" s="8" t="str">
        <x:v>turn1091search18; turn1110search0; turn1110search8; turn1110search14</x:v>
      </x:c>
    </x:row>
    <x:row r="134" ht="47.25" customHeight="1">
      <x:c r="A134" s="8" t="str">
        <x:v>V7-Sa8f21d1983</x:v>
      </x:c>
      <x:c r="B134" s="8" t="str">
        <x:v>Категории провайдеров на рынке бизнес-образования</x:v>
      </x:c>
      <x:c r="C134" s="8" t="str">
        <x:v>КУ и образовательные партнерства</x:v>
      </x:c>
      <x:c r="D134" s="8" t="str">
        <x:v>Найден профессиональный/образовательный контекст. Покупательские запросы и возможность сбора еще не проверены.</x:v>
      </x:c>
      <x:c r="E134" s="8" t="str">
        <x:v>RU</x:v>
      </x:c>
      <x:c r="F134" s="8" t="str">
        <x:v>Сайт</x:v>
      </x:c>
      <x:c r="G134" s="8" t="str">
        <x:v>unverified_candidate</x:v>
      </x:c>
      <x:c r="H134" s="8" t="str">
        <x:v>Не проверен</x:v>
      </x:c>
      <x:c r="I134" s="8" t="str">
        <x:v>Не установлено</x:v>
      </x:c>
      <x:c r="J134" s="8" t="str">
        <x:v>Только контекст поиска</x:v>
      </x:c>
      <x:c r="K134" s="8" t="str">
        <x:v>Не установлено</x:v>
      </x:c>
      <x:c r="L134" s="8" t="str">
        <x:v>Не установлено</x:v>
      </x:c>
      <x:c r="M134" s="8" t="str">
        <x:v>Новый ключ источника</x:v>
      </x:c>
      <x:c r="N134" s="8" t="str">
        <x:v>Не установлено</x:v>
      </x:c>
      <x:c r="O134" s="8"/>
      <x:c r="P134" s="8" t="str">
        <x:v>https://strategy.ru/media/uploads/2025/05/SP_%D0%A0%D1%8B%D0%BD%D0%BE%D0%BA_%D0%B1%D0%B8%D0%B7%D0%BD%D0%B5%D1%81_%D0%BE%D0%B1%D1%80%D0%B0%D0%B7%D0%BE%D0%B2%D0%B0%D0%BD%D0%B8%D1%8F.pdf</x:v>
      </x:c>
      <x:c r="Q134" s="8" t="str">
        <x:v>turn1214search12</x:v>
      </x:c>
    </x:row>
    <x:row r="135" ht="35.25" customHeight="1">
      <x:c r="A135" s="8" t="str">
        <x:v>V7-S7e7bc73beb</x:v>
      </x:c>
      <x:c r="B135" s="8" t="str">
        <x:v>Корпоративное обучение: программы, школы и бизнес-тренеры — TreningNL</x:v>
      </x:c>
      <x:c r="C135" s="8" t="str">
        <x:v>КУ и образовательные партнерства</x:v>
      </x:c>
      <x:c r="D135" s="8" t="str">
        <x:v>Найден профессиональный/образовательный контекст. Покупательские запросы и возможность сбора еще не проверены.</x:v>
      </x:c>
      <x:c r="E135" s="8" t="str">
        <x:v>RU</x:v>
      </x:c>
      <x:c r="F135" s="8" t="str">
        <x:v>Сайт</x:v>
      </x:c>
      <x:c r="G135" s="8" t="str">
        <x:v>unverified_candidate</x:v>
      </x:c>
      <x:c r="H135" s="8" t="str">
        <x:v>Не проверен</x:v>
      </x:c>
      <x:c r="I135" s="8" t="str">
        <x:v>Не установлено</x:v>
      </x:c>
      <x:c r="J135" s="8" t="str">
        <x:v>Только контекст поиска</x:v>
      </x:c>
      <x:c r="K135" s="8" t="str">
        <x:v>Не установлено</x:v>
      </x:c>
      <x:c r="L135" s="8" t="str">
        <x:v>Не установлено</x:v>
      </x:c>
      <x:c r="M135" s="8" t="str">
        <x:v>Новый ключ источника</x:v>
      </x:c>
      <x:c r="N135" s="8" t="str">
        <x:v>Не установлено</x:v>
      </x:c>
      <x:c r="O135" s="8"/>
      <x:c r="P135" s="8" t="str">
        <x:v>https://treningnl.ru/</x:v>
      </x:c>
      <x:c r="Q135" s="8" t="str">
        <x:v>turn1214search2; turn1095search21; turn1095search24; turn1090search28</x:v>
      </x:c>
    </x:row>
    <x:row r="136" ht="47.25" customHeight="1">
      <x:c r="A136" s="8" t="str">
        <x:v>V7-S7a3de1a711</x:v>
      </x:c>
      <x:c r="B136" s="8" t="str">
        <x:v>Навигатор дополнительного образования: маркетплейс ДПО – Национальный исследовательский университет «Высшая школа экономики»</x:v>
      </x:c>
      <x:c r="C136" s="8" t="str">
        <x:v>КУ и образовательные партнерства</x:v>
      </x:c>
      <x:c r="D136" s="8" t="str">
        <x:v>Найден профессиональный/образовательный контекст. Покупательские запросы и возможность сбора еще не проверены.</x:v>
      </x:c>
      <x:c r="E136" s="8" t="str">
        <x:v>RU</x:v>
      </x:c>
      <x:c r="F136" s="8" t="str">
        <x:v>Сайт</x:v>
      </x:c>
      <x:c r="G136" s="8" t="str">
        <x:v>unverified_candidate</x:v>
      </x:c>
      <x:c r="H136" s="8" t="str">
        <x:v>Не проверен</x:v>
      </x:c>
      <x:c r="I136" s="8" t="str">
        <x:v>Не установлено</x:v>
      </x:c>
      <x:c r="J136" s="8" t="str">
        <x:v>Только контекст поиска</x:v>
      </x:c>
      <x:c r="K136" s="8" t="str">
        <x:v>Не установлено</x:v>
      </x:c>
      <x:c r="L136" s="8" t="str">
        <x:v>Не установлено</x:v>
      </x:c>
      <x:c r="M136" s="8" t="str">
        <x:v>Новый ключ источника</x:v>
      </x:c>
      <x:c r="N136" s="8" t="str">
        <x:v>Не установлено</x:v>
      </x:c>
      <x:c r="O136" s="8"/>
      <x:c r="P136" s="8" t="str">
        <x:v>https://busedu.hse.ru/news/expertise/</x:v>
      </x:c>
      <x:c r="Q136" s="8" t="str">
        <x:v>turn1209search3</x:v>
      </x:c>
    </x:row>
    <x:row r="137" ht="35.25" customHeight="1">
      <x:c r="A137" s="8" t="str">
        <x:v>V7-S32584e837e</x:v>
      </x:c>
      <x:c r="B137" s="8" t="str">
        <x:v>HR Gulaeva » Выставка-конференция НАОБОРОТ: Корпоративные Университеты</x:v>
      </x:c>
      <x:c r="C137" s="8" t="str">
        <x:v>КУ и образовательные партнерства</x:v>
      </x:c>
      <x:c r="D137" s="8" t="str">
        <x:v>Найден профессиональный/образовательный контекст. Покупательские запросы и возможность сбора еще не проверены.</x:v>
      </x:c>
      <x:c r="E137" s="8" t="str">
        <x:v>RU</x:v>
      </x:c>
      <x:c r="F137" s="8" t="str">
        <x:v>Сайт</x:v>
      </x:c>
      <x:c r="G137" s="8" t="str">
        <x:v>unverified_candidate</x:v>
      </x:c>
      <x:c r="H137" s="8" t="str">
        <x:v>Не проверен</x:v>
      </x:c>
      <x:c r="I137" s="8" t="str">
        <x:v>Не установлено</x:v>
      </x:c>
      <x:c r="J137" s="8" t="str">
        <x:v>Только контекст поиска</x:v>
      </x:c>
      <x:c r="K137" s="8" t="str">
        <x:v>Не установлено</x:v>
      </x:c>
      <x:c r="L137" s="8" t="str">
        <x:v>Не установлено</x:v>
      </x:c>
      <x:c r="M137" s="8" t="str">
        <x:v>Новый ключ источника</x:v>
      </x:c>
      <x:c r="N137" s="8" t="str">
        <x:v>Не установлено</x:v>
      </x:c>
      <x:c r="O137" s="8"/>
      <x:c r="P137" s="8" t="str">
        <x:v>https://hr-gulaeva.ru/?page_id=18</x:v>
      </x:c>
      <x:c r="Q137" s="8" t="str">
        <x:v>turn1214search3</x:v>
      </x:c>
    </x:row>
    <x:row r="138" ht="35.25" customHeight="1">
      <x:c r="A138" s="8" t="str">
        <x:v>V7-Sec810656a3</x:v>
      </x:c>
      <x:c r="B138" s="8" t="str">
        <x:v>Управление изменениями в компании | Обучение | Учебные Центры и Корпоративные университеты</x:v>
      </x:c>
      <x:c r="C138" s="8" t="str">
        <x:v>КУ и образовательные партнерства</x:v>
      </x:c>
      <x:c r="D138" s="8" t="str">
        <x:v>Найден профессиональный/образовательный контекст. Покупательские запросы и возможность сбора еще не проверены.</x:v>
      </x:c>
      <x:c r="E138" s="8" t="str">
        <x:v>RU</x:v>
      </x:c>
      <x:c r="F138" s="8" t="str">
        <x:v>Сайт</x:v>
      </x:c>
      <x:c r="G138" s="8" t="str">
        <x:v>unverified_candidate</x:v>
      </x:c>
      <x:c r="H138" s="8" t="str">
        <x:v>Не проверен</x:v>
      </x:c>
      <x:c r="I138" s="8" t="str">
        <x:v>Не установлено</x:v>
      </x:c>
      <x:c r="J138" s="8" t="str">
        <x:v>Только контекст поиска</x:v>
      </x:c>
      <x:c r="K138" s="8" t="str">
        <x:v>Не установлено</x:v>
      </x:c>
      <x:c r="L138" s="8" t="str">
        <x:v>Не установлено</x:v>
      </x:c>
      <x:c r="M138" s="8" t="str">
        <x:v>Новый ключ источника</x:v>
      </x:c>
      <x:c r="N138" s="8" t="str">
        <x:v>Не установлено</x:v>
      </x:c>
      <x:c r="O138" s="8"/>
      <x:c r="P138" s="8" t="str">
        <x:v>https://www.markus.spb.ru/teach/univer.shtml</x:v>
      </x:c>
      <x:c r="Q138" s="8" t="str">
        <x:v>turn1091search31; turn1210search11</x:v>
      </x:c>
    </x:row>
    <x:row r="139" ht="47.25" customHeight="1">
      <x:c r="A139" s="8" t="str">
        <x:v>V7-Sa592d7ee71</x:v>
      </x:c>
      <x:c r="B139" s="8" t="str">
        <x:v>19 июня, в пятницу, пройдёт мастер-класс «Как получить от государства 350 000 рублей на свое дело» - мероприятие Мой Бизнес</x:v>
      </x:c>
      <x:c r="C139" s="8" t="str">
        <x:v>Палаты и центры развития</x:v>
      </x:c>
      <x:c r="D139" s="8" t="str">
        <x:v>Найден профессиональный/образовательный контекст. Покупательские запросы и возможность сбора еще не проверены.</x:v>
      </x:c>
      <x:c r="E139" s="8" t="str">
        <x:v>RU</x:v>
      </x:c>
      <x:c r="F139" s="8" t="str">
        <x:v>Сайт</x:v>
      </x:c>
      <x:c r="G139" s="8" t="str">
        <x:v>unverified_candidate</x:v>
      </x:c>
      <x:c r="H139" s="8" t="str">
        <x:v>Не проверен</x:v>
      </x:c>
      <x:c r="I139" s="8" t="str">
        <x:v>Не установлено</x:v>
      </x:c>
      <x:c r="J139" s="8" t="str">
        <x:v>Только контекст поиска</x:v>
      </x:c>
      <x:c r="K139" s="8" t="str">
        <x:v>Не установлено</x:v>
      </x:c>
      <x:c r="L139" s="8" t="str">
        <x:v>Не установлено</x:v>
      </x:c>
      <x:c r="M139" s="8" t="str">
        <x:v>Новый ключ источника</x:v>
      </x:c>
      <x:c r="N139" s="8" t="str">
        <x:v>Не установлено</x:v>
      </x:c>
      <x:c r="O139" s="8"/>
      <x:c r="P139" s="8" t="str">
        <x:v>https://moibiz93.ru/events/meropriyatiya/19-iyunya-v-pyatnitsu-proydyet-master-klass-kak-poluchit-ot-gosudarstva-350-000-rubley-na-svoe-delo/</x:v>
      </x:c>
      <x:c r="Q139" s="8" t="str">
        <x:v>turn1267search1; turn1267search0</x:v>
      </x:c>
    </x:row>
    <x:row r="140" ht="47.25" customHeight="1">
      <x:c r="A140" s="8" t="str">
        <x:v>V7-S5f78107769</x:v>
      </x:c>
      <x:c r="B140" s="8" t="str">
        <x:v>Курс для самозанятых «Как стать спикером» | Развитие малого и среднего предпринимательства | Национальный проект | mybiz63 / майбиз63</x:v>
      </x:c>
      <x:c r="C140" s="8" t="str">
        <x:v>Палаты и центры развития</x:v>
      </x:c>
      <x:c r="D140" s="8" t="str">
        <x:v>Найден профессиональный/образовательный контекст. Покупательские запросы и возможность сбора еще не проверены.</x:v>
      </x:c>
      <x:c r="E140" s="8" t="str">
        <x:v>RU</x:v>
      </x:c>
      <x:c r="F140" s="8" t="str">
        <x:v>Сайт</x:v>
      </x:c>
      <x:c r="G140" s="8" t="str">
        <x:v>unverified_candidate</x:v>
      </x:c>
      <x:c r="H140" s="8" t="str">
        <x:v>Не проверен</x:v>
      </x:c>
      <x:c r="I140" s="8" t="str">
        <x:v>Не установлено</x:v>
      </x:c>
      <x:c r="J140" s="8" t="str">
        <x:v>Только контекст поиска</x:v>
      </x:c>
      <x:c r="K140" s="8" t="str">
        <x:v>Не установлено</x:v>
      </x:c>
      <x:c r="L140" s="8" t="str">
        <x:v>Не установлено</x:v>
      </x:c>
      <x:c r="M140" s="8" t="str">
        <x:v>Новый ключ источника</x:v>
      </x:c>
      <x:c r="N140" s="8" t="str">
        <x:v>Не установлено</x:v>
      </x:c>
      <x:c r="O140" s="8"/>
      <x:c r="P140" s="8" t="str">
        <x:v>https://mybiz63.ru/posts/events/kurs-dlia-samozaniatyx-kak-stat-spikerom</x:v>
      </x:c>
      <x:c r="Q140" s="8" t="str">
        <x:v>turn1102search8; turn1159search6; turn1267search4</x:v>
      </x:c>
    </x:row>
    <x:row r="141" ht="35.25" customHeight="1">
      <x:c r="A141" s="8" t="str">
        <x:v>V7-Sb0487f4809</x:v>
      </x:c>
      <x:c r="B141" s="8" t="str">
        <x:v>Как стать спикером центра «Мой бизнес» | Lifestyle | Селдон Новости</x:v>
      </x:c>
      <x:c r="C141" s="8" t="str">
        <x:v>Палаты и центры развития</x:v>
      </x:c>
      <x:c r="D141" s="8" t="str">
        <x:v>Найден профессиональный/образовательный контекст. Покупательские запросы и возможность сбора еще не проверены.</x:v>
      </x:c>
      <x:c r="E141" s="8" t="str">
        <x:v>Не установлена</x:v>
      </x:c>
      <x:c r="F141" s="8" t="str">
        <x:v>Сайт</x:v>
      </x:c>
      <x:c r="G141" s="8" t="str">
        <x:v>unverified_candidate</x:v>
      </x:c>
      <x:c r="H141" s="8" t="str">
        <x:v>Не проверен</x:v>
      </x:c>
      <x:c r="I141" s="8" t="str">
        <x:v>Не установлено</x:v>
      </x:c>
      <x:c r="J141" s="8" t="str">
        <x:v>Только контекст поиска</x:v>
      </x:c>
      <x:c r="K141" s="8" t="str">
        <x:v>Не установлено</x:v>
      </x:c>
      <x:c r="L141" s="8" t="str">
        <x:v>Не установлено</x:v>
      </x:c>
      <x:c r="M141" s="8" t="str">
        <x:v>Новый ключ источника</x:v>
      </x:c>
      <x:c r="N141" s="8" t="str">
        <x:v>Не установлено</x:v>
      </x:c>
      <x:c r="O141" s="8"/>
      <x:c r="P141" s="8" t="str">
        <x:v>https://myseldon.com/ru/news/index/340573575</x:v>
      </x:c>
      <x:c r="Q141" s="8" t="str">
        <x:v>turn1102search3; turn1267search3</x:v>
      </x:c>
    </x:row>
    <x:row r="142" ht="35.25" customHeight="1">
      <x:c r="A142" s="8" t="str">
        <x:v>V7-S6f27de0c33</x:v>
      </x:c>
      <x:c r="B142" s="8" t="str">
        <x:v>Союз «Торгово-промышленная палата Республики Башкортостан»</x:v>
      </x:c>
      <x:c r="C142" s="8" t="str">
        <x:v>Палаты и центры развития</x:v>
      </x:c>
      <x:c r="D142" s="8" t="str">
        <x:v>Найден профессиональный/образовательный контекст. Покупательские запросы и возможность сбора еще не проверены.</x:v>
      </x:c>
      <x:c r="E142" s="8" t="str">
        <x:v>RU</x:v>
      </x:c>
      <x:c r="F142" s="8" t="str">
        <x:v>Сайт</x:v>
      </x:c>
      <x:c r="G142" s="8" t="str">
        <x:v>unverified_candidate</x:v>
      </x:c>
      <x:c r="H142" s="8" t="str">
        <x:v>Не проверен</x:v>
      </x:c>
      <x:c r="I142" s="8" t="str">
        <x:v>Не установлено</x:v>
      </x:c>
      <x:c r="J142" s="8" t="str">
        <x:v>Только контекст поиска</x:v>
      </x:c>
      <x:c r="K142" s="8" t="str">
        <x:v>Не установлено</x:v>
      </x:c>
      <x:c r="L142" s="8" t="str">
        <x:v>Не установлено</x:v>
      </x:c>
      <x:c r="M142" s="8" t="str">
        <x:v>Новый ключ источника</x:v>
      </x:c>
      <x:c r="N142" s="8" t="str">
        <x:v>Не установлено</x:v>
      </x:c>
      <x:c r="O142" s="8"/>
      <x:c r="P142" s="8" t="str">
        <x:v>https://ufa.tpprf.ru/ru/</x:v>
      </x:c>
      <x:c r="Q142" s="8" t="str">
        <x:v>turn1102search27</x:v>
      </x:c>
    </x:row>
    <x:row r="143" ht="35.25" customHeight="1">
      <x:c r="A143" s="8" t="str">
        <x:v>V7-S53ddc491e5</x:v>
      </x:c>
      <x:c r="B143" s="8" t="str">
        <x:v>В Центре «Мой бизнес» подскажут, как привлечь финансы для бизнеса и найти помещение — ЯСИА</x:v>
      </x:c>
      <x:c r="C143" s="8" t="str">
        <x:v>Палаты и центры развития</x:v>
      </x:c>
      <x:c r="D143" s="8" t="str">
        <x:v>Найден профессиональный/образовательный контекст. Покупательские запросы и возможность сбора еще не проверены.</x:v>
      </x:c>
      <x:c r="E143" s="8" t="str">
        <x:v>RU</x:v>
      </x:c>
      <x:c r="F143" s="8" t="str">
        <x:v>Сайт</x:v>
      </x:c>
      <x:c r="G143" s="8" t="str">
        <x:v>unverified_candidate</x:v>
      </x:c>
      <x:c r="H143" s="8" t="str">
        <x:v>Не проверен</x:v>
      </x:c>
      <x:c r="I143" s="8" t="str">
        <x:v>Не установлено</x:v>
      </x:c>
      <x:c r="J143" s="8" t="str">
        <x:v>Только контекст поиска</x:v>
      </x:c>
      <x:c r="K143" s="8" t="str">
        <x:v>Не установлено</x:v>
      </x:c>
      <x:c r="L143" s="8" t="str">
        <x:v>Не установлено</x:v>
      </x:c>
      <x:c r="M143" s="8" t="str">
        <x:v>Новый ключ источника</x:v>
      </x:c>
      <x:c r="N143" s="8" t="str">
        <x:v>Не установлено</x:v>
      </x:c>
      <x:c r="O143" s="8"/>
      <x:c r="P143" s="8" t="str">
        <x:v>https://ysia.ru/v-tsentre-moj-biznes-podskazhut-kak-privlech-finansy-dlya-biznesa-i-najti-pomeshhenie/</x:v>
      </x:c>
      <x:c r="Q143" s="8" t="str">
        <x:v>turn1267search11</x:v>
      </x:c>
    </x:row>
    <x:row r="144" ht="47.25" customHeight="1">
      <x:c r="A144" s="8" t="str">
        <x:v>V7-Sc9fe82088c</x:v>
      </x:c>
      <x:c r="B144" s="8" t="str">
        <x:v>Центр «Мой бизнес» запускает медиашколу | Портал МСП Республики Крым</x:v>
      </x:c>
      <x:c r="C144" s="8" t="str">
        <x:v>Палаты и центры развития</x:v>
      </x:c>
      <x:c r="D144" s="8" t="str">
        <x:v>Найден профессиональный/образовательный контекст. Покупательские запросы и возможность сбора еще не проверены.</x:v>
      </x:c>
      <x:c r="E144" s="8" t="str">
        <x:v>RU</x:v>
      </x:c>
      <x:c r="F144" s="8" t="str">
        <x:v>Сайт</x:v>
      </x:c>
      <x:c r="G144" s="8" t="str">
        <x:v>unverified_candidate</x:v>
      </x:c>
      <x:c r="H144" s="8" t="str">
        <x:v>Не проверен</x:v>
      </x:c>
      <x:c r="I144" s="8" t="str">
        <x:v>Не установлено</x:v>
      </x:c>
      <x:c r="J144" s="8" t="str">
        <x:v>Только контекст поиска</x:v>
      </x:c>
      <x:c r="K144" s="8" t="str">
        <x:v>Не установлено</x:v>
      </x:c>
      <x:c r="L144" s="8" t="str">
        <x:v>Не установлено</x:v>
      </x:c>
      <x:c r="M144" s="8" t="str">
        <x:v>Новый ключ источника</x:v>
      </x:c>
      <x:c r="N144" s="8" t="str">
        <x:v>Не установлено</x:v>
      </x:c>
      <x:c r="O144" s="8"/>
      <x:c r="P144" s="8" t="str">
        <x:v>https://business.rk.gov.ru/media/news/podderzhka-predprinimatelej-osushhestvlyaetsya-po-naczionalnomu-proektu-%C2%ABeffektivnaya-i-konkurentnaya-ekonomika%C2%BB</x:v>
      </x:c>
      <x:c r="Q144" s="8" t="str">
        <x:v>turn1102search1</x:v>
      </x:c>
    </x:row>
    <x:row r="145" ht="35.25" customHeight="1">
      <x:c r="A145" s="8" t="str">
        <x:v>V7-Sb111311d1e</x:v>
      </x:c>
      <x:c r="B145" s="8" t="str">
        <x:v>Уважаемые предприниматели! – Центр поддержки экспорта</x:v>
      </x:c>
      <x:c r="C145" s="8" t="str">
        <x:v>Палаты и центры развития</x:v>
      </x:c>
      <x:c r="D145" s="8" t="str">
        <x:v>Найден профессиональный/образовательный контекст. Покупательские запросы и возможность сбора еще не проверены.</x:v>
      </x:c>
      <x:c r="E145" s="8" t="str">
        <x:v>RU</x:v>
      </x:c>
      <x:c r="F145" s="8" t="str">
        <x:v>Сайт</x:v>
      </x:c>
      <x:c r="G145" s="8" t="str">
        <x:v>unverified_candidate</x:v>
      </x:c>
      <x:c r="H145" s="8" t="str">
        <x:v>Не проверен</x:v>
      </x:c>
      <x:c r="I145" s="8" t="str">
        <x:v>Не установлено</x:v>
      </x:c>
      <x:c r="J145" s="8" t="str">
        <x:v>Только контекст поиска</x:v>
      </x:c>
      <x:c r="K145" s="8" t="str">
        <x:v>Не установлено</x:v>
      </x:c>
      <x:c r="L145" s="8" t="str">
        <x:v>Не установлено</x:v>
      </x:c>
      <x:c r="M145" s="8" t="str">
        <x:v>Новый ключ источника</x:v>
      </x:c>
      <x:c r="N145" s="8" t="str">
        <x:v>Не установлено</x:v>
      </x:c>
      <x:c r="O145" s="8"/>
      <x:c r="P145" s="8" t="str">
        <x:v>https://centerexport30.ru/bez-rubriki/uvazhaemye-predprinimateli-2/</x:v>
      </x:c>
      <x:c r="Q145" s="8" t="str">
        <x:v>turn1102search16</x:v>
      </x:c>
    </x:row>
    <x:row r="146" ht="35.25" customHeight="1">
      <x:c r="A146" s="8" t="str">
        <x:v>V7-S6368a636f3</x:v>
      </x:c>
      <x:c r="B146" s="8" t="str">
        <x:v>Главная - Центр поддержки экспорта</x:v>
      </x:c>
      <x:c r="C146" s="8" t="str">
        <x:v>Палаты и центры развития</x:v>
      </x:c>
      <x:c r="D146" s="8" t="str">
        <x:v>Найден профессиональный/образовательный контекст. Покупательские запросы и возможность сбора еще не проверены.</x:v>
      </x:c>
      <x:c r="E146" s="8" t="str">
        <x:v>RU</x:v>
      </x:c>
      <x:c r="F146" s="8" t="str">
        <x:v>Сайт</x:v>
      </x:c>
      <x:c r="G146" s="8" t="str">
        <x:v>unverified_candidate</x:v>
      </x:c>
      <x:c r="H146" s="8" t="str">
        <x:v>Не проверен</x:v>
      </x:c>
      <x:c r="I146" s="8" t="str">
        <x:v>Не установлено</x:v>
      </x:c>
      <x:c r="J146" s="8" t="str">
        <x:v>Только контекст поиска</x:v>
      </x:c>
      <x:c r="K146" s="8" t="str">
        <x:v>Не установлено</x:v>
      </x:c>
      <x:c r="L146" s="8" t="str">
        <x:v>Не установлено</x:v>
      </x:c>
      <x:c r="M146" s="8" t="str">
        <x:v>Новый ключ источника</x:v>
      </x:c>
      <x:c r="N146" s="8" t="str">
        <x:v>Не установлено</x:v>
      </x:c>
      <x:c r="O146" s="8"/>
      <x:c r="P146" s="8" t="str">
        <x:v>https://export01.ru/</x:v>
      </x:c>
      <x:c r="Q146" s="8" t="str">
        <x:v>turn1102search17</x:v>
      </x:c>
    </x:row>
    <x:row r="147" ht="47.25" customHeight="1">
      <x:c r="A147" s="8" t="str">
        <x:v>V7-S456bc0ae5b</x:v>
      </x:c>
      <x:c r="B147" s="8" t="str">
        <x:v>Открывается набор участников на акселерационную программу «Экспортный форсаж» - «Центр поддержки экспорта Мурманской области&amp;raquo</x:v>
      </x:c>
      <x:c r="C147" s="8" t="str">
        <x:v>Палаты и центры развития</x:v>
      </x:c>
      <x:c r="D147" s="8" t="str">
        <x:v>Найден профессиональный/образовательный контекст. Покупательские запросы и возможность сбора еще не проверены.</x:v>
      </x:c>
      <x:c r="E147" s="8" t="str">
        <x:v>RU</x:v>
      </x:c>
      <x:c r="F147" s="8" t="str">
        <x:v>Сайт</x:v>
      </x:c>
      <x:c r="G147" s="8" t="str">
        <x:v>unverified_candidate</x:v>
      </x:c>
      <x:c r="H147" s="8" t="str">
        <x:v>Не проверен</x:v>
      </x:c>
      <x:c r="I147" s="8" t="str">
        <x:v>Не установлено</x:v>
      </x:c>
      <x:c r="J147" s="8" t="str">
        <x:v>Только контекст поиска</x:v>
      </x:c>
      <x:c r="K147" s="8" t="str">
        <x:v>Не установлено</x:v>
      </x:c>
      <x:c r="L147" s="8" t="str">
        <x:v>Не установлено</x:v>
      </x:c>
      <x:c r="M147" s="8" t="str">
        <x:v>Новый ключ источника</x:v>
      </x:c>
      <x:c r="N147" s="8" t="str">
        <x:v>Не установлено</x:v>
      </x:c>
      <x:c r="O147" s="8"/>
      <x:c r="P147" s="8" t="str">
        <x:v>https://www.export51.ru/novosti-cpe/otkryvaetsya-nabor-uchastnikov-na-akseleracionnuyu-programmu-eksportnyj-forsazh/</x:v>
      </x:c>
      <x:c r="Q147" s="8" t="str">
        <x:v>turn1102search18; turn1102search22</x:v>
      </x:c>
    </x:row>
    <x:row r="148" ht="35.25" customHeight="1">
      <x:c r="A148" s="8" t="str">
        <x:v>V7-Sebea45008b</x:v>
      </x:c>
      <x:c r="B148" s="8" t="str">
        <x:v>Центр поддержки экспорта Смоленской области</x:v>
      </x:c>
      <x:c r="C148" s="8" t="str">
        <x:v>Палаты и центры развития</x:v>
      </x:c>
      <x:c r="D148" s="8" t="str">
        <x:v>Найден профессиональный/образовательный контекст. Покупательские запросы и возможность сбора еще не проверены.</x:v>
      </x:c>
      <x:c r="E148" s="8" t="str">
        <x:v>Не установлена</x:v>
      </x:c>
      <x:c r="F148" s="8" t="str">
        <x:v>Сайт</x:v>
      </x:c>
      <x:c r="G148" s="8" t="str">
        <x:v>unverified_candidate</x:v>
      </x:c>
      <x:c r="H148" s="8" t="str">
        <x:v>Не проверен</x:v>
      </x:c>
      <x:c r="I148" s="8" t="str">
        <x:v>Не установлено</x:v>
      </x:c>
      <x:c r="J148" s="8" t="str">
        <x:v>Только контекст поиска</x:v>
      </x:c>
      <x:c r="K148" s="8" t="str">
        <x:v>Не установлено</x:v>
      </x:c>
      <x:c r="L148" s="8" t="str">
        <x:v>Не установлено</x:v>
      </x:c>
      <x:c r="M148" s="8" t="str">
        <x:v>Новый ключ источника</x:v>
      </x:c>
      <x:c r="N148" s="8" t="str">
        <x:v>Не установлено</x:v>
      </x:c>
      <x:c r="O148" s="8"/>
      <x:c r="P148" s="8" t="str">
        <x:v>https://export67.com/</x:v>
      </x:c>
      <x:c r="Q148" s="8" t="str">
        <x:v>turn1102search23</x:v>
      </x:c>
    </x:row>
    <x:row r="149" ht="59.25" customHeight="1">
      <x:c r="A149" s="8" t="str">
        <x:v>V7-Sbcb39c2697</x:v>
      </x:c>
      <x:c r="B149" s="8" t="str">
        <x:v>Семинар: Выход на рынки ЕАЭС, преференции в госзакупках в Республике Беларусь — Выход на рынки ЕАЭС, преференции в госзакупках в Республике Беларусь</x:v>
      </x:c>
      <x:c r="C149" s="8" t="str">
        <x:v>Палаты и центры развития</x:v>
      </x:c>
      <x:c r="D149" s="8" t="str">
        <x:v>Найден профессиональный/образовательный контекст. Покупательские запросы и возможность сбора еще не проверены.</x:v>
      </x:c>
      <x:c r="E149" s="8" t="str">
        <x:v>BY</x:v>
      </x:c>
      <x:c r="F149" s="8" t="str">
        <x:v>Сайт</x:v>
      </x:c>
      <x:c r="G149" s="8" t="str">
        <x:v>unverified_candidate</x:v>
      </x:c>
      <x:c r="H149" s="8" t="str">
        <x:v>Не проверен</x:v>
      </x:c>
      <x:c r="I149" s="8" t="str">
        <x:v>Не установлено</x:v>
      </x:c>
      <x:c r="J149" s="8" t="str">
        <x:v>Только контекст поиска</x:v>
      </x:c>
      <x:c r="K149" s="8" t="str">
        <x:v>Не установлено</x:v>
      </x:c>
      <x:c r="L149" s="8" t="str">
        <x:v>Не установлено</x:v>
      </x:c>
      <x:c r="M149" s="8" t="str">
        <x:v>Новый ключ источника</x:v>
      </x:c>
      <x:c r="N149" s="8" t="str">
        <x:v>Не установлено</x:v>
      </x:c>
      <x:c r="O149" s="8"/>
      <x:c r="P149" s="8" t="str">
        <x:v>https://goods.cci.by/</x:v>
      </x:c>
      <x:c r="Q149" s="8" t="str">
        <x:v>turn1100search22</x:v>
      </x:c>
    </x:row>
    <x:row r="150" ht="35.25" customHeight="1">
      <x:c r="A150" s="8" t="str">
        <x:v>V7-S638033473a</x:v>
      </x:c>
      <x:c r="B150" s="8" t="str">
        <x:v>Новости - Центр поддержки экспорта ЕАО</x:v>
      </x:c>
      <x:c r="C150" s="8" t="str">
        <x:v>Палаты и центры развития</x:v>
      </x:c>
      <x:c r="D150" s="8" t="str">
        <x:v>Найден профессиональный/образовательный контекст. Покупательские запросы и возможность сбора еще не проверены.</x:v>
      </x:c>
      <x:c r="E150" s="8" t="str">
        <x:v>RU</x:v>
      </x:c>
      <x:c r="F150" s="8" t="str">
        <x:v>Сайт</x:v>
      </x:c>
      <x:c r="G150" s="8" t="str">
        <x:v>unverified_candidate</x:v>
      </x:c>
      <x:c r="H150" s="8" t="str">
        <x:v>Не проверен</x:v>
      </x:c>
      <x:c r="I150" s="8" t="str">
        <x:v>Не установлено</x:v>
      </x:c>
      <x:c r="J150" s="8" t="str">
        <x:v>Только контекст поиска</x:v>
      </x:c>
      <x:c r="K150" s="8" t="str">
        <x:v>Не установлено</x:v>
      </x:c>
      <x:c r="L150" s="8" t="str">
        <x:v>Не установлено</x:v>
      </x:c>
      <x:c r="M150" s="8" t="str">
        <x:v>Новый ключ источника</x:v>
      </x:c>
      <x:c r="N150" s="8" t="str">
        <x:v>Не установлено</x:v>
      </x:c>
      <x:c r="O150" s="8"/>
      <x:c r="P150" s="8" t="str">
        <x:v>https://jarexport.ru/news/</x:v>
      </x:c>
      <x:c r="Q150" s="8" t="str">
        <x:v>turn1102search19</x:v>
      </x:c>
    </x:row>
    <x:row r="151" ht="35.25" customHeight="1">
      <x:c r="A151" s="8" t="str">
        <x:v>V7-S1ee8273a71</x:v>
      </x:c>
      <x:c r="B151" s="8" t="str">
        <x:v>Мой бизнес</x:v>
      </x:c>
      <x:c r="C151" s="8" t="str">
        <x:v>Палаты и центры развития</x:v>
      </x:c>
      <x:c r="D151" s="8" t="str">
        <x:v>Найден профессиональный/образовательный контекст. Покупательские запросы и возможность сбора еще не проверены.</x:v>
      </x:c>
      <x:c r="E151" s="8" t="str">
        <x:v>RU</x:v>
      </x:c>
      <x:c r="F151" s="8" t="str">
        <x:v>Сайт</x:v>
      </x:c>
      <x:c r="G151" s="8" t="str">
        <x:v>unverified_candidate</x:v>
      </x:c>
      <x:c r="H151" s="8" t="str">
        <x:v>Не проверен</x:v>
      </x:c>
      <x:c r="I151" s="8" t="str">
        <x:v>Не установлено</x:v>
      </x:c>
      <x:c r="J151" s="8" t="str">
        <x:v>Только контекст поиска</x:v>
      </x:c>
      <x:c r="K151" s="8" t="str">
        <x:v>Не установлено</x:v>
      </x:c>
      <x:c r="L151" s="8" t="str">
        <x:v>Не установлено</x:v>
      </x:c>
      <x:c r="M151" s="8" t="str">
        <x:v>Новый ключ источника</x:v>
      </x:c>
      <x:c r="N151" s="8" t="str">
        <x:v>Не установлено</x:v>
      </x:c>
      <x:c r="O151" s="8"/>
      <x:c r="P151" s="8" t="str">
        <x:v>https://mb30.ru/</x:v>
      </x:c>
      <x:c r="Q151" s="8" t="str">
        <x:v>turn1267search8</x:v>
      </x:c>
    </x:row>
    <x:row r="152" ht="35.25" customHeight="1">
      <x:c r="A152" s="8" t="str">
        <x:v>V7-S67a95a1d43</x:v>
      </x:c>
      <x:c r="B152" s="8" t="str">
        <x:v>Центр развития и поддержки предпринимательства в НСО | Центр Мой Бизнес</x:v>
      </x:c>
      <x:c r="C152" s="8" t="str">
        <x:v>Палаты и центры развития</x:v>
      </x:c>
      <x:c r="D152" s="8" t="str">
        <x:v>Найден профессиональный/образовательный контекст. Покупательские запросы и возможность сбора еще не проверены.</x:v>
      </x:c>
      <x:c r="E152" s="8" t="str">
        <x:v>RU</x:v>
      </x:c>
      <x:c r="F152" s="8" t="str">
        <x:v>Сайт</x:v>
      </x:c>
      <x:c r="G152" s="8" t="str">
        <x:v>unverified_candidate</x:v>
      </x:c>
      <x:c r="H152" s="8" t="str">
        <x:v>Не проверен</x:v>
      </x:c>
      <x:c r="I152" s="8" t="str">
        <x:v>Не установлено</x:v>
      </x:c>
      <x:c r="J152" s="8" t="str">
        <x:v>Только контекст поиска</x:v>
      </x:c>
      <x:c r="K152" s="8" t="str">
        <x:v>Не установлено</x:v>
      </x:c>
      <x:c r="L152" s="8" t="str">
        <x:v>Не установлено</x:v>
      </x:c>
      <x:c r="M152" s="8" t="str">
        <x:v>Новый ключ источника</x:v>
      </x:c>
      <x:c r="N152" s="8" t="str">
        <x:v>Не установлено</x:v>
      </x:c>
      <x:c r="O152" s="8"/>
      <x:c r="P152" s="8" t="str">
        <x:v>https://mbnso.ru/info/</x:v>
      </x:c>
      <x:c r="Q152" s="8" t="str">
        <x:v>turn1102search11</x:v>
      </x:c>
    </x:row>
    <x:row r="153" ht="35.25" customHeight="1">
      <x:c r="A153" s="8" t="str">
        <x:v>V7-S60fdf1b4ae</x:v>
      </x:c>
      <x:c r="B153" s="8" t="str">
        <x:v>Центр поддержки экспорта Пермского края</x:v>
      </x:c>
      <x:c r="C153" s="8" t="str">
        <x:v>Палаты и центры развития</x:v>
      </x:c>
      <x:c r="D153" s="8" t="str">
        <x:v>Найден профессиональный/образовательный контекст. Покупательские запросы и возможность сбора еще не проверены.</x:v>
      </x:c>
      <x:c r="E153" s="8" t="str">
        <x:v>RU</x:v>
      </x:c>
      <x:c r="F153" s="8" t="str">
        <x:v>Сайт</x:v>
      </x:c>
      <x:c r="G153" s="8" t="str">
        <x:v>unverified_candidate</x:v>
      </x:c>
      <x:c r="H153" s="8" t="str">
        <x:v>Не проверен</x:v>
      </x:c>
      <x:c r="I153" s="8" t="str">
        <x:v>Не установлено</x:v>
      </x:c>
      <x:c r="J153" s="8" t="str">
        <x:v>Только контекст поиска</x:v>
      </x:c>
      <x:c r="K153" s="8" t="str">
        <x:v>Не установлено</x:v>
      </x:c>
      <x:c r="L153" s="8" t="str">
        <x:v>Не установлено</x:v>
      </x:c>
      <x:c r="M153" s="8" t="str">
        <x:v>Новый ключ источника</x:v>
      </x:c>
      <x:c r="N153" s="8" t="str">
        <x:v>Не установлено</x:v>
      </x:c>
      <x:c r="O153" s="8"/>
      <x:c r="P153" s="8" t="str">
        <x:v>https://perm-export.ru/</x:v>
      </x:c>
      <x:c r="Q153" s="8" t="str">
        <x:v>turn1102search2</x:v>
      </x:c>
    </x:row>
    <x:row r="154" ht="47.25" customHeight="1">
      <x:c r="A154" s="8" t="str">
        <x:v>V7-Sfc5baa13e2</x:v>
      </x:c>
      <x:c r="B154" s="8" t="str">
        <x:v>Центр «Мой Бизнес» приглашает на образовательную программу «Бизнес: от А до Я» | Портал малого и среднего предпринимательства РС(Я)</x:v>
      </x:c>
      <x:c r="C154" s="8" t="str">
        <x:v>Палаты и центры развития</x:v>
      </x:c>
      <x:c r="D154" s="8" t="str">
        <x:v>Найден профессиональный/образовательный контекст. Покупательские запросы и возможность сбора еще не проверены.</x:v>
      </x:c>
      <x:c r="E154" s="8" t="str">
        <x:v>Не установлена</x:v>
      </x:c>
      <x:c r="F154" s="8" t="str">
        <x:v>Сайт</x:v>
      </x:c>
      <x:c r="G154" s="8" t="str">
        <x:v>unverified_candidate</x:v>
      </x:c>
      <x:c r="H154" s="8" t="str">
        <x:v>Не проверен</x:v>
      </x:c>
      <x:c r="I154" s="8" t="str">
        <x:v>Не установлено</x:v>
      </x:c>
      <x:c r="J154" s="8" t="str">
        <x:v>Только контекст поиска</x:v>
      </x:c>
      <x:c r="K154" s="8" t="str">
        <x:v>Не установлено</x:v>
      </x:c>
      <x:c r="L154" s="8" t="str">
        <x:v>Не установлено</x:v>
      </x:c>
      <x:c r="M154" s="8" t="str">
        <x:v>Новый ключ источника</x:v>
      </x:c>
      <x:c r="N154" s="8" t="str">
        <x:v>Не установлено</x:v>
      </x:c>
      <x:c r="O154" s="8"/>
      <x:c r="P154" s="8" t="str">
        <x:v>https://xn--14-9kcqjffxnf3b.xn--p1ai/news/tsentr-moj-biznes-priglashaet-na-obrazovatelnuyu-programmu-biznes-ot-a-do-ya-6/</x:v>
      </x:c>
      <x:c r="Q154" s="8" t="str">
        <x:v>turn1102search13</x:v>
      </x:c>
    </x:row>
    <x:row r="155" ht="59.25" customHeight="1">
      <x:c r="A155" s="8" t="str">
        <x:v>V7-Se040d8d644</x:v>
      </x:c>
      <x:c r="B155" s="8" t="str">
        <x:v>Диалог бизнеса, образования и государства: форум рабочих профессий прошел в Астане | Национальная палата предпринимателей Республики Казахстан «Атамекен»</x:v>
      </x:c>
      <x:c r="C155" s="8" t="str">
        <x:v>Палаты и центры развития</x:v>
      </x:c>
      <x:c r="D155" s="8" t="str">
        <x:v>Найден профессиональный/образовательный контекст. Покупательские запросы и возможность сбора еще не проверены.</x:v>
      </x:c>
      <x:c r="E155" s="8" t="str">
        <x:v>KZ</x:v>
      </x:c>
      <x:c r="F155" s="8" t="str">
        <x:v>Сайт</x:v>
      </x:c>
      <x:c r="G155" s="8" t="str">
        <x:v>unverified_candidate</x:v>
      </x:c>
      <x:c r="H155" s="8" t="str">
        <x:v>Не проверен</x:v>
      </x:c>
      <x:c r="I155" s="8" t="str">
        <x:v>Не установлено</x:v>
      </x:c>
      <x:c r="J155" s="8" t="str">
        <x:v>Только контекст поиска</x:v>
      </x:c>
      <x:c r="K155" s="8" t="str">
        <x:v>Не установлено</x:v>
      </x:c>
      <x:c r="L155" s="8" t="str">
        <x:v>Не установлено</x:v>
      </x:c>
      <x:c r="M155" s="8" t="str">
        <x:v>Новый ключ источника</x:v>
      </x:c>
      <x:c r="N155" s="8" t="str">
        <x:v>Не установлено</x:v>
      </x:c>
      <x:c r="O155" s="8"/>
      <x:c r="P155" s="8" t="str">
        <x:v>https://almaty.atameken.kz/ru/news/54677-dialog-biznesa-obrazovaniya-i-gosudarstva-forum-rabochih-professij-proshel-v-astane</x:v>
      </x:c>
      <x:c r="Q155" s="8" t="str">
        <x:v>turn1100search15</x:v>
      </x:c>
    </x:row>
    <x:row r="156" ht="35.25" customHeight="1">
      <x:c r="A156" s="8" t="str">
        <x:v>V7-S19e0e7c038</x:v>
      </x:c>
      <x:c r="B156" s="8" t="str">
        <x:v>Қайта даярлау курстары</x:v>
      </x:c>
      <x:c r="C156" s="8" t="str">
        <x:v>Палаты и центры развития</x:v>
      </x:c>
      <x:c r="D156" s="8" t="str">
        <x:v>Найден профессиональный/образовательный контекст. Покупательские запросы и возможность сбора еще не проверены.</x:v>
      </x:c>
      <x:c r="E156" s="8" t="str">
        <x:v>KZ</x:v>
      </x:c>
      <x:c r="F156" s="8" t="str">
        <x:v>Сайт</x:v>
      </x:c>
      <x:c r="G156" s="8" t="str">
        <x:v>unverified_candidate</x:v>
      </x:c>
      <x:c r="H156" s="8" t="str">
        <x:v>Не проверен</x:v>
      </x:c>
      <x:c r="I156" s="8" t="str">
        <x:v>Не установлено</x:v>
      </x:c>
      <x:c r="J156" s="8" t="str">
        <x:v>Только контекст поиска</x:v>
      </x:c>
      <x:c r="K156" s="8" t="str">
        <x:v>Не установлено</x:v>
      </x:c>
      <x:c r="L156" s="8" t="str">
        <x:v>Не установлено</x:v>
      </x:c>
      <x:c r="M156" s="8" t="str">
        <x:v>Новый ключ источника</x:v>
      </x:c>
      <x:c r="N156" s="8" t="str">
        <x:v>Не установлено</x:v>
      </x:c>
      <x:c r="O156" s="8"/>
      <x:c r="P156" s="8" t="str">
        <x:v>https://www.apa.kz/profdev-kz/qajta-dayarlau-kurstary-2/</x:v>
      </x:c>
      <x:c r="Q156" s="8" t="str">
        <x:v>turn1212search5</x:v>
      </x:c>
    </x:row>
    <x:row r="157" ht="59.25" customHeight="1">
      <x:c r="A157" s="8" t="str">
        <x:v>V7-S44e4936216</x:v>
      </x:c>
      <x:c r="B157" s="8" t="str">
        <x:v>Палата предпринимателей г.Шымкент, дуальная система обучения, наставничество | Национальная палата предпринимателей Республики Казахстан «Атамекен»</x:v>
      </x:c>
      <x:c r="C157" s="8" t="str">
        <x:v>Палаты и центры развития</x:v>
      </x:c>
      <x:c r="D157" s="8" t="str">
        <x:v>Найден профессиональный/образовательный контекст. Покупательские запросы и возможность сбора еще не проверены.</x:v>
      </x:c>
      <x:c r="E157" s="8" t="str">
        <x:v>KZ</x:v>
      </x:c>
      <x:c r="F157" s="8" t="str">
        <x:v>Сайт</x:v>
      </x:c>
      <x:c r="G157" s="8" t="str">
        <x:v>unverified_candidate</x:v>
      </x:c>
      <x:c r="H157" s="8" t="str">
        <x:v>Не проверен</x:v>
      </x:c>
      <x:c r="I157" s="8" t="str">
        <x:v>Не установлено</x:v>
      </x:c>
      <x:c r="J157" s="8" t="str">
        <x:v>Только контекст поиска</x:v>
      </x:c>
      <x:c r="K157" s="8" t="str">
        <x:v>Не установлено</x:v>
      </x:c>
      <x:c r="L157" s="8" t="str">
        <x:v>Не установлено</x:v>
      </x:c>
      <x:c r="M157" s="8" t="str">
        <x:v>Новый ключ источника</x:v>
      </x:c>
      <x:c r="N157" s="8" t="str">
        <x:v>Не установлено</x:v>
      </x:c>
      <x:c r="O157" s="8"/>
      <x:c r="P157" s="8" t="str">
        <x:v>https://atyrau.atameken.kz/ru/news/54667-god-rabochih-professii-okolo-0-shymkentskih-specialistov-stali-sertificirovannymi-nastavnikami</x:v>
      </x:c>
      <x:c r="Q157" s="8" t="str">
        <x:v>turn1100search10</x:v>
      </x:c>
    </x:row>
    <x:row r="158" ht="35.25" customHeight="1">
      <x:c r="A158" s="8" t="str">
        <x:v>V7-S613c944602</x:v>
      </x:c>
      <x:c r="B158" s="8" t="str">
        <x:v>Спикер по искусственному интеллекту для центров «Мой бизнес»</x:v>
      </x:c>
      <x:c r="C158" s="8" t="str">
        <x:v>Палаты и центры развития</x:v>
      </x:c>
      <x:c r="D158" s="8" t="str">
        <x:v>Найден профессиональный/образовательный контекст. Покупательские запросы и возможность сбора еще не проверены.</x:v>
      </x:c>
      <x:c r="E158" s="8" t="str">
        <x:v>Не установлена</x:v>
      </x:c>
      <x:c r="F158" s="8" t="str">
        <x:v>Сайт</x:v>
      </x:c>
      <x:c r="G158" s="8" t="str">
        <x:v>unverified_candidate</x:v>
      </x:c>
      <x:c r="H158" s="8" t="str">
        <x:v>Не проверен</x:v>
      </x:c>
      <x:c r="I158" s="8" t="str">
        <x:v>Не установлено</x:v>
      </x:c>
      <x:c r="J158" s="8" t="str">
        <x:v>Только контекст поиска</x:v>
      </x:c>
      <x:c r="K158" s="8" t="str">
        <x:v>Не установлено</x:v>
      </x:c>
      <x:c r="L158" s="8" t="str">
        <x:v>Не установлено</x:v>
      </x:c>
      <x:c r="M158" s="8" t="str">
        <x:v>Новый ключ источника</x:v>
      </x:c>
      <x:c r="N158" s="8" t="str">
        <x:v>Не установлено</x:v>
      </x:c>
      <x:c r="O158" s="8"/>
      <x:c r="P158" s="8" t="str">
        <x:v>https://borisov.academy/edu/my-business/</x:v>
      </x:c>
      <x:c r="Q158" s="8" t="str">
        <x:v>turn1102search14</x:v>
      </x:c>
    </x:row>
    <x:row r="159" ht="35.25" customHeight="1">
      <x:c r="A159" s="8" t="str">
        <x:v>V7-Sc4eb7f5f42</x:v>
      </x:c>
      <x:c r="B159" s="8" t="str">
        <x:v>Образовательный проект : Центр поддержки экспорта</x:v>
      </x:c>
      <x:c r="C159" s="8" t="str">
        <x:v>Палаты и центры развития</x:v>
      </x:c>
      <x:c r="D159" s="8" t="str">
        <x:v>Найден профессиональный/образовательный контекст. Покупательские запросы и возможность сбора еще не проверены.</x:v>
      </x:c>
      <x:c r="E159" s="8" t="str">
        <x:v>RU</x:v>
      </x:c>
      <x:c r="F159" s="8" t="str">
        <x:v>Сайт</x:v>
      </x:c>
      <x:c r="G159" s="8" t="str">
        <x:v>unverified_candidate</x:v>
      </x:c>
      <x:c r="H159" s="8" t="str">
        <x:v>Не проверен</x:v>
      </x:c>
      <x:c r="I159" s="8" t="str">
        <x:v>Не установлено</x:v>
      </x:c>
      <x:c r="J159" s="8" t="str">
        <x:v>Только контекст поиска</x:v>
      </x:c>
      <x:c r="K159" s="8" t="str">
        <x:v>Не установлено</x:v>
      </x:c>
      <x:c r="L159" s="8" t="str">
        <x:v>Не установлено</x:v>
      </x:c>
      <x:c r="M159" s="8" t="str">
        <x:v>Новый ключ источника</x:v>
      </x:c>
      <x:c r="N159" s="8" t="str">
        <x:v>Не установлено</x:v>
      </x:c>
      <x:c r="O159" s="8"/>
      <x:c r="P159" s="8" t="str">
        <x:v>https://export-rt.ru/rf-ekspo-centr/obrazovatelnyj-proekt</x:v>
      </x:c>
      <x:c r="Q159" s="8" t="str">
        <x:v>turn1102search9</x:v>
      </x:c>
    </x:row>
    <x:row r="160" ht="35.25" customHeight="1">
      <x:c r="A160" s="8" t="str">
        <x:v>V7-Sbc52834073</x:v>
      </x:c>
      <x:c r="B160" s="8" t="str">
        <x:v>Центр поддержки экспорта Ростовской области</x:v>
      </x:c>
      <x:c r="C160" s="8" t="str">
        <x:v>Палаты и центры развития</x:v>
      </x:c>
      <x:c r="D160" s="8" t="str">
        <x:v>Найден профессиональный/образовательный контекст. Покупательские запросы и возможность сбора еще не проверены.</x:v>
      </x:c>
      <x:c r="E160" s="8" t="str">
        <x:v>Не установлена</x:v>
      </x:c>
      <x:c r="F160" s="8" t="str">
        <x:v>Сайт</x:v>
      </x:c>
      <x:c r="G160" s="8" t="str">
        <x:v>unverified_candidate</x:v>
      </x:c>
      <x:c r="H160" s="8" t="str">
        <x:v>Не проверен</x:v>
      </x:c>
      <x:c r="I160" s="8" t="str">
        <x:v>Не установлено</x:v>
      </x:c>
      <x:c r="J160" s="8" t="str">
        <x:v>Только контекст поиска</x:v>
      </x:c>
      <x:c r="K160" s="8" t="str">
        <x:v>Не установлено</x:v>
      </x:c>
      <x:c r="L160" s="8" t="str">
        <x:v>Не установлено</x:v>
      </x:c>
      <x:c r="M160" s="8" t="str">
        <x:v>Новый ключ источника</x:v>
      </x:c>
      <x:c r="N160" s="8" t="str">
        <x:v>Не установлено</x:v>
      </x:c>
      <x:c r="O160" s="8"/>
      <x:c r="P160" s="8" t="str">
        <x:v>https://www.export161.com/services/eksportnaya-akseleraciya</x:v>
      </x:c>
      <x:c r="Q160" s="8" t="str">
        <x:v>turn1102search21</x:v>
      </x:c>
    </x:row>
    <x:row r="161" ht="83.25" customHeight="1">
      <x:c r="A161" s="8" t="str">
        <x:v>V7-S933dd30d00</x:v>
      </x:c>
      <x:c r="B161" s="8" t="str">
        <x:v>Участники Конкурса могут реализовывать образовательные программы и/или просветительские проекты как для действующих субъектов малого и среднего предпринимательства, так и для будущих предпринимателей – молодёжной аудитории в возрасте 14-35 лет.</x:v>
      </x:c>
      <x:c r="C161" s="8" t="str">
        <x:v>Палаты и центры развития</x:v>
      </x:c>
      <x:c r="D161" s="8" t="str">
        <x:v>Найден профессиональный/образовательный контекст. Покупательские запросы и возможность сбора еще не проверены.</x:v>
      </x:c>
      <x:c r="E161" s="8" t="str">
        <x:v>RU</x:v>
      </x:c>
      <x:c r="F161" s="8" t="str">
        <x:v>Сайт</x:v>
      </x:c>
      <x:c r="G161" s="8" t="str">
        <x:v>unverified_candidate</x:v>
      </x:c>
      <x:c r="H161" s="8" t="str">
        <x:v>Не проверен</x:v>
      </x:c>
      <x:c r="I161" s="8" t="str">
        <x:v>Не установлено</x:v>
      </x:c>
      <x:c r="J161" s="8" t="str">
        <x:v>Только контекст поиска</x:v>
      </x:c>
      <x:c r="K161" s="8" t="str">
        <x:v>Не установлено</x:v>
      </x:c>
      <x:c r="L161" s="8" t="str">
        <x:v>Не установлено</x:v>
      </x:c>
      <x:c r="M161" s="8" t="str">
        <x:v>Новый ключ источника</x:v>
      </x:c>
      <x:c r="N161" s="8" t="str">
        <x:v>Не установлено</x:v>
      </x:c>
      <x:c r="O161" s="8"/>
      <x:c r="P161" s="8" t="str">
        <x:v>https://fincubator.ru/upload/iblock/c5b/9dl64h2a90p8qg7eay98wqnk080zqquc.pdf</x:v>
      </x:c>
      <x:c r="Q161" s="8" t="str">
        <x:v>turn1100search27</x:v>
      </x:c>
    </x:row>
    <x:row r="162" ht="35.25" customHeight="1">
      <x:c r="A162" s="8" t="str">
        <x:v>V7-Sf37d2b06e5</x:v>
      </x:c>
      <x:c r="B162" s="8" t="str">
        <x:v>Семинар об инструментах финансовой поддержки для малого и среднего бизнеса</x:v>
      </x:c>
      <x:c r="C162" s="8" t="str">
        <x:v>Палаты и центры развития</x:v>
      </x:c>
      <x:c r="D162" s="8" t="str">
        <x:v>Найден профессиональный/образовательный контекст. Покупательские запросы и возможность сбора еще не проверены.</x:v>
      </x:c>
      <x:c r="E162" s="8" t="str">
        <x:v>BY</x:v>
      </x:c>
      <x:c r="F162" s="8" t="str">
        <x:v>Сайт</x:v>
      </x:c>
      <x:c r="G162" s="8" t="str">
        <x:v>unverified_candidate</x:v>
      </x:c>
      <x:c r="H162" s="8" t="str">
        <x:v>Не проверен</x:v>
      </x:c>
      <x:c r="I162" s="8" t="str">
        <x:v>Не установлено</x:v>
      </x:c>
      <x:c r="J162" s="8" t="str">
        <x:v>Только контекст поиска</x:v>
      </x:c>
      <x:c r="K162" s="8" t="str">
        <x:v>Не установлено</x:v>
      </x:c>
      <x:c r="L162" s="8" t="str">
        <x:v>Не установлено</x:v>
      </x:c>
      <x:c r="M162" s="8" t="str">
        <x:v>Новый ключ источника</x:v>
      </x:c>
      <x:c r="N162" s="8" t="str">
        <x:v>Не установлено</x:v>
      </x:c>
      <x:c r="O162" s="8"/>
      <x:c r="P162" s="8" t="str">
        <x:v>https://mgtp.by/seminar-ob-instrumentah-finansovoj-podderzhki-dlya-malogo-i-srednego-biznesa/</x:v>
      </x:c>
      <x:c r="Q162" s="8" t="str">
        <x:v>turn1100search8</x:v>
      </x:c>
    </x:row>
    <x:row r="163" ht="35.25" customHeight="1">
      <x:c r="A163" s="8" t="str">
        <x:v>V7-S6b0056065e</x:v>
      </x:c>
      <x:c r="B163" s="8" t="str">
        <x:v>Мультимедиа тренингіне шақырамыз – Мінбер – Ақпарат агенттігі</x:v>
      </x:c>
      <x:c r="C163" s="8" t="str">
        <x:v>Палаты и центры развития</x:v>
      </x:c>
      <x:c r="D163" s="8" t="str">
        <x:v>Найден профессиональный/образовательный контекст. Покупательские запросы и возможность сбора еще не проверены.</x:v>
      </x:c>
      <x:c r="E163" s="8" t="str">
        <x:v>KZ</x:v>
      </x:c>
      <x:c r="F163" s="8" t="str">
        <x:v>Сайт</x:v>
      </x:c>
      <x:c r="G163" s="8" t="str">
        <x:v>unverified_candidate</x:v>
      </x:c>
      <x:c r="H163" s="8" t="str">
        <x:v>Не проверен</x:v>
      </x:c>
      <x:c r="I163" s="8" t="str">
        <x:v>Не установлено</x:v>
      </x:c>
      <x:c r="J163" s="8" t="str">
        <x:v>Только контекст поиска</x:v>
      </x:c>
      <x:c r="K163" s="8" t="str">
        <x:v>Не установлено</x:v>
      </x:c>
      <x:c r="L163" s="8" t="str">
        <x:v>Не установлено</x:v>
      </x:c>
      <x:c r="M163" s="8" t="str">
        <x:v>Новый ключ источника</x:v>
      </x:c>
      <x:c r="N163" s="8" t="str">
        <x:v>Не установлено</x:v>
      </x:c>
      <x:c r="O163" s="8"/>
      <x:c r="P163" s="8" t="str">
        <x:v>https://www.minber.kz/2014/01/training-on-multimedia/</x:v>
      </x:c>
      <x:c r="Q163" s="8" t="str">
        <x:v>turn1212search2</x:v>
      </x:c>
    </x:row>
    <x:row r="164" ht="47.25" customHeight="1">
      <x:c r="A164" s="8" t="str">
        <x:v>V7-Sd54f2c65a5</x:v>
      </x:c>
      <x:c r="B164" s="8" t="str">
        <x:v>Проект Бастау. Вопросы - Ответы. НПП "Атамекен" | Национальная палата предпринимателей Республики Казахстан «Атамекен»</x:v>
      </x:c>
      <x:c r="C164" s="8" t="str">
        <x:v>Палаты и центры развития</x:v>
      </x:c>
      <x:c r="D164" s="8" t="str">
        <x:v>Найден профессиональный/образовательный контекст. Покупательские запросы и возможность сбора еще не проверены.</x:v>
      </x:c>
      <x:c r="E164" s="8" t="str">
        <x:v>KZ</x:v>
      </x:c>
      <x:c r="F164" s="8" t="str">
        <x:v>Сайт</x:v>
      </x:c>
      <x:c r="G164" s="8" t="str">
        <x:v>unverified_candidate</x:v>
      </x:c>
      <x:c r="H164" s="8" t="str">
        <x:v>Не проверен</x:v>
      </x:c>
      <x:c r="I164" s="8" t="str">
        <x:v>Не установлено</x:v>
      </x:c>
      <x:c r="J164" s="8" t="str">
        <x:v>Только контекст поиска</x:v>
      </x:c>
      <x:c r="K164" s="8" t="str">
        <x:v>Не установлено</x:v>
      </x:c>
      <x:c r="L164" s="8" t="str">
        <x:v>Не установлено</x:v>
      </x:c>
      <x:c r="M164" s="8" t="str">
        <x:v>Новый ключ источника</x:v>
      </x:c>
      <x:c r="N164" s="8" t="str">
        <x:v>Не установлено</x:v>
      </x:c>
      <x:c r="O164" s="8"/>
      <x:c r="P164" s="8" t="str">
        <x:v>https://qonayev.atameken.kz/ru/pages/880</x:v>
      </x:c>
      <x:c r="Q164" s="8" t="str">
        <x:v>turn1100search7</x:v>
      </x:c>
    </x:row>
    <x:row r="165" ht="35.25" customHeight="1">
      <x:c r="A165" s="8" t="str">
        <x:v>V7-S2733f1f05d</x:v>
      </x:c>
      <x:c r="B165" s="8" t="str">
        <x:v>Обучение</x:v>
      </x:c>
      <x:c r="C165" s="8" t="str">
        <x:v>Палаты и центры развития</x:v>
      </x:c>
      <x:c r="D165" s="8" t="str">
        <x:v>Найден профессиональный/образовательный контекст. Покупательские запросы и возможность сбора еще не проверены.</x:v>
      </x:c>
      <x:c r="E165" s="8" t="str">
        <x:v>RU</x:v>
      </x:c>
      <x:c r="F165" s="8" t="str">
        <x:v>Сайт</x:v>
      </x:c>
      <x:c r="G165" s="8" t="str">
        <x:v>unverified_candidate</x:v>
      </x:c>
      <x:c r="H165" s="8" t="str">
        <x:v>Не проверен</x:v>
      </x:c>
      <x:c r="I165" s="8" t="str">
        <x:v>Не установлено</x:v>
      </x:c>
      <x:c r="J165" s="8" t="str">
        <x:v>Только контекст поиска</x:v>
      </x:c>
      <x:c r="K165" s="8" t="str">
        <x:v>Не установлено</x:v>
      </x:c>
      <x:c r="L165" s="8" t="str">
        <x:v>Не установлено</x:v>
      </x:c>
      <x:c r="M165" s="8" t="str">
        <x:v>Новый ключ источника</x:v>
      </x:c>
      <x:c r="N165" s="8" t="str">
        <x:v>Не установлено</x:v>
      </x:c>
      <x:c r="O165" s="8"/>
      <x:c r="P165" s="8" t="str">
        <x:v>https://www.saratov-bis.ru/cpp/services/obuchenie/</x:v>
      </x:c>
      <x:c r="Q165" s="8" t="str">
        <x:v>turn1102search12</x:v>
      </x:c>
    </x:row>
    <x:row r="166" ht="47.25" customHeight="1">
      <x:c r="A166" s="8" t="str">
        <x:v>V7-S250decceae</x:v>
      </x:c>
      <x:c r="B166" s="8" t="str">
        <x:v>Пройти обучение по инструменту «Бизнес школа» теперь можно онлайн | Национальная палата предпринимателей Республики Казахстан «Атамекен»</x:v>
      </x:c>
      <x:c r="C166" s="8" t="str">
        <x:v>Палаты и центры развития</x:v>
      </x:c>
      <x:c r="D166" s="8" t="str">
        <x:v>Найден профессиональный/образовательный контекст. Покупательские запросы и возможность сбора еще не проверены.</x:v>
      </x:c>
      <x:c r="E166" s="8" t="str">
        <x:v>KZ</x:v>
      </x:c>
      <x:c r="F166" s="8" t="str">
        <x:v>Сайт</x:v>
      </x:c>
      <x:c r="G166" s="8" t="str">
        <x:v>unverified_candidate</x:v>
      </x:c>
      <x:c r="H166" s="8" t="str">
        <x:v>Не проверен</x:v>
      </x:c>
      <x:c r="I166" s="8" t="str">
        <x:v>Не установлено</x:v>
      </x:c>
      <x:c r="J166" s="8" t="str">
        <x:v>Только контекст поиска</x:v>
      </x:c>
      <x:c r="K166" s="8" t="str">
        <x:v>Не установлено</x:v>
      </x:c>
      <x:c r="L166" s="8" t="str">
        <x:v>Не установлено</x:v>
      </x:c>
      <x:c r="M166" s="8" t="str">
        <x:v>Новый ключ источника</x:v>
      </x:c>
      <x:c r="N166" s="8" t="str">
        <x:v>Не установлено</x:v>
      </x:c>
      <x:c r="O166" s="8"/>
      <x:c r="P166" s="8" t="str">
        <x:v>https://taldykorgan.atameken.kz/ru/news/36485-projti-obuchenie-instrumentu-biznes-shkola-teper-mozhno-onlajn</x:v>
      </x:c>
      <x:c r="Q166" s="8" t="str">
        <x:v>turn1100search12</x:v>
      </x:c>
    </x:row>
    <x:row r="167" ht="35.25" customHeight="1">
      <x:c r="A167" s="8" t="str">
        <x:v>V7-Sa18025fe5a</x:v>
      </x:c>
      <x:c r="B167" s="8" t="str">
        <x:v>Tilshi Media School корпоративтік тренингтері мен білім беру бағдарламалары | TILSHI.NET</x:v>
      </x:c>
      <x:c r="C167" s="8" t="str">
        <x:v>Палаты и центры развития</x:v>
      </x:c>
      <x:c r="D167" s="8" t="str">
        <x:v>Найден профессиональный/образовательный контекст. Покупательские запросы и возможность сбора еще не проверены.</x:v>
      </x:c>
      <x:c r="E167" s="8" t="str">
        <x:v>Не установлена</x:v>
      </x:c>
      <x:c r="F167" s="8" t="str">
        <x:v>Сайт</x:v>
      </x:c>
      <x:c r="G167" s="8" t="str">
        <x:v>unverified_candidate</x:v>
      </x:c>
      <x:c r="H167" s="8" t="str">
        <x:v>Не проверен</x:v>
      </x:c>
      <x:c r="I167" s="8" t="str">
        <x:v>Не установлено</x:v>
      </x:c>
      <x:c r="J167" s="8" t="str">
        <x:v>Только контекст поиска</x:v>
      </x:c>
      <x:c r="K167" s="8" t="str">
        <x:v>Не установлено</x:v>
      </x:c>
      <x:c r="L167" s="8" t="str">
        <x:v>Не установлено</x:v>
      </x:c>
      <x:c r="M167" s="8" t="str">
        <x:v>Новый ключ источника</x:v>
      </x:c>
      <x:c r="N167" s="8" t="str">
        <x:v>Не установлено</x:v>
      </x:c>
      <x:c r="O167" s="8"/>
      <x:c r="P167" s="8" t="str">
        <x:v>https://tilshi.net/article.php?id=6a61df72b35c0</x:v>
      </x:c>
      <x:c r="Q167" s="8" t="str">
        <x:v>turn1212search4</x:v>
      </x:c>
    </x:row>
    <x:row r="168" ht="35.25" customHeight="1">
      <x:c r="A168" s="8" t="str">
        <x:v>V7-S7dc9a55981</x:v>
      </x:c>
      <x:c r="B168" s="8" t="str">
        <x:v>Бизнес - Yvision.kz</x:v>
      </x:c>
      <x:c r="C168" s="8" t="str">
        <x:v>Палаты и центры развития</x:v>
      </x:c>
      <x:c r="D168" s="8" t="str">
        <x:v>Найден профессиональный/образовательный контекст. Покупательские запросы и возможность сбора еще не проверены.</x:v>
      </x:c>
      <x:c r="E168" s="8" t="str">
        <x:v>KZ</x:v>
      </x:c>
      <x:c r="F168" s="8" t="str">
        <x:v>Сайт</x:v>
      </x:c>
      <x:c r="G168" s="8" t="str">
        <x:v>unverified_candidate</x:v>
      </x:c>
      <x:c r="H168" s="8" t="str">
        <x:v>Не проверен</x:v>
      </x:c>
      <x:c r="I168" s="8" t="str">
        <x:v>Не установлено</x:v>
      </x:c>
      <x:c r="J168" s="8" t="str">
        <x:v>Только контекст поиска</x:v>
      </x:c>
      <x:c r="K168" s="8" t="str">
        <x:v>Не установлено</x:v>
      </x:c>
      <x:c r="L168" s="8" t="str">
        <x:v>Не установлено</x:v>
      </x:c>
      <x:c r="M168" s="8" t="str">
        <x:v>Новый ключ источника</x:v>
      </x:c>
      <x:c r="N168" s="8" t="str">
        <x:v>Не установлено</x:v>
      </x:c>
      <x:c r="O168" s="8"/>
      <x:c r="P168" s="8" t="str">
        <x:v>https://yvision.kz/kk/community/business</x:v>
      </x:c>
      <x:c r="Q168" s="8" t="str">
        <x:v>turn1212search6</x:v>
      </x:c>
    </x:row>
    <x:row r="169" ht="35.25" customHeight="1">
      <x:c r="A169" s="8" t="str">
        <x:v>V7-Sd79ad6f233</x:v>
      </x:c>
      <x:c r="B169" s="8" t="str">
        <x:v>EDU АФИША | Предлагаем организаторам подбор спикеров для мероприятий | Афиша мероприятий</x:v>
      </x:c>
      <x:c r="C169" s="8" t="str">
        <x:v>Организаторы деловых мероприятий</x:v>
      </x:c>
      <x:c r="D169" s="8" t="str">
        <x:v>Найден профессиональный/образовательный контекст. Покупательские запросы и возможность сбора еще не проверены.</x:v>
      </x:c>
      <x:c r="E169" s="8" t="str">
        <x:v>RU</x:v>
      </x:c>
      <x:c r="F169" s="8" t="str">
        <x:v>Сайт</x:v>
      </x:c>
      <x:c r="G169" s="8" t="str">
        <x:v>unverified_candidate</x:v>
      </x:c>
      <x:c r="H169" s="8" t="str">
        <x:v>Не проверен</x:v>
      </x:c>
      <x:c r="I169" s="8" t="str">
        <x:v>Не установлено</x:v>
      </x:c>
      <x:c r="J169" s="8" t="str">
        <x:v>Только контекст поиска</x:v>
      </x:c>
      <x:c r="K169" s="8" t="str">
        <x:v>Не установлено</x:v>
      </x:c>
      <x:c r="L169" s="8" t="str">
        <x:v>Не установлено</x:v>
      </x:c>
      <x:c r="M169" s="8" t="str">
        <x:v>Новый ключ источника</x:v>
      </x:c>
      <x:c r="N169" s="8" t="str">
        <x:v>Не установлено</x:v>
      </x:c>
      <x:c r="O169" s="8"/>
      <x:c r="P169" s="8" t="str">
        <x:v>https://edu-afisha.ru/predlagaem-organizatoram-podbor-spikerov-dlya-meropriyatij/</x:v>
      </x:c>
      <x:c r="Q169" s="8" t="str">
        <x:v>turn1109search24</x:v>
      </x:c>
    </x:row>
    <x:row r="170" ht="35.25" customHeight="1">
      <x:c r="A170" s="8" t="str">
        <x:v>V7-S2489ce796c</x:v>
      </x:c>
      <x:c r="B170" s="8" t="str">
        <x:v>Ежегодная международная отраслевая онлайн конференция «ФАРМАСТРИМ 2026» | Remedium.ru</x:v>
      </x:c>
      <x:c r="C170" s="8" t="str">
        <x:v>Организаторы деловых мероприятий</x:v>
      </x:c>
      <x:c r="D170" s="8" t="str">
        <x:v>Найден профессиональный/образовательный контекст. Покупательские запросы и возможность сбора еще не проверены.</x:v>
      </x:c>
      <x:c r="E170" s="8" t="str">
        <x:v>RU</x:v>
      </x:c>
      <x:c r="F170" s="8" t="str">
        <x:v>Сайт</x:v>
      </x:c>
      <x:c r="G170" s="8" t="str">
        <x:v>unverified_candidate</x:v>
      </x:c>
      <x:c r="H170" s="8" t="str">
        <x:v>Не проверен</x:v>
      </x:c>
      <x:c r="I170" s="8" t="str">
        <x:v>Не установлено</x:v>
      </x:c>
      <x:c r="J170" s="8" t="str">
        <x:v>Только контекст поиска</x:v>
      </x:c>
      <x:c r="K170" s="8" t="str">
        <x:v>Не установлено</x:v>
      </x:c>
      <x:c r="L170" s="8" t="str">
        <x:v>Не установлено</x:v>
      </x:c>
      <x:c r="M170" s="8" t="str">
        <x:v>Новый ключ источника</x:v>
      </x:c>
      <x:c r="N170" s="8" t="str">
        <x:v>Не установлено</x:v>
      </x:c>
      <x:c r="O170" s="8"/>
      <x:c r="P170" s="8" t="str">
        <x:v>https://remedium.ru/news/ezhegodnaya-mezhdunarodnaya-ot/?CODE=ezhegodnaya-mezhdunarodnaya-ot</x:v>
      </x:c>
      <x:c r="Q170" s="8" t="str">
        <x:v>turn1109search27</x:v>
      </x:c>
    </x:row>
    <x:row r="171" ht="35.25" customHeight="1">
      <x:c r="A171" s="8" t="str">
        <x:v>V7-Sbb2bd4e26c</x:v>
      </x:c>
      <x:c r="B171" s="8" t="str">
        <x:v>B-FORUMS | Конференции для бизнеса – Telegram</x:v>
      </x:c>
      <x:c r="C171" s="8" t="str">
        <x:v>Организаторы деловых мероприятий</x:v>
      </x:c>
      <x:c r="D171" s="8" t="str">
        <x:v>Найден профессиональный/образовательный контекст. Покупательские запросы и возможность сбора еще не проверены.</x:v>
      </x:c>
      <x:c r="E171" s="8" t="str">
        <x:v>Не установлена</x:v>
      </x:c>
      <x:c r="F171" s="8" t="str">
        <x:v>Telegram</x:v>
      </x:c>
      <x:c r="G171" s="8" t="str">
        <x:v>unverified_candidate</x:v>
      </x:c>
      <x:c r="H171" s="8" t="str">
        <x:v>Не проверен</x:v>
      </x:c>
      <x:c r="I171" s="8" t="str">
        <x:v>Не установлено</x:v>
      </x:c>
      <x:c r="J171" s="8" t="str">
        <x:v>Только контекст поиска</x:v>
      </x:c>
      <x:c r="K171" s="8" t="str">
        <x:v>Не установлено</x:v>
      </x:c>
      <x:c r="L171" s="8" t="str">
        <x:v>Не установлено</x:v>
      </x:c>
      <x:c r="M171" s="8" t="str">
        <x:v>Новый ключ источника</x:v>
      </x:c>
      <x:c r="N171" s="8" t="str">
        <x:v>Не установлено</x:v>
      </x:c>
      <x:c r="O171" s="8"/>
      <x:c r="P171" s="8" t="str">
        <x:v>https://t.me/s/bforums_ru</x:v>
      </x:c>
      <x:c r="Q171" s="8" t="str">
        <x:v>turn1109search22</x:v>
      </x:c>
    </x:row>
    <x:row r="172" ht="35.25" customHeight="1">
      <x:c r="A172" s="8" t="str">
        <x:v>V7-S376ad4d603</x:v>
      </x:c>
      <x:c r="B172" s="8" t="str">
        <x:v>Стать партнером выставки ИННОПРОМ. Беларусь</x:v>
      </x:c>
      <x:c r="C172" s="8" t="str">
        <x:v>Организаторы деловых мероприятий</x:v>
      </x:c>
      <x:c r="D172" s="8" t="str">
        <x:v>Найден профессиональный/образовательный контекст. Покупательские запросы и возможность сбора еще не проверены.</x:v>
      </x:c>
      <x:c r="E172" s="8" t="str">
        <x:v>Не установлена</x:v>
      </x:c>
      <x:c r="F172" s="8" t="str">
        <x:v>Сайт</x:v>
      </x:c>
      <x:c r="G172" s="8" t="str">
        <x:v>unverified_candidate</x:v>
      </x:c>
      <x:c r="H172" s="8" t="str">
        <x:v>Не проверен</x:v>
      </x:c>
      <x:c r="I172" s="8" t="str">
        <x:v>Не установлено</x:v>
      </x:c>
      <x:c r="J172" s="8" t="str">
        <x:v>Только контекст поиска</x:v>
      </x:c>
      <x:c r="K172" s="8" t="str">
        <x:v>Не установлено</x:v>
      </x:c>
      <x:c r="L172" s="8" t="str">
        <x:v>Не установлено</x:v>
      </x:c>
      <x:c r="M172" s="8" t="str">
        <x:v>Новый ключ источника</x:v>
      </x:c>
      <x:c r="N172" s="8" t="str">
        <x:v>Не установлено</x:v>
      </x:c>
      <x:c r="O172" s="8"/>
      <x:c r="P172" s="8" t="str">
        <x:v>https://belarus.biwexpo.com/become-a-partner</x:v>
      </x:c>
      <x:c r="Q172" s="8" t="str">
        <x:v>turn1097search7</x:v>
      </x:c>
    </x:row>
    <x:row r="173" ht="35.25" customHeight="1">
      <x:c r="A173" s="8" t="str">
        <x:v>V7-S28de0e780c</x:v>
      </x:c>
      <x:c r="B173" s="8" t="str">
        <x:v>Как стать спикером на конференции и как найти конференции | Поиск конференций</x:v>
      </x:c>
      <x:c r="C173" s="8" t="str">
        <x:v>Организаторы деловых мероприятий</x:v>
      </x:c>
      <x:c r="D173" s="8" t="str">
        <x:v>Найден профессиональный/образовательный контекст. Покупательские запросы и возможность сбора еще не проверены.</x:v>
      </x:c>
      <x:c r="E173" s="8" t="str">
        <x:v>RU</x:v>
      </x:c>
      <x:c r="F173" s="8" t="str">
        <x:v>Сайт</x:v>
      </x:c>
      <x:c r="G173" s="8" t="str">
        <x:v>unverified_candidate</x:v>
      </x:c>
      <x:c r="H173" s="8" t="str">
        <x:v>Не проверен</x:v>
      </x:c>
      <x:c r="I173" s="8" t="str">
        <x:v>Не установлено</x:v>
      </x:c>
      <x:c r="J173" s="8" t="str">
        <x:v>Только контекст поиска</x:v>
      </x:c>
      <x:c r="K173" s="8" t="str">
        <x:v>Не установлено</x:v>
      </x:c>
      <x:c r="L173" s="8" t="str">
        <x:v>Не установлено</x:v>
      </x:c>
      <x:c r="M173" s="8" t="str">
        <x:v>Новый ключ источника</x:v>
      </x:c>
      <x:c r="N173" s="8" t="str">
        <x:v>Не установлено</x:v>
      </x:c>
      <x:c r="O173" s="8"/>
      <x:c r="P173" s="8" t="str">
        <x:v>https://blog.drumyancev.ru/kak-stat-spikerom-na-konferentsii/</x:v>
      </x:c>
      <x:c r="Q173" s="8" t="str">
        <x:v>turn1098search17; turn1109search3</x:v>
      </x:c>
    </x:row>
    <x:row r="174" ht="35.25" customHeight="1">
      <x:c r="A174" s="8" t="str">
        <x:v>V7-S23982d8d80</x:v>
      </x:c>
      <x:c r="B174" s="8" t="str">
        <x:v>Программа конференции</x:v>
      </x:c>
      <x:c r="C174" s="8" t="str">
        <x:v>Организаторы деловых мероприятий</x:v>
      </x:c>
      <x:c r="D174" s="8" t="str">
        <x:v>Найден профессиональный/образовательный контекст. Покупательские запросы и возможность сбора еще не проверены.</x:v>
      </x:c>
      <x:c r="E174" s="8" t="str">
        <x:v>RU</x:v>
      </x:c>
      <x:c r="F174" s="8" t="str">
        <x:v>Сайт</x:v>
      </x:c>
      <x:c r="G174" s="8" t="str">
        <x:v>unverified_candidate</x:v>
      </x:c>
      <x:c r="H174" s="8" t="str">
        <x:v>Не проверен</x:v>
      </x:c>
      <x:c r="I174" s="8" t="str">
        <x:v>Не установлено</x:v>
      </x:c>
      <x:c r="J174" s="8" t="str">
        <x:v>Только контекст поиска</x:v>
      </x:c>
      <x:c r="K174" s="8" t="str">
        <x:v>Не установлено</x:v>
      </x:c>
      <x:c r="L174" s="8" t="str">
        <x:v>Не установлено</x:v>
      </x:c>
      <x:c r="M174" s="8" t="str">
        <x:v>Новый ключ источника</x:v>
      </x:c>
      <x:c r="N174" s="8" t="str">
        <x:v>Не установлено</x:v>
      </x:c>
      <x:c r="O174" s="8"/>
      <x:c r="P174" s="8" t="str">
        <x:v>https://business-assembly.ru/bulletins/bulletin--2025-02-15.pdf</x:v>
      </x:c>
      <x:c r="Q174" s="8" t="str">
        <x:v>turn1109search36</x:v>
      </x:c>
    </x:row>
    <x:row r="175" ht="35.25" customHeight="1">
      <x:c r="A175" s="8" t="str">
        <x:v>V7-Sbee5971a09</x:v>
      </x:c>
      <x:c r="B175" s="8" t="str">
        <x:v>Как стать спикером конференций издательского дома "Имидж-Медиа"</x:v>
      </x:c>
      <x:c r="C175" s="8" t="str">
        <x:v>Организаторы деловых мероприятий</x:v>
      </x:c>
      <x:c r="D175" s="8" t="str">
        <x:v>Найден профессиональный/образовательный контекст. Покупательские запросы и возможность сбора еще не проверены.</x:v>
      </x:c>
      <x:c r="E175" s="8" t="str">
        <x:v>RU</x:v>
      </x:c>
      <x:c r="F175" s="8" t="str">
        <x:v>Сайт</x:v>
      </x:c>
      <x:c r="G175" s="8" t="str">
        <x:v>unverified_candidate</x:v>
      </x:c>
      <x:c r="H175" s="8" t="str">
        <x:v>Не проверен</x:v>
      </x:c>
      <x:c r="I175" s="8" t="str">
        <x:v>Не установлено</x:v>
      </x:c>
      <x:c r="J175" s="8" t="str">
        <x:v>Только контекст поиска</x:v>
      </x:c>
      <x:c r="K175" s="8" t="str">
        <x:v>Не установлено</x:v>
      </x:c>
      <x:c r="L175" s="8" t="str">
        <x:v>Не установлено</x:v>
      </x:c>
      <x:c r="M175" s="8" t="str">
        <x:v>Новый ключ источника</x:v>
      </x:c>
      <x:c r="N175" s="8" t="str">
        <x:v>Не установлено</x:v>
      </x:c>
      <x:c r="O175" s="8"/>
      <x:c r="P175" s="8" t="str">
        <x:v>https://conference.image-media.ru/news/kak-stat-spikerom-konferentsij/</x:v>
      </x:c>
      <x:c r="Q175" s="8" t="str">
        <x:v>turn1098search15</x:v>
      </x:c>
    </x:row>
    <x:row r="176" ht="35.25" customHeight="1">
      <x:c r="A176" s="8" t="str">
        <x:v>V7-S94124e5252</x:v>
      </x:c>
      <x:c r="B176" s="8" t="str">
        <x:v>Как стать спикером деловых мероприятий · Форум</x:v>
      </x:c>
      <x:c r="C176" s="8" t="str">
        <x:v>Организаторы деловых мероприятий</x:v>
      </x:c>
      <x:c r="D176" s="8" t="str">
        <x:v>Найден профессиональный/образовательный контекст. Покупательские запросы и возможность сбора еще не проверены.</x:v>
      </x:c>
      <x:c r="E176" s="8" t="str">
        <x:v>Не установлена</x:v>
      </x:c>
      <x:c r="F176" s="8" t="str">
        <x:v>Сайт</x:v>
      </x:c>
      <x:c r="G176" s="8" t="str">
        <x:v>unverified_candidate</x:v>
      </x:c>
      <x:c r="H176" s="8" t="str">
        <x:v>Не проверен</x:v>
      </x:c>
      <x:c r="I176" s="8" t="str">
        <x:v>Не установлено</x:v>
      </x:c>
      <x:c r="J176" s="8" t="str">
        <x:v>Только контекст поиска</x:v>
      </x:c>
      <x:c r="K176" s="8" t="str">
        <x:v>Не установлено</x:v>
      </x:c>
      <x:c r="L176" s="8" t="str">
        <x:v>Не установлено</x:v>
      </x:c>
      <x:c r="M176" s="8" t="str">
        <x:v>Новый ключ источника</x:v>
      </x:c>
      <x:c r="N176" s="8" t="str">
        <x:v>Не установлено</x:v>
      </x:c>
      <x:c r="O176" s="8"/>
      <x:c r="P176" s="8" t="str">
        <x:v>https://delo.mba/blog/kak-stat-spikerom/</x:v>
      </x:c>
      <x:c r="Q176" s="8" t="str">
        <x:v>turn1098search11</x:v>
      </x:c>
    </x:row>
    <x:row r="177" ht="35.25" customHeight="1">
      <x:c r="A177" s="8" t="str">
        <x:v>V7-S127368893b</x:v>
      </x:c>
      <x:c r="B177" s="8" t="str">
        <x:v>О форуме недвижимости «Движение»</x:v>
      </x:c>
      <x:c r="C177" s="8" t="str">
        <x:v>Организаторы деловых мероприятий</x:v>
      </x:c>
      <x:c r="D177" s="8" t="str">
        <x:v>Найден профессиональный/образовательный контекст. Покупательские запросы и возможность сбора еще не проверены.</x:v>
      </x:c>
      <x:c r="E177" s="8" t="str">
        <x:v>RU</x:v>
      </x:c>
      <x:c r="F177" s="8" t="str">
        <x:v>Сайт</x:v>
      </x:c>
      <x:c r="G177" s="8" t="str">
        <x:v>unverified_candidate</x:v>
      </x:c>
      <x:c r="H177" s="8" t="str">
        <x:v>Не проверен</x:v>
      </x:c>
      <x:c r="I177" s="8" t="str">
        <x:v>Не установлено</x:v>
      </x:c>
      <x:c r="J177" s="8" t="str">
        <x:v>Только контекст поиска</x:v>
      </x:c>
      <x:c r="K177" s="8" t="str">
        <x:v>Не установлено</x:v>
      </x:c>
      <x:c r="L177" s="8" t="str">
        <x:v>Не установлено</x:v>
      </x:c>
      <x:c r="M177" s="8" t="str">
        <x:v>Новый ключ источника</x:v>
      </x:c>
      <x:c r="N177" s="8" t="str">
        <x:v>Не установлено</x:v>
      </x:c>
      <x:c r="O177" s="8"/>
      <x:c r="P177" s="8" t="str">
        <x:v>https://dvizhenie.ru/forum/about</x:v>
      </x:c>
      <x:c r="Q177" s="8" t="str">
        <x:v>turn1109search21</x:v>
      </x:c>
    </x:row>
    <x:row r="178" ht="35.25" customHeight="1">
      <x:c r="A178" s="8" t="str">
        <x:v>V7-S04e715bfd7</x:v>
      </x:c>
      <x:c r="B178" s="8" t="str">
        <x:v>Станьте спикером конференции</x:v>
      </x:c>
      <x:c r="C178" s="8" t="str">
        <x:v>Организаторы деловых мероприятий</x:v>
      </x:c>
      <x:c r="D178" s="8" t="str">
        <x:v>Найден профессиональный/образовательный контекст. Покупательские запросы и возможность сбора еще не проверены.</x:v>
      </x:c>
      <x:c r="E178" s="8" t="str">
        <x:v>RU</x:v>
      </x:c>
      <x:c r="F178" s="8" t="str">
        <x:v>Сайт</x:v>
      </x:c>
      <x:c r="G178" s="8" t="str">
        <x:v>unverified_candidate</x:v>
      </x:c>
      <x:c r="H178" s="8" t="str">
        <x:v>Не проверен</x:v>
      </x:c>
      <x:c r="I178" s="8" t="str">
        <x:v>Не установлено</x:v>
      </x:c>
      <x:c r="J178" s="8" t="str">
        <x:v>Только контекст поиска</x:v>
      </x:c>
      <x:c r="K178" s="8" t="str">
        <x:v>Не установлено</x:v>
      </x:c>
      <x:c r="L178" s="8" t="str">
        <x:v>Не установлено</x:v>
      </x:c>
      <x:c r="M178" s="8" t="str">
        <x:v>Новый ключ источника</x:v>
      </x:c>
      <x:c r="N178" s="8" t="str">
        <x:v>Не установлено</x:v>
      </x:c>
      <x:c r="O178" s="8"/>
      <x:c r="P178" s="8" t="str">
        <x:v>https://edu.klerk.ru/buhstream2026/speakers</x:v>
      </x:c>
      <x:c r="Q178" s="8" t="str">
        <x:v>turn1109search4</x:v>
      </x:c>
    </x:row>
    <x:row r="179" ht="35.25" customHeight="1">
      <x:c r="A179" s="8" t="str">
        <x:v>V7-S8f415bfe42</x:v>
      </x:c>
      <x:c r="B179" s="8" t="str">
        <x:v>Спикеры издательства ЭКСМО</x:v>
      </x:c>
      <x:c r="C179" s="8" t="str">
        <x:v>Организаторы деловых мероприятий</x:v>
      </x:c>
      <x:c r="D179" s="8" t="str">
        <x:v>Найден профессиональный/образовательный контекст. Покупательские запросы и возможность сбора еще не проверены.</x:v>
      </x:c>
      <x:c r="E179" s="8" t="str">
        <x:v>RU</x:v>
      </x:c>
      <x:c r="F179" s="8" t="str">
        <x:v>Сайт</x:v>
      </x:c>
      <x:c r="G179" s="8" t="str">
        <x:v>unverified_candidate</x:v>
      </x:c>
      <x:c r="H179" s="8" t="str">
        <x:v>Не проверен</x:v>
      </x:c>
      <x:c r="I179" s="8" t="str">
        <x:v>Не установлено</x:v>
      </x:c>
      <x:c r="J179" s="8" t="str">
        <x:v>Только контекст поиска</x:v>
      </x:c>
      <x:c r="K179" s="8" t="str">
        <x:v>Не установлено</x:v>
      </x:c>
      <x:c r="L179" s="8" t="str">
        <x:v>Не установлено</x:v>
      </x:c>
      <x:c r="M179" s="8" t="str">
        <x:v>Новый ключ источника</x:v>
      </x:c>
      <x:c r="N179" s="8" t="str">
        <x:v>Не установлено</x:v>
      </x:c>
      <x:c r="O179" s="8"/>
      <x:c r="P179" s="8" t="str">
        <x:v>https://eksmo.ru/topartners/spikery/</x:v>
      </x:c>
      <x:c r="Q179" s="8" t="str">
        <x:v>turn1098search16</x:v>
      </x:c>
    </x:row>
    <x:row r="180" ht="35.25" customHeight="1">
      <x:c r="A180" s="8" t="str">
        <x:v>V7-Se592f892e6</x:v>
      </x:c>
      <x:c r="B180" s="8" t="str">
        <x:v>Евразийский антимонопольный форум</x:v>
      </x:c>
      <x:c r="C180" s="8" t="str">
        <x:v>Организаторы деловых мероприятий</x:v>
      </x:c>
      <x:c r="D180" s="8" t="str">
        <x:v>Найден профессиональный/образовательный контекст. Покупательские запросы и возможность сбора еще не проверены.</x:v>
      </x:c>
      <x:c r="E180" s="8" t="str">
        <x:v>Не установлена</x:v>
      </x:c>
      <x:c r="F180" s="8" t="str">
        <x:v>Сайт</x:v>
      </x:c>
      <x:c r="G180" s="8" t="str">
        <x:v>unverified_candidate</x:v>
      </x:c>
      <x:c r="H180" s="8" t="str">
        <x:v>Не проверен</x:v>
      </x:c>
      <x:c r="I180" s="8" t="str">
        <x:v>Не установлено</x:v>
      </x:c>
      <x:c r="J180" s="8" t="str">
        <x:v>Только контекст поиска</x:v>
      </x:c>
      <x:c r="K180" s="8" t="str">
        <x:v>Не установлено</x:v>
      </x:c>
      <x:c r="L180" s="8" t="str">
        <x:v>Не установлено</x:v>
      </x:c>
      <x:c r="M180" s="8" t="str">
        <x:v>Новый ключ источника</x:v>
      </x:c>
      <x:c r="N180" s="8" t="str">
        <x:v>Не установлено</x:v>
      </x:c>
      <x:c r="O180" s="8"/>
      <x:c r="P180" s="8" t="str">
        <x:v>https://www.eurasianantitrustforum.com/</x:v>
      </x:c>
      <x:c r="Q180" s="8" t="str">
        <x:v>turn1098search7</x:v>
      </x:c>
    </x:row>
    <x:row r="181" ht="35.25" customHeight="1">
      <x:c r="A181" s="8" t="str">
        <x:v>V7-S4ab967c00a</x:v>
      </x:c>
      <x:c r="B181" s="8" t="str">
        <x:v>Промышленный кластер ФОРУМ — сообщество руководителей производств</x:v>
      </x:c>
      <x:c r="C181" s="8" t="str">
        <x:v>Организаторы деловых мероприятий</x:v>
      </x:c>
      <x:c r="D181" s="8" t="str">
        <x:v>Найден профессиональный/образовательный контекст. Покупательские запросы и возможность сбора еще не проверены.</x:v>
      </x:c>
      <x:c r="E181" s="8" t="str">
        <x:v>Не установлена</x:v>
      </x:c>
      <x:c r="F181" s="8" t="str">
        <x:v>Сайт</x:v>
      </x:c>
      <x:c r="G181" s="8" t="str">
        <x:v>unverified_candidate</x:v>
      </x:c>
      <x:c r="H181" s="8" t="str">
        <x:v>Не проверен</x:v>
      </x:c>
      <x:c r="I181" s="8" t="str">
        <x:v>Не установлено</x:v>
      </x:c>
      <x:c r="J181" s="8" t="str">
        <x:v>Только контекст поиска</x:v>
      </x:c>
      <x:c r="K181" s="8" t="str">
        <x:v>Не установлено</x:v>
      </x:c>
      <x:c r="L181" s="8" t="str">
        <x:v>Не установлено</x:v>
      </x:c>
      <x:c r="M181" s="8" t="str">
        <x:v>Новый ключ источника</x:v>
      </x:c>
      <x:c r="N181" s="8" t="str">
        <x:v>Не установлено</x:v>
      </x:c>
      <x:c r="O181" s="8"/>
      <x:c r="P181" s="8" t="str">
        <x:v>https://forumcluster.pro/</x:v>
      </x:c>
      <x:c r="Q181" s="8" t="str">
        <x:v>turn1097search11</x:v>
      </x:c>
    </x:row>
    <x:row r="182" ht="35.25" customHeight="1">
      <x:c r="A182" s="8" t="str">
        <x:v>V7-Sf82388bd8c</x:v>
      </x:c>
      <x:c r="B182" s="8" t="str">
        <x:v>Спикеры и эксперты</x:v>
      </x:c>
      <x:c r="C182" s="8" t="str">
        <x:v>Организаторы деловых мероприятий</x:v>
      </x:c>
      <x:c r="D182" s="8" t="str">
        <x:v>Найден профессиональный/образовательный контекст. Покупательские запросы и возможность сбора еще не проверены.</x:v>
      </x:c>
      <x:c r="E182" s="8" t="str">
        <x:v>RU</x:v>
      </x:c>
      <x:c r="F182" s="8" t="str">
        <x:v>Сайт</x:v>
      </x:c>
      <x:c r="G182" s="8" t="str">
        <x:v>unverified_candidate</x:v>
      </x:c>
      <x:c r="H182" s="8" t="str">
        <x:v>Не проверен</x:v>
      </x:c>
      <x:c r="I182" s="8" t="str">
        <x:v>Не установлено</x:v>
      </x:c>
      <x:c r="J182" s="8" t="str">
        <x:v>Только контекст поиска</x:v>
      </x:c>
      <x:c r="K182" s="8" t="str">
        <x:v>Не установлено</x:v>
      </x:c>
      <x:c r="L182" s="8" t="str">
        <x:v>Не установлено</x:v>
      </x:c>
      <x:c r="M182" s="8" t="str">
        <x:v>Новый ключ источника</x:v>
      </x:c>
      <x:c r="N182" s="8" t="str">
        <x:v>Не установлено</x:v>
      </x:c>
      <x:c r="O182" s="8"/>
      <x:c r="P182" s="8" t="str">
        <x:v>https://impulse.t1.ru/speakers</x:v>
      </x:c>
      <x:c r="Q182" s="8" t="str">
        <x:v>turn1098search22; turn1109search1</x:v>
      </x:c>
    </x:row>
    <x:row r="183" ht="35.25" customHeight="1">
      <x:c r="A183" s="8" t="str">
        <x:v>V7-S8de13be900</x:v>
      </x:c>
      <x:c r="B183" s="8" t="str">
        <x:v>Стать спикером ИТ-конференции Синтез| Merge 2027 в Иннополисе</x:v>
      </x:c>
      <x:c r="C183" s="8" t="str">
        <x:v>Организаторы деловых мероприятий</x:v>
      </x:c>
      <x:c r="D183" s="8" t="str">
        <x:v>Найден профессиональный/образовательный контекст. Покупательские запросы и возможность сбора еще не проверены.</x:v>
      </x:c>
      <x:c r="E183" s="8" t="str">
        <x:v>RU</x:v>
      </x:c>
      <x:c r="F183" s="8" t="str">
        <x:v>Сайт</x:v>
      </x:c>
      <x:c r="G183" s="8" t="str">
        <x:v>unverified_candidate</x:v>
      </x:c>
      <x:c r="H183" s="8" t="str">
        <x:v>Не проверен</x:v>
      </x:c>
      <x:c r="I183" s="8" t="str">
        <x:v>Не установлено</x:v>
      </x:c>
      <x:c r="J183" s="8" t="str">
        <x:v>Только контекст поиска</x:v>
      </x:c>
      <x:c r="K183" s="8" t="str">
        <x:v>Не установлено</x:v>
      </x:c>
      <x:c r="L183" s="8" t="str">
        <x:v>Не установлено</x:v>
      </x:c>
      <x:c r="M183" s="8" t="str">
        <x:v>Новый ключ источника</x:v>
      </x:c>
      <x:c r="N183" s="8" t="str">
        <x:v>Не установлено</x:v>
      </x:c>
      <x:c r="O183" s="8"/>
      <x:c r="P183" s="8" t="str">
        <x:v>https://innopolis.mergeconf.ru/become-speaker</x:v>
      </x:c>
      <x:c r="Q183" s="8" t="str">
        <x:v>turn1109search9</x:v>
      </x:c>
    </x:row>
    <x:row r="184" ht="35.25" customHeight="1">
      <x:c r="A184" s="8" t="str">
        <x:v>V7-S7d50b6cc50</x:v>
      </x:c>
      <x:c r="B184" s="8" t="str">
        <x:v>Стать спикером</x:v>
      </x:c>
      <x:c r="C184" s="8" t="str">
        <x:v>Организаторы деловых мероприятий</x:v>
      </x:c>
      <x:c r="D184" s="8" t="str">
        <x:v>Найден профессиональный/образовательный контекст. Покупательские запросы и возможность сбора еще не проверены.</x:v>
      </x:c>
      <x:c r="E184" s="8" t="str">
        <x:v>RU</x:v>
      </x:c>
      <x:c r="F184" s="8" t="str">
        <x:v>Сайт</x:v>
      </x:c>
      <x:c r="G184" s="8" t="str">
        <x:v>unverified_candidate</x:v>
      </x:c>
      <x:c r="H184" s="8" t="str">
        <x:v>Не проверен</x:v>
      </x:c>
      <x:c r="I184" s="8" t="str">
        <x:v>Не установлено</x:v>
      </x:c>
      <x:c r="J184" s="8" t="str">
        <x:v>Только контекст поиска</x:v>
      </x:c>
      <x:c r="K184" s="8" t="str">
        <x:v>Не установлено</x:v>
      </x:c>
      <x:c r="L184" s="8" t="str">
        <x:v>Не установлено</x:v>
      </x:c>
      <x:c r="M184" s="8" t="str">
        <x:v>Новый ключ источника</x:v>
      </x:c>
      <x:c r="N184" s="8" t="str">
        <x:v>Не установлено</x:v>
      </x:c>
      <x:c r="O184" s="8"/>
      <x:c r="P184" s="8" t="str">
        <x:v>https://www.ip-conf.ru/bespeaker</x:v>
      </x:c>
      <x:c r="Q184" s="8" t="str">
        <x:v>turn1098search18</x:v>
      </x:c>
    </x:row>
    <x:row r="185" ht="35.25" customHeight="1">
      <x:c r="A185" s="8" t="str">
        <x:v>V7-Sb545c8f7ea</x:v>
      </x:c>
      <x:c r="B185" s="8" t="str">
        <x:v>Программа обучения</x:v>
      </x:c>
      <x:c r="C185" s="8" t="str">
        <x:v>Организаторы деловых мероприятий</x:v>
      </x:c>
      <x:c r="D185" s="8" t="str">
        <x:v>Найден профессиональный/образовательный контекст. Покупательские запросы и возможность сбора еще не проверены.</x:v>
      </x:c>
      <x:c r="E185" s="8" t="str">
        <x:v>RU</x:v>
      </x:c>
      <x:c r="F185" s="8" t="str">
        <x:v>Сайт</x:v>
      </x:c>
      <x:c r="G185" s="8" t="str">
        <x:v>unverified_candidate</x:v>
      </x:c>
      <x:c r="H185" s="8" t="str">
        <x:v>Не проверен</x:v>
      </x:c>
      <x:c r="I185" s="8" t="str">
        <x:v>Не установлено</x:v>
      </x:c>
      <x:c r="J185" s="8" t="str">
        <x:v>Только контекст поиска</x:v>
      </x:c>
      <x:c r="K185" s="8" t="str">
        <x:v>Не установлено</x:v>
      </x:c>
      <x:c r="L185" s="8" t="str">
        <x:v>Не установлено</x:v>
      </x:c>
      <x:c r="M185" s="8" t="str">
        <x:v>Новый ключ источника</x:v>
      </x:c>
      <x:c r="N185" s="8" t="str">
        <x:v>Не установлено</x:v>
      </x:c>
      <x:c r="O185" s="8"/>
      <x:c r="P185" s="8" t="str">
        <x:v>https://mbschool.ru/tcpdf/?id=102975</x:v>
      </x:c>
      <x:c r="Q185" s="8" t="str">
        <x:v>turn1098search24</x:v>
      </x:c>
    </x:row>
    <x:row r="186" ht="35.25" customHeight="1">
      <x:c r="A186" s="8" t="str">
        <x:v>V7-Sc5bb1eab04</x:v>
      </x:c>
      <x:c r="B186" s="8" t="str">
        <x:v>MESFORUM.ru • Просмотр форума - Основные форумы</x:v>
      </x:c>
      <x:c r="C186" s="8" t="str">
        <x:v>Организаторы деловых мероприятий</x:v>
      </x:c>
      <x:c r="D186" s="8" t="str">
        <x:v>Найден профессиональный/образовательный контекст. Покупательские запросы и возможность сбора еще не проверены.</x:v>
      </x:c>
      <x:c r="E186" s="8" t="str">
        <x:v>RU</x:v>
      </x:c>
      <x:c r="F186" s="8" t="str">
        <x:v>Сайт</x:v>
      </x:c>
      <x:c r="G186" s="8" t="str">
        <x:v>unverified_candidate</x:v>
      </x:c>
      <x:c r="H186" s="8" t="str">
        <x:v>Не проверен</x:v>
      </x:c>
      <x:c r="I186" s="8" t="str">
        <x:v>Не установлено</x:v>
      </x:c>
      <x:c r="J186" s="8" t="str">
        <x:v>Только контекст поиска</x:v>
      </x:c>
      <x:c r="K186" s="8" t="str">
        <x:v>Не установлено</x:v>
      </x:c>
      <x:c r="L186" s="8" t="str">
        <x:v>Не установлено</x:v>
      </x:c>
      <x:c r="M186" s="8" t="str">
        <x:v>Новый ключ источника</x:v>
      </x:c>
      <x:c r="N186" s="8" t="str">
        <x:v>Не установлено</x:v>
      </x:c>
      <x:c r="O186" s="8"/>
      <x:c r="P186" s="8" t="str">
        <x:v>https://www.mesforum.ru/viewforum.php?f=12&amp;sid=736be0c99902f1b526f0142417ae2087</x:v>
      </x:c>
      <x:c r="Q186" s="8" t="str">
        <x:v>turn1097search29; turn1097search28</x:v>
      </x:c>
    </x:row>
    <x:row r="187" ht="35.25" customHeight="1">
      <x:c r="A187" s="8" t="str">
        <x:v>V7-Sca62599881</x:v>
      </x:c>
      <x:c r="B187" s="8" t="str">
        <x:v>Минский экономический форум международного сотрудничества</x:v>
      </x:c>
      <x:c r="C187" s="8" t="str">
        <x:v>Организаторы деловых мероприятий</x:v>
      </x:c>
      <x:c r="D187" s="8" t="str">
        <x:v>Найден профессиональный/образовательный контекст. Покупательские запросы и возможность сбора еще не проверены.</x:v>
      </x:c>
      <x:c r="E187" s="8" t="str">
        <x:v>BY</x:v>
      </x:c>
      <x:c r="F187" s="8" t="str">
        <x:v>Сайт</x:v>
      </x:c>
      <x:c r="G187" s="8" t="str">
        <x:v>unverified_candidate</x:v>
      </x:c>
      <x:c r="H187" s="8" t="str">
        <x:v>Не проверен</x:v>
      </x:c>
      <x:c r="I187" s="8" t="str">
        <x:v>Не установлено</x:v>
      </x:c>
      <x:c r="J187" s="8" t="str">
        <x:v>Только контекст поиска</x:v>
      </x:c>
      <x:c r="K187" s="8" t="str">
        <x:v>Не установлено</x:v>
      </x:c>
      <x:c r="L187" s="8" t="str">
        <x:v>Не установлено</x:v>
      </x:c>
      <x:c r="M187" s="8" t="str">
        <x:v>Новый ключ источника</x:v>
      </x:c>
      <x:c r="N187" s="8" t="str">
        <x:v>Не установлено</x:v>
      </x:c>
      <x:c r="O187" s="8"/>
      <x:c r="P187" s="8" t="str">
        <x:v>https://minskforum.cci.by/</x:v>
      </x:c>
      <x:c r="Q187" s="8" t="str">
        <x:v>turn1097search4</x:v>
      </x:c>
    </x:row>
    <x:row r="188" ht="35.25" customHeight="1">
      <x:c r="A188" s="8" t="str">
        <x:v>V7-S9191a483e7</x:v>
      </x:c>
      <x:c r="B188" s="8" t="str">
        <x:v>Стать спикером IT-конференции Merge 2026 в Москве</x:v>
      </x:c>
      <x:c r="C188" s="8" t="str">
        <x:v>Организаторы деловых мероприятий</x:v>
      </x:c>
      <x:c r="D188" s="8" t="str">
        <x:v>Найден профессиональный/образовательный контекст. Покупательские запросы и возможность сбора еще не проверены.</x:v>
      </x:c>
      <x:c r="E188" s="8" t="str">
        <x:v>RU</x:v>
      </x:c>
      <x:c r="F188" s="8" t="str">
        <x:v>Сайт</x:v>
      </x:c>
      <x:c r="G188" s="8" t="str">
        <x:v>unverified_candidate</x:v>
      </x:c>
      <x:c r="H188" s="8" t="str">
        <x:v>Не проверен</x:v>
      </x:c>
      <x:c r="I188" s="8" t="str">
        <x:v>Не установлено</x:v>
      </x:c>
      <x:c r="J188" s="8" t="str">
        <x:v>Только контекст поиска</x:v>
      </x:c>
      <x:c r="K188" s="8" t="str">
        <x:v>Не установлено</x:v>
      </x:c>
      <x:c r="L188" s="8" t="str">
        <x:v>Не установлено</x:v>
      </x:c>
      <x:c r="M188" s="8" t="str">
        <x:v>Новый ключ источника</x:v>
      </x:c>
      <x:c r="N188" s="8" t="str">
        <x:v>Не установлено</x:v>
      </x:c>
      <x:c r="O188" s="8"/>
      <x:c r="P188" s="8" t="str">
        <x:v>https://moscow2026.mergeconf.ru/become-speaker</x:v>
      </x:c>
      <x:c r="Q188" s="8" t="str">
        <x:v>turn1109search8</x:v>
      </x:c>
    </x:row>
    <x:row r="189" ht="35.25" customHeight="1">
      <x:c r="A189" s="8" t="str">
        <x:v>V7-Se5ba71a4fb</x:v>
      </x:c>
      <x:c r="B189" s="8" t="str">
        <x:v>Стать спикером</x:v>
      </x:c>
      <x:c r="C189" s="8" t="str">
        <x:v>Организаторы деловых мероприятий</x:v>
      </x:c>
      <x:c r="D189" s="8" t="str">
        <x:v>Найден профессиональный/образовательный контекст. Покупательские запросы и возможность сбора еще не проверены.</x:v>
      </x:c>
      <x:c r="E189" s="8" t="str">
        <x:v>RU</x:v>
      </x:c>
      <x:c r="F189" s="8" t="str">
        <x:v>Сайт</x:v>
      </x:c>
      <x:c r="G189" s="8" t="str">
        <x:v>unverified_candidate</x:v>
      </x:c>
      <x:c r="H189" s="8" t="str">
        <x:v>Не проверен</x:v>
      </x:c>
      <x:c r="I189" s="8" t="str">
        <x:v>Не установлено</x:v>
      </x:c>
      <x:c r="J189" s="8" t="str">
        <x:v>Только контекст поиска</x:v>
      </x:c>
      <x:c r="K189" s="8" t="str">
        <x:v>Не установлено</x:v>
      </x:c>
      <x:c r="L189" s="8" t="str">
        <x:v>Не установлено</x:v>
      </x:c>
      <x:c r="M189" s="8" t="str">
        <x:v>Новый ключ источника</x:v>
      </x:c>
      <x:c r="N189" s="8" t="str">
        <x:v>Не установлено</x:v>
      </x:c>
      <x:c r="O189" s="8"/>
      <x:c r="P189" s="8" t="str">
        <x:v>https://orenburg2025.mergeconf.ru/become-speaker</x:v>
      </x:c>
      <x:c r="Q189" s="8" t="str">
        <x:v>turn1109search12</x:v>
      </x:c>
    </x:row>
    <x:row r="190" ht="35.25" customHeight="1">
      <x:c r="A190" s="8" t="str">
        <x:v>V7-S13c5cba03d</x:v>
      </x:c>
      <x:c r="B190" s="8" t="str">
        <x:v>Стать спикером</x:v>
      </x:c>
      <x:c r="C190" s="8" t="str">
        <x:v>Организаторы деловых мероприятий</x:v>
      </x:c>
      <x:c r="D190" s="8" t="str">
        <x:v>Найден профессиональный/образовательный контекст. Покупательские запросы и возможность сбора еще не проверены.</x:v>
      </x:c>
      <x:c r="E190" s="8" t="str">
        <x:v>RU</x:v>
      </x:c>
      <x:c r="F190" s="8" t="str">
        <x:v>Сайт</x:v>
      </x:c>
      <x:c r="G190" s="8" t="str">
        <x:v>unverified_candidate</x:v>
      </x:c>
      <x:c r="H190" s="8" t="str">
        <x:v>Не проверен</x:v>
      </x:c>
      <x:c r="I190" s="8" t="str">
        <x:v>Не установлено</x:v>
      </x:c>
      <x:c r="J190" s="8" t="str">
        <x:v>Только контекст поиска</x:v>
      </x:c>
      <x:c r="K190" s="8" t="str">
        <x:v>Не установлено</x:v>
      </x:c>
      <x:c r="L190" s="8" t="str">
        <x:v>Не установлено</x:v>
      </x:c>
      <x:c r="M190" s="8" t="str">
        <x:v>Новый ключ источника</x:v>
      </x:c>
      <x:c r="N190" s="8" t="str">
        <x:v>Не установлено</x:v>
      </x:c>
      <x:c r="O190" s="8"/>
      <x:c r="P190" s="8" t="str">
        <x:v>https://orenburg2026.mergeconf.ru/become-speaker</x:v>
      </x:c>
      <x:c r="Q190" s="8" t="str">
        <x:v>turn1109search6</x:v>
      </x:c>
    </x:row>
    <x:row r="191" ht="35.25" customHeight="1">
      <x:c r="A191" s="8" t="str">
        <x:v>V7-S8ab05560a3</x:v>
      </x:c>
      <x:c r="B191" s="8" t="str">
        <x:v>Технический организатор конференции</x:v>
      </x:c>
      <x:c r="C191" s="8" t="str">
        <x:v>Организаторы деловых мероприятий</x:v>
      </x:c>
      <x:c r="D191" s="8" t="str">
        <x:v>Найден профессиональный/образовательный контекст. Покупательские запросы и возможность сбора еще не проверены.</x:v>
      </x:c>
      <x:c r="E191" s="8" t="str">
        <x:v>RU</x:v>
      </x:c>
      <x:c r="F191" s="8" t="str">
        <x:v>Сайт</x:v>
      </x:c>
      <x:c r="G191" s="8" t="str">
        <x:v>unverified_candidate</x:v>
      </x:c>
      <x:c r="H191" s="8" t="str">
        <x:v>Не проверен</x:v>
      </x:c>
      <x:c r="I191" s="8" t="str">
        <x:v>Не установлено</x:v>
      </x:c>
      <x:c r="J191" s="8" t="str">
        <x:v>Только контекст поиска</x:v>
      </x:c>
      <x:c r="K191" s="8" t="str">
        <x:v>Не установлено</x:v>
      </x:c>
      <x:c r="L191" s="8" t="str">
        <x:v>Не установлено</x:v>
      </x:c>
      <x:c r="M191" s="8" t="str">
        <x:v>Новый ключ источника</x:v>
      </x:c>
      <x:c r="N191" s="8" t="str">
        <x:v>Не установлено</x:v>
      </x:c>
      <x:c r="O191" s="8"/>
      <x:c r="P191" s="8" t="str">
        <x:v>https://progrexpo.ru/uploads/s/x/v/u/xvuryqp8ewhz/file/OQcrQVAs.pdf?preview=1</x:v>
      </x:c>
      <x:c r="Q191" s="8" t="str">
        <x:v>turn1098search29</x:v>
      </x:c>
    </x:row>
    <x:row r="192" ht="35.25" customHeight="1">
      <x:c r="A192" s="8" t="str">
        <x:v>V7-Sfc84a4203b</x:v>
      </x:c>
      <x:c r="B192" s="8" t="str">
        <x:v>Стать спикером • Психология современности 3.0</x:v>
      </x:c>
      <x:c r="C192" s="8" t="str">
        <x:v>Организаторы деловых мероприятий</x:v>
      </x:c>
      <x:c r="D192" s="8" t="str">
        <x:v>Найден профессиональный/образовательный контекст. Покупательские запросы и возможность сбора еще не проверены.</x:v>
      </x:c>
      <x:c r="E192" s="8" t="str">
        <x:v>RU</x:v>
      </x:c>
      <x:c r="F192" s="8" t="str">
        <x:v>Сайт</x:v>
      </x:c>
      <x:c r="G192" s="8" t="str">
        <x:v>unverified_candidate</x:v>
      </x:c>
      <x:c r="H192" s="8" t="str">
        <x:v>Не проверен</x:v>
      </x:c>
      <x:c r="I192" s="8" t="str">
        <x:v>Не установлено</x:v>
      </x:c>
      <x:c r="J192" s="8" t="str">
        <x:v>Только контекст поиска</x:v>
      </x:c>
      <x:c r="K192" s="8" t="str">
        <x:v>Не установлено</x:v>
      </x:c>
      <x:c r="L192" s="8" t="str">
        <x:v>Не установлено</x:v>
      </x:c>
      <x:c r="M192" s="8" t="str">
        <x:v>Новый ключ источника</x:v>
      </x:c>
      <x:c r="N192" s="8" t="str">
        <x:v>Не установлено</x:v>
      </x:c>
      <x:c r="O192" s="8"/>
      <x:c r="P192" s="8" t="str">
        <x:v>https://psy-conf.ru/stat-spikerom/</x:v>
      </x:c>
      <x:c r="Q192" s="8" t="str">
        <x:v>turn1109search10</x:v>
      </x:c>
    </x:row>
    <x:row r="193" ht="35.25" customHeight="1">
      <x:c r="A193" s="8" t="str">
        <x:v>V7-Sbd0adc460b</x:v>
      </x:c>
      <x:c r="B193" s="8" t="str">
        <x:v>Станьте спикером Селфмама Форума 2026</x:v>
      </x:c>
      <x:c r="C193" s="8" t="str">
        <x:v>Организаторы деловых мероприятий</x:v>
      </x:c>
      <x:c r="D193" s="8" t="str">
        <x:v>Найден профессиональный/образовательный контекст. Покупательские запросы и возможность сбора еще не проверены.</x:v>
      </x:c>
      <x:c r="E193" s="8" t="str">
        <x:v>RU</x:v>
      </x:c>
      <x:c r="F193" s="8" t="str">
        <x:v>Сайт</x:v>
      </x:c>
      <x:c r="G193" s="8" t="str">
        <x:v>unverified_candidate</x:v>
      </x:c>
      <x:c r="H193" s="8" t="str">
        <x:v>Не проверен</x:v>
      </x:c>
      <x:c r="I193" s="8" t="str">
        <x:v>Не установлено</x:v>
      </x:c>
      <x:c r="J193" s="8" t="str">
        <x:v>Только контекст поиска</x:v>
      </x:c>
      <x:c r="K193" s="8" t="str">
        <x:v>Не установлено</x:v>
      </x:c>
      <x:c r="L193" s="8" t="str">
        <x:v>Не установлено</x:v>
      </x:c>
      <x:c r="M193" s="8" t="str">
        <x:v>Новый ключ источника</x:v>
      </x:c>
      <x:c r="N193" s="8" t="str">
        <x:v>Не установлено</x:v>
      </x:c>
      <x:c r="O193" s="8"/>
      <x:c r="P193" s="8" t="str">
        <x:v>https://selfmamaforum.ru/to-be-speaker</x:v>
      </x:c>
      <x:c r="Q193" s="8" t="str">
        <x:v>turn1109search13</x:v>
      </x:c>
    </x:row>
    <x:row r="194" ht="35.25" customHeight="1">
      <x:c r="A194" s="8" t="str">
        <x:v>V7-Sa29335f685</x:v>
      </x:c>
      <x:c r="B194" s="8" t="str">
        <x:v>Новости | Форум Отельеров и Рестораторов Сибири 27-28 мая 2026</x:v>
      </x:c>
      <x:c r="C194" s="8" t="str">
        <x:v>Организаторы деловых мероприятий</x:v>
      </x:c>
      <x:c r="D194" s="8" t="str">
        <x:v>Найден профессиональный/образовательный контекст. Покупательские запросы и возможность сбора еще не проверены.</x:v>
      </x:c>
      <x:c r="E194" s="8" t="str">
        <x:v>RU</x:v>
      </x:c>
      <x:c r="F194" s="8" t="str">
        <x:v>Сайт</x:v>
      </x:c>
      <x:c r="G194" s="8" t="str">
        <x:v>unverified_candidate</x:v>
      </x:c>
      <x:c r="H194" s="8" t="str">
        <x:v>Не проверен</x:v>
      </x:c>
      <x:c r="I194" s="8" t="str">
        <x:v>Не установлено</x:v>
      </x:c>
      <x:c r="J194" s="8" t="str">
        <x:v>Только контекст поиска</x:v>
      </x:c>
      <x:c r="K194" s="8" t="str">
        <x:v>Не установлено</x:v>
      </x:c>
      <x:c r="L194" s="8" t="str">
        <x:v>Не установлено</x:v>
      </x:c>
      <x:c r="M194" s="8" t="str">
        <x:v>Новый ключ источника</x:v>
      </x:c>
      <x:c r="N194" s="8" t="str">
        <x:v>Не установлено</x:v>
      </x:c>
      <x:c r="O194" s="8"/>
      <x:c r="P194" s="8" t="str">
        <x:v>https://siberiahotels.ru/forum2026/news/priglashaem-spikerov-na-konkurs-svoya-scena/</x:v>
      </x:c>
      <x:c r="Q194" s="8" t="str">
        <x:v>turn1109search18</x:v>
      </x:c>
    </x:row>
    <x:row r="195" ht="35.25" customHeight="1">
      <x:c r="A195" s="8" t="str">
        <x:v>V7-S03a9a50d8e</x:v>
      </x:c>
      <x:c r="B195" s="8" t="str">
        <x:v>Международный форум Space Days Kazakhstan 2026 | RU</x:v>
      </x:c>
      <x:c r="C195" s="8" t="str">
        <x:v>Организаторы деловых мероприятий</x:v>
      </x:c>
      <x:c r="D195" s="8" t="str">
        <x:v>Найден профессиональный/образовательный контекст. Покупательские запросы и возможность сбора еще не проверены.</x:v>
      </x:c>
      <x:c r="E195" s="8" t="str">
        <x:v>KZ</x:v>
      </x:c>
      <x:c r="F195" s="8" t="str">
        <x:v>Сайт</x:v>
      </x:c>
      <x:c r="G195" s="8" t="str">
        <x:v>unverified_candidate</x:v>
      </x:c>
      <x:c r="H195" s="8" t="str">
        <x:v>Не проверен</x:v>
      </x:c>
      <x:c r="I195" s="8" t="str">
        <x:v>Не установлено</x:v>
      </x:c>
      <x:c r="J195" s="8" t="str">
        <x:v>Только контекст поиска</x:v>
      </x:c>
      <x:c r="K195" s="8" t="str">
        <x:v>Не установлено</x:v>
      </x:c>
      <x:c r="L195" s="8" t="str">
        <x:v>Не установлено</x:v>
      </x:c>
      <x:c r="M195" s="8" t="str">
        <x:v>Новый ключ источника</x:v>
      </x:c>
      <x:c r="N195" s="8" t="str">
        <x:v>Не установлено</x:v>
      </x:c>
      <x:c r="O195" s="8"/>
      <x:c r="P195" s="8" t="str">
        <x:v>https://spacedays.kz/ru</x:v>
      </x:c>
      <x:c r="Q195" s="8" t="str">
        <x:v>turn1098search9</x:v>
      </x:c>
    </x:row>
    <x:row r="196" ht="35.25" customHeight="1">
      <x:c r="A196" s="8" t="str">
        <x:v>V7-Sebc336f7ee</x:v>
      </x:c>
      <x:c r="B196" s="8" t="str">
        <x:v>Стать спикером конференции — Питерский Промпт</x:v>
      </x:c>
      <x:c r="C196" s="8" t="str">
        <x:v>Организаторы деловых мероприятий</x:v>
      </x:c>
      <x:c r="D196" s="8" t="str">
        <x:v>Найден профессиональный/образовательный контекст. Покупательские запросы и возможность сбора еще не проверены.</x:v>
      </x:c>
      <x:c r="E196" s="8" t="str">
        <x:v>RU</x:v>
      </x:c>
      <x:c r="F196" s="8" t="str">
        <x:v>Сайт</x:v>
      </x:c>
      <x:c r="G196" s="8" t="str">
        <x:v>unverified_candidate</x:v>
      </x:c>
      <x:c r="H196" s="8" t="str">
        <x:v>Не проверен</x:v>
      </x:c>
      <x:c r="I196" s="8" t="str">
        <x:v>Не установлено</x:v>
      </x:c>
      <x:c r="J196" s="8" t="str">
        <x:v>Только контекст поиска</x:v>
      </x:c>
      <x:c r="K196" s="8" t="str">
        <x:v>Не установлено</x:v>
      </x:c>
      <x:c r="L196" s="8" t="str">
        <x:v>Не установлено</x:v>
      </x:c>
      <x:c r="M196" s="8" t="str">
        <x:v>Новый ключ источника</x:v>
      </x:c>
      <x:c r="N196" s="8" t="str">
        <x:v>Не установлено</x:v>
      </x:c>
      <x:c r="O196" s="8"/>
      <x:c r="P196" s="8" t="str">
        <x:v>https://spbprompt.ru/for-speakers/</x:v>
      </x:c>
      <x:c r="Q196" s="8" t="str">
        <x:v>turn1109search0</x:v>
      </x:c>
    </x:row>
    <x:row r="197" ht="35.25" customHeight="1">
      <x:c r="A197" s="8" t="str">
        <x:v>V7-S5a267f2abf</x:v>
      </x:c>
      <x:c r="B197" s="8" t="str">
        <x:v>Стать спикером</x:v>
      </x:c>
      <x:c r="C197" s="8" t="str">
        <x:v>Организаторы деловых мероприятий</x:v>
      </x:c>
      <x:c r="D197" s="8" t="str">
        <x:v>Найден профессиональный/образовательный контекст. Покупательские запросы и возможность сбора еще не проверены.</x:v>
      </x:c>
      <x:c r="E197" s="8" t="str">
        <x:v>RU</x:v>
      </x:c>
      <x:c r="F197" s="8" t="str">
        <x:v>Сайт</x:v>
      </x:c>
      <x:c r="G197" s="8" t="str">
        <x:v>unverified_candidate</x:v>
      </x:c>
      <x:c r="H197" s="8" t="str">
        <x:v>Не проверен</x:v>
      </x:c>
      <x:c r="I197" s="8" t="str">
        <x:v>Не установлено</x:v>
      </x:c>
      <x:c r="J197" s="8" t="str">
        <x:v>Только контекст поиска</x:v>
      </x:c>
      <x:c r="K197" s="8" t="str">
        <x:v>Не установлено</x:v>
      </x:c>
      <x:c r="L197" s="8" t="str">
        <x:v>Не установлено</x:v>
      </x:c>
      <x:c r="M197" s="8" t="str">
        <x:v>Новый ключ источника</x:v>
      </x:c>
      <x:c r="N197" s="8" t="str">
        <x:v>Не установлено</x:v>
      </x:c>
      <x:c r="O197" s="8"/>
      <x:c r="P197" s="8" t="str">
        <x:v>https://tatarstan2025.mergeconf.ru/become-speaker-last</x:v>
      </x:c>
      <x:c r="Q197" s="8" t="str">
        <x:v>turn1109search11</x:v>
      </x:c>
    </x:row>
    <x:row r="198" ht="47.25" customHeight="1">
      <x:c r="A198" s="8" t="str">
        <x:v>V7-S310486205f</x:v>
      </x:c>
      <x:c r="B198" s="8" t="str">
        <x:v>Конференция ко дню кадрового работника от Системы Кадры 16 октября! Разберем изменения в работе с сентября. Подключайтесь</x:v>
      </x:c>
      <x:c r="C198" s="8" t="str">
        <x:v>Организаторы деловых мероприятий</x:v>
      </x:c>
      <x:c r="D198" s="8" t="str">
        <x:v>Найден профессиональный/образовательный контекст. Покупательские запросы и возможность сбора еще не проверены.</x:v>
      </x:c>
      <x:c r="E198" s="8" t="str">
        <x:v>RU</x:v>
      </x:c>
      <x:c r="F198" s="8" t="str">
        <x:v>Сайт</x:v>
      </x:c>
      <x:c r="G198" s="8" t="str">
        <x:v>unverified_candidate</x:v>
      </x:c>
      <x:c r="H198" s="8" t="str">
        <x:v>Не проверен</x:v>
      </x:c>
      <x:c r="I198" s="8" t="str">
        <x:v>Не установлено</x:v>
      </x:c>
      <x:c r="J198" s="8" t="str">
        <x:v>Только контекст поиска</x:v>
      </x:c>
      <x:c r="K198" s="8" t="str">
        <x:v>Не установлено</x:v>
      </x:c>
      <x:c r="L198" s="8" t="str">
        <x:v>Не установлено</x:v>
      </x:c>
      <x:c r="M198" s="8" t="str">
        <x:v>Новый ключ источника</x:v>
      </x:c>
      <x:c r="N198" s="8" t="str">
        <x:v>Не установлено</x:v>
      </x:c>
      <x:c r="O198" s="8"/>
      <x:c r="P198" s="8" t="str">
        <x:v>https://action-kadry.ru/kss_conference/</x:v>
      </x:c>
      <x:c r="Q198" s="8" t="str">
        <x:v>turn1097search26</x:v>
      </x:c>
    </x:row>
    <x:row r="199" ht="35.25" customHeight="1">
      <x:c r="A199" s="8" t="str">
        <x:v>V7-S9698573248</x:v>
      </x:c>
      <x:c r="B199" s="8" t="str">
        <x:v>III ЕвроАзиатский Финансово-Экономический Форум — Хоргос 2026 - Форум ABR</x:v>
      </x:c>
      <x:c r="C199" s="8" t="str">
        <x:v>Организаторы деловых мероприятий</x:v>
      </x:c>
      <x:c r="D199" s="8" t="str">
        <x:v>Найден профессиональный/образовательный контекст. Покупательские запросы и возможность сбора еще не проверены.</x:v>
      </x:c>
      <x:c r="E199" s="8" t="str">
        <x:v>KZ</x:v>
      </x:c>
      <x:c r="F199" s="8" t="str">
        <x:v>Сайт</x:v>
      </x:c>
      <x:c r="G199" s="8" t="str">
        <x:v>unverified_candidate</x:v>
      </x:c>
      <x:c r="H199" s="8" t="str">
        <x:v>Не проверен</x:v>
      </x:c>
      <x:c r="I199" s="8" t="str">
        <x:v>Не установлено</x:v>
      </x:c>
      <x:c r="J199" s="8" t="str">
        <x:v>Только контекст поиска</x:v>
      </x:c>
      <x:c r="K199" s="8" t="str">
        <x:v>Не установлено</x:v>
      </x:c>
      <x:c r="L199" s="8" t="str">
        <x:v>Не установлено</x:v>
      </x:c>
      <x:c r="M199" s="8" t="str">
        <x:v>Новый ключ источника</x:v>
      </x:c>
      <x:c r="N199" s="8" t="str">
        <x:v>Не установлено</x:v>
      </x:c>
      <x:c r="O199" s="8"/>
      <x:c r="P199" s="8" t="str">
        <x:v>https://cafbf.kz/ru/</x:v>
      </x:c>
      <x:c r="Q199" s="8" t="str">
        <x:v>turn1098search5</x:v>
      </x:c>
    </x:row>
    <x:row r="200" ht="35.25" customHeight="1">
      <x:c r="A200" s="8" t="str">
        <x:v>V7-S2a1b1500f3</x:v>
      </x:c>
      <x:c r="B200" s="8" t="str">
        <x:v>КаргоКульт 2025 | Подача заявки на доклад | Конференция по HR</x:v>
      </x:c>
      <x:c r="C200" s="8" t="str">
        <x:v>Организаторы деловых мероприятий</x:v>
      </x:c>
      <x:c r="D200" s="8" t="str">
        <x:v>Найден профессиональный/образовательный контекст. Покупательские запросы и возможность сбора еще не проверены.</x:v>
      </x:c>
      <x:c r="E200" s="8" t="str">
        <x:v>Не установлена</x:v>
      </x:c>
      <x:c r="F200" s="8" t="str">
        <x:v>Сайт</x:v>
      </x:c>
      <x:c r="G200" s="8" t="str">
        <x:v>unverified_candidate</x:v>
      </x:c>
      <x:c r="H200" s="8" t="str">
        <x:v>Не проверен</x:v>
      </x:c>
      <x:c r="I200" s="8" t="str">
        <x:v>Не установлено</x:v>
      </x:c>
      <x:c r="J200" s="8" t="str">
        <x:v>Только контекст поиска</x:v>
      </x:c>
      <x:c r="K200" s="8" t="str">
        <x:v>Не установлено</x:v>
      </x:c>
      <x:c r="L200" s="8" t="str">
        <x:v>Не установлено</x:v>
      </x:c>
      <x:c r="M200" s="8" t="str">
        <x:v>Новый ключ источника</x:v>
      </x:c>
      <x:c r="N200" s="8" t="str">
        <x:v>Не установлено</x:v>
      </x:c>
      <x:c r="O200" s="8"/>
      <x:c r="P200" s="8" t="str">
        <x:v>https://cargo-cult.club/callforpapers/</x:v>
      </x:c>
      <x:c r="Q200" s="8" t="str">
        <x:v>turn1097search15</x:v>
      </x:c>
    </x:row>
    <x:row r="201" ht="35.25" customHeight="1">
      <x:c r="A201" s="8" t="str">
        <x:v>V7-S5fbdc4735e</x:v>
      </x:c>
      <x:c r="B201" s="8" t="str">
        <x:v>Конференция «Управление финансами в производственных и промышленных компаниях»</x:v>
      </x:c>
      <x:c r="C201" s="8" t="str">
        <x:v>Организаторы деловых мероприятий</x:v>
      </x:c>
      <x:c r="D201" s="8" t="str">
        <x:v>Найден профессиональный/образовательный контекст. Покупательские запросы и возможность сбора еще не проверены.</x:v>
      </x:c>
      <x:c r="E201" s="8" t="str">
        <x:v>RU</x:v>
      </x:c>
      <x:c r="F201" s="8" t="str">
        <x:v>Сайт</x:v>
      </x:c>
      <x:c r="G201" s="8" t="str">
        <x:v>unverified_candidate</x:v>
      </x:c>
      <x:c r="H201" s="8" t="str">
        <x:v>Не проверен</x:v>
      </x:c>
      <x:c r="I201" s="8" t="str">
        <x:v>Не установлено</x:v>
      </x:c>
      <x:c r="J201" s="8" t="str">
        <x:v>Только контекст поиска</x:v>
      </x:c>
      <x:c r="K201" s="8" t="str">
        <x:v>Не установлено</x:v>
      </x:c>
      <x:c r="L201" s="8" t="str">
        <x:v>Не установлено</x:v>
      </x:c>
      <x:c r="M201" s="8" t="str">
        <x:v>Новый ключ источника</x:v>
      </x:c>
      <x:c r="N201" s="8" t="str">
        <x:v>Не установлено</x:v>
      </x:c>
      <x:c r="O201" s="8"/>
      <x:c r="P201" s="8" t="str">
        <x:v>https://ef.gd.ru/prod_finances/</x:v>
      </x:c>
      <x:c r="Q201" s="8" t="str">
        <x:v>turn1097search25</x:v>
      </x:c>
    </x:row>
    <x:row r="202" ht="35.25" customHeight="1">
      <x:c r="A202" s="8" t="str">
        <x:v>V7-S909e57b994</x:v>
      </x:c>
      <x:c r="B202" s="8" t="str">
        <x:v>Форум управляющих директоров 2026 — Москва</x:v>
      </x:c>
      <x:c r="C202" s="8" t="str">
        <x:v>Организаторы деловых мероприятий</x:v>
      </x:c>
      <x:c r="D202" s="8" t="str">
        <x:v>Найден профессиональный/образовательный контекст. Покупательские запросы и возможность сбора еще не проверены.</x:v>
      </x:c>
      <x:c r="E202" s="8" t="str">
        <x:v>RU</x:v>
      </x:c>
      <x:c r="F202" s="8" t="str">
        <x:v>Сайт</x:v>
      </x:c>
      <x:c r="G202" s="8" t="str">
        <x:v>unverified_candidate</x:v>
      </x:c>
      <x:c r="H202" s="8" t="str">
        <x:v>Не проверен</x:v>
      </x:c>
      <x:c r="I202" s="8" t="str">
        <x:v>Не установлено</x:v>
      </x:c>
      <x:c r="J202" s="8" t="str">
        <x:v>Только контекст поиска</x:v>
      </x:c>
      <x:c r="K202" s="8" t="str">
        <x:v>Не установлено</x:v>
      </x:c>
      <x:c r="L202" s="8" t="str">
        <x:v>Не установлено</x:v>
      </x:c>
      <x:c r="M202" s="8" t="str">
        <x:v>Новый ключ источника</x:v>
      </x:c>
      <x:c r="N202" s="8" t="str">
        <x:v>Не установлено</x:v>
      </x:c>
      <x:c r="O202" s="8"/>
      <x:c r="P202" s="8" t="str">
        <x:v>https://eventhubs.ru/event/forum-upravlyayuschih-direktorov-2026</x:v>
      </x:c>
      <x:c r="Q202" s="8" t="str">
        <x:v>turn1097search32</x:v>
      </x:c>
    </x:row>
    <x:row r="203" ht="35.25" customHeight="1">
      <x:c r="A203" s="8" t="str">
        <x:v>V7-S62d66a1efd</x:v>
      </x:c>
      <x:c r="B203" s="8" t="str">
        <x:v>HR Directors Forum'26</x:v>
      </x:c>
      <x:c r="C203" s="8" t="str">
        <x:v>Организаторы деловых мероприятий</x:v>
      </x:c>
      <x:c r="D203" s="8" t="str">
        <x:v>Найден профессиональный/образовательный контекст. Покупательские запросы и возможность сбора еще не проверены.</x:v>
      </x:c>
      <x:c r="E203" s="8" t="str">
        <x:v>RU</x:v>
      </x:c>
      <x:c r="F203" s="8" t="str">
        <x:v>Сайт</x:v>
      </x:c>
      <x:c r="G203" s="8" t="str">
        <x:v>unverified_candidate</x:v>
      </x:c>
      <x:c r="H203" s="8" t="str">
        <x:v>Не проверен</x:v>
      </x:c>
      <x:c r="I203" s="8" t="str">
        <x:v>Не установлено</x:v>
      </x:c>
      <x:c r="J203" s="8" t="str">
        <x:v>Только контекст поиска</x:v>
      </x:c>
      <x:c r="K203" s="8" t="str">
        <x:v>Не установлено</x:v>
      </x:c>
      <x:c r="L203" s="8" t="str">
        <x:v>Не установлено</x:v>
      </x:c>
      <x:c r="M203" s="8" t="str">
        <x:v>Новый ключ источника</x:v>
      </x:c>
      <x:c r="N203" s="8" t="str">
        <x:v>Не установлено</x:v>
      </x:c>
      <x:c r="O203" s="8"/>
      <x:c r="P203" s="8" t="str">
        <x:v>https://fortiusforum.ru/hf26</x:v>
      </x:c>
      <x:c r="Q203" s="8" t="str">
        <x:v>turn1097search18</x:v>
      </x:c>
    </x:row>
    <x:row r="204" ht="35.25" customHeight="1">
      <x:c r="A204" s="8" t="str">
        <x:v>V7-S9797b289b7</x:v>
      </x:c>
      <x:c r="B204" s="8" t="str">
        <x:v>Форум по автоматизации снабжения и закупок</x:v>
      </x:c>
      <x:c r="C204" s="8" t="str">
        <x:v>Организаторы деловых мероприятий</x:v>
      </x:c>
      <x:c r="D204" s="8" t="str">
        <x:v>Найден профессиональный/образовательный контекст. Покупательские запросы и возможность сбора еще не проверены.</x:v>
      </x:c>
      <x:c r="E204" s="8" t="str">
        <x:v>Не установлена</x:v>
      </x:c>
      <x:c r="F204" s="8" t="str">
        <x:v>Сайт</x:v>
      </x:c>
      <x:c r="G204" s="8" t="str">
        <x:v>unverified_candidate</x:v>
      </x:c>
      <x:c r="H204" s="8" t="str">
        <x:v>Не проверен</x:v>
      </x:c>
      <x:c r="I204" s="8" t="str">
        <x:v>Не установлено</x:v>
      </x:c>
      <x:c r="J204" s="8" t="str">
        <x:v>Только контекст поиска</x:v>
      </x:c>
      <x:c r="K204" s="8" t="str">
        <x:v>Не установлено</x:v>
      </x:c>
      <x:c r="L204" s="8" t="str">
        <x:v>Не установлено</x:v>
      </x:c>
      <x:c r="M204" s="8" t="str">
        <x:v>Новый ключ источника</x:v>
      </x:c>
      <x:c r="N204" s="8" t="str">
        <x:v>Не установлено</x:v>
      </x:c>
      <x:c r="O204" s="8"/>
      <x:c r="P204" s="8" t="str">
        <x:v>https://forum.armdl.tech/</x:v>
      </x:c>
      <x:c r="Q204" s="8" t="str">
        <x:v>turn1097search33</x:v>
      </x:c>
    </x:row>
    <x:row r="205" ht="35.25" customHeight="1">
      <x:c r="A205" s="8" t="str">
        <x:v>V7-Sfeb909f7b9</x:v>
      </x:c>
      <x:c r="B205" s="8" t="str">
        <x:v>HR-Конференция Quorum «КАДРОВЫЙ РЕЗЕРВ 2026» | Материалы</x:v>
      </x:c>
      <x:c r="C205" s="8" t="str">
        <x:v>Организаторы деловых мероприятий</x:v>
      </x:c>
      <x:c r="D205" s="8" t="str">
        <x:v>Найден профессиональный/образовательный контекст. Покупательские запросы и возможность сбора еще не проверены.</x:v>
      </x:c>
      <x:c r="E205" s="8" t="str">
        <x:v>RU</x:v>
      </x:c>
      <x:c r="F205" s="8" t="str">
        <x:v>Сайт</x:v>
      </x:c>
      <x:c r="G205" s="8" t="str">
        <x:v>unverified_candidate</x:v>
      </x:c>
      <x:c r="H205" s="8" t="str">
        <x:v>Не проверен</x:v>
      </x:c>
      <x:c r="I205" s="8" t="str">
        <x:v>Не установлено</x:v>
      </x:c>
      <x:c r="J205" s="8" t="str">
        <x:v>Только контекст поиска</x:v>
      </x:c>
      <x:c r="K205" s="8" t="str">
        <x:v>Не установлено</x:v>
      </x:c>
      <x:c r="L205" s="8" t="str">
        <x:v>Не установлено</x:v>
      </x:c>
      <x:c r="M205" s="8" t="str">
        <x:v>Новый ключ источника</x:v>
      </x:c>
      <x:c r="N205" s="8" t="str">
        <x:v>Не установлено</x:v>
      </x:c>
      <x:c r="O205" s="8"/>
      <x:c r="P205" s="8" t="str">
        <x:v>https://hipo.quorumconference.ru/materials2026</x:v>
      </x:c>
      <x:c r="Q205" s="8" t="str">
        <x:v>turn1097search24</x:v>
      </x:c>
    </x:row>
    <x:row r="206" ht="35.25" customHeight="1">
      <x:c r="A206" s="8" t="str">
        <x:v>V7-S620f56394c</x:v>
      </x:c>
      <x:c r="B206" s="8" t="str">
        <x:v>XVI HR-конференция Quorum УПРАВЛЕНИЕ ПРОИЗВОДСТВЕННЫМ ПЕРСОНАЛОМ 2026 | Материалы</x:v>
      </x:c>
      <x:c r="C206" s="8" t="str">
        <x:v>Организаторы деловых мероприятий</x:v>
      </x:c>
      <x:c r="D206" s="8" t="str">
        <x:v>Найден профессиональный/образовательный контекст. Покупательские запросы и возможность сбора еще не проверены.</x:v>
      </x:c>
      <x:c r="E206" s="8" t="str">
        <x:v>RU</x:v>
      </x:c>
      <x:c r="F206" s="8" t="str">
        <x:v>Сайт</x:v>
      </x:c>
      <x:c r="G206" s="8" t="str">
        <x:v>unverified_candidate</x:v>
      </x:c>
      <x:c r="H206" s="8" t="str">
        <x:v>Не проверен</x:v>
      </x:c>
      <x:c r="I206" s="8" t="str">
        <x:v>Не установлено</x:v>
      </x:c>
      <x:c r="J206" s="8" t="str">
        <x:v>Только контекст поиска</x:v>
      </x:c>
      <x:c r="K206" s="8" t="str">
        <x:v>Не установлено</x:v>
      </x:c>
      <x:c r="L206" s="8" t="str">
        <x:v>Не установлено</x:v>
      </x:c>
      <x:c r="M206" s="8" t="str">
        <x:v>Новый ключ источника</x:v>
      </x:c>
      <x:c r="N206" s="8" t="str">
        <x:v>Не установлено</x:v>
      </x:c>
      <x:c r="O206" s="8"/>
      <x:c r="P206" s="8" t="str">
        <x:v>https://hrpp.quorumconference.ru/materials2026</x:v>
      </x:c>
      <x:c r="Q206" s="8" t="str">
        <x:v>turn1097search21</x:v>
      </x:c>
    </x:row>
    <x:row r="207" ht="35.25" customHeight="1">
      <x:c r="A207" s="8" t="str">
        <x:v>V7-S0cf27d2a98</x:v>
      </x:c>
      <x:c r="B207" s="8" t="str">
        <x:v>Конференция Human. Кадровое делопроизводство</x:v>
      </x:c>
      <x:c r="C207" s="8" t="str">
        <x:v>Организаторы деловых мероприятий</x:v>
      </x:c>
      <x:c r="D207" s="8" t="str">
        <x:v>Найден профессиональный/образовательный контекст. Покупательские запросы и возможность сбора еще не проверены.</x:v>
      </x:c>
      <x:c r="E207" s="8" t="str">
        <x:v>RU</x:v>
      </x:c>
      <x:c r="F207" s="8" t="str">
        <x:v>Сайт</x:v>
      </x:c>
      <x:c r="G207" s="8" t="str">
        <x:v>unverified_candidate</x:v>
      </x:c>
      <x:c r="H207" s="8" t="str">
        <x:v>Не проверен</x:v>
      </x:c>
      <x:c r="I207" s="8" t="str">
        <x:v>Не установлено</x:v>
      </x:c>
      <x:c r="J207" s="8" t="str">
        <x:v>Только контекст поиска</x:v>
      </x:c>
      <x:c r="K207" s="8" t="str">
        <x:v>Не установлено</x:v>
      </x:c>
      <x:c r="L207" s="8" t="str">
        <x:v>Не установлено</x:v>
      </x:c>
      <x:c r="M207" s="8" t="str">
        <x:v>Новый ключ источника</x:v>
      </x:c>
      <x:c r="N207" s="8" t="str">
        <x:v>Не установлено</x:v>
      </x:c>
      <x:c r="O207" s="8"/>
      <x:c r="P207" s="8" t="str">
        <x:v>https://humanconf.ru/doc</x:v>
      </x:c>
      <x:c r="Q207" s="8" t="str">
        <x:v>turn1097search5; turn1097search20</x:v>
      </x:c>
    </x:row>
    <x:row r="208" ht="47.25" customHeight="1">
      <x:c r="A208" s="8" t="str">
        <x:v>V7-S2f52666053</x:v>
      </x:c>
      <x:c r="B208" s="8" t="str">
        <x:v>Международная конференция InstaMinsk 2025 - празднуем 15 лет Instagram в Президент Отеле 15 Февраля</x:v>
      </x:c>
      <x:c r="C208" s="8" t="str">
        <x:v>Организаторы деловых мероприятий</x:v>
      </x:c>
      <x:c r="D208" s="8" t="str">
        <x:v>Найден профессиональный/образовательный контекст. Покупательские запросы и возможность сбора еще не проверены.</x:v>
      </x:c>
      <x:c r="E208" s="8" t="str">
        <x:v>Не установлена</x:v>
      </x:c>
      <x:c r="F208" s="8" t="str">
        <x:v>Сайт</x:v>
      </x:c>
      <x:c r="G208" s="8" t="str">
        <x:v>unverified_candidate</x:v>
      </x:c>
      <x:c r="H208" s="8" t="str">
        <x:v>Не проверен</x:v>
      </x:c>
      <x:c r="I208" s="8" t="str">
        <x:v>Не установлено</x:v>
      </x:c>
      <x:c r="J208" s="8" t="str">
        <x:v>Только контекст поиска</x:v>
      </x:c>
      <x:c r="K208" s="8" t="str">
        <x:v>Не установлено</x:v>
      </x:c>
      <x:c r="L208" s="8" t="str">
        <x:v>Не установлено</x:v>
      </x:c>
      <x:c r="M208" s="8" t="str">
        <x:v>Новый ключ источника</x:v>
      </x:c>
      <x:c r="N208" s="8" t="str">
        <x:v>Не установлено</x:v>
      </x:c>
      <x:c r="O208" s="8"/>
      <x:c r="P208" s="8" t="str">
        <x:v>https://instaminsk.com/</x:v>
      </x:c>
      <x:c r="Q208" s="8" t="str">
        <x:v>turn1109search26</x:v>
      </x:c>
    </x:row>
    <x:row r="209" ht="35.25" customHeight="1">
      <x:c r="A209" s="8" t="str">
        <x:v>V7-S4a449cbfc1</x:v>
      </x:c>
      <x:c r="B209" s="8" t="str">
        <x:v>Управление цепочками поставок 2026</x:v>
      </x:c>
      <x:c r="C209" s="8" t="str">
        <x:v>Организаторы деловых мероприятий</x:v>
      </x:c>
      <x:c r="D209" s="8" t="str">
        <x:v>Найден профессиональный/образовательный контекст. Покупательские запросы и возможность сбора еще не проверены.</x:v>
      </x:c>
      <x:c r="E209" s="8" t="str">
        <x:v>RU</x:v>
      </x:c>
      <x:c r="F209" s="8" t="str">
        <x:v>Сайт</x:v>
      </x:c>
      <x:c r="G209" s="8" t="str">
        <x:v>unverified_candidate</x:v>
      </x:c>
      <x:c r="H209" s="8" t="str">
        <x:v>Не проверен</x:v>
      </x:c>
      <x:c r="I209" s="8" t="str">
        <x:v>Не установлено</x:v>
      </x:c>
      <x:c r="J209" s="8" t="str">
        <x:v>Только контекст поиска</x:v>
      </x:c>
      <x:c r="K209" s="8" t="str">
        <x:v>Не установлено</x:v>
      </x:c>
      <x:c r="L209" s="8" t="str">
        <x:v>Не установлено</x:v>
      </x:c>
      <x:c r="M209" s="8" t="str">
        <x:v>Новый ключ источника</x:v>
      </x:c>
      <x:c r="N209" s="8" t="str">
        <x:v>Не установлено</x:v>
      </x:c>
      <x:c r="O209" s="8"/>
      <x:c r="P209" s="8" t="str">
        <x:v>https://logistics.ru/sobytiya-upravlenie-logistikoy-i-kompaniey/upravlenie-cepochkami-postavok-2026</x:v>
      </x:c>
      <x:c r="Q209" s="8" t="str">
        <x:v>turn1097search34</x:v>
      </x:c>
    </x:row>
    <x:row r="210" ht="35.25" customHeight="1">
      <x:c r="A210" s="8" t="str">
        <x:v>V7-Sc5ad37b3d6</x:v>
      </x:c>
      <x:c r="B210" s="8" t="str">
        <x:v>XII Всероссийский форум «ПРО управление закупками» | Переговоры за минуту</x:v>
      </x:c>
      <x:c r="C210" s="8" t="str">
        <x:v>Организаторы деловых мероприятий</x:v>
      </x:c>
      <x:c r="D210" s="8" t="str">
        <x:v>Найден профессиональный/образовательный контекст. Покупательские запросы и возможность сбора еще не проверены.</x:v>
      </x:c>
      <x:c r="E210" s="8" t="str">
        <x:v>Не установлена</x:v>
      </x:c>
      <x:c r="F210" s="8" t="str">
        <x:v>Сайт</x:v>
      </x:c>
      <x:c r="G210" s="8" t="str">
        <x:v>unverified_candidate</x:v>
      </x:c>
      <x:c r="H210" s="8" t="str">
        <x:v>Не проверен</x:v>
      </x:c>
      <x:c r="I210" s="8" t="str">
        <x:v>Не установлено</x:v>
      </x:c>
      <x:c r="J210" s="8" t="str">
        <x:v>Только контекст поиска</x:v>
      </x:c>
      <x:c r="K210" s="8" t="str">
        <x:v>Не установлено</x:v>
      </x:c>
      <x:c r="L210" s="8" t="str">
        <x:v>Не установлено</x:v>
      </x:c>
      <x:c r="M210" s="8" t="str">
        <x:v>Новый ключ источника</x:v>
      </x:c>
      <x:c r="N210" s="8" t="str">
        <x:v>Не установлено</x:v>
      </x:c>
      <x:c r="O210" s="8"/>
      <x:c r="P210" s="8" t="str">
        <x:v>https://negotiationinaminute.com/</x:v>
      </x:c>
      <x:c r="Q210" s="8" t="str">
        <x:v>turn1097search35</x:v>
      </x:c>
    </x:row>
    <x:row r="211" ht="35.25" customHeight="1">
      <x:c r="A211" s="8" t="str">
        <x:v>V7-Sa9a109dd1e</x:v>
      </x:c>
      <x:c r="B211" s="8" t="str">
        <x:v>ФОРУМ СТЕЙКХОЛДЕРОВ / STAKEHOLDER FORUM</x:v>
      </x:c>
      <x:c r="C211" s="8" t="str">
        <x:v>Организаторы деловых мероприятий</x:v>
      </x:c>
      <x:c r="D211" s="8" t="str">
        <x:v>Найден профессиональный/образовательный контекст. Покупательские запросы и возможность сбора еще не проверены.</x:v>
      </x:c>
      <x:c r="E211" s="8" t="str">
        <x:v>KZ</x:v>
      </x:c>
      <x:c r="F211" s="8" t="str">
        <x:v>Сайт</x:v>
      </x:c>
      <x:c r="G211" s="8" t="str">
        <x:v>unverified_candidate</x:v>
      </x:c>
      <x:c r="H211" s="8" t="str">
        <x:v>Не проверен</x:v>
      </x:c>
      <x:c r="I211" s="8" t="str">
        <x:v>Не установлено</x:v>
      </x:c>
      <x:c r="J211" s="8" t="str">
        <x:v>Только контекст поиска</x:v>
      </x:c>
      <x:c r="K211" s="8" t="str">
        <x:v>Не установлено</x:v>
      </x:c>
      <x:c r="L211" s="8" t="str">
        <x:v>Не установлено</x:v>
      </x:c>
      <x:c r="M211" s="8" t="str">
        <x:v>Новый ключ источника</x:v>
      </x:c>
      <x:c r="N211" s="8" t="str">
        <x:v>Не установлено</x:v>
      </x:c>
      <x:c r="O211" s="8"/>
      <x:c r="P211" s="8" t="str">
        <x:v>https://www.nuclear.kz/download/files/NSK-65-66-2024.pdf</x:v>
      </x:c>
      <x:c r="Q211" s="8" t="str">
        <x:v>turn1098search27</x:v>
      </x:c>
    </x:row>
    <x:row r="212" ht="47.25" customHeight="1">
      <x:c r="A212" s="8" t="str">
        <x:v>V7-Sba7b1a9338</x:v>
      </x:c>
      <x:c r="B212" s="8" t="str">
        <x:v>Форум-практикум «Бизнес-путеводитель по Ближнему Востоку: логистика, финансы, право и менталитет»</x:v>
      </x:c>
      <x:c r="C212" s="8" t="str">
        <x:v>Организаторы деловых мероприятий</x:v>
      </x:c>
      <x:c r="D212" s="8" t="str">
        <x:v>Найден профессиональный/образовательный контекст. Покупательские запросы и возможность сбора еще не проверены.</x:v>
      </x:c>
      <x:c r="E212" s="8" t="str">
        <x:v>BY</x:v>
      </x:c>
      <x:c r="F212" s="8" t="str">
        <x:v>Сайт</x:v>
      </x:c>
      <x:c r="G212" s="8" t="str">
        <x:v>unverified_candidate</x:v>
      </x:c>
      <x:c r="H212" s="8" t="str">
        <x:v>Не проверен</x:v>
      </x:c>
      <x:c r="I212" s="8" t="str">
        <x:v>Не установлено</x:v>
      </x:c>
      <x:c r="J212" s="8" t="str">
        <x:v>Только контекст поиска</x:v>
      </x:c>
      <x:c r="K212" s="8" t="str">
        <x:v>Не установлено</x:v>
      </x:c>
      <x:c r="L212" s="8" t="str">
        <x:v>Не установлено</x:v>
      </x:c>
      <x:c r="M212" s="8" t="str">
        <x:v>Новый ключ источника</x:v>
      </x:c>
      <x:c r="N212" s="8" t="str">
        <x:v>Не установлено</x:v>
      </x:c>
      <x:c r="O212" s="8"/>
      <x:c r="P212" s="8" t="str">
        <x:v>https://vostok.cci.by/</x:v>
      </x:c>
      <x:c r="Q212" s="8" t="str">
        <x:v>turn1097search6; turn1101search26</x:v>
      </x:c>
    </x:row>
    <x:row r="213" ht="35.25" customHeight="1">
      <x:c r="A213" s="8" t="str">
        <x:v>V7-S533cf7fb14</x:v>
      </x:c>
      <x:c r="B213" s="8" t="str">
        <x:v>Национальная Ассоциация Комплаенс и ЛИЗИНГОВЫЙ СОЮЗ подписали соглашение о сотрудничестве</x:v>
      </x:c>
      <x:c r="C213" s="8" t="str">
        <x:v>Руководители функций</x:v>
      </x:c>
      <x:c r="D213" s="8" t="str">
        <x:v>Найден профессиональный/образовательный контекст. Покупательские запросы и возможность сбора еще не проверены.</x:v>
      </x:c>
      <x:c r="E213" s="8" t="str">
        <x:v>RU</x:v>
      </x:c>
      <x:c r="F213" s="8" t="str">
        <x:v>Сайт</x:v>
      </x:c>
      <x:c r="G213" s="8" t="str">
        <x:v>unverified_candidate</x:v>
      </x:c>
      <x:c r="H213" s="8" t="str">
        <x:v>Не проверен</x:v>
      </x:c>
      <x:c r="I213" s="8" t="str">
        <x:v>Не установлено</x:v>
      </x:c>
      <x:c r="J213" s="8" t="str">
        <x:v>Только контекст поиска</x:v>
      </x:c>
      <x:c r="K213" s="8" t="str">
        <x:v>Не установлено</x:v>
      </x:c>
      <x:c r="L213" s="8" t="str">
        <x:v>Не установлено</x:v>
      </x:c>
      <x:c r="M213" s="8" t="str">
        <x:v>Новый ключ источника</x:v>
      </x:c>
      <x:c r="N213" s="8" t="str">
        <x:v>Не установлено</x:v>
      </x:c>
      <x:c r="O213" s="8"/>
      <x:c r="P213" s="8" t="str">
        <x:v>https://www.tpprf-leasing.ru/news/natsionalnaya-assotsiatsiya-komplaens-i-lizingovyy-soyuz-podpisali-soglashenie-o-sotrudnichestve/</x:v>
      </x:c>
      <x:c r="Q213" s="8" t="str">
        <x:v>turn1185search11</x:v>
      </x:c>
    </x:row>
    <x:row r="214" ht="35.25" customHeight="1">
      <x:c r="A214" s="8" t="str">
        <x:v>V7-S14e7579638</x:v>
      </x:c>
      <x:c r="B214" s="8" t="str">
        <x:v>Вступить в Клуб финансовых директоров</x:v>
      </x:c>
      <x:c r="C214" s="8" t="str">
        <x:v>Руководители функций</x:v>
      </x:c>
      <x:c r="D214" s="8" t="str">
        <x:v>Найден профессиональный/образовательный контекст. Покупательские запросы и возможность сбора еще не проверены.</x:v>
      </x:c>
      <x:c r="E214" s="8" t="str">
        <x:v>RU</x:v>
      </x:c>
      <x:c r="F214" s="8" t="str">
        <x:v>Сайт</x:v>
      </x:c>
      <x:c r="G214" s="8" t="str">
        <x:v>unverified_candidate</x:v>
      </x:c>
      <x:c r="H214" s="8" t="str">
        <x:v>Не проверен</x:v>
      </x:c>
      <x:c r="I214" s="8" t="str">
        <x:v>Не установлено</x:v>
      </x:c>
      <x:c r="J214" s="8" t="str">
        <x:v>Только контекст поиска</x:v>
      </x:c>
      <x:c r="K214" s="8" t="str">
        <x:v>Не установлено</x:v>
      </x:c>
      <x:c r="L214" s="8" t="str">
        <x:v>Не установлено</x:v>
      </x:c>
      <x:c r="M214" s="8" t="str">
        <x:v>Новый ключ источника</x:v>
      </x:c>
      <x:c r="N214" s="8" t="str">
        <x:v>Не установлено</x:v>
      </x:c>
      <x:c r="O214" s="8"/>
      <x:c r="P214" s="8" t="str">
        <x:v>https://club.school.fd.ru/</x:v>
      </x:c>
      <x:c r="Q214" s="8" t="str">
        <x:v>turn1088search33</x:v>
      </x:c>
    </x:row>
    <x:row r="215" ht="35.25" customHeight="1">
      <x:c r="A215" s="8" t="str">
        <x:v>V7-Sa4b316a10c</x:v>
      </x:c>
      <x:c r="B215" s="8" t="str">
        <x:v>Создан первый в России клуб ИТ-директоров в автобизнесе</x:v>
      </x:c>
      <x:c r="C215" s="8" t="str">
        <x:v>Руководители функций</x:v>
      </x:c>
      <x:c r="D215" s="8" t="str">
        <x:v>Найден профессиональный/образовательный контекст. Покупательские запросы и возможность сбора еще не проверены.</x:v>
      </x:c>
      <x:c r="E215" s="8" t="str">
        <x:v>RU</x:v>
      </x:c>
      <x:c r="F215" s="8" t="str">
        <x:v>Сайт</x:v>
      </x:c>
      <x:c r="G215" s="8" t="str">
        <x:v>unverified_candidate</x:v>
      </x:c>
      <x:c r="H215" s="8" t="str">
        <x:v>Не проверен</x:v>
      </x:c>
      <x:c r="I215" s="8" t="str">
        <x:v>Не установлено</x:v>
      </x:c>
      <x:c r="J215" s="8" t="str">
        <x:v>Только контекст поиска</x:v>
      </x:c>
      <x:c r="K215" s="8" t="str">
        <x:v>Не установлено</x:v>
      </x:c>
      <x:c r="L215" s="8" t="str">
        <x:v>Не установлено</x:v>
      </x:c>
      <x:c r="M215" s="8" t="str">
        <x:v>Новый ключ источника</x:v>
      </x:c>
      <x:c r="N215" s="8" t="str">
        <x:v>Не установлено</x:v>
      </x:c>
      <x:c r="O215" s="8"/>
      <x:c r="P215" s="8" t="str">
        <x:v>https://ict-online.ru/news/sozdan-pervyy-v-rossii-klub-it-direktorov-v-avtobiznese-158770</x:v>
      </x:c>
      <x:c r="Q215" s="8" t="str">
        <x:v>turn1103search27</x:v>
      </x:c>
    </x:row>
    <x:row r="216" ht="35.25" customHeight="1">
      <x:c r="A216" s="8" t="str">
        <x:v>V7-Sdf357e18c6</x:v>
      </x:c>
      <x:c r="B216" s="8" t="str">
        <x:v>Союз закупщиков</x:v>
      </x:c>
      <x:c r="C216" s="8" t="str">
        <x:v>Руководители функций</x:v>
      </x:c>
      <x:c r="D216" s="8" t="str">
        <x:v>Найден профессиональный/образовательный контекст. Покупательские запросы и возможность сбора еще не проверены.</x:v>
      </x:c>
      <x:c r="E216" s="8" t="str">
        <x:v>RU</x:v>
      </x:c>
      <x:c r="F216" s="8" t="str">
        <x:v>Сайт</x:v>
      </x:c>
      <x:c r="G216" s="8" t="str">
        <x:v>unverified_candidate</x:v>
      </x:c>
      <x:c r="H216" s="8" t="str">
        <x:v>Не проверен</x:v>
      </x:c>
      <x:c r="I216" s="8" t="str">
        <x:v>Не установлено</x:v>
      </x:c>
      <x:c r="J216" s="8" t="str">
        <x:v>Только контекст поиска</x:v>
      </x:c>
      <x:c r="K216" s="8" t="str">
        <x:v>Не установлено</x:v>
      </x:c>
      <x:c r="L216" s="8" t="str">
        <x:v>Не установлено</x:v>
      </x:c>
      <x:c r="M216" s="8" t="str">
        <x:v>Новый ключ источника</x:v>
      </x:c>
      <x:c r="N216" s="8" t="str">
        <x:v>Не установлено</x:v>
      </x:c>
      <x:c r="O216" s="8"/>
      <x:c r="P216" s="8" t="str">
        <x:v>https://www.szrus.ru/</x:v>
      </x:c>
      <x:c r="Q216" s="8" t="str">
        <x:v>turn1182search0</x:v>
      </x:c>
    </x:row>
    <x:row r="217" ht="35.25" customHeight="1">
      <x:c r="A217" s="8" t="str">
        <x:v>V7-Sf514969c9c</x:v>
      </x:c>
      <x:c r="B217" s="8" t="str">
        <x:v>Клуб директоров | Профессиональное сообщество руководителей образовательных организаций</x:v>
      </x:c>
      <x:c r="C217" s="8" t="str">
        <x:v>Руководители функций</x:v>
      </x:c>
      <x:c r="D217" s="8" t="str">
        <x:v>Найден профессиональный/образовательный контекст. Покупательские запросы и возможность сбора еще не проверены.</x:v>
      </x:c>
      <x:c r="E217" s="8" t="str">
        <x:v>Не установлена</x:v>
      </x:c>
      <x:c r="F217" s="8" t="str">
        <x:v>Сайт</x:v>
      </x:c>
      <x:c r="G217" s="8" t="str">
        <x:v>unverified_candidate</x:v>
      </x:c>
      <x:c r="H217" s="8" t="str">
        <x:v>Не проверен</x:v>
      </x:c>
      <x:c r="I217" s="8" t="str">
        <x:v>Не установлено</x:v>
      </x:c>
      <x:c r="J217" s="8" t="str">
        <x:v>Только контекст поиска</x:v>
      </x:c>
      <x:c r="K217" s="8" t="str">
        <x:v>Не установлено</x:v>
      </x:c>
      <x:c r="L217" s="8" t="str">
        <x:v>Не установлено</x:v>
      </x:c>
      <x:c r="M217" s="8" t="str">
        <x:v>Новый ключ источника</x:v>
      </x:c>
      <x:c r="N217" s="8" t="str">
        <x:v>Не установлено</x:v>
      </x:c>
      <x:c r="O217" s="8"/>
      <x:c r="P217" s="8" t="str">
        <x:v>https://xn--90adpifkgo6af.xn--p1ai/</x:v>
      </x:c>
      <x:c r="Q217" s="8" t="str">
        <x:v>turn1088search27; turn1106search3; turn1183search1</x:v>
      </x:c>
    </x:row>
    <x:row r="218" ht="35.25" customHeight="1">
      <x:c r="A218" s="8" t="str">
        <x:v>V7-Sacd0464d4f</x:v>
      </x:c>
      <x:c r="B218" s="8" t="str">
        <x:v>CFO Accelerator Program | Обучение финансовых директоров</x:v>
      </x:c>
      <x:c r="C218" s="8" t="str">
        <x:v>Руководители функций</x:v>
      </x:c>
      <x:c r="D218" s="8" t="str">
        <x:v>Найден профессиональный/образовательный контекст. Покупательские запросы и возможность сбора еще не проверены.</x:v>
      </x:c>
      <x:c r="E218" s="8" t="str">
        <x:v>Не установлена</x:v>
      </x:c>
      <x:c r="F218" s="8" t="str">
        <x:v>Сайт</x:v>
      </x:c>
      <x:c r="G218" s="8" t="str">
        <x:v>unverified_candidate</x:v>
      </x:c>
      <x:c r="H218" s="8" t="str">
        <x:v>Не проверен</x:v>
      </x:c>
      <x:c r="I218" s="8" t="str">
        <x:v>Не установлено</x:v>
      </x:c>
      <x:c r="J218" s="8" t="str">
        <x:v>Только контекст поиска</x:v>
      </x:c>
      <x:c r="K218" s="8" t="str">
        <x:v>Не установлено</x:v>
      </x:c>
      <x:c r="L218" s="8" t="str">
        <x:v>Не установлено</x:v>
      </x:c>
      <x:c r="M218" s="8" t="str">
        <x:v>Новый ключ источника</x:v>
      </x:c>
      <x:c r="N218" s="8" t="str">
        <x:v>Не установлено</x:v>
      </x:c>
      <x:c r="O218" s="8"/>
      <x:c r="P218" s="8" t="str">
        <x:v>https://bacademy.online/cfoprogram</x:v>
      </x:c>
      <x:c r="Q218" s="8" t="str">
        <x:v>turn1088search31</x:v>
      </x:c>
    </x:row>
    <x:row r="219" ht="47.25" customHeight="1">
      <x:c r="A219" s="8" t="str">
        <x:v>V7-S5098741889</x:v>
      </x:c>
      <x:c r="B219" s="8" t="str">
        <x:v>Партнеры</x:v>
      </x:c>
      <x:c r="C219" s="8" t="str">
        <x:v>Руководители функций</x:v>
      </x:c>
      <x:c r="D219" s="8" t="str">
        <x:v>Найден профессиональный/образовательный контекст. Покупательские запросы и возможность сбора еще не проверены.</x:v>
      </x:c>
      <x:c r="E219" s="8" t="str">
        <x:v>KZ</x:v>
      </x:c>
      <x:c r="F219" s="8" t="str">
        <x:v>Сайт</x:v>
      </x:c>
      <x:c r="G219" s="8" t="str">
        <x:v>unverified_candidate</x:v>
      </x:c>
      <x:c r="H219" s="8" t="str">
        <x:v>Не проверен</x:v>
      </x:c>
      <x:c r="I219" s="8" t="str">
        <x:v>Не установлено</x:v>
      </x:c>
      <x:c r="J219" s="8" t="str">
        <x:v>Только контекст поиска</x:v>
      </x:c>
      <x:c r="K219" s="8" t="str">
        <x:v>Не установлено</x:v>
      </x:c>
      <x:c r="L219" s="8" t="str">
        <x:v>Не установлено</x:v>
      </x:c>
      <x:c r="M219" s="8" t="str">
        <x:v>Новый ключ источника</x:v>
      </x:c>
      <x:c r="N219" s="8" t="str">
        <x:v>Не установлено</x:v>
      </x:c>
      <x:c r="O219" s="8"/>
      <x:c r="P219" s="8" t="str">
        <x:v>https://compliance.org.kz/?id=12&amp;view=category</x:v>
      </x:c>
      <x:c r="Q219" s="8" t="str">
        <x:v>turn1185search1; turn1185search13; turn1185search3; turn1085search1; turn1085search6</x:v>
      </x:c>
    </x:row>
    <x:row r="220" ht="35.25" customHeight="1">
      <x:c r="A220" s="8" t="str">
        <x:v>V7-Sef3df21344</x:v>
      </x:c>
      <x:c r="B220" s="8" t="str">
        <x:v>ПрофесCIOнал. Комплексная программа повышения квалификации ИТ-руководителей</x:v>
      </x:c>
      <x:c r="C220" s="8" t="str">
        <x:v>Руководители функций</x:v>
      </x:c>
      <x:c r="D220" s="8" t="str">
        <x:v>Найден профессиональный/образовательный контекст. Покупательские запросы и возможность сбора еще не проверены.</x:v>
      </x:c>
      <x:c r="E220" s="8" t="str">
        <x:v>RU</x:v>
      </x:c>
      <x:c r="F220" s="8" t="str">
        <x:v>Сайт</x:v>
      </x:c>
      <x:c r="G220" s="8" t="str">
        <x:v>unverified_candidate</x:v>
      </x:c>
      <x:c r="H220" s="8" t="str">
        <x:v>Не проверен</x:v>
      </x:c>
      <x:c r="I220" s="8" t="str">
        <x:v>Не установлено</x:v>
      </x:c>
      <x:c r="J220" s="8" t="str">
        <x:v>Только контекст поиска</x:v>
      </x:c>
      <x:c r="K220" s="8" t="str">
        <x:v>Не установлено</x:v>
      </x:c>
      <x:c r="L220" s="8" t="str">
        <x:v>Не установлено</x:v>
      </x:c>
      <x:c r="M220" s="8" t="str">
        <x:v>Новый ключ источника</x:v>
      </x:c>
      <x:c r="N220" s="8" t="str">
        <x:v>Не установлено</x:v>
      </x:c>
      <x:c r="O220" s="8"/>
      <x:c r="P220" s="8" t="str">
        <x:v>https://education.spbcioclub.ru/</x:v>
      </x:c>
      <x:c r="Q220" s="8" t="str">
        <x:v>turn1083search3</x:v>
      </x:c>
    </x:row>
    <x:row r="221" ht="47.25" customHeight="1">
      <x:c r="A221" s="8" t="str">
        <x:v>V7-S09f65327f7</x:v>
      </x:c>
      <x:c r="B221" s="8" t="str">
        <x:v>Финансовый директор — обучение и программы переподготовки · Высшая школа финансового директора</x:v>
      </x:c>
      <x:c r="C221" s="8" t="str">
        <x:v>Руководители функций</x:v>
      </x:c>
      <x:c r="D221" s="8" t="str">
        <x:v>Найден профессиональный/образовательный контекст. Покупательские запросы и возможность сбора еще не проверены.</x:v>
      </x:c>
      <x:c r="E221" s="8" t="str">
        <x:v>RU</x:v>
      </x:c>
      <x:c r="F221" s="8" t="str">
        <x:v>Сайт</x:v>
      </x:c>
      <x:c r="G221" s="8" t="str">
        <x:v>unverified_candidate</x:v>
      </x:c>
      <x:c r="H221" s="8" t="str">
        <x:v>Не проверен</x:v>
      </x:c>
      <x:c r="I221" s="8" t="str">
        <x:v>Не установлено</x:v>
      </x:c>
      <x:c r="J221" s="8" t="str">
        <x:v>Только контекст поиска</x:v>
      </x:c>
      <x:c r="K221" s="8" t="str">
        <x:v>Не установлено</x:v>
      </x:c>
      <x:c r="L221" s="8" t="str">
        <x:v>Не установлено</x:v>
      </x:c>
      <x:c r="M221" s="8" t="str">
        <x:v>Новый ключ источника</x:v>
      </x:c>
      <x:c r="N221" s="8" t="str">
        <x:v>Не установлено</x:v>
      </x:c>
      <x:c r="O221" s="8"/>
      <x:c r="P221" s="8" t="str">
        <x:v>https://finschool.fd.ru/career/cfo</x:v>
      </x:c>
      <x:c r="Q221" s="8" t="str">
        <x:v>turn1088search32; turn1247search7; turn1247search9</x:v>
      </x:c>
    </x:row>
    <x:row r="222" ht="35.25" customHeight="1">
      <x:c r="A222" s="8" t="str">
        <x:v>V7-S0efd1573e7</x:v>
      </x:c>
      <x:c r="B222" s="8" t="str">
        <x:v>Клуб ФинПро в Санкт-Петербурге</x:v>
      </x:c>
      <x:c r="C222" s="8" t="str">
        <x:v>Руководители функций</x:v>
      </x:c>
      <x:c r="D222" s="8" t="str">
        <x:v>Найден профессиональный/образовательный контекст. Покупательские запросы и возможность сбора еще не проверены.</x:v>
      </x:c>
      <x:c r="E222" s="8" t="str">
        <x:v>Не установлена</x:v>
      </x:c>
      <x:c r="F222" s="8" t="str">
        <x:v>Сайт</x:v>
      </x:c>
      <x:c r="G222" s="8" t="str">
        <x:v>unverified_candidate</x:v>
      </x:c>
      <x:c r="H222" s="8" t="str">
        <x:v>Не проверен</x:v>
      </x:c>
      <x:c r="I222" s="8" t="str">
        <x:v>Не установлено</x:v>
      </x:c>
      <x:c r="J222" s="8" t="str">
        <x:v>Только контекст поиска</x:v>
      </x:c>
      <x:c r="K222" s="8" t="str">
        <x:v>Не установлено</x:v>
      </x:c>
      <x:c r="L222" s="8" t="str">
        <x:v>Не установлено</x:v>
      </x:c>
      <x:c r="M222" s="8" t="str">
        <x:v>Новый ключ источника</x:v>
      </x:c>
      <x:c r="N222" s="8" t="str">
        <x:v>Не установлено</x:v>
      </x:c>
      <x:c r="O222" s="8"/>
      <x:c r="P222" s="8" t="str">
        <x:v>https://firstbit.finance/club_fintalk</x:v>
      </x:c>
      <x:c r="Q222" s="8" t="str">
        <x:v>turn1106search13</x:v>
      </x:c>
    </x:row>
    <x:row r="223" ht="35.25" customHeight="1">
      <x:c r="A223" s="8" t="str">
        <x:v>V7-Sb7968a5684</x:v>
      </x:c>
      <x:c r="B223" s="8" t="str">
        <x:v>irdclub.ru | Профессиональное сообщество R&amp;D ...</x:v>
      </x:c>
      <x:c r="C223" s="8" t="str">
        <x:v>Руководители функций</x:v>
      </x:c>
      <x:c r="D223" s="8" t="str">
        <x:v>Найден профессиональный/образовательный контекст. Покупательские запросы и возможность сбора еще не проверены.</x:v>
      </x:c>
      <x:c r="E223" s="8" t="str">
        <x:v>RU</x:v>
      </x:c>
      <x:c r="F223" s="8" t="str">
        <x:v>Сайт</x:v>
      </x:c>
      <x:c r="G223" s="8" t="str">
        <x:v>unverified_candidate</x:v>
      </x:c>
      <x:c r="H223" s="8" t="str">
        <x:v>Не проверен</x:v>
      </x:c>
      <x:c r="I223" s="8" t="str">
        <x:v>Не установлено</x:v>
      </x:c>
      <x:c r="J223" s="8" t="str">
        <x:v>Только контекст поиска</x:v>
      </x:c>
      <x:c r="K223" s="8" t="str">
        <x:v>Не установлено</x:v>
      </x:c>
      <x:c r="L223" s="8" t="str">
        <x:v>Не установлено</x:v>
      </x:c>
      <x:c r="M223" s="8" t="str">
        <x:v>Новый ключ источника</x:v>
      </x:c>
      <x:c r="N223" s="8" t="str">
        <x:v>Не установлено</x:v>
      </x:c>
      <x:c r="O223" s="8"/>
      <x:c r="P223" s="8" t="str">
        <x:v>https://ird-club.ru/</x:v>
      </x:c>
      <x:c r="Q223" s="8" t="str">
        <x:v>turn1106search15</x:v>
      </x:c>
    </x:row>
    <x:row r="224" ht="35.25" customHeight="1">
      <x:c r="A224" s="8" t="str">
        <x:v>V7-Saca2f00fff</x:v>
      </x:c>
      <x:c r="B224" s="8" t="str">
        <x:v>Клуб ИТ-директоров Юга России | CIO Club South - IT-World.ru</x:v>
      </x:c>
      <x:c r="C224" s="8" t="str">
        <x:v>Руководители функций</x:v>
      </x:c>
      <x:c r="D224" s="8" t="str">
        <x:v>Найден профессиональный/образовательный контекст. Покупательские запросы и возможность сбора еще не проверены.</x:v>
      </x:c>
      <x:c r="E224" s="8" t="str">
        <x:v>RU</x:v>
      </x:c>
      <x:c r="F224" s="8" t="str">
        <x:v>Сайт</x:v>
      </x:c>
      <x:c r="G224" s="8" t="str">
        <x:v>unverified_candidate</x:v>
      </x:c>
      <x:c r="H224" s="8" t="str">
        <x:v>Не проверен</x:v>
      </x:c>
      <x:c r="I224" s="8" t="str">
        <x:v>Не установлено</x:v>
      </x:c>
      <x:c r="J224" s="8" t="str">
        <x:v>Только контекст поиска</x:v>
      </x:c>
      <x:c r="K224" s="8" t="str">
        <x:v>Не установлено</x:v>
      </x:c>
      <x:c r="L224" s="8" t="str">
        <x:v>Не установлено</x:v>
      </x:c>
      <x:c r="M224" s="8" t="str">
        <x:v>Новый ключ источника</x:v>
      </x:c>
      <x:c r="N224" s="8" t="str">
        <x:v>Не установлено</x:v>
      </x:c>
      <x:c r="O224" s="8"/>
      <x:c r="P224" s="8" t="str">
        <x:v>https://www.it-world.ru/company/cio-club-south/</x:v>
      </x:c>
      <x:c r="Q224" s="8" t="str">
        <x:v>turn1103search2</x:v>
      </x:c>
    </x:row>
    <x:row r="225" ht="35.25" customHeight="1">
      <x:c r="A225" s="8" t="str">
        <x:v>V7-S686682a6aa</x:v>
      </x:c>
      <x:c r="B225" s="8" t="str">
        <x:v>Клуб директоров</x:v>
      </x:c>
      <x:c r="C225" s="8" t="str">
        <x:v>Руководители функций</x:v>
      </x:c>
      <x:c r="D225" s="8" t="str">
        <x:v>Найден профессиональный/образовательный контекст. Покупательские запросы и возможность сбора еще не проверены.</x:v>
      </x:c>
      <x:c r="E225" s="8" t="str">
        <x:v>RU</x:v>
      </x:c>
      <x:c r="F225" s="8" t="str">
        <x:v>Сайт</x:v>
      </x:c>
      <x:c r="G225" s="8" t="str">
        <x:v>unverified_candidate</x:v>
      </x:c>
      <x:c r="H225" s="8" t="str">
        <x:v>Не проверен</x:v>
      </x:c>
      <x:c r="I225" s="8" t="str">
        <x:v>Не установлено</x:v>
      </x:c>
      <x:c r="J225" s="8" t="str">
        <x:v>Только контекст поиска</x:v>
      </x:c>
      <x:c r="K225" s="8" t="str">
        <x:v>Не установлено</x:v>
      </x:c>
      <x:c r="L225" s="8" t="str">
        <x:v>Не установлено</x:v>
      </x:c>
      <x:c r="M225" s="8" t="str">
        <x:v>Новый ключ источника</x:v>
      </x:c>
      <x:c r="N225" s="8" t="str">
        <x:v>Не установлено</x:v>
      </x:c>
      <x:c r="O225" s="8"/>
      <x:c r="P225" s="8" t="str">
        <x:v>https://kd.bvbinfo.ru/</x:v>
      </x:c>
      <x:c r="Q225" s="8" t="str">
        <x:v>turn1183search0</x:v>
      </x:c>
    </x:row>
    <x:row r="226" ht="35.25" customHeight="1">
      <x:c r="A226" s="8" t="str">
        <x:v>V7-S3df9ddbe61</x:v>
      </x:c>
      <x:c r="B226" s="8" t="str">
        <x:v>Организации и ассоциации стран Таможенного союза</x:v>
      </x:c>
      <x:c r="C226" s="8" t="str">
        <x:v>Руководители функций</x:v>
      </x:c>
      <x:c r="D226" s="8" t="str">
        <x:v>Найден профессиональный/образовательный контекст. Покупательские запросы и возможность сбора еще не проверены.</x:v>
      </x:c>
      <x:c r="E226" s="8" t="str">
        <x:v>RU</x:v>
      </x:c>
      <x:c r="F226" s="8" t="str">
        <x:v>Сайт</x:v>
      </x:c>
      <x:c r="G226" s="8" t="str">
        <x:v>unverified_candidate</x:v>
      </x:c>
      <x:c r="H226" s="8" t="str">
        <x:v>Не проверен</x:v>
      </x:c>
      <x:c r="I226" s="8" t="str">
        <x:v>Не установлено</x:v>
      </x:c>
      <x:c r="J226" s="8" t="str">
        <x:v>Только контекст поиска</x:v>
      </x:c>
      <x:c r="K226" s="8" t="str">
        <x:v>Не установлено</x:v>
      </x:c>
      <x:c r="L226" s="8" t="str">
        <x:v>Не установлено</x:v>
      </x:c>
      <x:c r="M226" s="8" t="str">
        <x:v>Новый ключ источника</x:v>
      </x:c>
      <x:c r="N226" s="8" t="str">
        <x:v>Не установлено</x:v>
      </x:c>
      <x:c r="O226" s="8"/>
      <x:c r="P226" s="8" t="str">
        <x:v>https://kubanexport.ru/organizacii-i-associacii-stran-tamozhennogo-soyuza/</x:v>
      </x:c>
      <x:c r="Q226" s="8" t="str">
        <x:v>turn1106search14</x:v>
      </x:c>
    </x:row>
    <x:row r="227" ht="47.25" customHeight="1">
      <x:c r="A227" s="8" t="str">
        <x:v>V7-Sc0b7a7a652</x:v>
      </x:c>
      <x:c r="B227" s="8" t="str">
        <x:v>Казначей года 2025 | Ассоциация корпоративных казначеев</x:v>
      </x:c>
      <x:c r="C227" s="8" t="str">
        <x:v>Руководители функций</x:v>
      </x:c>
      <x:c r="D227" s="8" t="str">
        <x:v>Найден профессиональный/образовательный контекст. Покупательские запросы и возможность сбора еще не проверены.</x:v>
      </x:c>
      <x:c r="E227" s="8" t="str">
        <x:v>Не установлена</x:v>
      </x:c>
      <x:c r="F227" s="8" t="str">
        <x:v>LinkedIn</x:v>
      </x:c>
      <x:c r="G227" s="8" t="str">
        <x:v>unverified_candidate</x:v>
      </x:c>
      <x:c r="H227" s="8" t="str">
        <x:v>Не проверен</x:v>
      </x:c>
      <x:c r="I227" s="8" t="str">
        <x:v>Не установлено</x:v>
      </x:c>
      <x:c r="J227" s="8" t="str">
        <x:v>Только контекст поиска</x:v>
      </x:c>
      <x:c r="K227" s="8" t="str">
        <x:v>Не установлено</x:v>
      </x:c>
      <x:c r="L227" s="8" t="str">
        <x:v>Не установлено</x:v>
      </x:c>
      <x:c r="M227" s="8" t="str">
        <x:v>Новый ключ источника</x:v>
      </x:c>
      <x:c r="N227" s="8" t="str">
        <x:v>Не установлено</x:v>
      </x:c>
      <x:c r="O227" s="8"/>
      <x:c r="P227" s="8" t="str">
        <x:v>https://ru.linkedin.com/posts/russian-association-of-corporate-treasurers_%D0%BA%D0%B0%D0%B7%D0%BD%D0%B0%D1%87%D0%B5%D0%B9-%D0%B3%D0%BE%D0%B4%D0%B0-2025-activity-7491434968381059075-Ihcg</x:v>
      </x:c>
      <x:c r="Q227" s="8" t="str">
        <x:v>turn1088search30</x:v>
      </x:c>
    </x:row>
    <x:row r="228" ht="35.25" customHeight="1">
      <x:c r="A228" s="8" t="str">
        <x:v>V7-Sb717213c03</x:v>
      </x:c>
      <x:c r="B228" s="8" t="str">
        <x:v>ПАО ПКО «Теплообменник» принимает «Клуб директоров предприятий по качеству» - НИЦ КД</x:v>
      </x:c>
      <x:c r="C228" s="8" t="str">
        <x:v>Руководители функций</x:v>
      </x:c>
      <x:c r="D228" s="8" t="str">
        <x:v>Найден профессиональный/образовательный контекст. Покупательские запросы и возможность сбора еще не проверены.</x:v>
      </x:c>
      <x:c r="E228" s="8" t="str">
        <x:v>RU</x:v>
      </x:c>
      <x:c r="F228" s="8" t="str">
        <x:v>Сайт</x:v>
      </x:c>
      <x:c r="G228" s="8" t="str">
        <x:v>unverified_candidate</x:v>
      </x:c>
      <x:c r="H228" s="8" t="str">
        <x:v>Не проверен</x:v>
      </x:c>
      <x:c r="I228" s="8" t="str">
        <x:v>Не установлено</x:v>
      </x:c>
      <x:c r="J228" s="8" t="str">
        <x:v>Только контекст поиска</x:v>
      </x:c>
      <x:c r="K228" s="8" t="str">
        <x:v>Не установлено</x:v>
      </x:c>
      <x:c r="L228" s="8" t="str">
        <x:v>Не установлено</x:v>
      </x:c>
      <x:c r="M228" s="8" t="str">
        <x:v>Новый ключ источника</x:v>
      </x:c>
      <x:c r="N228" s="8" t="str">
        <x:v>Не установлено</x:v>
      </x:c>
      <x:c r="O228" s="8"/>
      <x:c r="P228" s="8" t="str">
        <x:v>https://nickd.ru/pao-pko-teploobmennik-prinimaet-klub-direktorov-predpriyatij-po-kachestvu.html</x:v>
      </x:c>
      <x:c r="Q228" s="8" t="str">
        <x:v>turn1183search2; turn1183search4</x:v>
      </x:c>
    </x:row>
    <x:row r="229" ht="47.25" customHeight="1">
      <x:c r="A229" s="8" t="str">
        <x:v>V7-S9fe9a3a3e0</x:v>
      </x:c>
      <x:c r="B229" s="8" t="str">
        <x:v>Заседание «Клуба директоров по качеству» состоялось в Нижегородской области | Нижегородская правда</x:v>
      </x:c>
      <x:c r="C229" s="8" t="str">
        <x:v>Руководители функций</x:v>
      </x:c>
      <x:c r="D229" s="8" t="str">
        <x:v>Найден профессиональный/образовательный контекст. Покупательские запросы и возможность сбора еще не проверены.</x:v>
      </x:c>
      <x:c r="E229" s="8" t="str">
        <x:v>RU</x:v>
      </x:c>
      <x:c r="F229" s="8" t="str">
        <x:v>Сайт</x:v>
      </x:c>
      <x:c r="G229" s="8" t="str">
        <x:v>unverified_candidate</x:v>
      </x:c>
      <x:c r="H229" s="8" t="str">
        <x:v>Не проверен</x:v>
      </x:c>
      <x:c r="I229" s="8" t="str">
        <x:v>Не установлено</x:v>
      </x:c>
      <x:c r="J229" s="8" t="str">
        <x:v>Только контекст поиска</x:v>
      </x:c>
      <x:c r="K229" s="8" t="str">
        <x:v>Не установлено</x:v>
      </x:c>
      <x:c r="L229" s="8" t="str">
        <x:v>Не установлено</x:v>
      </x:c>
      <x:c r="M229" s="8" t="str">
        <x:v>Новый ключ источника</x:v>
      </x:c>
      <x:c r="N229" s="8" t="str">
        <x:v>Не установлено</x:v>
      </x:c>
      <x:c r="O229" s="8"/>
      <x:c r="P229" s="8" t="str">
        <x:v>https://pravda-nn.ru/news/zasedanie-kluba-direktorov-po-kachestvu-sostoyalos-v-nizhegorodskoj-oblasti/</x:v>
      </x:c>
      <x:c r="Q229" s="8" t="str">
        <x:v>turn1183search3</x:v>
      </x:c>
    </x:row>
    <x:row r="230" ht="35.25" customHeight="1">
      <x:c r="A230" s="8" t="str">
        <x:v>V7-Sfcf78bd49e</x:v>
      </x:c>
      <x:c r="B230" s="8" t="str">
        <x:v>Клуб финансовых директоров Президентской академии</x:v>
      </x:c>
      <x:c r="C230" s="8" t="str">
        <x:v>Руководители функций</x:v>
      </x:c>
      <x:c r="D230" s="8" t="str">
        <x:v>Найден профессиональный/образовательный контекст. Покупательские запросы и возможность сбора еще не проверены.</x:v>
      </x:c>
      <x:c r="E230" s="8" t="str">
        <x:v>RU</x:v>
      </x:c>
      <x:c r="F230" s="8" t="str">
        <x:v>Сайт</x:v>
      </x:c>
      <x:c r="G230" s="8" t="str">
        <x:v>unverified_candidate</x:v>
      </x:c>
      <x:c r="H230" s="8" t="str">
        <x:v>Не проверен</x:v>
      </x:c>
      <x:c r="I230" s="8" t="str">
        <x:v>Не установлено</x:v>
      </x:c>
      <x:c r="J230" s="8" t="str">
        <x:v>Только контекст поиска</x:v>
      </x:c>
      <x:c r="K230" s="8" t="str">
        <x:v>Не установлено</x:v>
      </x:c>
      <x:c r="L230" s="8" t="str">
        <x:v>Не установлено</x:v>
      </x:c>
      <x:c r="M230" s="8" t="str">
        <x:v>Новый ключ источника</x:v>
      </x:c>
      <x:c r="N230" s="8" t="str">
        <x:v>Не установлено</x:v>
      </x:c>
      <x:c r="O230" s="8"/>
      <x:c r="P230" s="8" t="str">
        <x:v>https://www.ranepa.ru/vypuskniki/klub-finansovykh-direktorov/</x:v>
      </x:c>
      <x:c r="Q230" s="8" t="str">
        <x:v>turn1106search25; turn1105search1</x:v>
      </x:c>
    </x:row>
    <x:row r="231" ht="35.25" customHeight="1">
      <x:c r="A231" s="8" t="str">
        <x:v>V7-Sfcb57dbf3c</x:v>
      </x:c>
      <x:c r="B231" s="8" t="str">
        <x:v>[PDF] Ассоциация транспортно-логистических компаний Казахстана</x:v>
      </x:c>
      <x:c r="C231" s="8" t="str">
        <x:v>Руководители функций</x:v>
      </x:c>
      <x:c r="D231" s="8" t="str">
        <x:v>Найден профессиональный/образовательный контекст. Покупательские запросы и возможность сбора еще не проверены.</x:v>
      </x:c>
      <x:c r="E231" s="8" t="str">
        <x:v>KZ</x:v>
      </x:c>
      <x:c r="F231" s="8" t="str">
        <x:v>Сайт</x:v>
      </x:c>
      <x:c r="G231" s="8" t="str">
        <x:v>unverified_candidate</x:v>
      </x:c>
      <x:c r="H231" s="8" t="str">
        <x:v>Не проверен</x:v>
      </x:c>
      <x:c r="I231" s="8" t="str">
        <x:v>Не установлено</x:v>
      </x:c>
      <x:c r="J231" s="8" t="str">
        <x:v>Только контекст поиска</x:v>
      </x:c>
      <x:c r="K231" s="8" t="str">
        <x:v>Не установлено</x:v>
      </x:c>
      <x:c r="L231" s="8" t="str">
        <x:v>Не установлено</x:v>
      </x:c>
      <x:c r="M231" s="8" t="str">
        <x:v>Новый ключ источника</x:v>
      </x:c>
      <x:c r="N231" s="8" t="str">
        <x:v>Не установлено</x:v>
      </x:c>
      <x:c r="O231" s="8"/>
      <x:c r="P231" s="8" t="str">
        <x:v>https://shipowners.kz/source/uploads/Kniga_problem.pdf</x:v>
      </x:c>
      <x:c r="Q231" s="8" t="str">
        <x:v>turn1106search20</x:v>
      </x:c>
    </x:row>
    <x:row r="232" ht="35.25" customHeight="1">
      <x:c r="A232" s="8" t="str">
        <x:v>V7-Scd3a9920b2</x:v>
      </x:c>
      <x:c r="B232" s="8" t="str">
        <x:v>О нас — Клуб независимых директоров</x:v>
      </x:c>
      <x:c r="C232" s="8" t="str">
        <x:v>Руководители функций</x:v>
      </x:c>
      <x:c r="D232" s="8" t="str">
        <x:v>Найден профессиональный/образовательный контекст. Покупательские запросы и возможность сбора еще не проверены.</x:v>
      </x:c>
      <x:c r="E232" s="8" t="str">
        <x:v>RU</x:v>
      </x:c>
      <x:c r="F232" s="8" t="str">
        <x:v>Сайт</x:v>
      </x:c>
      <x:c r="G232" s="8" t="str">
        <x:v>unverified_candidate</x:v>
      </x:c>
      <x:c r="H232" s="8" t="str">
        <x:v>Не проверен</x:v>
      </x:c>
      <x:c r="I232" s="8" t="str">
        <x:v>Не установлено</x:v>
      </x:c>
      <x:c r="J232" s="8" t="str">
        <x:v>Только контекст поиска</x:v>
      </x:c>
      <x:c r="K232" s="8" t="str">
        <x:v>Не установлено</x:v>
      </x:c>
      <x:c r="L232" s="8" t="str">
        <x:v>Не установлено</x:v>
      </x:c>
      <x:c r="M232" s="8" t="str">
        <x:v>Новый ключ источника</x:v>
      </x:c>
      <x:c r="N232" s="8" t="str">
        <x:v>Не установлено</x:v>
      </x:c>
      <x:c r="O232" s="8"/>
      <x:c r="P232" s="8" t="str">
        <x:v>https://skolkovocid.ru/o-nas/</x:v>
      </x:c>
      <x:c r="Q232" s="8" t="str">
        <x:v>turn1183search8; turn1183search10</x:v>
      </x:c>
    </x:row>
    <x:row r="233" ht="35.25" customHeight="1">
      <x:c r="A233" s="8" t="str">
        <x:v>V7-S30623002aa</x:v>
      </x:c>
      <x:c r="B233" s="8" t="str">
        <x:v>Национальная ассоциация финансовых директоров</x:v>
      </x:c>
      <x:c r="C233" s="8" t="str">
        <x:v>Руководители функций</x:v>
      </x:c>
      <x:c r="D233" s="8" t="str">
        <x:v>Найден профессиональный/образовательный контекст. Покупательские запросы и возможность сбора еще не проверены.</x:v>
      </x:c>
      <x:c r="E233" s="8" t="str">
        <x:v>Не установлена</x:v>
      </x:c>
      <x:c r="F233" s="8" t="str">
        <x:v>Сайт</x:v>
      </x:c>
      <x:c r="G233" s="8" t="str">
        <x:v>unverified_candidate</x:v>
      </x:c>
      <x:c r="H233" s="8" t="str">
        <x:v>Не проверен</x:v>
      </x:c>
      <x:c r="I233" s="8" t="str">
        <x:v>Не установлено</x:v>
      </x:c>
      <x:c r="J233" s="8" t="str">
        <x:v>Только контекст поиска</x:v>
      </x:c>
      <x:c r="K233" s="8" t="str">
        <x:v>Не установлено</x:v>
      </x:c>
      <x:c r="L233" s="8" t="str">
        <x:v>Не установлено</x:v>
      </x:c>
      <x:c r="M233" s="8" t="str">
        <x:v>Новый ключ источника</x:v>
      </x:c>
      <x:c r="N233" s="8" t="str">
        <x:v>Не установлено</x:v>
      </x:c>
      <x:c r="O233" s="8"/>
      <x:c r="P233" s="8" t="str">
        <x:v>https://xn--80aiz3a.xn--p1ai/</x:v>
      </x:c>
      <x:c r="Q233" s="8" t="str">
        <x:v>turn1088search6; turn1106search28</x:v>
      </x:c>
    </x:row>
    <x:row r="234" ht="35.25" customHeight="1">
      <x:c r="A234" s="8" t="str">
        <x:v>V7-S13a4fa0580</x:v>
      </x:c>
      <x:c r="B234" s="8" t="str">
        <x:v>Школа директоров</x:v>
      </x:c>
      <x:c r="C234" s="8" t="str">
        <x:v>Руководители функций</x:v>
      </x:c>
      <x:c r="D234" s="8" t="str">
        <x:v>Найден профессиональный/образовательный контекст. Покупательские запросы и возможность сбора еще не проверены.</x:v>
      </x:c>
      <x:c r="E234" s="8" t="str">
        <x:v>RU</x:v>
      </x:c>
      <x:c r="F234" s="8" t="str">
        <x:v>Сайт</x:v>
      </x:c>
      <x:c r="G234" s="8" t="str">
        <x:v>unverified_candidate</x:v>
      </x:c>
      <x:c r="H234" s="8" t="str">
        <x:v>Не проверен</x:v>
      </x:c>
      <x:c r="I234" s="8" t="str">
        <x:v>Не установлено</x:v>
      </x:c>
      <x:c r="J234" s="8" t="str">
        <x:v>Только контекст поиска</x:v>
      </x:c>
      <x:c r="K234" s="8" t="str">
        <x:v>Не установлено</x:v>
      </x:c>
      <x:c r="L234" s="8" t="str">
        <x:v>Не установлено</x:v>
      </x:c>
      <x:c r="M234" s="8" t="str">
        <x:v>Новый ключ источника</x:v>
      </x:c>
      <x:c r="N234" s="8" t="str">
        <x:v>Не установлено</x:v>
      </x:c>
      <x:c r="O234" s="8"/>
      <x:c r="P234" s="8" t="str">
        <x:v>https://ahb.ru/dir-school</x:v>
      </x:c>
      <x:c r="Q234" s="8" t="str">
        <x:v>turn1088search14</x:v>
      </x:c>
    </x:row>
    <x:row r="235" ht="35.25" customHeight="1">
      <x:c r="A235" s="8" t="str">
        <x:v>V7-S84bf7972ef</x:v>
      </x:c>
      <x:c r="B235" s="8" t="str">
        <x:v>Ассоциация Международных Экспедиторов и Логистики ...</x:v>
      </x:c>
      <x:c r="C235" s="8" t="str">
        <x:v>Руководители функций</x:v>
      </x:c>
      <x:c r="D235" s="8" t="str">
        <x:v>Найден профессиональный/образовательный контекст. Покупательские запросы и возможность сбора еще не проверены.</x:v>
      </x:c>
      <x:c r="E235" s="8" t="str">
        <x:v>Не установлена</x:v>
      </x:c>
      <x:c r="F235" s="8" t="str">
        <x:v>Сайт</x:v>
      </x:c>
      <x:c r="G235" s="8" t="str">
        <x:v>unverified_candidate</x:v>
      </x:c>
      <x:c r="H235" s="8" t="str">
        <x:v>Не проверен</x:v>
      </x:c>
      <x:c r="I235" s="8" t="str">
        <x:v>Не установлено</x:v>
      </x:c>
      <x:c r="J235" s="8" t="str">
        <x:v>Только контекст поиска</x:v>
      </x:c>
      <x:c r="K235" s="8" t="str">
        <x:v>Не установлено</x:v>
      </x:c>
      <x:c r="L235" s="8" t="str">
        <x:v>Не установлено</x:v>
      </x:c>
      <x:c r="M235" s="8" t="str">
        <x:v>Новый ключ источника</x:v>
      </x:c>
      <x:c r="N235" s="8" t="str">
        <x:v>Не установлено</x:v>
      </x:c>
      <x:c r="O235" s="8"/>
      <x:c r="P235" s="8" t="str">
        <x:v>https://www.baifby.com/</x:v>
      </x:c>
      <x:c r="Q235" s="8" t="str">
        <x:v>turn1106search2</x:v>
      </x:c>
    </x:row>
    <x:row r="236" ht="35.25" customHeight="1">
      <x:c r="A236" s="8" t="str">
        <x:v>V7-Sb8546dc224</x:v>
      </x:c>
      <x:c r="B236" s="8" t="str">
        <x:v>Статьи журнала "Клуб Директоров" №58</x:v>
      </x:c>
      <x:c r="C236" s="8" t="str">
        <x:v>Руководители функций</x:v>
      </x:c>
      <x:c r="D236" s="8" t="str">
        <x:v>Найден профессиональный/образовательный контекст. Покупательские запросы и возможность сбора еще не проверены.</x:v>
      </x:c>
      <x:c r="E236" s="8" t="str">
        <x:v>RU</x:v>
      </x:c>
      <x:c r="F236" s="8" t="str">
        <x:v>Сайт</x:v>
      </x:c>
      <x:c r="G236" s="8" t="str">
        <x:v>unverified_candidate</x:v>
      </x:c>
      <x:c r="H236" s="8" t="str">
        <x:v>Не проверен</x:v>
      </x:c>
      <x:c r="I236" s="8" t="str">
        <x:v>Не установлено</x:v>
      </x:c>
      <x:c r="J236" s="8" t="str">
        <x:v>Только контекст поиска</x:v>
      </x:c>
      <x:c r="K236" s="8" t="str">
        <x:v>Не установлено</x:v>
      </x:c>
      <x:c r="L236" s="8" t="str">
        <x:v>Не установлено</x:v>
      </x:c>
      <x:c r="M236" s="8" t="str">
        <x:v>Новый ключ источника</x:v>
      </x:c>
      <x:c r="N236" s="8" t="str">
        <x:v>Не установлено</x:v>
      </x:c>
      <x:c r="O236" s="8"/>
      <x:c r="P236" s="8" t="str">
        <x:v>https://bazar2000.ru/journal/58/page/2/</x:v>
      </x:c>
      <x:c r="Q236" s="8" t="str">
        <x:v>turn1183search6; turn1183search7</x:v>
      </x:c>
    </x:row>
    <x:row r="237" ht="35.25" customHeight="1">
      <x:c r="A237" s="8" t="str">
        <x:v>V7-S0fe3c203e9</x:v>
      </x:c>
      <x:c r="B237" s="8" t="str">
        <x:v>ВЫСШИЕ КУРСЫ ИТ-ДИРЕКТОРОВ</x:v>
      </x:c>
      <x:c r="C237" s="8" t="str">
        <x:v>Руководители функций</x:v>
      </x:c>
      <x:c r="D237" s="8" t="str">
        <x:v>Найден профессиональный/образовательный контекст. Покупательские запросы и возможность сбора еще не проверены.</x:v>
      </x:c>
      <x:c r="E237" s="8" t="str">
        <x:v>RU</x:v>
      </x:c>
      <x:c r="F237" s="8" t="str">
        <x:v>Сайт</x:v>
      </x:c>
      <x:c r="G237" s="8" t="str">
        <x:v>unverified_candidate</x:v>
      </x:c>
      <x:c r="H237" s="8" t="str">
        <x:v>Не проверен</x:v>
      </x:c>
      <x:c r="I237" s="8" t="str">
        <x:v>Не установлено</x:v>
      </x:c>
      <x:c r="J237" s="8" t="str">
        <x:v>Только контекст поиска</x:v>
      </x:c>
      <x:c r="K237" s="8" t="str">
        <x:v>Не установлено</x:v>
      </x:c>
      <x:c r="L237" s="8" t="str">
        <x:v>Не установлено</x:v>
      </x:c>
      <x:c r="M237" s="8" t="str">
        <x:v>Новый ключ источника</x:v>
      </x:c>
      <x:c r="N237" s="8" t="str">
        <x:v>Не установлено</x:v>
      </x:c>
      <x:c r="O237" s="8"/>
      <x:c r="P237" s="8" t="str">
        <x:v>https://centercio.ru/elementor-974/</x:v>
      </x:c>
      <x:c r="Q237" s="8" t="str">
        <x:v>turn1103search24</x:v>
      </x:c>
    </x:row>
    <x:row r="238" ht="35.25" customHeight="1">
      <x:c r="A238" s="8" t="str">
        <x:v>V7-S6edfaa3336</x:v>
      </x:c>
      <x:c r="B238" s="8" t="str">
        <x:v>Клуб финансовых директоров</x:v>
      </x:c>
      <x:c r="C238" s="8" t="str">
        <x:v>Руководители функций</x:v>
      </x:c>
      <x:c r="D238" s="8" t="str">
        <x:v>Найден профессиональный/образовательный контекст. Покупательские запросы и возможность сбора еще не проверены.</x:v>
      </x:c>
      <x:c r="E238" s="8" t="str">
        <x:v>RU</x:v>
      </x:c>
      <x:c r="F238" s="8" t="str">
        <x:v>Сайт</x:v>
      </x:c>
      <x:c r="G238" s="8" t="str">
        <x:v>unverified_candidate</x:v>
      </x:c>
      <x:c r="H238" s="8" t="str">
        <x:v>Не проверен</x:v>
      </x:c>
      <x:c r="I238" s="8" t="str">
        <x:v>Не установлено</x:v>
      </x:c>
      <x:c r="J238" s="8" t="str">
        <x:v>Только контекст поиска</x:v>
      </x:c>
      <x:c r="K238" s="8" t="str">
        <x:v>Не установлено</x:v>
      </x:c>
      <x:c r="L238" s="8" t="str">
        <x:v>Не установлено</x:v>
      </x:c>
      <x:c r="M238" s="8" t="str">
        <x:v>Новый ключ источника</x:v>
      </x:c>
      <x:c r="N238" s="8" t="str">
        <x:v>Не установлено</x:v>
      </x:c>
      <x:c r="O238" s="8"/>
      <x:c r="P238" s="8" t="str">
        <x:v>https://cfo-club.ru/</x:v>
      </x:c>
      <x:c r="Q238" s="8" t="str">
        <x:v>turn1106search1</x:v>
      </x:c>
    </x:row>
    <x:row r="239" ht="35.25" customHeight="1">
      <x:c r="A239" s="8" t="str">
        <x:v>V7-S79238cd903</x:v>
      </x:c>
      <x:c r="B239" s="8" t="str">
        <x:v>Ассоциация директоров по развитию</x:v>
      </x:c>
      <x:c r="C239" s="8" t="str">
        <x:v>Руководители функций</x:v>
      </x:c>
      <x:c r="D239" s="8" t="str">
        <x:v>Найден профессиональный/образовательный контекст. Покупательские запросы и возможность сбора еще не проверены.</x:v>
      </x:c>
      <x:c r="E239" s="8" t="str">
        <x:v>RU</x:v>
      </x:c>
      <x:c r="F239" s="8" t="str">
        <x:v>Сайт</x:v>
      </x:c>
      <x:c r="G239" s="8" t="str">
        <x:v>unverified_candidate</x:v>
      </x:c>
      <x:c r="H239" s="8" t="str">
        <x:v>Не проверен</x:v>
      </x:c>
      <x:c r="I239" s="8" t="str">
        <x:v>Не установлено</x:v>
      </x:c>
      <x:c r="J239" s="8" t="str">
        <x:v>Только контекст поиска</x:v>
      </x:c>
      <x:c r="K239" s="8" t="str">
        <x:v>Не установлено</x:v>
      </x:c>
      <x:c r="L239" s="8" t="str">
        <x:v>Не установлено</x:v>
      </x:c>
      <x:c r="M239" s="8" t="str">
        <x:v>Новый ключ источника</x:v>
      </x:c>
      <x:c r="N239" s="8" t="str">
        <x:v>Не установлено</x:v>
      </x:c>
      <x:c r="O239" s="8"/>
      <x:c r="P239" s="8" t="str">
        <x:v>https://chiefstrategyofficer.ru/</x:v>
      </x:c>
      <x:c r="Q239" s="8" t="str">
        <x:v>turn1106search27</x:v>
      </x:c>
    </x:row>
    <x:row r="240" ht="59.25" customHeight="1">
      <x:c r="A240" s="8" t="str">
        <x:v>V7-S9b0de58087</x:v>
      </x:c>
      <x:c r="B240" s="8" t="str">
        <x:v>ПрофесCIOнал: образовательная программа для ИТ-директоров | CIO-NAVIGATOR</x:v>
      </x:c>
      <x:c r="C240" s="8" t="str">
        <x:v>Руководители функций</x:v>
      </x:c>
      <x:c r="D240" s="8" t="str">
        <x:v>Найден профессиональный/образовательный контекст. Покупательские запросы и возможность сбора еще не проверены.</x:v>
      </x:c>
      <x:c r="E240" s="8" t="str">
        <x:v>RU</x:v>
      </x:c>
      <x:c r="F240" s="8" t="str">
        <x:v>Сайт</x:v>
      </x:c>
      <x:c r="G240" s="8" t="str">
        <x:v>unverified_candidate</x:v>
      </x:c>
      <x:c r="H240" s="8" t="str">
        <x:v>Не проверен</x:v>
      </x:c>
      <x:c r="I240" s="8" t="str">
        <x:v>Не установлено</x:v>
      </x:c>
      <x:c r="J240" s="8" t="str">
        <x:v>Только контекст поиска</x:v>
      </x:c>
      <x:c r="K240" s="8" t="str">
        <x:v>Не установлено</x:v>
      </x:c>
      <x:c r="L240" s="8" t="str">
        <x:v>Не установлено</x:v>
      </x:c>
      <x:c r="M240" s="8" t="str">
        <x:v>Новый ключ источника</x:v>
      </x:c>
      <x:c r="N240" s="8" t="str">
        <x:v>Не установлено</x:v>
      </x:c>
      <x:c r="O240" s="8"/>
      <x:c r="P240" s="8" t="str">
        <x:v>https://cio-navigator.ru/%D0%BF%D1%80%D0%BE%D1%84%D0%B5%D1%81cio%D0%BD%D0%B0%D0%BB-%D0%BE%D0%B1%D1%80%D0%B0%D0%B7%D0%BE%D0%B2%D0%B0%D1%82%D0%B5%D0%BB%D1%8C%D0%BD%D0%B0%D1%8F-%D0%BF%D1%80%D0%BE%D0%B3%D1%80%D0%B0%D0%BC%D0%BC/</x:v>
      </x:c>
      <x:c r="Q240" s="8" t="str">
        <x:v>turn1083search6</x:v>
      </x:c>
    </x:row>
    <x:row r="241" ht="35.25" customHeight="1">
      <x:c r="A241" s="8" t="str">
        <x:v>V7-Sd36ea82e6e</x:v>
      </x:c>
      <x:c r="B241" s="8" t="str">
        <x:v>«Пермский CIO-Клуб» - клуб руководителей ИТ Пермского ...</x:v>
      </x:c>
      <x:c r="C241" s="8" t="str">
        <x:v>Руководители функций</x:v>
      </x:c>
      <x:c r="D241" s="8" t="str">
        <x:v>Найден профессиональный/образовательный контекст. Покупательские запросы и возможность сбора еще не проверены.</x:v>
      </x:c>
      <x:c r="E241" s="8" t="str">
        <x:v>RU</x:v>
      </x:c>
      <x:c r="F241" s="8" t="str">
        <x:v>Сайт</x:v>
      </x:c>
      <x:c r="G241" s="8" t="str">
        <x:v>unverified_candidate</x:v>
      </x:c>
      <x:c r="H241" s="8" t="str">
        <x:v>Не проверен</x:v>
      </x:c>
      <x:c r="I241" s="8" t="str">
        <x:v>Не установлено</x:v>
      </x:c>
      <x:c r="J241" s="8" t="str">
        <x:v>Только контекст поиска</x:v>
      </x:c>
      <x:c r="K241" s="8" t="str">
        <x:v>Не установлено</x:v>
      </x:c>
      <x:c r="L241" s="8" t="str">
        <x:v>Не установлено</x:v>
      </x:c>
      <x:c r="M241" s="8" t="str">
        <x:v>Новый ключ источника</x:v>
      </x:c>
      <x:c r="N241" s="8" t="str">
        <x:v>Не установлено</x:v>
      </x:c>
      <x:c r="O241" s="8"/>
      <x:c r="P241" s="8" t="str">
        <x:v>https://cio-perm.ru/</x:v>
      </x:c>
      <x:c r="Q241" s="8" t="str">
        <x:v>turn1103search16</x:v>
      </x:c>
    </x:row>
    <x:row r="242" ht="35.25" customHeight="1">
      <x:c r="A242" s="8" t="str">
        <x:v>V7-S47fd7bc9c9</x:v>
      </x:c>
      <x:c r="B242" s="8" t="str">
        <x:v>Крупнейшее в России Сообщество цифровых управленцев ...</x:v>
      </x:c>
      <x:c r="C242" s="8" t="str">
        <x:v>Руководители функций</x:v>
      </x:c>
      <x:c r="D242" s="8" t="str">
        <x:v>Найден профессиональный/образовательный контекст. Покупательские запросы и возможность сбора еще не проверены.</x:v>
      </x:c>
      <x:c r="E242" s="8" t="str">
        <x:v>RU</x:v>
      </x:c>
      <x:c r="F242" s="8" t="str">
        <x:v>Сайт</x:v>
      </x:c>
      <x:c r="G242" s="8" t="str">
        <x:v>unverified_candidate</x:v>
      </x:c>
      <x:c r="H242" s="8" t="str">
        <x:v>Не проверен</x:v>
      </x:c>
      <x:c r="I242" s="8" t="str">
        <x:v>Не установлено</x:v>
      </x:c>
      <x:c r="J242" s="8" t="str">
        <x:v>Только контекст поиска</x:v>
      </x:c>
      <x:c r="K242" s="8" t="str">
        <x:v>Не установлено</x:v>
      </x:c>
      <x:c r="L242" s="8" t="str">
        <x:v>Не установлено</x:v>
      </x:c>
      <x:c r="M242" s="8" t="str">
        <x:v>Новый ключ источника</x:v>
      </x:c>
      <x:c r="N242" s="8" t="str">
        <x:v>Не установлено</x:v>
      </x:c>
      <x:c r="O242" s="8"/>
      <x:c r="P242" s="8" t="str">
        <x:v>https://ciocdo.ru/</x:v>
      </x:c>
      <x:c r="Q242" s="8" t="str">
        <x:v>turn1103search13</x:v>
      </x:c>
    </x:row>
    <x:row r="243" ht="35.25" customHeight="1">
      <x:c r="A243" s="8" t="str">
        <x:v>V7-S939b42ed74</x:v>
      </x:c>
      <x:c r="B243" s="8" t="str">
        <x:v>Клуб финансовых директоров. - Официальный Сайт Клуб ...</x:v>
      </x:c>
      <x:c r="C243" s="8" t="str">
        <x:v>Руководители функций</x:v>
      </x:c>
      <x:c r="D243" s="8" t="str">
        <x:v>Найден профессиональный/образовательный контекст. Покупательские запросы и возможность сбора еще не проверены.</x:v>
      </x:c>
      <x:c r="E243" s="8" t="str">
        <x:v>BY</x:v>
      </x:c>
      <x:c r="F243" s="8" t="str">
        <x:v>Сайт</x:v>
      </x:c>
      <x:c r="G243" s="8" t="str">
        <x:v>unverified_candidate</x:v>
      </x:c>
      <x:c r="H243" s="8" t="str">
        <x:v>Не проверен</x:v>
      </x:c>
      <x:c r="I243" s="8" t="str">
        <x:v>Не установлено</x:v>
      </x:c>
      <x:c r="J243" s="8" t="str">
        <x:v>Только контекст поиска</x:v>
      </x:c>
      <x:c r="K243" s="8" t="str">
        <x:v>Не установлено</x:v>
      </x:c>
      <x:c r="L243" s="8" t="str">
        <x:v>Не установлено</x:v>
      </x:c>
      <x:c r="M243" s="8" t="str">
        <x:v>Новый ключ источника</x:v>
      </x:c>
      <x:c r="N243" s="8" t="str">
        <x:v>Не установлено</x:v>
      </x:c>
      <x:c r="O243" s="8"/>
      <x:c r="P243" s="8" t="str">
        <x:v>https://club.cfo.by/</x:v>
      </x:c>
      <x:c r="Q243" s="8" t="str">
        <x:v>turn1106search10</x:v>
      </x:c>
    </x:row>
    <x:row r="244" ht="35.25" customHeight="1">
      <x:c r="A244" s="8" t="str">
        <x:v>V7-Sea4a402d58</x:v>
      </x:c>
      <x:c r="B244" s="8" t="str">
        <x:v>Главная » Клуб Директоров</x:v>
      </x:c>
      <x:c r="C244" s="8" t="str">
        <x:v>Руководители функций</x:v>
      </x:c>
      <x:c r="D244" s="8" t="str">
        <x:v>Найден профессиональный/образовательный контекст. Покупательские запросы и возможность сбора еще не проверены.</x:v>
      </x:c>
      <x:c r="E244" s="8" t="str">
        <x:v>RU</x:v>
      </x:c>
      <x:c r="F244" s="8" t="str">
        <x:v>Сайт</x:v>
      </x:c>
      <x:c r="G244" s="8" t="str">
        <x:v>unverified_candidate</x:v>
      </x:c>
      <x:c r="H244" s="8" t="str">
        <x:v>Не проверен</x:v>
      </x:c>
      <x:c r="I244" s="8" t="str">
        <x:v>Не установлено</x:v>
      </x:c>
      <x:c r="J244" s="8" t="str">
        <x:v>Только контекст поиска</x:v>
      </x:c>
      <x:c r="K244" s="8" t="str">
        <x:v>Не установлено</x:v>
      </x:c>
      <x:c r="L244" s="8" t="str">
        <x:v>Не установлено</x:v>
      </x:c>
      <x:c r="M244" s="8" t="str">
        <x:v>Новый ключ источника</x:v>
      </x:c>
      <x:c r="N244" s="8" t="str">
        <x:v>Не установлено</x:v>
      </x:c>
      <x:c r="O244" s="8"/>
      <x:c r="P244" s="8" t="str">
        <x:v>https://clubdirectors.ru/</x:v>
      </x:c>
      <x:c r="Q244" s="8" t="str">
        <x:v>turn1106search9</x:v>
      </x:c>
    </x:row>
    <x:row r="245" ht="35.25" customHeight="1">
      <x:c r="A245" s="8" t="str">
        <x:v>V7-S1964d659d4</x:v>
      </x:c>
      <x:c r="B245" s="8" t="str">
        <x:v>Ценности НАКД — Основная миссия нашей ассоциации</x:v>
      </x:c>
      <x:c r="C245" s="8" t="str">
        <x:v>Руководители функций</x:v>
      </x:c>
      <x:c r="D245" s="8" t="str">
        <x:v>Найден профессиональный/образовательный контекст. Покупательские запросы и возможность сбора еще не проверены.</x:v>
      </x:c>
      <x:c r="E245" s="8" t="str">
        <x:v>RU</x:v>
      </x:c>
      <x:c r="F245" s="8" t="str">
        <x:v>Сайт</x:v>
      </x:c>
      <x:c r="G245" s="8" t="str">
        <x:v>unverified_candidate</x:v>
      </x:c>
      <x:c r="H245" s="8" t="str">
        <x:v>Не проверен</x:v>
      </x:c>
      <x:c r="I245" s="8" t="str">
        <x:v>Не установлено</x:v>
      </x:c>
      <x:c r="J245" s="8" t="str">
        <x:v>Только контекст поиска</x:v>
      </x:c>
      <x:c r="K245" s="8" t="str">
        <x:v>Не установлено</x:v>
      </x:c>
      <x:c r="L245" s="8" t="str">
        <x:v>Не установлено</x:v>
      </x:c>
      <x:c r="M245" s="8" t="str">
        <x:v>Новый ключ источника</x:v>
      </x:c>
      <x:c r="N245" s="8" t="str">
        <x:v>Не установлено</x:v>
      </x:c>
      <x:c r="O245" s="8"/>
      <x:c r="P245" s="8" t="str">
        <x:v>https://corpdir.ru/naks-cennosti.html</x:v>
      </x:c>
      <x:c r="Q245" s="8" t="str">
        <x:v>turn1106search18</x:v>
      </x:c>
    </x:row>
    <x:row r="246" ht="35.25" customHeight="1">
      <x:c r="A246" s="8" t="str">
        <x:v>V7-S8a9c608d36</x:v>
      </x:c>
      <x:c r="B246" s="8" t="str">
        <x:v>Цифровые Лидеры Бизнеса | Клуб профессионалов</x:v>
      </x:c>
      <x:c r="C246" s="8" t="str">
        <x:v>Руководители функций</x:v>
      </x:c>
      <x:c r="D246" s="8" t="str">
        <x:v>Найден профессиональный/образовательный контекст. Покупательские запросы и возможность сбора еще не проверены.</x:v>
      </x:c>
      <x:c r="E246" s="8" t="str">
        <x:v>RU</x:v>
      </x:c>
      <x:c r="F246" s="8" t="str">
        <x:v>Сайт</x:v>
      </x:c>
      <x:c r="G246" s="8" t="str">
        <x:v>unverified_candidate</x:v>
      </x:c>
      <x:c r="H246" s="8" t="str">
        <x:v>Не проверен</x:v>
      </x:c>
      <x:c r="I246" s="8" t="str">
        <x:v>Не установлено</x:v>
      </x:c>
      <x:c r="J246" s="8" t="str">
        <x:v>Только контекст поиска</x:v>
      </x:c>
      <x:c r="K246" s="8" t="str">
        <x:v>Не установлено</x:v>
      </x:c>
      <x:c r="L246" s="8" t="str">
        <x:v>Не установлено</x:v>
      </x:c>
      <x:c r="M246" s="8" t="str">
        <x:v>Новый ключ источника</x:v>
      </x:c>
      <x:c r="N246" s="8" t="str">
        <x:v>Не установлено</x:v>
      </x:c>
      <x:c r="O246" s="8"/>
      <x:c r="P246" s="8" t="str">
        <x:v>https://digital-business-leaders.ru/</x:v>
      </x:c>
      <x:c r="Q246" s="8" t="str">
        <x:v>turn1083search21</x:v>
      </x:c>
    </x:row>
    <x:row r="247" ht="71.25" customHeight="1">
      <x:c r="A247" s="8" t="str">
        <x:v>V7-Seb1f7f906e</x:v>
      </x:c>
      <x:c r="B247" s="8" t="str">
        <x:v>ДВУХДНЕВНЫЙ СЕМИНАР-ПРАКТИКУМ | Гаращенко Ольга ECCON GROUP Бровкина Наталья ECCON GROUP | --- | --- | --- | Гаращенко Ольга ECCON GROUP Бровкина Наталья ECCON GROUP МОСКВА |ДЛЯ ФИНАНСОВЫХ ДИРЕКТОРОВ И ГЛАВНЫХ БУХГАЛТЕРОВ</x:v>
      </x:c>
      <x:c r="C247" s="8" t="str">
        <x:v>Руководители функций</x:v>
      </x:c>
      <x:c r="D247" s="8" t="str">
        <x:v>Найден профессиональный/образовательный контекст. Покупательские запросы и возможность сбора еще не проверены.</x:v>
      </x:c>
      <x:c r="E247" s="8" t="str">
        <x:v>RU</x:v>
      </x:c>
      <x:c r="F247" s="8" t="str">
        <x:v>Сайт</x:v>
      </x:c>
      <x:c r="G247" s="8" t="str">
        <x:v>unverified_candidate</x:v>
      </x:c>
      <x:c r="H247" s="8" t="str">
        <x:v>Не проверен</x:v>
      </x:c>
      <x:c r="I247" s="8" t="str">
        <x:v>Не установлено</x:v>
      </x:c>
      <x:c r="J247" s="8" t="str">
        <x:v>Только контекст поиска</x:v>
      </x:c>
      <x:c r="K247" s="8" t="str">
        <x:v>Не установлено</x:v>
      </x:c>
      <x:c r="L247" s="8" t="str">
        <x:v>Не установлено</x:v>
      </x:c>
      <x:c r="M247" s="8" t="str">
        <x:v>Новый ключ источника</x:v>
      </x:c>
      <x:c r="N247" s="8" t="str">
        <x:v>Не установлено</x:v>
      </x:c>
      <x:c r="O247" s="8"/>
      <x:c r="P247" s="8" t="str">
        <x:v>https://eccon.ru/storage/programs/2022-12-01_02_4_program.pdf</x:v>
      </x:c>
      <x:c r="Q247" s="8" t="str">
        <x:v>turn1247search12; turn1247search13</x:v>
      </x:c>
    </x:row>
    <x:row r="248" ht="35.25" customHeight="1">
      <x:c r="A248" s="8" t="str">
        <x:v>V7-S28e5153674</x:v>
      </x:c>
      <x:c r="B248" s="8" t="str">
        <x:v>«ПрофесCIOнал»: старт нового потока программы для ИТ-директоров | MyAIde Events</x:v>
      </x:c>
      <x:c r="C248" s="8" t="str">
        <x:v>Руководители функций</x:v>
      </x:c>
      <x:c r="D248" s="8" t="str">
        <x:v>Найден профессиональный/образовательный контекст. Покупательские запросы и возможность сбора еще не проверены.</x:v>
      </x:c>
      <x:c r="E248" s="8" t="str">
        <x:v>RU</x:v>
      </x:c>
      <x:c r="F248" s="8" t="str">
        <x:v>Сайт</x:v>
      </x:c>
      <x:c r="G248" s="8" t="str">
        <x:v>unverified_candidate</x:v>
      </x:c>
      <x:c r="H248" s="8" t="str">
        <x:v>Не проверен</x:v>
      </x:c>
      <x:c r="I248" s="8" t="str">
        <x:v>Не установлено</x:v>
      </x:c>
      <x:c r="J248" s="8" t="str">
        <x:v>Только контекст поиска</x:v>
      </x:c>
      <x:c r="K248" s="8" t="str">
        <x:v>Не установлено</x:v>
      </x:c>
      <x:c r="L248" s="8" t="str">
        <x:v>Не установлено</x:v>
      </x:c>
      <x:c r="M248" s="8" t="str">
        <x:v>Новый ключ источника</x:v>
      </x:c>
      <x:c r="N248" s="8" t="str">
        <x:v>Не установлено</x:v>
      </x:c>
      <x:c r="O248" s="8"/>
      <x:c r="P248" s="8" t="str">
        <x:v>https://event.myaide.ru/event/profescional-start-novogo-potoka-programmy-dlia-it-direktorov-310/register</x:v>
      </x:c>
      <x:c r="Q248" s="8" t="str">
        <x:v>turn1083search10</x:v>
      </x:c>
    </x:row>
    <x:row r="249" ht="35.25" customHeight="1">
      <x:c r="A249" s="8" t="str">
        <x:v>V7-S763a55838c</x:v>
      </x:c>
      <x:c r="B249" s="8" t="str">
        <x:v>Обучающие программы и практические семинары ТЭК-Торг на 2026 год</x:v>
      </x:c>
      <x:c r="C249" s="8" t="str">
        <x:v>Руководители функций</x:v>
      </x:c>
      <x:c r="D249" s="8" t="str">
        <x:v>Найден профессиональный/образовательный контекст. Покупательские запросы и возможность сбора еще не проверены.</x:v>
      </x:c>
      <x:c r="E249" s="8" t="str">
        <x:v>RU</x:v>
      </x:c>
      <x:c r="F249" s="8" t="str">
        <x:v>Сайт</x:v>
      </x:c>
      <x:c r="G249" s="8" t="str">
        <x:v>unverified_candidate</x:v>
      </x:c>
      <x:c r="H249" s="8" t="str">
        <x:v>Не проверен</x:v>
      </x:c>
      <x:c r="I249" s="8" t="str">
        <x:v>Не установлено</x:v>
      </x:c>
      <x:c r="J249" s="8" t="str">
        <x:v>Только контекст поиска</x:v>
      </x:c>
      <x:c r="K249" s="8" t="str">
        <x:v>Не установлено</x:v>
      </x:c>
      <x:c r="L249" s="8" t="str">
        <x:v>Не установлено</x:v>
      </x:c>
      <x:c r="M249" s="8" t="str">
        <x:v>Новый ключ источника</x:v>
      </x:c>
      <x:c r="N249" s="8" t="str">
        <x:v>Не установлено</x:v>
      </x:c>
      <x:c r="O249" s="8"/>
      <x:c r="P249" s="8" t="str">
        <x:v>https://event.tektorg.ru/programs_2026</x:v>
      </x:c>
      <x:c r="Q249" s="8" t="str">
        <x:v>turn1088search17</x:v>
      </x:c>
    </x:row>
    <x:row r="250" ht="47.25" customHeight="1">
      <x:c r="A250" s="8" t="str">
        <x:v>V7-S8d6217d5c1</x:v>
      </x:c>
      <x:c r="B250" s="8" t="str">
        <x:v>Международную транспортно-логистическую ассоциацию ...</x:v>
      </x:c>
      <x:c r="C250" s="8" t="str">
        <x:v>Руководители функций</x:v>
      </x:c>
      <x:c r="D250" s="8" t="str">
        <x:v>Найден профессиональный/образовательный контекст. Покупательские запросы и возможность сбора еще не проверены.</x:v>
      </x:c>
      <x:c r="E250" s="8" t="str">
        <x:v>KZ</x:v>
      </x:c>
      <x:c r="F250" s="8" t="str">
        <x:v>Сайт</x:v>
      </x:c>
      <x:c r="G250" s="8" t="str">
        <x:v>unverified_candidate</x:v>
      </x:c>
      <x:c r="H250" s="8" t="str">
        <x:v>Не проверен</x:v>
      </x:c>
      <x:c r="I250" s="8" t="str">
        <x:v>Не установлено</x:v>
      </x:c>
      <x:c r="J250" s="8" t="str">
        <x:v>Только контекст поиска</x:v>
      </x:c>
      <x:c r="K250" s="8" t="str">
        <x:v>Не установлено</x:v>
      </x:c>
      <x:c r="L250" s="8" t="str">
        <x:v>Не установлено</x:v>
      </x:c>
      <x:c r="M250" s="8" t="str">
        <x:v>Новый ключ источника</x:v>
      </x:c>
      <x:c r="N250" s="8" t="str">
        <x:v>Не установлено</x:v>
      </x:c>
      <x:c r="O250" s="8"/>
      <x:c r="P250" s="8" t="str">
        <x:v>https://kaztag.kz/ru/news/mezhdunarodnuyu-transportno-logisticheskuyu-assotsiatsiyu-planiruyut-sozdat-zheleznodorozhnye-kompanii-kazakhstana-rossii-i-belarusi</x:v>
      </x:c>
      <x:c r="Q250" s="8" t="str">
        <x:v>turn1106search8</x:v>
      </x:c>
    </x:row>
    <x:row r="251" ht="35.25" customHeight="1">
      <x:c r="A251" s="8" t="str">
        <x:v>V7-Sb730054b0a</x:v>
      </x:c>
      <x:c r="B251" s="8" t="str">
        <x:v>Клуб ИТ руководителей России "ИТ-Диалог" | LinkedIn</x:v>
      </x:c>
      <x:c r="C251" s="8" t="str">
        <x:v>Руководители функций</x:v>
      </x:c>
      <x:c r="D251" s="8" t="str">
        <x:v>Найден профессиональный/образовательный контекст. Покупательские запросы и возможность сбора еще не проверены.</x:v>
      </x:c>
      <x:c r="E251" s="8" t="str">
        <x:v>Не установлена</x:v>
      </x:c>
      <x:c r="F251" s="8" t="str">
        <x:v>LinkedIn</x:v>
      </x:c>
      <x:c r="G251" s="8" t="str">
        <x:v>unverified_candidate</x:v>
      </x:c>
      <x:c r="H251" s="8" t="str">
        <x:v>Не проверен</x:v>
      </x:c>
      <x:c r="I251" s="8" t="str">
        <x:v>Не установлено</x:v>
      </x:c>
      <x:c r="J251" s="8" t="str">
        <x:v>Только контекст поиска</x:v>
      </x:c>
      <x:c r="K251" s="8" t="str">
        <x:v>Не установлено</x:v>
      </x:c>
      <x:c r="L251" s="8" t="str">
        <x:v>Не установлено</x:v>
      </x:c>
      <x:c r="M251" s="8" t="str">
        <x:v>Новый ключ источника</x:v>
      </x:c>
      <x:c r="N251" s="8" t="str">
        <x:v>Не установлено</x:v>
      </x:c>
      <x:c r="O251" s="8"/>
      <x:c r="P251" s="8" t="str">
        <x:v>https://www.linkedin.com/company/itdialog</x:v>
      </x:c>
      <x:c r="Q251" s="8" t="str">
        <x:v>turn1083search5</x:v>
      </x:c>
    </x:row>
    <x:row r="252" ht="35.25" customHeight="1">
      <x:c r="A252" s="8" t="str">
        <x:v>V7-Sc34c1dcfba</x:v>
      </x:c>
      <x:c r="B252" s="8" t="str">
        <x:v>Курсы логистики • mezhdunarodnik.by</x:v>
      </x:c>
      <x:c r="C252" s="8" t="str">
        <x:v>Руководители функций</x:v>
      </x:c>
      <x:c r="D252" s="8" t="str">
        <x:v>Найден профессиональный/образовательный контекст. Покупательские запросы и возможность сбора еще не проверены.</x:v>
      </x:c>
      <x:c r="E252" s="8" t="str">
        <x:v>BY</x:v>
      </x:c>
      <x:c r="F252" s="8" t="str">
        <x:v>Сайт</x:v>
      </x:c>
      <x:c r="G252" s="8" t="str">
        <x:v>unverified_candidate</x:v>
      </x:c>
      <x:c r="H252" s="8" t="str">
        <x:v>Не проверен</x:v>
      </x:c>
      <x:c r="I252" s="8" t="str">
        <x:v>Не установлено</x:v>
      </x:c>
      <x:c r="J252" s="8" t="str">
        <x:v>Только контекст поиска</x:v>
      </x:c>
      <x:c r="K252" s="8" t="str">
        <x:v>Не установлено</x:v>
      </x:c>
      <x:c r="L252" s="8" t="str">
        <x:v>Не установлено</x:v>
      </x:c>
      <x:c r="M252" s="8" t="str">
        <x:v>Новый ключ источника</x:v>
      </x:c>
      <x:c r="N252" s="8" t="str">
        <x:v>Не установлено</x:v>
      </x:c>
      <x:c r="O252" s="8"/>
      <x:c r="P252" s="8" t="str">
        <x:v>https://mezhdunarodnik.by/%D0%BA%D1%83%D1%80%D1%81%D1%8B-%D0%BB%D0%BE%D0%B3%D0%B8%D1%81%D1%82%D0%B8%D0%BA%D0%B8/</x:v>
      </x:c>
      <x:c r="Q252" s="8" t="str">
        <x:v>turn1083search27</x:v>
      </x:c>
    </x:row>
    <x:row r="253" ht="59.25" customHeight="1">
      <x:c r="A253" s="8" t="str">
        <x:v>V7-Sf914644fbe</x:v>
      </x:c>
      <x:c r="B253" s="8" t="str">
        <x:v>Подготовка к экзаменам квалификации НАФД для финансовых директоров, финансистов, бухгалтеров от аккредитованного учебного центра Актион Финансы</x:v>
      </x:c>
      <x:c r="C253" s="8" t="str">
        <x:v>Руководители функций</x:v>
      </x:c>
      <x:c r="D253" s="8" t="str">
        <x:v>Найден профессиональный/образовательный контекст. Покупательские запросы и возможность сбора еще не проверены.</x:v>
      </x:c>
      <x:c r="E253" s="8" t="str">
        <x:v>RU</x:v>
      </x:c>
      <x:c r="F253" s="8" t="str">
        <x:v>Сайт</x:v>
      </x:c>
      <x:c r="G253" s="8" t="str">
        <x:v>unverified_candidate</x:v>
      </x:c>
      <x:c r="H253" s="8" t="str">
        <x:v>Не проверен</x:v>
      </x:c>
      <x:c r="I253" s="8" t="str">
        <x:v>Не установлено</x:v>
      </x:c>
      <x:c r="J253" s="8" t="str">
        <x:v>Только контекст поиска</x:v>
      </x:c>
      <x:c r="K253" s="8" t="str">
        <x:v>Не установлено</x:v>
      </x:c>
      <x:c r="L253" s="8" t="str">
        <x:v>Не установлено</x:v>
      </x:c>
      <x:c r="M253" s="8" t="str">
        <x:v>Новый ключ источника</x:v>
      </x:c>
      <x:c r="N253" s="8" t="str">
        <x:v>Не установлено</x:v>
      </x:c>
      <x:c r="O253" s="8"/>
      <x:c r="P253" s="8" t="str">
        <x:v>https://www.nafd.fd.ru/</x:v>
      </x:c>
      <x:c r="Q253" s="8" t="str">
        <x:v>turn1088search23</x:v>
      </x:c>
    </x:row>
    <x:row r="254" ht="35.25" customHeight="1">
      <x:c r="A254" s="8" t="str">
        <x:v>V7-S771b90110f</x:v>
      </x:c>
      <x:c r="B254" s="8" t="str">
        <x:v>АНД для советов директоров</x:v>
      </x:c>
      <x:c r="C254" s="8" t="str">
        <x:v>Руководители функций</x:v>
      </x:c>
      <x:c r="D254" s="8" t="str">
        <x:v>Найден профессиональный/образовательный контекст. Покупательские запросы и возможность сбора еще не проверены.</x:v>
      </x:c>
      <x:c r="E254" s="8" t="str">
        <x:v>RU</x:v>
      </x:c>
      <x:c r="F254" s="8" t="str">
        <x:v>Сайт</x:v>
      </x:c>
      <x:c r="G254" s="8" t="str">
        <x:v>unverified_candidate</x:v>
      </x:c>
      <x:c r="H254" s="8" t="str">
        <x:v>Не проверен</x:v>
      </x:c>
      <x:c r="I254" s="8" t="str">
        <x:v>Не установлено</x:v>
      </x:c>
      <x:c r="J254" s="8" t="str">
        <x:v>Только контекст поиска</x:v>
      </x:c>
      <x:c r="K254" s="8" t="str">
        <x:v>Не установлено</x:v>
      </x:c>
      <x:c r="L254" s="8" t="str">
        <x:v>Не установлено</x:v>
      </x:c>
      <x:c r="M254" s="8" t="str">
        <x:v>Новый ключ источника</x:v>
      </x:c>
      <x:c r="N254" s="8" t="str">
        <x:v>Не установлено</x:v>
      </x:c>
      <x:c r="O254" s="8"/>
      <x:c r="P254" s="8" t="str">
        <x:v>https://nand.ru/</x:v>
      </x:c>
      <x:c r="Q254" s="8" t="str">
        <x:v>turn1106search21</x:v>
      </x:c>
    </x:row>
    <x:row r="255" ht="35.25" customHeight="1">
      <x:c r="A255" s="8" t="str">
        <x:v>V7-Sbac7981195</x:v>
      </x:c>
      <x:c r="B255" s="8" t="str">
        <x:v>Клуб работающих директоров | Директор информационной службы | Издательство «Открытые системы»</x:v>
      </x:c>
      <x:c r="C255" s="8" t="str">
        <x:v>Руководители функций</x:v>
      </x:c>
      <x:c r="D255" s="8" t="str">
        <x:v>Найден профессиональный/образовательный контекст. Покупательские запросы и возможность сбора еще не проверены.</x:v>
      </x:c>
      <x:c r="E255" s="8" t="str">
        <x:v>RU</x:v>
      </x:c>
      <x:c r="F255" s="8" t="str">
        <x:v>Сайт</x:v>
      </x:c>
      <x:c r="G255" s="8" t="str">
        <x:v>unverified_candidate</x:v>
      </x:c>
      <x:c r="H255" s="8" t="str">
        <x:v>Не проверен</x:v>
      </x:c>
      <x:c r="I255" s="8" t="str">
        <x:v>Не установлено</x:v>
      </x:c>
      <x:c r="J255" s="8" t="str">
        <x:v>Только контекст поиска</x:v>
      </x:c>
      <x:c r="K255" s="8" t="str">
        <x:v>Не установлено</x:v>
      </x:c>
      <x:c r="L255" s="8" t="str">
        <x:v>Не установлено</x:v>
      </x:c>
      <x:c r="M255" s="8" t="str">
        <x:v>Новый ключ источника</x:v>
      </x:c>
      <x:c r="N255" s="8" t="str">
        <x:v>Не установлено</x:v>
      </x:c>
      <x:c r="O255" s="8"/>
      <x:c r="P255" s="8" t="str">
        <x:v>https://www.osp.ru/cio/1999/03/171347</x:v>
      </x:c>
      <x:c r="Q255" s="8" t="str">
        <x:v>turn1183search5</x:v>
      </x:c>
    </x:row>
    <x:row r="256" ht="35.25" customHeight="1">
      <x:c r="A256" s="8" t="str">
        <x:v>V7-Sd887cfdbff</x:v>
      </x:c>
      <x:c r="B256" s="8" t="str">
        <x:v>Семинары - Ассоциация Бухгалтеров</x:v>
      </x:c>
      <x:c r="C256" s="8" t="str">
        <x:v>Руководители функций</x:v>
      </x:c>
      <x:c r="D256" s="8" t="str">
        <x:v>Найден профессиональный/образовательный контекст. Покупательские запросы и возможность сбора еще не проверены.</x:v>
      </x:c>
      <x:c r="E256" s="8" t="str">
        <x:v>KZ</x:v>
      </x:c>
      <x:c r="F256" s="8" t="str">
        <x:v>Сайт</x:v>
      </x:c>
      <x:c r="G256" s="8" t="str">
        <x:v>unverified_candidate</x:v>
      </x:c>
      <x:c r="H256" s="8" t="str">
        <x:v>Не проверен</x:v>
      </x:c>
      <x:c r="I256" s="8" t="str">
        <x:v>Не установлено</x:v>
      </x:c>
      <x:c r="J256" s="8" t="str">
        <x:v>Только контекст поиска</x:v>
      </x:c>
      <x:c r="K256" s="8" t="str">
        <x:v>Не установлено</x:v>
      </x:c>
      <x:c r="L256" s="8" t="str">
        <x:v>Не установлено</x:v>
      </x:c>
      <x:c r="M256" s="8" t="str">
        <x:v>Новый ключ источника</x:v>
      </x:c>
      <x:c r="N256" s="8" t="str">
        <x:v>Не установлено</x:v>
      </x:c>
      <x:c r="O256" s="8"/>
      <x:c r="P256" s="8" t="str">
        <x:v>https://pob-ab.kz/catalog/seminary/</x:v>
      </x:c>
      <x:c r="Q256" s="8" t="str">
        <x:v>turn1088search28; turn1083search4</x:v>
      </x:c>
    </x:row>
    <x:row r="257" ht="35.25" customHeight="1">
      <x:c r="A257" s="8" t="str">
        <x:v>V7-Se821f6cabd</x:v>
      </x:c>
      <x:c r="B257" s="8" t="str">
        <x:v>Презентация программы - CDTO 2.0 - 26 августа 2021 года - 'Школа управления СКОЛКОВО'</x:v>
      </x:c>
      <x:c r="C257" s="8" t="str">
        <x:v>Руководители функций</x:v>
      </x:c>
      <x:c r="D257" s="8" t="str">
        <x:v>Найден профессиональный/образовательный контекст. Покупательские запросы и возможность сбора еще не проверены.</x:v>
      </x:c>
      <x:c r="E257" s="8" t="str">
        <x:v>RU</x:v>
      </x:c>
      <x:c r="F257" s="8" t="str">
        <x:v>Сайт</x:v>
      </x:c>
      <x:c r="G257" s="8" t="str">
        <x:v>unverified_candidate</x:v>
      </x:c>
      <x:c r="H257" s="8" t="str">
        <x:v>Не проверен</x:v>
      </x:c>
      <x:c r="I257" s="8" t="str">
        <x:v>Не установлено</x:v>
      </x:c>
      <x:c r="J257" s="8" t="str">
        <x:v>Только контекст поиска</x:v>
      </x:c>
      <x:c r="K257" s="8" t="str">
        <x:v>Не установлено</x:v>
      </x:c>
      <x:c r="L257" s="8" t="str">
        <x:v>Не установлено</x:v>
      </x:c>
      <x:c r="M257" s="8" t="str">
        <x:v>Новый ключ источника</x:v>
      </x:c>
      <x:c r="N257" s="8" t="str">
        <x:v>Не установлено</x:v>
      </x:c>
      <x:c r="O257" s="8"/>
      <x:c r="P257" s="8" t="str">
        <x:v>https://www.skolkovo.ru/events/26082021-cdto-2-0/</x:v>
      </x:c>
      <x:c r="Q257" s="8" t="str">
        <x:v>turn1083search2</x:v>
      </x:c>
    </x:row>
    <x:row r="258" ht="35.25" customHeight="1">
      <x:c r="A258" s="8" t="str">
        <x:v>V7-S01b22dc402</x:v>
      </x:c>
      <x:c r="B258" s="8" t="str">
        <x:v>Гид: лучшие чаты по бизнесу в Telegram и WhatsApp России</x:v>
      </x:c>
      <x:c r="C258" s="8" t="str">
        <x:v>Руководители функций</x:v>
      </x:c>
      <x:c r="D258" s="8" t="str">
        <x:v>Найден профессиональный/образовательный контекст. Покупательские запросы и возможность сбора еще не проверены.</x:v>
      </x:c>
      <x:c r="E258" s="8" t="str">
        <x:v>RU</x:v>
      </x:c>
      <x:c r="F258" s="8" t="str">
        <x:v>Сайт</x:v>
      </x:c>
      <x:c r="G258" s="8" t="str">
        <x:v>unverified_candidate</x:v>
      </x:c>
      <x:c r="H258" s="8" t="str">
        <x:v>Не проверен</x:v>
      </x:c>
      <x:c r="I258" s="8" t="str">
        <x:v>Не установлено</x:v>
      </x:c>
      <x:c r="J258" s="8" t="str">
        <x:v>Только контекст поиска</x:v>
      </x:c>
      <x:c r="K258" s="8" t="str">
        <x:v>Не установлено</x:v>
      </x:c>
      <x:c r="L258" s="8" t="str">
        <x:v>Не установлено</x:v>
      </x:c>
      <x:c r="M258" s="8" t="str">
        <x:v>Новый ключ источника</x:v>
      </x:c>
      <x:c r="N258" s="8" t="str">
        <x:v>Не установлено</x:v>
      </x:c>
      <x:c r="O258" s="8"/>
      <x:c r="P258" s="8" t="str">
        <x:v>https://www.sostav.ru/blogs/281320/71627</x:v>
      </x:c>
      <x:c r="Q258" s="8" t="str">
        <x:v>turn1103search9</x:v>
      </x:c>
    </x:row>
    <x:row r="259" ht="71.25" customHeight="1">
      <x:c r="A259" s="8" t="str">
        <x:v>V7-Sde7880dcab</x:v>
      </x:c>
      <x:c r="B259" s="8" t="str">
        <x:v>Ассоциация основана в 1998 году и объединяет</x:v>
      </x:c>
      <x:c r="C259" s="8" t="str">
        <x:v>Руководители функций</x:v>
      </x:c>
      <x:c r="D259" s="8" t="str">
        <x:v>Найден профессиональный/образовательный контекст. Покупательские запросы и возможность сбора еще не проверены.</x:v>
      </x:c>
      <x:c r="E259" s="8" t="str">
        <x:v>Не установлена</x:v>
      </x:c>
      <x:c r="F259" s="8" t="str">
        <x:v>Сайт</x:v>
      </x:c>
      <x:c r="G259" s="8" t="str">
        <x:v>unverified_candidate</x:v>
      </x:c>
      <x:c r="H259" s="8" t="str">
        <x:v>Не проверен</x:v>
      </x:c>
      <x:c r="I259" s="8" t="str">
        <x:v>Не установлено</x:v>
      </x:c>
      <x:c r="J259" s="8" t="str">
        <x:v>Только контекст поиска</x:v>
      </x:c>
      <x:c r="K259" s="8" t="str">
        <x:v>Не установлено</x:v>
      </x:c>
      <x:c r="L259" s="8" t="str">
        <x:v>Не установлено</x:v>
      </x:c>
      <x:c r="M259" s="8" t="str">
        <x:v>Новый ключ источника</x:v>
      </x:c>
      <x:c r="N259" s="8" t="str">
        <x:v>Не установлено</x:v>
      </x:c>
      <x:c r="O259" s="8"/>
      <x:c r="P259" s="8" t="str">
        <x:v>https://starchunion.com/wp-content/uploads/2022/11/%D0%90%D1%81%D1%81%D0%BE%D1%86%D0%B8%D0%B0%D1%86%D0%B8%D1%8F_%D0%BF%D1%80%D0%B5%D0%B4%D0%BF%D1%80%D0%B8%D1%8F%D1%82%D0%B8%D0%B9_%D0%B3%D0%BB%D1%83%D0%B1%D0%BE%D0%BA%D0%BE%D0%B9_%D0%BF%D0%B5%D1%80%D0%B5%D1%80%D0%B0%D0%B1%D0%BE%D1%82%D0%BA%D0%B8_%D0%B7%D0%B5%D1%80%D0%BD%D0%B0.pdf</x:v>
      </x:c>
      <x:c r="Q259" s="8" t="str">
        <x:v>turn1185search17</x:v>
      </x:c>
    </x:row>
    <x:row r="260" ht="35.25" customHeight="1">
      <x:c r="A260" s="8" t="str">
        <x:v>V7-Se8ff14cd59</x:v>
      </x:c>
      <x:c r="B260" s="8" t="str">
        <x:v>Направления обучения в Академии АйТи | Лаборатория цифровой трансформации</x:v>
      </x:c>
      <x:c r="C260" s="8" t="str">
        <x:v>Руководители функций</x:v>
      </x:c>
      <x:c r="D260" s="8" t="str">
        <x:v>Найден профессиональный/образовательный контекст. Покупательские запросы и возможность сбора еще не проверены.</x:v>
      </x:c>
      <x:c r="E260" s="8" t="str">
        <x:v>RU</x:v>
      </x:c>
      <x:c r="F260" s="8" t="str">
        <x:v>Сайт</x:v>
      </x:c>
      <x:c r="G260" s="8" t="str">
        <x:v>unverified_candidate</x:v>
      </x:c>
      <x:c r="H260" s="8" t="str">
        <x:v>Не проверен</x:v>
      </x:c>
      <x:c r="I260" s="8" t="str">
        <x:v>Не установлено</x:v>
      </x:c>
      <x:c r="J260" s="8" t="str">
        <x:v>Только контекст поиска</x:v>
      </x:c>
      <x:c r="K260" s="8" t="str">
        <x:v>Не установлено</x:v>
      </x:c>
      <x:c r="L260" s="8" t="str">
        <x:v>Не установлено</x:v>
      </x:c>
      <x:c r="M260" s="8" t="str">
        <x:v>Новый ключ источника</x:v>
      </x:c>
      <x:c r="N260" s="8" t="str">
        <x:v>Не установлено</x:v>
      </x:c>
      <x:c r="O260" s="8"/>
      <x:c r="P260" s="8" t="str">
        <x:v>https://club.academyit.ru/courses/fields/cio/</x:v>
      </x:c>
      <x:c r="Q260" s="8" t="str">
        <x:v>turn1083search1</x:v>
      </x:c>
    </x:row>
    <x:row r="261" ht="47.25" customHeight="1">
      <x:c r="A261" s="8" t="str">
        <x:v>V7-S831cf2d52a</x:v>
      </x:c>
      <x:c r="B261" s="8" t="str">
        <x:v>Курс повышения квалификации Директор по качеству: операционное управление и инструменты снижения потерь</x:v>
      </x:c>
      <x:c r="C261" s="8" t="str">
        <x:v>Руководители функций</x:v>
      </x:c>
      <x:c r="D261" s="8" t="str">
        <x:v>Найден профессиональный/образовательный контекст. Покупательские запросы и возможность сбора еще не проверены.</x:v>
      </x:c>
      <x:c r="E261" s="8" t="str">
        <x:v>RU</x:v>
      </x:c>
      <x:c r="F261" s="8" t="str">
        <x:v>Сайт</x:v>
      </x:c>
      <x:c r="G261" s="8" t="str">
        <x:v>unverified_candidate</x:v>
      </x:c>
      <x:c r="H261" s="8" t="str">
        <x:v>Не проверен</x:v>
      </x:c>
      <x:c r="I261" s="8" t="str">
        <x:v>Не установлено</x:v>
      </x:c>
      <x:c r="J261" s="8" t="str">
        <x:v>Только контекст поиска</x:v>
      </x:c>
      <x:c r="K261" s="8" t="str">
        <x:v>Не установлено</x:v>
      </x:c>
      <x:c r="L261" s="8" t="str">
        <x:v>Не установлено</x:v>
      </x:c>
      <x:c r="M261" s="8" t="str">
        <x:v>Новый ключ источника</x:v>
      </x:c>
      <x:c r="N261" s="8" t="str">
        <x:v>Не установлено</x:v>
      </x:c>
      <x:c r="O261" s="8"/>
      <x:c r="P261" s="8" t="str">
        <x:v>https://www.cntiprogress.ru/seminarsforcolumn/74400.aspx</x:v>
      </x:c>
      <x:c r="Q261" s="8" t="str">
        <x:v>turn1088search5; turn1088search8; turn1088search9; turn1088search12; turn1088search16; turn1088search21</x:v>
      </x:c>
    </x:row>
    <x:row r="262" ht="35.25" customHeight="1">
      <x:c r="A262" s="8" t="str">
        <x:v>V7-S472c5ccc07</x:v>
      </x:c>
      <x:c r="B262" s="8" t="str">
        <x:v>Курсы логиста диспетчера грузоперевозок онлайн в МШП</x:v>
      </x:c>
      <x:c r="C262" s="8" t="str">
        <x:v>Руководители функций</x:v>
      </x:c>
      <x:c r="D262" s="8" t="str">
        <x:v>Найден профессиональный/образовательный контекст. Покупательские запросы и возможность сбора еще не проверены.</x:v>
      </x:c>
      <x:c r="E262" s="8" t="str">
        <x:v>BY</x:v>
      </x:c>
      <x:c r="F262" s="8" t="str">
        <x:v>Сайт</x:v>
      </x:c>
      <x:c r="G262" s="8" t="str">
        <x:v>unverified_candidate</x:v>
      </x:c>
      <x:c r="H262" s="8" t="str">
        <x:v>Не проверен</x:v>
      </x:c>
      <x:c r="I262" s="8" t="str">
        <x:v>Не установлено</x:v>
      </x:c>
      <x:c r="J262" s="8" t="str">
        <x:v>Только контекст поиска</x:v>
      </x:c>
      <x:c r="K262" s="8" t="str">
        <x:v>Не установлено</x:v>
      </x:c>
      <x:c r="L262" s="8" t="str">
        <x:v>Не установлено</x:v>
      </x:c>
      <x:c r="M262" s="8" t="str">
        <x:v>Новый ключ источника</x:v>
      </x:c>
      <x:c r="N262" s="8" t="str">
        <x:v>Не установлено</x:v>
      </x:c>
      <x:c r="O262" s="8"/>
      <x:c r="P262" s="8" t="str">
        <x:v>https://online.spbsot.by/business_school/transport-logistics-web</x:v>
      </x:c>
      <x:c r="Q262" s="8" t="str">
        <x:v>turn1083search25</x:v>
      </x:c>
    </x:row>
    <x:row r="263" ht="35.25" customHeight="1">
      <x:c r="A263" s="8" t="str">
        <x:v>V7-Sfa01cd5acb</x:v>
      </x:c>
      <x:c r="B263" s="8" t="str">
        <x:v>E-Learning - Тема «Новости от группы НЭО»</x:v>
      </x:c>
      <x:c r="C263" s="8" t="str">
        <x:v>Отраслевые объединения</x:v>
      </x:c>
      <x:c r="D263" s="8" t="str">
        <x:v>Найден профессиональный/образовательный контекст. Покупательские запросы и возможность сбора еще не проверены.</x:v>
      </x:c>
      <x:c r="E263" s="8" t="str">
        <x:v>BY</x:v>
      </x:c>
      <x:c r="F263" s="8" t="str">
        <x:v>Сайт</x:v>
      </x:c>
      <x:c r="G263" s="8" t="str">
        <x:v>unverified_candidate</x:v>
      </x:c>
      <x:c r="H263" s="8" t="str">
        <x:v>Не проверен</x:v>
      </x:c>
      <x:c r="I263" s="8" t="str">
        <x:v>Не установлено</x:v>
      </x:c>
      <x:c r="J263" s="8" t="str">
        <x:v>Только контекст поиска</x:v>
      </x:c>
      <x:c r="K263" s="8" t="str">
        <x:v>Не установлено</x:v>
      </x:c>
      <x:c r="L263" s="8" t="str">
        <x:v>Не установлено</x:v>
      </x:c>
      <x:c r="M263" s="8" t="str">
        <x:v>Новый ключ источника</x:v>
      </x:c>
      <x:c r="N263" s="8" t="str">
        <x:v>Не установлено</x:v>
      </x:c>
      <x:c r="O263" s="8"/>
      <x:c r="P263" s="8" t="str">
        <x:v>https://www.e-learning.by/ForumTheme/Novosti-ot-gruppy-NEO-110311/ELearning.html</x:v>
      </x:c>
      <x:c r="Q263" s="8" t="str">
        <x:v>turn1263search6</x:v>
      </x:c>
    </x:row>
    <x:row r="264" ht="35.25" customHeight="1">
      <x:c r="A264" s="8" t="str">
        <x:v>V7-S0da1acef28</x:v>
      </x:c>
      <x:c r="B264" s="8" t="str">
        <x:v>Ежегодный семинар «Станкостроение и металлообработка — 2026» – Союз Машиностроителей России</x:v>
      </x:c>
      <x:c r="C264" s="8" t="str">
        <x:v>Отраслевые объединения</x:v>
      </x:c>
      <x:c r="D264" s="8" t="str">
        <x:v>Найден профессиональный/образовательный контекст. Покупательские запросы и возможность сбора еще не проверены.</x:v>
      </x:c>
      <x:c r="E264" s="8" t="str">
        <x:v>RU</x:v>
      </x:c>
      <x:c r="F264" s="8" t="str">
        <x:v>Сайт</x:v>
      </x:c>
      <x:c r="G264" s="8" t="str">
        <x:v>unverified_candidate</x:v>
      </x:c>
      <x:c r="H264" s="8" t="str">
        <x:v>Не проверен</x:v>
      </x:c>
      <x:c r="I264" s="8" t="str">
        <x:v>Не установлено</x:v>
      </x:c>
      <x:c r="J264" s="8" t="str">
        <x:v>Только контекст поиска</x:v>
      </x:c>
      <x:c r="K264" s="8" t="str">
        <x:v>Не установлено</x:v>
      </x:c>
      <x:c r="L264" s="8" t="str">
        <x:v>Не установлено</x:v>
      </x:c>
      <x:c r="M264" s="8" t="str">
        <x:v>Новый ключ источника</x:v>
      </x:c>
      <x:c r="N264" s="8" t="str">
        <x:v>Не установлено</x:v>
      </x:c>
      <x:c r="O264" s="8"/>
      <x:c r="P264" s="8" t="str">
        <x:v>https://smr-rostov.ru/51555-2/</x:v>
      </x:c>
      <x:c r="Q264" s="8" t="str">
        <x:v>turn1086search5</x:v>
      </x:c>
    </x:row>
    <x:row r="265" ht="35.25" customHeight="1">
      <x:c r="A265" s="8" t="str">
        <x:v>V7-S705c8e091e</x:v>
      </x:c>
      <x:c r="B265" s="8" t="str">
        <x:v>Ассоциации России — каталог отраслевых союзов и объединений | Associum</x:v>
      </x:c>
      <x:c r="C265" s="8" t="str">
        <x:v>Отраслевые объединения</x:v>
      </x:c>
      <x:c r="D265" s="8" t="str">
        <x:v>Найден профессиональный/образовательный контекст. Покупательские запросы и возможность сбора еще не проверены.</x:v>
      </x:c>
      <x:c r="E265" s="8" t="str">
        <x:v>RU</x:v>
      </x:c>
      <x:c r="F265" s="8" t="str">
        <x:v>Сайт</x:v>
      </x:c>
      <x:c r="G265" s="8" t="str">
        <x:v>unverified_candidate</x:v>
      </x:c>
      <x:c r="H265" s="8" t="str">
        <x:v>Не проверен</x:v>
      </x:c>
      <x:c r="I265" s="8" t="str">
        <x:v>Не установлено</x:v>
      </x:c>
      <x:c r="J265" s="8" t="str">
        <x:v>Только контекст поиска</x:v>
      </x:c>
      <x:c r="K265" s="8" t="str">
        <x:v>Не установлено</x:v>
      </x:c>
      <x:c r="L265" s="8" t="str">
        <x:v>Не установлено</x:v>
      </x:c>
      <x:c r="M265" s="8" t="str">
        <x:v>Новый ключ источника</x:v>
      </x:c>
      <x:c r="N265" s="8" t="str">
        <x:v>Не установлено</x:v>
      </x:c>
      <x:c r="O265" s="8"/>
      <x:c r="P265" s="8" t="str">
        <x:v>https://associum.ru/</x:v>
      </x:c>
      <x:c r="Q265" s="8" t="str">
        <x:v>turn1086search16; turn1185search10</x:v>
      </x:c>
    </x:row>
    <x:row r="266" ht="35.25" customHeight="1">
      <x:c r="A266" s="8" t="str">
        <x:v>V7-S1959fdb17e</x:v>
      </x:c>
      <x:c r="B266" s="8" t="str">
        <x:v>СоюзФарма</x:v>
      </x:c>
      <x:c r="C266" s="8" t="str">
        <x:v>Отраслевые объединения</x:v>
      </x:c>
      <x:c r="D266" s="8" t="str">
        <x:v>Найден профессиональный/образовательный контекст. Покупательские запросы и возможность сбора еще не проверены.</x:v>
      </x:c>
      <x:c r="E266" s="8" t="str">
        <x:v>RU</x:v>
      </x:c>
      <x:c r="F266" s="8" t="str">
        <x:v>Сайт</x:v>
      </x:c>
      <x:c r="G266" s="8" t="str">
        <x:v>unverified_candidate</x:v>
      </x:c>
      <x:c r="H266" s="8" t="str">
        <x:v>Не проверен</x:v>
      </x:c>
      <x:c r="I266" s="8" t="str">
        <x:v>Не установлено</x:v>
      </x:c>
      <x:c r="J266" s="8" t="str">
        <x:v>Только контекст поиска</x:v>
      </x:c>
      <x:c r="K266" s="8" t="str">
        <x:v>Не установлено</x:v>
      </x:c>
      <x:c r="L266" s="8" t="str">
        <x:v>Не установлено</x:v>
      </x:c>
      <x:c r="M266" s="8" t="str">
        <x:v>Новый ключ источника</x:v>
      </x:c>
      <x:c r="N266" s="8" t="str">
        <x:v>Не установлено</x:v>
      </x:c>
      <x:c r="O266" s="8"/>
      <x:c r="P266" s="8" t="str">
        <x:v>https://edu.sojuzpharma.ru/</x:v>
      </x:c>
      <x:c r="Q266" s="8" t="str">
        <x:v>turn1086search13</x:v>
      </x:c>
    </x:row>
    <x:row r="267" ht="35.25" customHeight="1">
      <x:c r="A267" s="8" t="str">
        <x:v>V7-S6af6c88340</x:v>
      </x:c>
      <x:c r="B267" s="8" t="str">
        <x:v>Ассоциация рекрутинговых агентств (АРА) / TimePad.ru</x:v>
      </x:c>
      <x:c r="C267" s="8" t="str">
        <x:v>Отраслевые объединения</x:v>
      </x:c>
      <x:c r="D267" s="8" t="str">
        <x:v>Найден профессиональный/образовательный контекст. Покупательские запросы и возможность сбора еще не проверены.</x:v>
      </x:c>
      <x:c r="E267" s="8" t="str">
        <x:v>RU</x:v>
      </x:c>
      <x:c r="F267" s="8" t="str">
        <x:v>Сайт</x:v>
      </x:c>
      <x:c r="G267" s="8" t="str">
        <x:v>unverified_candidate</x:v>
      </x:c>
      <x:c r="H267" s="8" t="str">
        <x:v>Не проверен</x:v>
      </x:c>
      <x:c r="I267" s="8" t="str">
        <x:v>Не установлено</x:v>
      </x:c>
      <x:c r="J267" s="8" t="str">
        <x:v>Только контекст поиска</x:v>
      </x:c>
      <x:c r="K267" s="8" t="str">
        <x:v>Не установлено</x:v>
      </x:c>
      <x:c r="L267" s="8" t="str">
        <x:v>Не установлено</x:v>
      </x:c>
      <x:c r="M267" s="8" t="str">
        <x:v>Новый ключ источника</x:v>
      </x:c>
      <x:c r="N267" s="8" t="str">
        <x:v>Не установлено</x:v>
      </x:c>
      <x:c r="O267" s="8"/>
      <x:c r="P267" s="8" t="str">
        <x:v>https://ibchr.timepad.ru/events/</x:v>
      </x:c>
      <x:c r="Q267" s="8" t="str">
        <x:v>turn1108search29</x:v>
      </x:c>
    </x:row>
    <x:row r="268" ht="47.25" customHeight="1">
      <x:c r="A268" s="8" t="str">
        <x:v>V7-Sf4625e08dd</x:v>
      </x:c>
      <x:c r="B268" s="8" t="str">
        <x:v>НАУЧНО-ПРАКТИЧЕСКАЯ КОНФЕРЕНЦИЯ «РОССИЯ — БЕЛАРУСЬ:»</x:v>
      </x:c>
      <x:c r="C268" s="8" t="str">
        <x:v>Отраслевые объединения</x:v>
      </x:c>
      <x:c r="D268" s="8" t="str">
        <x:v>Найден профессиональный/образовательный контекст. Покупательские запросы и возможность сбора еще не проверены.</x:v>
      </x:c>
      <x:c r="E268" s="8" t="str">
        <x:v>RU</x:v>
      </x:c>
      <x:c r="F268" s="8" t="str">
        <x:v>Сайт</x:v>
      </x:c>
      <x:c r="G268" s="8" t="str">
        <x:v>unverified_candidate</x:v>
      </x:c>
      <x:c r="H268" s="8" t="str">
        <x:v>Не проверен</x:v>
      </x:c>
      <x:c r="I268" s="8" t="str">
        <x:v>Не установлено</x:v>
      </x:c>
      <x:c r="J268" s="8" t="str">
        <x:v>Только контекст поиска</x:v>
      </x:c>
      <x:c r="K268" s="8" t="str">
        <x:v>Не установлено</x:v>
      </x:c>
      <x:c r="L268" s="8" t="str">
        <x:v>Не установлено</x:v>
      </x:c>
      <x:c r="M268" s="8" t="str">
        <x:v>Новый ключ источника</x:v>
      </x:c>
      <x:c r="N268" s="8" t="str">
        <x:v>Не установлено</x:v>
      </x:c>
      <x:c r="O268" s="8"/>
      <x:c r="P268" s="8" t="str">
        <x:v>https://nicrus.ru/wp-content/uploads/2025/12/%D0%A0%D0%BE%D1%81%D1%81%D0%B8%D1%8F-%D0%91%D0%B5%D0%BB%D0%B0%D1%80%D1%83%D1%81%D1%8C.-%D0%A1%D0%B1%D0%BE%D1%80%D0%BD%D0%B8%D0%BA-%D0%9D%D0%98%D0%98%D0%A0%D0%9A.pdf</x:v>
      </x:c>
      <x:c r="Q268" s="8" t="str">
        <x:v>turn1215search18</x:v>
      </x:c>
    </x:row>
    <x:row r="269" ht="47.25" customHeight="1">
      <x:c r="A269" s="8" t="str">
        <x:v>V7-S1aeca578dc</x:v>
      </x:c>
      <x:c r="B269" s="8" t="str">
        <x:v>Ассоциация директоров по коммуникациям и корпоративным медиа России на PublisherNews.Ru</x:v>
      </x:c>
      <x:c r="C269" s="8" t="str">
        <x:v>Отраслевые объединения</x:v>
      </x:c>
      <x:c r="D269" s="8" t="str">
        <x:v>Найден профессиональный/образовательный контекст. Покупательские запросы и возможность сбора еще не проверены.</x:v>
      </x:c>
      <x:c r="E269" s="8" t="str">
        <x:v>RU</x:v>
      </x:c>
      <x:c r="F269" s="8" t="str">
        <x:v>Сайт</x:v>
      </x:c>
      <x:c r="G269" s="8" t="str">
        <x:v>unverified_candidate</x:v>
      </x:c>
      <x:c r="H269" s="8" t="str">
        <x:v>Не проверен</x:v>
      </x:c>
      <x:c r="I269" s="8" t="str">
        <x:v>Не установлено</x:v>
      </x:c>
      <x:c r="J269" s="8" t="str">
        <x:v>Только контекст поиска</x:v>
      </x:c>
      <x:c r="K269" s="8" t="str">
        <x:v>Не установлено</x:v>
      </x:c>
      <x:c r="L269" s="8" t="str">
        <x:v>Не установлено</x:v>
      </x:c>
      <x:c r="M269" s="8" t="str">
        <x:v>Новый ключ источника</x:v>
      </x:c>
      <x:c r="N269" s="8" t="str">
        <x:v>Не установлено</x:v>
      </x:c>
      <x:c r="O269" s="8"/>
      <x:c r="P269" s="8" t="str">
        <x:v>https://publishernews.ru/akmr_ThemeID_357_ThemeID_6_ThemeID_927_ThemeID_1250_ThemeID_170_ThemeID_128_ThemeID_210_ThemeID_539_cpage_2_ThemeID_362_ThemeID_157_ThemeID_256_ThemeID_98.html?TypeID=6</x:v>
      </x:c>
      <x:c r="Q269" s="8" t="str">
        <x:v>turn1108search25</x:v>
      </x:c>
    </x:row>
    <x:row r="270" ht="35.25" customHeight="1">
      <x:c r="A270" s="8" t="str">
        <x:v>V7-S9e304ba0cf</x:v>
      </x:c>
      <x:c r="B270" s="8" t="str">
        <x:v>Курс «Маркетинг и продажи в загородных отелях» - Ассоциация загородных отелей</x:v>
      </x:c>
      <x:c r="C270" s="8" t="str">
        <x:v>Отраслевые объединения</x:v>
      </x:c>
      <x:c r="D270" s="8" t="str">
        <x:v>Найден профессиональный/образовательный контекст. Покупательские запросы и возможность сбора еще не проверены.</x:v>
      </x:c>
      <x:c r="E270" s="8" t="str">
        <x:v>Не установлена</x:v>
      </x:c>
      <x:c r="F270" s="8" t="str">
        <x:v>Сайт</x:v>
      </x:c>
      <x:c r="G270" s="8" t="str">
        <x:v>unverified_candidate</x:v>
      </x:c>
      <x:c r="H270" s="8" t="str">
        <x:v>Не проверен</x:v>
      </x:c>
      <x:c r="I270" s="8" t="str">
        <x:v>Не установлено</x:v>
      </x:c>
      <x:c r="J270" s="8" t="str">
        <x:v>Только контекст поиска</x:v>
      </x:c>
      <x:c r="K270" s="8" t="str">
        <x:v>Не установлено</x:v>
      </x:c>
      <x:c r="L270" s="8" t="str">
        <x:v>Не установлено</x:v>
      </x:c>
      <x:c r="M270" s="8" t="str">
        <x:v>Новый ключ источника</x:v>
      </x:c>
      <x:c r="N270" s="8" t="str">
        <x:v>Не установлено</x:v>
      </x:c>
      <x:c r="O270" s="8"/>
      <x:c r="P270" s="8" t="str">
        <x:v>https://school.azo-hotels.com/marketing</x:v>
      </x:c>
      <x:c r="Q270" s="8" t="str">
        <x:v>turn1085search25</x:v>
      </x:c>
    </x:row>
    <x:row r="271" ht="35.25" customHeight="1">
      <x:c r="A271" s="8" t="str">
        <x:v>V7-S512e3ca668</x:v>
      </x:c>
      <x:c r="B271" s="8" t="str">
        <x:v>Миссия АКАБ - Ассоциация автомобильного бизнеса Казахстана</x:v>
      </x:c>
      <x:c r="C271" s="8" t="str">
        <x:v>Отраслевые объединения</x:v>
      </x:c>
      <x:c r="D271" s="8" t="str">
        <x:v>Найден профессиональный/образовательный контекст. Покупательские запросы и возможность сбора еще не проверены.</x:v>
      </x:c>
      <x:c r="E271" s="8" t="str">
        <x:v>KZ</x:v>
      </x:c>
      <x:c r="F271" s="8" t="str">
        <x:v>Сайт</x:v>
      </x:c>
      <x:c r="G271" s="8" t="str">
        <x:v>unverified_candidate</x:v>
      </x:c>
      <x:c r="H271" s="8" t="str">
        <x:v>Не проверен</x:v>
      </x:c>
      <x:c r="I271" s="8" t="str">
        <x:v>Не установлено</x:v>
      </x:c>
      <x:c r="J271" s="8" t="str">
        <x:v>Только контекст поиска</x:v>
      </x:c>
      <x:c r="K271" s="8" t="str">
        <x:v>Не установлено</x:v>
      </x:c>
      <x:c r="L271" s="8" t="str">
        <x:v>Не установлено</x:v>
      </x:c>
      <x:c r="M271" s="8" t="str">
        <x:v>Новый ключ источника</x:v>
      </x:c>
      <x:c r="N271" s="8" t="str">
        <x:v>Не установлено</x:v>
      </x:c>
      <x:c r="O271" s="8"/>
      <x:c r="P271" s="8" t="str">
        <x:v>https://akab.kz/mission/</x:v>
      </x:c>
      <x:c r="Q271" s="8" t="str">
        <x:v>turn1108search21</x:v>
      </x:c>
    </x:row>
    <x:row r="272" ht="35.25" customHeight="1">
      <x:c r="A272" s="8" t="str">
        <x:v>V7-S914ac3281e</x:v>
      </x:c>
      <x:c r="B272" s="8" t="str">
        <x:v>Ассоциация KazGrow</x:v>
      </x:c>
      <x:c r="C272" s="8" t="str">
        <x:v>Отраслевые объединения</x:v>
      </x:c>
      <x:c r="D272" s="8" t="str">
        <x:v>Найден профессиональный/образовательный контекст. Покупательские запросы и возможность сбора еще не проверены.</x:v>
      </x:c>
      <x:c r="E272" s="8" t="str">
        <x:v>KZ</x:v>
      </x:c>
      <x:c r="F272" s="8" t="str">
        <x:v>Сайт</x:v>
      </x:c>
      <x:c r="G272" s="8" t="str">
        <x:v>unverified_candidate</x:v>
      </x:c>
      <x:c r="H272" s="8" t="str">
        <x:v>Не проверен</x:v>
      </x:c>
      <x:c r="I272" s="8" t="str">
        <x:v>Не установлено</x:v>
      </x:c>
      <x:c r="J272" s="8" t="str">
        <x:v>Только контекст поиска</x:v>
      </x:c>
      <x:c r="K272" s="8" t="str">
        <x:v>Не установлено</x:v>
      </x:c>
      <x:c r="L272" s="8" t="str">
        <x:v>Не установлено</x:v>
      </x:c>
      <x:c r="M272" s="8" t="str">
        <x:v>Новый ключ источника</x:v>
      </x:c>
      <x:c r="N272" s="8" t="str">
        <x:v>Не установлено</x:v>
      </x:c>
      <x:c r="O272" s="8"/>
      <x:c r="P272" s="8" t="str">
        <x:v>https://apesk.kz/</x:v>
      </x:c>
      <x:c r="Q272" s="8" t="str">
        <x:v>turn1085search4</x:v>
      </x:c>
    </x:row>
    <x:row r="273" ht="47.25" customHeight="1">
      <x:c r="A273" s="8" t="str">
        <x:v>V7-S04859f0a72</x:v>
      </x:c>
      <x:c r="B273" s="8" t="str">
        <x:v>АФАП - Саморегулируемая организация Ассоциация Фармацевтических и Аптечных Предприятий Российской Федерации</x:v>
      </x:c>
      <x:c r="C273" s="8" t="str">
        <x:v>Отраслевые объединения</x:v>
      </x:c>
      <x:c r="D273" s="8" t="str">
        <x:v>Найден профессиональный/образовательный контекст. Покупательские запросы и возможность сбора еще не проверены.</x:v>
      </x:c>
      <x:c r="E273" s="8" t="str">
        <x:v>RU</x:v>
      </x:c>
      <x:c r="F273" s="8" t="str">
        <x:v>Сайт</x:v>
      </x:c>
      <x:c r="G273" s="8" t="str">
        <x:v>unverified_candidate</x:v>
      </x:c>
      <x:c r="H273" s="8" t="str">
        <x:v>Не проверен</x:v>
      </x:c>
      <x:c r="I273" s="8" t="str">
        <x:v>Не установлено</x:v>
      </x:c>
      <x:c r="J273" s="8" t="str">
        <x:v>Только контекст поиска</x:v>
      </x:c>
      <x:c r="K273" s="8" t="str">
        <x:v>Не установлено</x:v>
      </x:c>
      <x:c r="L273" s="8" t="str">
        <x:v>Не установлено</x:v>
      </x:c>
      <x:c r="M273" s="8" t="str">
        <x:v>Новый ключ источника</x:v>
      </x:c>
      <x:c r="N273" s="8" t="str">
        <x:v>Не установлено</x:v>
      </x:c>
      <x:c r="O273" s="8"/>
      <x:c r="P273" s="8" t="str">
        <x:v>https://aphap.ru/</x:v>
      </x:c>
      <x:c r="Q273" s="8" t="str">
        <x:v>turn1086search25</x:v>
      </x:c>
    </x:row>
    <x:row r="274" ht="35.25" customHeight="1">
      <x:c r="A274" s="8" t="str">
        <x:v>V7-S08fffd16dc</x:v>
      </x:c>
      <x:c r="B274" s="8" t="str">
        <x:v>Ассоциация «ШАРАПАТ»</x:v>
      </x:c>
      <x:c r="C274" s="8" t="str">
        <x:v>Отраслевые объединения</x:v>
      </x:c>
      <x:c r="D274" s="8" t="str">
        <x:v>Найден профессиональный/образовательный контекст. Покупательские запросы и возможность сбора еще не проверены.</x:v>
      </x:c>
      <x:c r="E274" s="8" t="str">
        <x:v>KZ</x:v>
      </x:c>
      <x:c r="F274" s="8" t="str">
        <x:v>Сайт</x:v>
      </x:c>
      <x:c r="G274" s="8" t="str">
        <x:v>unverified_candidate</x:v>
      </x:c>
      <x:c r="H274" s="8" t="str">
        <x:v>Не проверен</x:v>
      </x:c>
      <x:c r="I274" s="8" t="str">
        <x:v>Не установлено</x:v>
      </x:c>
      <x:c r="J274" s="8" t="str">
        <x:v>Только контекст поиска</x:v>
      </x:c>
      <x:c r="K274" s="8" t="str">
        <x:v>Не установлено</x:v>
      </x:c>
      <x:c r="L274" s="8" t="str">
        <x:v>Не установлено</x:v>
      </x:c>
      <x:c r="M274" s="8" t="str">
        <x:v>Новый ключ источника</x:v>
      </x:c>
      <x:c r="N274" s="8" t="str">
        <x:v>Не установлено</x:v>
      </x:c>
      <x:c r="O274" s="8"/>
      <x:c r="P274" s="8" t="str">
        <x:v>https://asharapat.kz/membership/benefits.php?lang=ru</x:v>
      </x:c>
      <x:c r="Q274" s="8" t="str">
        <x:v>turn1085search19</x:v>
      </x:c>
    </x:row>
    <x:row r="275" ht="35.25" customHeight="1">
      <x:c r="A275" s="8" t="str">
        <x:v>V7-Sc2ad09db7e</x:v>
      </x:c>
      <x:c r="B275" s="8" t="str">
        <x:v>Общее собрание членов - СРО строителей АСО АСС в Москве, ассоциация строительных организаций</x:v>
      </x:c>
      <x:c r="C275" s="8" t="str">
        <x:v>Отраслевые объединения</x:v>
      </x:c>
      <x:c r="D275" s="8" t="str">
        <x:v>Найден профессиональный/образовательный контекст. Покупательские запросы и возможность сбора еще не проверены.</x:v>
      </x:c>
      <x:c r="E275" s="8" t="str">
        <x:v>RU</x:v>
      </x:c>
      <x:c r="F275" s="8" t="str">
        <x:v>Сайт</x:v>
      </x:c>
      <x:c r="G275" s="8" t="str">
        <x:v>unverified_candidate</x:v>
      </x:c>
      <x:c r="H275" s="8" t="str">
        <x:v>Не проверен</x:v>
      </x:c>
      <x:c r="I275" s="8" t="str">
        <x:v>Не установлено</x:v>
      </x:c>
      <x:c r="J275" s="8" t="str">
        <x:v>Только контекст поиска</x:v>
      </x:c>
      <x:c r="K275" s="8" t="str">
        <x:v>Не установлено</x:v>
      </x:c>
      <x:c r="L275" s="8" t="str">
        <x:v>Не установлено</x:v>
      </x:c>
      <x:c r="M275" s="8" t="str">
        <x:v>Новый ключ источника</x:v>
      </x:c>
      <x:c r="N275" s="8" t="str">
        <x:v>Не установлено</x:v>
      </x:c>
      <x:c r="O275" s="8"/>
      <x:c r="P275" s="8" t="str">
        <x:v>https://aso-abc.ru/struktura/obshhee-sobranie-chlenov</x:v>
      </x:c>
      <x:c r="Q275" s="8" t="str">
        <x:v>turn1086search24</x:v>
      </x:c>
    </x:row>
    <x:row r="276" ht="35.25" customHeight="1">
      <x:c r="A276" s="8" t="str">
        <x:v>V7-S135c92cec6</x:v>
      </x:c>
      <x:c r="B276" s="8" t="str">
        <x:v>БелАИК – Белорусская ассоциация инженеров-консультантов</x:v>
      </x:c>
      <x:c r="C276" s="8" t="str">
        <x:v>Отраслевые объединения</x:v>
      </x:c>
      <x:c r="D276" s="8" t="str">
        <x:v>Найден профессиональный/образовательный контекст. Покупательские запросы и возможность сбора еще не проверены.</x:v>
      </x:c>
      <x:c r="E276" s="8" t="str">
        <x:v>BY</x:v>
      </x:c>
      <x:c r="F276" s="8" t="str">
        <x:v>Сайт</x:v>
      </x:c>
      <x:c r="G276" s="8" t="str">
        <x:v>unverified_candidate</x:v>
      </x:c>
      <x:c r="H276" s="8" t="str">
        <x:v>Не проверен</x:v>
      </x:c>
      <x:c r="I276" s="8" t="str">
        <x:v>Не установлено</x:v>
      </x:c>
      <x:c r="J276" s="8" t="str">
        <x:v>Только контекст поиска</x:v>
      </x:c>
      <x:c r="K276" s="8" t="str">
        <x:v>Не установлено</x:v>
      </x:c>
      <x:c r="L276" s="8" t="str">
        <x:v>Не установлено</x:v>
      </x:c>
      <x:c r="M276" s="8" t="str">
        <x:v>Новый ключ источника</x:v>
      </x:c>
      <x:c r="N276" s="8" t="str">
        <x:v>Не установлено</x:v>
      </x:c>
      <x:c r="O276" s="8"/>
      <x:c r="P276" s="8" t="str">
        <x:v>https://belaik.by/ru/</x:v>
      </x:c>
      <x:c r="Q276" s="8" t="str">
        <x:v>turn1215search10</x:v>
      </x:c>
    </x:row>
    <x:row r="277" ht="35.25" customHeight="1">
      <x:c r="A277" s="8" t="str">
        <x:v>V7-Se4d4700d96</x:v>
      </x:c>
      <x:c r="B277" s="8" t="str">
        <x:v>Ассоциация Франчайзеров и Франчайзи "Белфранчайзинг"</x:v>
      </x:c>
      <x:c r="C277" s="8" t="str">
        <x:v>Отраслевые объединения</x:v>
      </x:c>
      <x:c r="D277" s="8" t="str">
        <x:v>Найден профессиональный/образовательный контекст. Покупательские запросы и возможность сбора еще не проверены.</x:v>
      </x:c>
      <x:c r="E277" s="8" t="str">
        <x:v>BY</x:v>
      </x:c>
      <x:c r="F277" s="8" t="str">
        <x:v>Сайт</x:v>
      </x:c>
      <x:c r="G277" s="8" t="str">
        <x:v>unverified_candidate</x:v>
      </x:c>
      <x:c r="H277" s="8" t="str">
        <x:v>Не проверен</x:v>
      </x:c>
      <x:c r="I277" s="8" t="str">
        <x:v>Не установлено</x:v>
      </x:c>
      <x:c r="J277" s="8" t="str">
        <x:v>Только контекст поиска</x:v>
      </x:c>
      <x:c r="K277" s="8" t="str">
        <x:v>Не установлено</x:v>
      </x:c>
      <x:c r="L277" s="8" t="str">
        <x:v>Не установлено</x:v>
      </x:c>
      <x:c r="M277" s="8" t="str">
        <x:v>Новый ключ источника</x:v>
      </x:c>
      <x:c r="N277" s="8" t="str">
        <x:v>Не установлено</x:v>
      </x:c>
      <x:c r="O277" s="8"/>
      <x:c r="P277" s="8" t="str">
        <x:v>https://belfranchising.by/</x:v>
      </x:c>
      <x:c r="Q277" s="8" t="str">
        <x:v>turn1215search2</x:v>
      </x:c>
    </x:row>
    <x:row r="278" ht="35.25" customHeight="1">
      <x:c r="A278" s="8" t="str">
        <x:v>V7-S1f8ee1938e</x:v>
      </x:c>
      <x:c r="B278" s="8" t="str">
        <x:v>Газета Союза юридических лиц</x:v>
      </x:c>
      <x:c r="C278" s="8" t="str">
        <x:v>Отраслевые объединения</x:v>
      </x:c>
      <x:c r="D278" s="8" t="str">
        <x:v>Найден профессиональный/образовательный контекст. Покупательские запросы и возможность сбора еще не проверены.</x:v>
      </x:c>
      <x:c r="E278" s="8" t="str">
        <x:v>BY</x:v>
      </x:c>
      <x:c r="F278" s="8" t="str">
        <x:v>Сайт</x:v>
      </x:c>
      <x:c r="G278" s="8" t="str">
        <x:v>unverified_candidate</x:v>
      </x:c>
      <x:c r="H278" s="8" t="str">
        <x:v>Не проверен</x:v>
      </x:c>
      <x:c r="I278" s="8" t="str">
        <x:v>Не установлено</x:v>
      </x:c>
      <x:c r="J278" s="8" t="str">
        <x:v>Только контекст поиска</x:v>
      </x:c>
      <x:c r="K278" s="8" t="str">
        <x:v>Не установлено</x:v>
      </x:c>
      <x:c r="L278" s="8" t="str">
        <x:v>Не установлено</x:v>
      </x:c>
      <x:c r="M278" s="8" t="str">
        <x:v>Новый ключ источника</x:v>
      </x:c>
      <x:c r="N278" s="8" t="str">
        <x:v>Не установлено</x:v>
      </x:c>
      <x:c r="O278" s="8"/>
      <x:c r="P278" s="8" t="str">
        <x:v>https://www.blz.by/files/351/221/h_2b5d9739871fe85564233c853ddf461f</x:v>
      </x:c>
      <x:c r="Q278" s="8" t="str">
        <x:v>turn1108search37; turn1263search16</x:v>
      </x:c>
    </x:row>
    <x:row r="279" ht="35.25" customHeight="1">
      <x:c r="A279" s="8" t="str">
        <x:v>V7-Sd618dcc2c1</x:v>
      </x:c>
      <x:c r="B279" s="8" t="str">
        <x:v>Программа Форума</x:v>
      </x:c>
      <x:c r="C279" s="8" t="str">
        <x:v>Отраслевые объединения</x:v>
      </x:c>
      <x:c r="D279" s="8" t="str">
        <x:v>Найден профессиональный/образовательный контекст. Покупательские запросы и возможность сбора еще не проверены.</x:v>
      </x:c>
      <x:c r="E279" s="8" t="str">
        <x:v>RU</x:v>
      </x:c>
      <x:c r="F279" s="8" t="str">
        <x:v>Сайт</x:v>
      </x:c>
      <x:c r="G279" s="8" t="str">
        <x:v>unverified_candidate</x:v>
      </x:c>
      <x:c r="H279" s="8" t="str">
        <x:v>Не проверен</x:v>
      </x:c>
      <x:c r="I279" s="8" t="str">
        <x:v>Не установлено</x:v>
      </x:c>
      <x:c r="J279" s="8" t="str">
        <x:v>Только контекст поиска</x:v>
      </x:c>
      <x:c r="K279" s="8" t="str">
        <x:v>Не установлено</x:v>
      </x:c>
      <x:c r="L279" s="8" t="str">
        <x:v>Не установлено</x:v>
      </x:c>
      <x:c r="M279" s="8" t="str">
        <x:v>Новый ключ источника</x:v>
      </x:c>
      <x:c r="N279" s="8" t="str">
        <x:v>Не установлено</x:v>
      </x:c>
      <x:c r="O279" s="8"/>
      <x:c r="P279" s="8" t="str">
        <x:v>https://cdn.forum-spb.ru/upload/uf/71d/gdhcgvnpdqa8ggarltjy4xychjgdaael.pdf?1718101630222955=</x:v>
      </x:c>
      <x:c r="Q279" s="8" t="str">
        <x:v>turn1086search37</x:v>
      </x:c>
    </x:row>
    <x:row r="280" ht="35.25" customHeight="1">
      <x:c r="A280" s="8" t="str">
        <x:v>V7-S1cbe2e8a40</x:v>
      </x:c>
      <x:c r="B280" s="8" t="str">
        <x:v>Мероприятия для членов Ассоциации в 2025 году | Ассоциация «СРО «ЭНЕРГОАУДИТ»</x:v>
      </x:c>
      <x:c r="C280" s="8" t="str">
        <x:v>Отраслевые объединения</x:v>
      </x:c>
      <x:c r="D280" s="8" t="str">
        <x:v>Найден профессиональный/образовательный контекст. Покупательские запросы и возможность сбора еще не проверены.</x:v>
      </x:c>
      <x:c r="E280" s="8" t="str">
        <x:v>RU</x:v>
      </x:c>
      <x:c r="F280" s="8" t="str">
        <x:v>Сайт</x:v>
      </x:c>
      <x:c r="G280" s="8" t="str">
        <x:v>unverified_candidate</x:v>
      </x:c>
      <x:c r="H280" s="8" t="str">
        <x:v>Не проверен</x:v>
      </x:c>
      <x:c r="I280" s="8" t="str">
        <x:v>Не установлено</x:v>
      </x:c>
      <x:c r="J280" s="8" t="str">
        <x:v>Только контекст поиска</x:v>
      </x:c>
      <x:c r="K280" s="8" t="str">
        <x:v>Не установлено</x:v>
      </x:c>
      <x:c r="L280" s="8" t="str">
        <x:v>Не установлено</x:v>
      </x:c>
      <x:c r="M280" s="8" t="str">
        <x:v>Новый ключ источника</x:v>
      </x:c>
      <x:c r="N280" s="8" t="str">
        <x:v>Не установлено</x:v>
      </x:c>
      <x:c r="O280" s="8"/>
      <x:c r="P280" s="8" t="str">
        <x:v>https://www.ea-sro.ru/seminars</x:v>
      </x:c>
      <x:c r="Q280" s="8" t="str">
        <x:v>turn1086search8</x:v>
      </x:c>
    </x:row>
    <x:row r="281" ht="35.25" customHeight="1">
      <x:c r="A281" s="8" t="str">
        <x:v>V7-S8897fba786</x:v>
      </x:c>
      <x:c r="B281" s="8" t="str">
        <x:v>Обучение | СРО СВЗ</x:v>
      </x:c>
      <x:c r="C281" s="8" t="str">
        <x:v>Отраслевые объединения</x:v>
      </x:c>
      <x:c r="D281" s="8" t="str">
        <x:v>Найден профессиональный/образовательный контекст. Покупательские запросы и возможность сбора еще не проверены.</x:v>
      </x:c>
      <x:c r="E281" s="8" t="str">
        <x:v>RU</x:v>
      </x:c>
      <x:c r="F281" s="8" t="str">
        <x:v>Сайт</x:v>
      </x:c>
      <x:c r="G281" s="8" t="str">
        <x:v>unverified_candidate</x:v>
      </x:c>
      <x:c r="H281" s="8" t="str">
        <x:v>Не проверен</x:v>
      </x:c>
      <x:c r="I281" s="8" t="str">
        <x:v>Не установлено</x:v>
      </x:c>
      <x:c r="J281" s="8" t="str">
        <x:v>Только контекст поиска</x:v>
      </x:c>
      <x:c r="K281" s="8" t="str">
        <x:v>Не установлено</x:v>
      </x:c>
      <x:c r="L281" s="8" t="str">
        <x:v>Не установлено</x:v>
      </x:c>
      <x:c r="M281" s="8" t="str">
        <x:v>Новый ключ источника</x:v>
      </x:c>
      <x:c r="N281" s="8" t="str">
        <x:v>Не установлено</x:v>
      </x:c>
      <x:c r="O281" s="8"/>
      <x:c r="P281" s="8" t="str">
        <x:v>https://www.expo-union.ru/ru/obuchenie</x:v>
      </x:c>
      <x:c r="Q281" s="8" t="str">
        <x:v>turn1086search19</x:v>
      </x:c>
    </x:row>
    <x:row r="282" ht="35.25" customHeight="1">
      <x:c r="A282" s="8" t="str">
        <x:v>V7-S97c151cc5c</x:v>
      </x:c>
      <x:c r="B282" s="8" t="str">
        <x:v>Как выглядит обучение персонала в сфере HoReCa - ФРиО - Федерация Рестораторов и Отельеров</x:v>
      </x:c>
      <x:c r="C282" s="8" t="str">
        <x:v>Отраслевые объединения</x:v>
      </x:c>
      <x:c r="D282" s="8" t="str">
        <x:v>Найден профессиональный/образовательный контекст. Покупательские запросы и возможность сбора еще не проверены.</x:v>
      </x:c>
      <x:c r="E282" s="8" t="str">
        <x:v>RU</x:v>
      </x:c>
      <x:c r="F282" s="8" t="str">
        <x:v>Сайт</x:v>
      </x:c>
      <x:c r="G282" s="8" t="str">
        <x:v>unverified_candidate</x:v>
      </x:c>
      <x:c r="H282" s="8" t="str">
        <x:v>Не проверен</x:v>
      </x:c>
      <x:c r="I282" s="8" t="str">
        <x:v>Не установлено</x:v>
      </x:c>
      <x:c r="J282" s="8" t="str">
        <x:v>Только контекст поиска</x:v>
      </x:c>
      <x:c r="K282" s="8" t="str">
        <x:v>Не установлено</x:v>
      </x:c>
      <x:c r="L282" s="8" t="str">
        <x:v>Не установлено</x:v>
      </x:c>
      <x:c r="M282" s="8" t="str">
        <x:v>Новый ключ источника</x:v>
      </x:c>
      <x:c r="N282" s="8" t="str">
        <x:v>Не установлено</x:v>
      </x:c>
      <x:c r="O282" s="8"/>
      <x:c r="P282" s="8" t="str">
        <x:v>https://www.frio.ru/info/news/kak-vyglyadit-obuchenie-personala-v-sfere-horeca/</x:v>
      </x:c>
      <x:c r="Q282" s="8" t="str">
        <x:v>turn1085search23; turn1085search27</x:v>
      </x:c>
    </x:row>
    <x:row r="283" ht="47.25" customHeight="1">
      <x:c r="A283" s="8" t="str">
        <x:v>V7-Sc8c7003a64</x:v>
      </x:c>
      <x:c r="B283" s="8" t="str">
        <x:v>Повышение квалификации - Ассоциация профессионалов индустрии гостеприимства - официальный сайт</x:v>
      </x:c>
      <x:c r="C283" s="8" t="str">
        <x:v>Отраслевые объединения</x:v>
      </x:c>
      <x:c r="D283" s="8" t="str">
        <x:v>Найден профессиональный/образовательный контекст. Покупательские запросы и возможность сбора еще не проверены.</x:v>
      </x:c>
      <x:c r="E283" s="8" t="str">
        <x:v>RU</x:v>
      </x:c>
      <x:c r="F283" s="8" t="str">
        <x:v>Сайт</x:v>
      </x:c>
      <x:c r="G283" s="8" t="str">
        <x:v>unverified_candidate</x:v>
      </x:c>
      <x:c r="H283" s="8" t="str">
        <x:v>Не проверен</x:v>
      </x:c>
      <x:c r="I283" s="8" t="str">
        <x:v>Не установлено</x:v>
      </x:c>
      <x:c r="J283" s="8" t="str">
        <x:v>Только контекст поиска</x:v>
      </x:c>
      <x:c r="K283" s="8" t="str">
        <x:v>Не установлено</x:v>
      </x:c>
      <x:c r="L283" s="8" t="str">
        <x:v>Не установлено</x:v>
      </x:c>
      <x:c r="M283" s="8" t="str">
        <x:v>Новый ключ источника</x:v>
      </x:c>
      <x:c r="N283" s="8" t="str">
        <x:v>Не установлено</x:v>
      </x:c>
      <x:c r="O283" s="8"/>
      <x:c r="P283" s="8" t="str">
        <x:v>https://hospitality-prof.ru/awork/povyshenie-kvalifikacii/</x:v>
      </x:c>
      <x:c r="Q283" s="8" t="str">
        <x:v>turn1085search30</x:v>
      </x:c>
    </x:row>
    <x:row r="284" ht="35.25" customHeight="1">
      <x:c r="A284" s="8" t="str">
        <x:v>V7-S2f94d29a9b</x:v>
      </x:c>
      <x:c r="B284" s="8" t="str">
        <x:v>СИПБИЗНЕС-К</x:v>
      </x:c>
      <x:c r="C284" s="8" t="str">
        <x:v>Отраслевые объединения</x:v>
      </x:c>
      <x:c r="D284" s="8" t="str">
        <x:v>Найден профессиональный/образовательный контекст. Покупательские запросы и возможность сбора еще не проверены.</x:v>
      </x:c>
      <x:c r="E284" s="8" t="str">
        <x:v>BY</x:v>
      </x:c>
      <x:c r="F284" s="8" t="str">
        <x:v>Сайт</x:v>
      </x:c>
      <x:c r="G284" s="8" t="str">
        <x:v>unverified_candidate</x:v>
      </x:c>
      <x:c r="H284" s="8" t="str">
        <x:v>Не проверен</x:v>
      </x:c>
      <x:c r="I284" s="8" t="str">
        <x:v>Не установлено</x:v>
      </x:c>
      <x:c r="J284" s="8" t="str">
        <x:v>Только контекст поиска</x:v>
      </x:c>
      <x:c r="K284" s="8" t="str">
        <x:v>Не установлено</x:v>
      </x:c>
      <x:c r="L284" s="8" t="str">
        <x:v>Не установлено</x:v>
      </x:c>
      <x:c r="M284" s="8" t="str">
        <x:v>Новый ключ источника</x:v>
      </x:c>
      <x:c r="N284" s="8" t="str">
        <x:v>Не установлено</x:v>
      </x:c>
      <x:c r="O284" s="8"/>
      <x:c r="P284" s="8" t="str">
        <x:v>https://www.invait.by/katalog_Oborudovanie_sip.pdf</x:v>
      </x:c>
      <x:c r="Q284" s="8" t="str">
        <x:v>turn1263search14</x:v>
      </x:c>
    </x:row>
    <x:row r="285" ht="35.25" customHeight="1">
      <x:c r="A285" s="8" t="str">
        <x:v>V7-Sb0e6e708e8</x:v>
      </x:c>
      <x:c r="B285" s="8" t="str">
        <x:v>Обучающие семинары и курсы</x:v>
      </x:c>
      <x:c r="C285" s="8" t="str">
        <x:v>Отраслевые объединения</x:v>
      </x:c>
      <x:c r="D285" s="8" t="str">
        <x:v>Найден профессиональный/образовательный контекст. Покупательские запросы и возможность сбора еще не проверены.</x:v>
      </x:c>
      <x:c r="E285" s="8" t="str">
        <x:v>KZ</x:v>
      </x:c>
      <x:c r="F285" s="8" t="str">
        <x:v>Сайт</x:v>
      </x:c>
      <x:c r="G285" s="8" t="str">
        <x:v>unverified_candidate</x:v>
      </x:c>
      <x:c r="H285" s="8" t="str">
        <x:v>Не проверен</x:v>
      </x:c>
      <x:c r="I285" s="8" t="str">
        <x:v>Не установлено</x:v>
      </x:c>
      <x:c r="J285" s="8" t="str">
        <x:v>Только контекст поиска</x:v>
      </x:c>
      <x:c r="K285" s="8" t="str">
        <x:v>Не установлено</x:v>
      </x:c>
      <x:c r="L285" s="8" t="str">
        <x:v>Не установлено</x:v>
      </x:c>
      <x:c r="M285" s="8" t="str">
        <x:v>Новый ключ источника</x:v>
      </x:c>
      <x:c r="N285" s="8" t="str">
        <x:v>Не установлено</x:v>
      </x:c>
      <x:c r="O285" s="8"/>
      <x:c r="P285" s="8" t="str">
        <x:v>https://kcea.kz/seminar.html</x:v>
      </x:c>
      <x:c r="Q285" s="8" t="str">
        <x:v>turn1085search5; turn1085search13</x:v>
      </x:c>
    </x:row>
    <x:row r="286" ht="35.25" customHeight="1">
      <x:c r="A286" s="8" t="str">
        <x:v>V7-S2730f27585</x:v>
      </x:c>
      <x:c r="B286" s="8" t="str">
        <x:v>О Союзе</x:v>
      </x:c>
      <x:c r="C286" s="8" t="str">
        <x:v>Отраслевые объединения</x:v>
      </x:c>
      <x:c r="D286" s="8" t="str">
        <x:v>Найден профессиональный/образовательный контекст. Покупательские запросы и возможность сбора еще не проверены.</x:v>
      </x:c>
      <x:c r="E286" s="8" t="str">
        <x:v>RU</x:v>
      </x:c>
      <x:c r="F286" s="8" t="str">
        <x:v>Сайт</x:v>
      </x:c>
      <x:c r="G286" s="8" t="str">
        <x:v>unverified_candidate</x:v>
      </x:c>
      <x:c r="H286" s="8" t="str">
        <x:v>Не проверен</x:v>
      </x:c>
      <x:c r="I286" s="8" t="str">
        <x:v>Не установлено</x:v>
      </x:c>
      <x:c r="J286" s="8" t="str">
        <x:v>Только контекст поиска</x:v>
      </x:c>
      <x:c r="K286" s="8" t="str">
        <x:v>Не установлено</x:v>
      </x:c>
      <x:c r="L286" s="8" t="str">
        <x:v>Не установлено</x:v>
      </x:c>
      <x:c r="M286" s="8" t="str">
        <x:v>Новый ключ источника</x:v>
      </x:c>
      <x:c r="N286" s="8" t="str">
        <x:v>Не установлено</x:v>
      </x:c>
      <x:c r="O286" s="8"/>
      <x:c r="P286" s="8" t="str">
        <x:v>https://maproiz.ru/</x:v>
      </x:c>
      <x:c r="Q286" s="8" t="str">
        <x:v>turn1086search6</x:v>
      </x:c>
    </x:row>
    <x:row r="287" ht="35.25" customHeight="1">
      <x:c r="A287" s="8" t="str">
        <x:v>V7-Sbd87c1c8a1</x:v>
      </x:c>
      <x:c r="B287" s="8" t="str">
        <x:v>Союз машиностроителей России :: Национальная научно-техническая конференция</x:v>
      </x:c>
      <x:c r="C287" s="8" t="str">
        <x:v>Отраслевые объединения</x:v>
      </x:c>
      <x:c r="D287" s="8" t="str">
        <x:v>Найден профессиональный/образовательный контекст. Покупательские запросы и возможность сбора еще не проверены.</x:v>
      </x:c>
      <x:c r="E287" s="8" t="str">
        <x:v>RU</x:v>
      </x:c>
      <x:c r="F287" s="8" t="str">
        <x:v>Сайт</x:v>
      </x:c>
      <x:c r="G287" s="8" t="str">
        <x:v>unverified_candidate</x:v>
      </x:c>
      <x:c r="H287" s="8" t="str">
        <x:v>Не проверен</x:v>
      </x:c>
      <x:c r="I287" s="8" t="str">
        <x:v>Не установлено</x:v>
      </x:c>
      <x:c r="J287" s="8" t="str">
        <x:v>Только контекст поиска</x:v>
      </x:c>
      <x:c r="K287" s="8" t="str">
        <x:v>Не установлено</x:v>
      </x:c>
      <x:c r="L287" s="8" t="str">
        <x:v>Не установлено</x:v>
      </x:c>
      <x:c r="M287" s="8" t="str">
        <x:v>Новый ключ источника</x:v>
      </x:c>
      <x:c r="N287" s="8" t="str">
        <x:v>Не установлено</x:v>
      </x:c>
      <x:c r="O287" s="8"/>
      <x:c r="P287" s="8" t="str">
        <x:v>https://nntk-smr.ru/</x:v>
      </x:c>
      <x:c r="Q287" s="8" t="str">
        <x:v>turn1086search9</x:v>
      </x:c>
    </x:row>
    <x:row r="288" ht="35.25" customHeight="1">
      <x:c r="A288" s="8" t="str">
        <x:v>V7-S7b61ca9411</x:v>
      </x:c>
      <x:c r="B288" s="8" t="str">
        <x:v>Образование</x:v>
      </x:c>
      <x:c r="C288" s="8" t="str">
        <x:v>Отраслевые объединения</x:v>
      </x:c>
      <x:c r="D288" s="8" t="str">
        <x:v>Найден профессиональный/образовательный контекст. Покупательские запросы и возможность сбора еще не проверены.</x:v>
      </x:c>
      <x:c r="E288" s="8" t="str">
        <x:v>BY</x:v>
      </x:c>
      <x:c r="F288" s="8" t="str">
        <x:v>Сайт</x:v>
      </x:c>
      <x:c r="G288" s="8" t="str">
        <x:v>unverified_candidate</x:v>
      </x:c>
      <x:c r="H288" s="8" t="str">
        <x:v>Не проверен</x:v>
      </x:c>
      <x:c r="I288" s="8" t="str">
        <x:v>Не установлено</x:v>
      </x:c>
      <x:c r="J288" s="8" t="str">
        <x:v>Только контекст поиска</x:v>
      </x:c>
      <x:c r="K288" s="8" t="str">
        <x:v>Не установлено</x:v>
      </x:c>
      <x:c r="L288" s="8" t="str">
        <x:v>Не установлено</x:v>
      </x:c>
      <x:c r="M288" s="8" t="str">
        <x:v>Новый ключ источника</x:v>
      </x:c>
      <x:c r="N288" s="8" t="str">
        <x:v>Не установлено</x:v>
      </x:c>
      <x:c r="O288" s="8"/>
      <x:c r="P288" s="8" t="str">
        <x:v>https://robocom.by/edu</x:v>
      </x:c>
      <x:c r="Q288" s="8" t="str">
        <x:v>turn1263search9</x:v>
      </x:c>
    </x:row>
    <x:row r="289" ht="35.25" customHeight="1">
      <x:c r="A289" s="8" t="str">
        <x:v>V7-S6d03b3f0c0</x:v>
      </x:c>
      <x:c r="B289" s="8" t="str">
        <x:v>Ежегодный молодёжный научно-технический семинар — 2026 — Союз машиностроителей России</x:v>
      </x:c>
      <x:c r="C289" s="8" t="str">
        <x:v>Отраслевые объединения</x:v>
      </x:c>
      <x:c r="D289" s="8" t="str">
        <x:v>Найден профессиональный/образовательный контекст. Покупательские запросы и возможность сбора еще не проверены.</x:v>
      </x:c>
      <x:c r="E289" s="8" t="str">
        <x:v>RU</x:v>
      </x:c>
      <x:c r="F289" s="8" t="str">
        <x:v>Сайт</x:v>
      </x:c>
      <x:c r="G289" s="8" t="str">
        <x:v>unverified_candidate</x:v>
      </x:c>
      <x:c r="H289" s="8" t="str">
        <x:v>Не проверен</x:v>
      </x:c>
      <x:c r="I289" s="8" t="str">
        <x:v>Не установлено</x:v>
      </x:c>
      <x:c r="J289" s="8" t="str">
        <x:v>Только контекст поиска</x:v>
      </x:c>
      <x:c r="K289" s="8" t="str">
        <x:v>Не установлено</x:v>
      </x:c>
      <x:c r="L289" s="8" t="str">
        <x:v>Не установлено</x:v>
      </x:c>
      <x:c r="M289" s="8" t="str">
        <x:v>Новый ключ источника</x:v>
      </x:c>
      <x:c r="N289" s="8" t="str">
        <x:v>Не установлено</x:v>
      </x:c>
      <x:c r="O289" s="8"/>
      <x:c r="P289" s="8" t="str">
        <x:v>https://sarsoyuzmash.ru/news/main/ezhegodnyy-molodyezhnyy-nauchno-tekhnicheskiy-seminar-2026/</x:v>
      </x:c>
      <x:c r="Q289" s="8" t="str">
        <x:v>turn1086search31</x:v>
      </x:c>
    </x:row>
    <x:row r="290" ht="47.25" customHeight="1">
      <x:c r="A290" s="8" t="str">
        <x:v>V7-S1cee810005</x:v>
      </x:c>
      <x:c r="B290" s="8" t="str">
        <x:v>ОЮЛ Союз Машиностроителей Казахстана — "Союз машиностроителей Казахстана: Достичь большего вместе!"</x:v>
      </x:c>
      <x:c r="C290" s="8" t="str">
        <x:v>Отраслевые объединения</x:v>
      </x:c>
      <x:c r="D290" s="8" t="str">
        <x:v>Найден профессиональный/образовательный контекст. Покупательские запросы и возможность сбора еще не проверены.</x:v>
      </x:c>
      <x:c r="E290" s="8" t="str">
        <x:v>KZ</x:v>
      </x:c>
      <x:c r="F290" s="8" t="str">
        <x:v>Сайт</x:v>
      </x:c>
      <x:c r="G290" s="8" t="str">
        <x:v>unverified_candidate</x:v>
      </x:c>
      <x:c r="H290" s="8" t="str">
        <x:v>Не проверен</x:v>
      </x:c>
      <x:c r="I290" s="8" t="str">
        <x:v>Не установлено</x:v>
      </x:c>
      <x:c r="J290" s="8" t="str">
        <x:v>Только контекст поиска</x:v>
      </x:c>
      <x:c r="K290" s="8" t="str">
        <x:v>Не установлено</x:v>
      </x:c>
      <x:c r="L290" s="8" t="str">
        <x:v>Не установлено</x:v>
      </x:c>
      <x:c r="M290" s="8" t="str">
        <x:v>Новый ключ источника</x:v>
      </x:c>
      <x:c r="N290" s="8" t="str">
        <x:v>Не установлено</x:v>
      </x:c>
      <x:c r="O290" s="8"/>
      <x:c r="P290" s="8" t="str">
        <x:v>https://smkz.kz/ru</x:v>
      </x:c>
      <x:c r="Q290" s="8" t="str">
        <x:v>turn1086search26; turn1086search29</x:v>
      </x:c>
    </x:row>
    <x:row r="291" ht="35.25" customHeight="1">
      <x:c r="A291" s="8" t="str">
        <x:v>V7-Sf58bd03f7e</x:v>
      </x:c>
      <x:c r="B291" s="8" t="str">
        <x:v>Бесплатные семинары для членов Ассоциации</x:v>
      </x:c>
      <x:c r="C291" s="8" t="str">
        <x:v>Отраслевые объединения</x:v>
      </x:c>
      <x:c r="D291" s="8" t="str">
        <x:v>Найден профессиональный/образовательный контекст. Покупательские запросы и возможность сбора еще не проверены.</x:v>
      </x:c>
      <x:c r="E291" s="8" t="str">
        <x:v>RU</x:v>
      </x:c>
      <x:c r="F291" s="8" t="str">
        <x:v>Сайт</x:v>
      </x:c>
      <x:c r="G291" s="8" t="str">
        <x:v>unverified_candidate</x:v>
      </x:c>
      <x:c r="H291" s="8" t="str">
        <x:v>Не проверен</x:v>
      </x:c>
      <x:c r="I291" s="8" t="str">
        <x:v>Не установлено</x:v>
      </x:c>
      <x:c r="J291" s="8" t="str">
        <x:v>Только контекст поиска</x:v>
      </x:c>
      <x:c r="K291" s="8" t="str">
        <x:v>Не установлено</x:v>
      </x:c>
      <x:c r="L291" s="8" t="str">
        <x:v>Не установлено</x:v>
      </x:c>
      <x:c r="M291" s="8" t="str">
        <x:v>Новый ключ источника</x:v>
      </x:c>
      <x:c r="N291" s="8" t="str">
        <x:v>Не установлено</x:v>
      </x:c>
      <x:c r="O291" s="8"/>
      <x:c r="P291" s="8" t="str">
        <x:v>https://sodstr.ru/membership/dopuslugi/seminars/</x:v>
      </x:c>
      <x:c r="Q291" s="8" t="str">
        <x:v>turn1086search2</x:v>
      </x:c>
    </x:row>
    <x:row r="292" ht="35.25" customHeight="1">
      <x:c r="A292" s="8" t="str">
        <x:v>V7-S7cf015bfa7</x:v>
      </x:c>
      <x:c r="B292" s="8" t="str">
        <x:v>Союз Машиностроителей России</x:v>
      </x:c>
      <x:c r="C292" s="8" t="str">
        <x:v>Отраслевые объединения</x:v>
      </x:c>
      <x:c r="D292" s="8" t="str">
        <x:v>Найден профессиональный/образовательный контекст. Покупательские запросы и возможность сбора еще не проверены.</x:v>
      </x:c>
      <x:c r="E292" s="8" t="str">
        <x:v>RU</x:v>
      </x:c>
      <x:c r="F292" s="8" t="str">
        <x:v>Сайт</x:v>
      </x:c>
      <x:c r="G292" s="8" t="str">
        <x:v>unverified_candidate</x:v>
      </x:c>
      <x:c r="H292" s="8" t="str">
        <x:v>Не проверен</x:v>
      </x:c>
      <x:c r="I292" s="8" t="str">
        <x:v>Не установлено</x:v>
      </x:c>
      <x:c r="J292" s="8" t="str">
        <x:v>Только контекст поиска</x:v>
      </x:c>
      <x:c r="K292" s="8" t="str">
        <x:v>Не установлено</x:v>
      </x:c>
      <x:c r="L292" s="8" t="str">
        <x:v>Не установлено</x:v>
      </x:c>
      <x:c r="M292" s="8" t="str">
        <x:v>Новый ключ источника</x:v>
      </x:c>
      <x:c r="N292" s="8" t="str">
        <x:v>Не установлено</x:v>
      </x:c>
      <x:c r="O292" s="8"/>
      <x:c r="P292" s="8" t="str">
        <x:v>https://soyuzmash.ru/</x:v>
      </x:c>
      <x:c r="Q292" s="8" t="str">
        <x:v>turn1086search33</x:v>
      </x:c>
    </x:row>
    <x:row r="293" ht="35.25" customHeight="1">
      <x:c r="A293" s="8" t="str">
        <x:v>V7-S103e3912c9</x:v>
      </x:c>
      <x:c r="B293" s="8" t="str">
        <x:v>Об ассоциации</x:v>
      </x:c>
      <x:c r="C293" s="8" t="str">
        <x:v>Отраслевые объединения</x:v>
      </x:c>
      <x:c r="D293" s="8" t="str">
        <x:v>Найден профессиональный/образовательный контекст. Покупательские запросы и возможность сбора еще не проверены.</x:v>
      </x:c>
      <x:c r="E293" s="8" t="str">
        <x:v>RU</x:v>
      </x:c>
      <x:c r="F293" s="8" t="str">
        <x:v>Сайт</x:v>
      </x:c>
      <x:c r="G293" s="8" t="str">
        <x:v>unverified_candidate</x:v>
      </x:c>
      <x:c r="H293" s="8" t="str">
        <x:v>Не проверен</x:v>
      </x:c>
      <x:c r="I293" s="8" t="str">
        <x:v>Не установлено</x:v>
      </x:c>
      <x:c r="J293" s="8" t="str">
        <x:v>Только контекст поиска</x:v>
      </x:c>
      <x:c r="K293" s="8" t="str">
        <x:v>Не установлено</x:v>
      </x:c>
      <x:c r="L293" s="8" t="str">
        <x:v>Не установлено</x:v>
      </x:c>
      <x:c r="M293" s="8" t="str">
        <x:v>Новый ключ источника</x:v>
      </x:c>
      <x:c r="N293" s="8" t="str">
        <x:v>Не установлено</x:v>
      </x:c>
      <x:c r="O293" s="8"/>
      <x:c r="P293" s="8" t="str">
        <x:v>https://szfofranch.ru/o-assoziazii</x:v>
      </x:c>
      <x:c r="Q293" s="8" t="str">
        <x:v>turn1085search26</x:v>
      </x:c>
    </x:row>
    <x:row r="294" ht="35.25" customHeight="1">
      <x:c r="A294" s="8" t="str">
        <x:v>V7-Sb1d764ddc0</x:v>
      </x:c>
      <x:c r="B294" s="8" t="str">
        <x:v>Союз машиностроителей России 🇷🇺 – Telegram</x:v>
      </x:c>
      <x:c r="C294" s="8" t="str">
        <x:v>Отраслевые объединения</x:v>
      </x:c>
      <x:c r="D294" s="8" t="str">
        <x:v>Найден профессиональный/образовательный контекст. Покупательские запросы и возможность сбора еще не проверены.</x:v>
      </x:c>
      <x:c r="E294" s="8" t="str">
        <x:v>Не установлена</x:v>
      </x:c>
      <x:c r="F294" s="8" t="str">
        <x:v>Telegram</x:v>
      </x:c>
      <x:c r="G294" s="8" t="str">
        <x:v>unverified_candidate</x:v>
      </x:c>
      <x:c r="H294" s="8" t="str">
        <x:v>Не проверен</x:v>
      </x:c>
      <x:c r="I294" s="8" t="str">
        <x:v>Не установлено</x:v>
      </x:c>
      <x:c r="J294" s="8" t="str">
        <x:v>Только контекст поиска</x:v>
      </x:c>
      <x:c r="K294" s="8" t="str">
        <x:v>Не установлено</x:v>
      </x:c>
      <x:c r="L294" s="8" t="str">
        <x:v>Не установлено</x:v>
      </x:c>
      <x:c r="M294" s="8" t="str">
        <x:v>Новый ключ источника</x:v>
      </x:c>
      <x:c r="N294" s="8" t="str">
        <x:v>Не установлено</x:v>
      </x:c>
      <x:c r="O294" s="8"/>
      <x:c r="P294" s="8" t="str">
        <x:v>https://t.me/s/soyuzmash1</x:v>
      </x:c>
      <x:c r="Q294" s="8" t="str">
        <x:v>turn1086search21</x:v>
      </x:c>
    </x:row>
    <x:row r="295" ht="35.25" customHeight="1">
      <x:c r="A295" s="8" t="str">
        <x:v>V7-S28e8d82224</x:v>
      </x:c>
      <x:c r="B295" s="8" t="str">
        <x:v>Обучение, переподготовка, повышение квалификации в Беларуси | Учебный центр Альянс</x:v>
      </x:c>
      <x:c r="C295" s="8" t="str">
        <x:v>Отраслевые объединения</x:v>
      </x:c>
      <x:c r="D295" s="8" t="str">
        <x:v>Найден профессиональный/образовательный контекст. Покупательские запросы и возможность сбора еще не проверены.</x:v>
      </x:c>
      <x:c r="E295" s="8" t="str">
        <x:v>BY</x:v>
      </x:c>
      <x:c r="F295" s="8" t="str">
        <x:v>Сайт</x:v>
      </x:c>
      <x:c r="G295" s="8" t="str">
        <x:v>unverified_candidate</x:v>
      </x:c>
      <x:c r="H295" s="8" t="str">
        <x:v>Не проверен</x:v>
      </x:c>
      <x:c r="I295" s="8" t="str">
        <x:v>Не установлено</x:v>
      </x:c>
      <x:c r="J295" s="8" t="str">
        <x:v>Только контекст поиска</x:v>
      </x:c>
      <x:c r="K295" s="8" t="str">
        <x:v>Не установлено</x:v>
      </x:c>
      <x:c r="L295" s="8" t="str">
        <x:v>Не установлено</x:v>
      </x:c>
      <x:c r="M295" s="8" t="str">
        <x:v>Новый ключ источника</x:v>
      </x:c>
      <x:c r="N295" s="8" t="str">
        <x:v>Не установлено</x:v>
      </x:c>
      <x:c r="O295" s="8"/>
      <x:c r="P295" s="8" t="str">
        <x:v>https://www.acentr.by/</x:v>
      </x:c>
      <x:c r="Q295" s="8" t="str">
        <x:v>turn1108search19; turn1085search11; turn1085search14</x:v>
      </x:c>
    </x:row>
    <x:row r="296" ht="35.25" customHeight="1">
      <x:c r="A296" s="8" t="str">
        <x:v>V7-S9bed480d9e</x:v>
      </x:c>
      <x:c r="B296" s="8" t="str">
        <x:v>Семинар — Aork.by</x:v>
      </x:c>
      <x:c r="C296" s="8" t="str">
        <x:v>Отраслевые объединения</x:v>
      </x:c>
      <x:c r="D296" s="8" t="str">
        <x:v>Найден профессиональный/образовательный контекст. Покупательские запросы и возможность сбора еще не проверены.</x:v>
      </x:c>
      <x:c r="E296" s="8" t="str">
        <x:v>BY</x:v>
      </x:c>
      <x:c r="F296" s="8" t="str">
        <x:v>Сайт</x:v>
      </x:c>
      <x:c r="G296" s="8" t="str">
        <x:v>unverified_candidate</x:v>
      </x:c>
      <x:c r="H296" s="8" t="str">
        <x:v>Не проверен</x:v>
      </x:c>
      <x:c r="I296" s="8" t="str">
        <x:v>Не установлено</x:v>
      </x:c>
      <x:c r="J296" s="8" t="str">
        <x:v>Только контекст поиска</x:v>
      </x:c>
      <x:c r="K296" s="8" t="str">
        <x:v>Не установлено</x:v>
      </x:c>
      <x:c r="L296" s="8" t="str">
        <x:v>Не установлено</x:v>
      </x:c>
      <x:c r="M296" s="8" t="str">
        <x:v>Новый ключ источника</x:v>
      </x:c>
      <x:c r="N296" s="8" t="str">
        <x:v>Не установлено</x:v>
      </x:c>
      <x:c r="O296" s="8"/>
      <x:c r="P296" s="8" t="str">
        <x:v>https://aork.by/seminar/</x:v>
      </x:c>
      <x:c r="Q296" s="8" t="str">
        <x:v>turn1085search17; turn1085search21</x:v>
      </x:c>
    </x:row>
    <x:row r="297" ht="35.25" customHeight="1">
      <x:c r="A297" s="8" t="str">
        <x:v>V7-Se8407dee3a</x:v>
      </x:c>
      <x:c r="B297" s="8" t="str">
        <x:v>Респираторлық медицина қауымдастығы — оқыту, іс-шаралар, клиникалық ұсынымдар</x:v>
      </x:c>
      <x:c r="C297" s="8" t="str">
        <x:v>Отраслевые объединения</x:v>
      </x:c>
      <x:c r="D297" s="8" t="str">
        <x:v>Найден профессиональный/образовательный контекст. Покупательские запросы и возможность сбора еще не проверены.</x:v>
      </x:c>
      <x:c r="E297" s="8" t="str">
        <x:v>KZ</x:v>
      </x:c>
      <x:c r="F297" s="8" t="str">
        <x:v>Сайт</x:v>
      </x:c>
      <x:c r="G297" s="8" t="str">
        <x:v>unverified_candidate</x:v>
      </x:c>
      <x:c r="H297" s="8" t="str">
        <x:v>Не проверен</x:v>
      </x:c>
      <x:c r="I297" s="8" t="str">
        <x:v>Не установлено</x:v>
      </x:c>
      <x:c r="J297" s="8" t="str">
        <x:v>Только контекст поиска</x:v>
      </x:c>
      <x:c r="K297" s="8" t="str">
        <x:v>Не установлено</x:v>
      </x:c>
      <x:c r="L297" s="8" t="str">
        <x:v>Не установлено</x:v>
      </x:c>
      <x:c r="M297" s="8" t="str">
        <x:v>Новый ключ источника</x:v>
      </x:c>
      <x:c r="N297" s="8" t="str">
        <x:v>Не установлено</x:v>
      </x:c>
      <x:c r="O297" s="8"/>
      <x:c r="P297" s="8" t="str">
        <x:v>https://asrm-respiratory.kz/kz/</x:v>
      </x:c>
      <x:c r="Q297" s="8" t="str">
        <x:v>turn1213search1</x:v>
      </x:c>
    </x:row>
    <x:row r="298" ht="35.25" customHeight="1">
      <x:c r="A298" s="8" t="str">
        <x:v>V7-S84d382669b</x:v>
      </x:c>
      <x:c r="B298" s="8" t="str">
        <x:v>В начало | Smart LMS</x:v>
      </x:c>
      <x:c r="C298" s="8" t="str">
        <x:v>LMS и студии курсов</x:v>
      </x:c>
      <x:c r="D298" s="8" t="str">
        <x:v>Найден профессиональный/образовательный контекст. Покупательские запросы и возможность сбора еще не проверены.</x:v>
      </x:c>
      <x:c r="E298" s="8" t="str">
        <x:v>KZ</x:v>
      </x:c>
      <x:c r="F298" s="8" t="str">
        <x:v>Сайт</x:v>
      </x:c>
      <x:c r="G298" s="8" t="str">
        <x:v>unverified_candidate</x:v>
      </x:c>
      <x:c r="H298" s="8" t="str">
        <x:v>Не проверен</x:v>
      </x:c>
      <x:c r="I298" s="8" t="str">
        <x:v>Не установлено</x:v>
      </x:c>
      <x:c r="J298" s="8" t="str">
        <x:v>Только контекст поиска</x:v>
      </x:c>
      <x:c r="K298" s="8" t="str">
        <x:v>Не установлено</x:v>
      </x:c>
      <x:c r="L298" s="8" t="str">
        <x:v>Не установлено</x:v>
      </x:c>
      <x:c r="M298" s="8" t="str">
        <x:v>Новый ключ источника</x:v>
      </x:c>
      <x:c r="N298" s="8" t="str">
        <x:v>Не установлено</x:v>
      </x:c>
      <x:c r="O298" s="8"/>
      <x:c r="P298" s="8" t="str">
        <x:v>https://edu.lms.kz/</x:v>
      </x:c>
      <x:c r="Q298" s="8" t="str">
        <x:v>turn1089search5</x:v>
      </x:c>
    </x:row>
    <x:row r="299" ht="47.25" customHeight="1">
      <x:c r="A299" s="8" t="str">
        <x:v>V7-Sc7fbb00808</x:v>
      </x:c>
      <x:c r="B299" s="8" t="str">
        <x:v>Программное обеспечение LMS для обучения партнеров: Расширение возможностей обучения партнеров по сбыту с помощью AcademyOcean</x:v>
      </x:c>
      <x:c r="C299" s="8" t="str">
        <x:v>LMS и студии курсов</x:v>
      </x:c>
      <x:c r="D299" s="8" t="str">
        <x:v>Найден профессиональный/образовательный контекст. Покупательские запросы и возможность сбора еще не проверены.</x:v>
      </x:c>
      <x:c r="E299" s="8" t="str">
        <x:v>Не установлена</x:v>
      </x:c>
      <x:c r="F299" s="8" t="str">
        <x:v>Сайт</x:v>
      </x:c>
      <x:c r="G299" s="8" t="str">
        <x:v>unverified_candidate</x:v>
      </x:c>
      <x:c r="H299" s="8" t="str">
        <x:v>Не проверен</x:v>
      </x:c>
      <x:c r="I299" s="8" t="str">
        <x:v>Не установлено</x:v>
      </x:c>
      <x:c r="J299" s="8" t="str">
        <x:v>Только контекст поиска</x:v>
      </x:c>
      <x:c r="K299" s="8" t="str">
        <x:v>Не установлено</x:v>
      </x:c>
      <x:c r="L299" s="8" t="str">
        <x:v>Не установлено</x:v>
      </x:c>
      <x:c r="M299" s="8" t="str">
        <x:v>Новый ключ источника</x:v>
      </x:c>
      <x:c r="N299" s="8" t="str">
        <x:v>Не установлено</x:v>
      </x:c>
      <x:c r="O299" s="8"/>
      <x:c r="P299" s="8" t="str">
        <x:v>https://academyocean.com/ru/partners</x:v>
      </x:c>
      <x:c r="Q299" s="8" t="str">
        <x:v>turn1093search28</x:v>
      </x:c>
    </x:row>
    <x:row r="300" ht="35.25" customHeight="1">
      <x:c r="A300" s="8" t="str">
        <x:v>V7-Se16e197ebc</x:v>
      </x:c>
      <x:c r="B300" s="8" t="str">
        <x:v>Разработчик онлайн курсов</x:v>
      </x:c>
      <x:c r="C300" s="8" t="str">
        <x:v>LMS и студии курсов</x:v>
      </x:c>
      <x:c r="D300" s="8" t="str">
        <x:v>Найден профессиональный/образовательный контекст. Покупательские запросы и возможность сбора еще не проверены.</x:v>
      </x:c>
      <x:c r="E300" s="8" t="str">
        <x:v>Не установлена</x:v>
      </x:c>
      <x:c r="F300" s="8" t="str">
        <x:v>Сайт</x:v>
      </x:c>
      <x:c r="G300" s="8" t="str">
        <x:v>unverified_candidate</x:v>
      </x:c>
      <x:c r="H300" s="8" t="str">
        <x:v>Не проверен</x:v>
      </x:c>
      <x:c r="I300" s="8" t="str">
        <x:v>Не установлено</x:v>
      </x:c>
      <x:c r="J300" s="8" t="str">
        <x:v>Только контекст поиска</x:v>
      </x:c>
      <x:c r="K300" s="8" t="str">
        <x:v>Не установлено</x:v>
      </x:c>
      <x:c r="L300" s="8" t="str">
        <x:v>Не установлено</x:v>
      </x:c>
      <x:c r="M300" s="8" t="str">
        <x:v>Новый ключ источника</x:v>
      </x:c>
      <x:c r="N300" s="8" t="str">
        <x:v>Не установлено</x:v>
      </x:c>
      <x:c r="O300" s="8"/>
      <x:c r="P300" s="8" t="str">
        <x:v>https://e-queo.academy/course-developer</x:v>
      </x:c>
      <x:c r="Q300" s="8" t="str">
        <x:v>turn1089search33</x:v>
      </x:c>
    </x:row>
    <x:row r="301" ht="35.25" customHeight="1">
      <x:c r="A301" s="8" t="str">
        <x:v>V7-S7719b7645c</x:v>
      </x:c>
      <x:c r="B301" s="8" t="str">
        <x:v>Виридиан — онлайн-школа IT-курсов с практикой и стажировками</x:v>
      </x:c>
      <x:c r="C301" s="8" t="str">
        <x:v>LMS и студии курсов</x:v>
      </x:c>
      <x:c r="D301" s="8" t="str">
        <x:v>Найден профессиональный/образовательный контекст. Покупательские запросы и возможность сбора еще не проверены.</x:v>
      </x:c>
      <x:c r="E301" s="8" t="str">
        <x:v>BY</x:v>
      </x:c>
      <x:c r="F301" s="8" t="str">
        <x:v>Сайт</x:v>
      </x:c>
      <x:c r="G301" s="8" t="str">
        <x:v>unverified_candidate</x:v>
      </x:c>
      <x:c r="H301" s="8" t="str">
        <x:v>Не проверен</x:v>
      </x:c>
      <x:c r="I301" s="8" t="str">
        <x:v>Не установлено</x:v>
      </x:c>
      <x:c r="J301" s="8" t="str">
        <x:v>Только контекст поиска</x:v>
      </x:c>
      <x:c r="K301" s="8" t="str">
        <x:v>Не установлено</x:v>
      </x:c>
      <x:c r="L301" s="8" t="str">
        <x:v>Не установлено</x:v>
      </x:c>
      <x:c r="M301" s="8" t="str">
        <x:v>Новый ключ источника</x:v>
      </x:c>
      <x:c r="N301" s="8" t="str">
        <x:v>Не установлено</x:v>
      </x:c>
      <x:c r="O301" s="8"/>
      <x:c r="P301" s="8" t="str">
        <x:v>https://viridiantech.by/</x:v>
      </x:c>
      <x:c r="Q301" s="8" t="str">
        <x:v>turn1089search14</x:v>
      </x:c>
    </x:row>
    <x:row r="302" ht="35.25" customHeight="1">
      <x:c r="A302" s="8" t="str">
        <x:v>V7-Sbabd7f0ec5</x:v>
      </x:c>
      <x:c r="B302" s="8" t="str">
        <x:v>Разработка EdTech-платформ, LMS и CRM учебных центров | 105</x:v>
      </x:c>
      <x:c r="C302" s="8" t="str">
        <x:v>LMS и студии курсов</x:v>
      </x:c>
      <x:c r="D302" s="8" t="str">
        <x:v>Найден профессиональный/образовательный контекст. Покупательские запросы и возможность сбора еще не проверены.</x:v>
      </x:c>
      <x:c r="E302" s="8" t="str">
        <x:v>KZ</x:v>
      </x:c>
      <x:c r="F302" s="8" t="str">
        <x:v>Сайт</x:v>
      </x:c>
      <x:c r="G302" s="8" t="str">
        <x:v>unverified_candidate</x:v>
      </x:c>
      <x:c r="H302" s="8" t="str">
        <x:v>Не проверен</x:v>
      </x:c>
      <x:c r="I302" s="8" t="str">
        <x:v>Не установлено</x:v>
      </x:c>
      <x:c r="J302" s="8" t="str">
        <x:v>Только контекст поиска</x:v>
      </x:c>
      <x:c r="K302" s="8" t="str">
        <x:v>Не установлено</x:v>
      </x:c>
      <x:c r="L302" s="8" t="str">
        <x:v>Не установлено</x:v>
      </x:c>
      <x:c r="M302" s="8" t="str">
        <x:v>Новый ключ источника</x:v>
      </x:c>
      <x:c r="N302" s="8" t="str">
        <x:v>Не установлено</x:v>
      </x:c>
      <x:c r="O302" s="8"/>
      <x:c r="P302" s="8" t="str">
        <x:v>https://105.kz/education</x:v>
      </x:c>
      <x:c r="Q302" s="8" t="str">
        <x:v>turn1089search4</x:v>
      </x:c>
    </x:row>
    <x:row r="303" ht="35.25" customHeight="1">
      <x:c r="A303" s="8" t="str">
        <x:v>V7-S95c20feab7</x:v>
      </x:c>
      <x:c r="B303" s="8" t="str">
        <x:v>Разработка ПО и AI-решений для бизнеса в Беларуси | Chota</x:v>
      </x:c>
      <x:c r="C303" s="8" t="str">
        <x:v>LMS и студии курсов</x:v>
      </x:c>
      <x:c r="D303" s="8" t="str">
        <x:v>Найден профессиональный/образовательный контекст. Покупательские запросы и возможность сбора еще не проверены.</x:v>
      </x:c>
      <x:c r="E303" s="8" t="str">
        <x:v>BY</x:v>
      </x:c>
      <x:c r="F303" s="8" t="str">
        <x:v>Сайт</x:v>
      </x:c>
      <x:c r="G303" s="8" t="str">
        <x:v>unverified_candidate</x:v>
      </x:c>
      <x:c r="H303" s="8" t="str">
        <x:v>Не проверен</x:v>
      </x:c>
      <x:c r="I303" s="8" t="str">
        <x:v>Не установлено</x:v>
      </x:c>
      <x:c r="J303" s="8" t="str">
        <x:v>Только контекст поиска</x:v>
      </x:c>
      <x:c r="K303" s="8" t="str">
        <x:v>Не установлено</x:v>
      </x:c>
      <x:c r="L303" s="8" t="str">
        <x:v>Не установлено</x:v>
      </x:c>
      <x:c r="M303" s="8" t="str">
        <x:v>Новый ключ источника</x:v>
      </x:c>
      <x:c r="N303" s="8" t="str">
        <x:v>Не установлено</x:v>
      </x:c>
      <x:c r="O303" s="8"/>
      <x:c r="P303" s="8" t="str">
        <x:v>https://chota.by/</x:v>
      </x:c>
      <x:c r="Q303" s="8" t="str">
        <x:v>turn1089search16</x:v>
      </x:c>
    </x:row>
    <x:row r="304" ht="35.25" customHeight="1">
      <x:c r="A304" s="8" t="str">
        <x:v>V7-Sd19f071fc6</x:v>
      </x:c>
      <x:c r="B304" s="8" t="str">
        <x:v>Создам онлайн курс любой тематики! – Образовательный бизнес!</x:v>
      </x:c>
      <x:c r="C304" s="8" t="str">
        <x:v>LMS и студии курсов</x:v>
      </x:c>
      <x:c r="D304" s="8" t="str">
        <x:v>Найден профессиональный/образовательный контекст. Покупательские запросы и возможность сбора еще не проверены.</x:v>
      </x:c>
      <x:c r="E304" s="8" t="str">
        <x:v>Не установлена</x:v>
      </x:c>
      <x:c r="F304" s="8" t="str">
        <x:v>Сайт</x:v>
      </x:c>
      <x:c r="G304" s="8" t="str">
        <x:v>unverified_candidate</x:v>
      </x:c>
      <x:c r="H304" s="8" t="str">
        <x:v>Не проверен</x:v>
      </x:c>
      <x:c r="I304" s="8" t="str">
        <x:v>Не установлено</x:v>
      </x:c>
      <x:c r="J304" s="8" t="str">
        <x:v>Только контекст поиска</x:v>
      </x:c>
      <x:c r="K304" s="8" t="str">
        <x:v>Не установлено</x:v>
      </x:c>
      <x:c r="L304" s="8" t="str">
        <x:v>Не установлено</x:v>
      </x:c>
      <x:c r="M304" s="8" t="str">
        <x:v>Новый ключ источника</x:v>
      </x:c>
      <x:c r="N304" s="8" t="str">
        <x:v>Не установлено</x:v>
      </x:c>
      <x:c r="O304" s="8"/>
      <x:c r="P304" s="8" t="str">
        <x:v>https://coursemaker.icu/</x:v>
      </x:c>
      <x:c r="Q304" s="8" t="str">
        <x:v>turn1089search26</x:v>
      </x:c>
    </x:row>
    <x:row r="305" ht="35.25" customHeight="1">
      <x:c r="A305" s="8" t="str">
        <x:v>V7-S07b40bf485</x:v>
      </x:c>
      <x:c r="B305" s="8" t="str">
        <x:v>Управление разработкой электронных курсов | e-Learning Мастер</x:v>
      </x:c>
      <x:c r="C305" s="8" t="str">
        <x:v>LMS и студии курсов</x:v>
      </x:c>
      <x:c r="D305" s="8" t="str">
        <x:v>Найден профессиональный/образовательный контекст. Покупательские запросы и возможность сбора еще не проверены.</x:v>
      </x:c>
      <x:c r="E305" s="8" t="str">
        <x:v>RU</x:v>
      </x:c>
      <x:c r="F305" s="8" t="str">
        <x:v>Сайт</x:v>
      </x:c>
      <x:c r="G305" s="8" t="str">
        <x:v>unverified_candidate</x:v>
      </x:c>
      <x:c r="H305" s="8" t="str">
        <x:v>Не проверен</x:v>
      </x:c>
      <x:c r="I305" s="8" t="str">
        <x:v>Не установлено</x:v>
      </x:c>
      <x:c r="J305" s="8" t="str">
        <x:v>Только контекст поиска</x:v>
      </x:c>
      <x:c r="K305" s="8" t="str">
        <x:v>Не установлено</x:v>
      </x:c>
      <x:c r="L305" s="8" t="str">
        <x:v>Не установлено</x:v>
      </x:c>
      <x:c r="M305" s="8" t="str">
        <x:v>Новый ключ источника</x:v>
      </x:c>
      <x:c r="N305" s="8" t="str">
        <x:v>Не установлено</x:v>
      </x:c>
      <x:c r="O305" s="8"/>
      <x:c r="P305" s="8" t="str">
        <x:v>https://www.elearningmaster.ru/course/info.php?id=220</x:v>
      </x:c>
      <x:c r="Q305" s="8" t="str">
        <x:v>turn1089search28</x:v>
      </x:c>
    </x:row>
    <x:row r="306" ht="35.25" customHeight="1">
      <x:c r="A306" s="8" t="str">
        <x:v>V7-S303bbc03ad</x:v>
      </x:c>
      <x:c r="B306" s="8" t="str">
        <x:v>LMS Partner Ecosystem | Intellum</x:v>
      </x:c>
      <x:c r="C306" s="8" t="str">
        <x:v>LMS и студии курсов</x:v>
      </x:c>
      <x:c r="D306" s="8" t="str">
        <x:v>Найден профессиональный/образовательный контекст. Покупательские запросы и возможность сбора еще не проверены.</x:v>
      </x:c>
      <x:c r="E306" s="8" t="str">
        <x:v>Не установлена</x:v>
      </x:c>
      <x:c r="F306" s="8" t="str">
        <x:v>Сайт</x:v>
      </x:c>
      <x:c r="G306" s="8" t="str">
        <x:v>unverified_candidate</x:v>
      </x:c>
      <x:c r="H306" s="8" t="str">
        <x:v>Не проверен</x:v>
      </x:c>
      <x:c r="I306" s="8" t="str">
        <x:v>Не установлено</x:v>
      </x:c>
      <x:c r="J306" s="8" t="str">
        <x:v>Только контекст поиска</x:v>
      </x:c>
      <x:c r="K306" s="8" t="str">
        <x:v>Не установлено</x:v>
      </x:c>
      <x:c r="L306" s="8" t="str">
        <x:v>Не установлено</x:v>
      </x:c>
      <x:c r="M306" s="8" t="str">
        <x:v>Новый ключ источника</x:v>
      </x:c>
      <x:c r="N306" s="8" t="str">
        <x:v>Не установлено</x:v>
      </x:c>
      <x:c r="O306" s="8"/>
      <x:c r="P306" s="8" t="str">
        <x:v>https://www.intellum.com/company/partners</x:v>
      </x:c>
      <x:c r="Q306" s="8" t="str">
        <x:v>turn1093search8</x:v>
      </x:c>
    </x:row>
    <x:row r="307" ht="35.25" customHeight="1">
      <x:c r="A307" s="8" t="str">
        <x:v>V7-S97f0ac6d0d</x:v>
      </x:c>
      <x:c r="B307" s="8" t="str">
        <x:v>Kamilya — LMS для обучения сотрудников в Казахстане</x:v>
      </x:c>
      <x:c r="C307" s="8" t="str">
        <x:v>LMS и студии курсов</x:v>
      </x:c>
      <x:c r="D307" s="8" t="str">
        <x:v>Найден профессиональный/образовательный контекст. Покупательские запросы и возможность сбора еще не проверены.</x:v>
      </x:c>
      <x:c r="E307" s="8" t="str">
        <x:v>KZ</x:v>
      </x:c>
      <x:c r="F307" s="8" t="str">
        <x:v>Сайт</x:v>
      </x:c>
      <x:c r="G307" s="8" t="str">
        <x:v>unverified_candidate</x:v>
      </x:c>
      <x:c r="H307" s="8" t="str">
        <x:v>Не проверен</x:v>
      </x:c>
      <x:c r="I307" s="8" t="str">
        <x:v>Не установлено</x:v>
      </x:c>
      <x:c r="J307" s="8" t="str">
        <x:v>Только контекст поиска</x:v>
      </x:c>
      <x:c r="K307" s="8" t="str">
        <x:v>Не установлено</x:v>
      </x:c>
      <x:c r="L307" s="8" t="str">
        <x:v>Не установлено</x:v>
      </x:c>
      <x:c r="M307" s="8" t="str">
        <x:v>Новый ключ источника</x:v>
      </x:c>
      <x:c r="N307" s="8" t="str">
        <x:v>Не установлено</x:v>
      </x:c>
      <x:c r="O307" s="8"/>
      <x:c r="P307" s="8" t="str">
        <x:v>https://www.kml.kz/ru</x:v>
      </x:c>
      <x:c r="Q307" s="8" t="str">
        <x:v>turn1089search6</x:v>
      </x:c>
    </x:row>
    <x:row r="308" ht="35.25" customHeight="1">
      <x:c r="A308" s="8" t="str">
        <x:v>V7-Sc0078e4141</x:v>
      </x:c>
      <x:c r="B308" s="8" t="str">
        <x:v>Partnerships · LMS Bridge</x:v>
      </x:c>
      <x:c r="C308" s="8" t="str">
        <x:v>LMS и студии курсов</x:v>
      </x:c>
      <x:c r="D308" s="8" t="str">
        <x:v>Найден профессиональный/образовательный контекст. Покупательские запросы и возможность сбора еще не проверены.</x:v>
      </x:c>
      <x:c r="E308" s="8" t="str">
        <x:v>Не установлена</x:v>
      </x:c>
      <x:c r="F308" s="8" t="str">
        <x:v>Сайт</x:v>
      </x:c>
      <x:c r="G308" s="8" t="str">
        <x:v>unverified_candidate</x:v>
      </x:c>
      <x:c r="H308" s="8" t="str">
        <x:v>Не проверен</x:v>
      </x:c>
      <x:c r="I308" s="8" t="str">
        <x:v>Не установлено</x:v>
      </x:c>
      <x:c r="J308" s="8" t="str">
        <x:v>Только контекст поиска</x:v>
      </x:c>
      <x:c r="K308" s="8" t="str">
        <x:v>Не установлено</x:v>
      </x:c>
      <x:c r="L308" s="8" t="str">
        <x:v>Не установлено</x:v>
      </x:c>
      <x:c r="M308" s="8" t="str">
        <x:v>Новый ключ источника</x:v>
      </x:c>
      <x:c r="N308" s="8" t="str">
        <x:v>Не установлено</x:v>
      </x:c>
      <x:c r="O308" s="8"/>
      <x:c r="P308" s="8" t="str">
        <x:v>https://lmsbridge.ai/partnerships.html</x:v>
      </x:c>
      <x:c r="Q308" s="8" t="str">
        <x:v>turn1093search19</x:v>
      </x:c>
    </x:row>
    <x:row r="309" ht="35.25" customHeight="1">
      <x:c r="A309" s="8" t="str">
        <x:v>V7-Se5a2859be5</x:v>
      </x:c>
      <x:c r="B309" s="8" t="str">
        <x:v>Moodle Marketplace — Plugins and integrations for Moodle</x:v>
      </x:c>
      <x:c r="C309" s="8" t="str">
        <x:v>LMS и студии курсов</x:v>
      </x:c>
      <x:c r="D309" s="8" t="str">
        <x:v>Найден профессиональный/образовательный контекст. Покупательские запросы и возможность сбора еще не проверены.</x:v>
      </x:c>
      <x:c r="E309" s="8" t="str">
        <x:v>Не установлена</x:v>
      </x:c>
      <x:c r="F309" s="8" t="str">
        <x:v>Сайт</x:v>
      </x:c>
      <x:c r="G309" s="8" t="str">
        <x:v>unverified_candidate</x:v>
      </x:c>
      <x:c r="H309" s="8" t="str">
        <x:v>Не проверен</x:v>
      </x:c>
      <x:c r="I309" s="8" t="str">
        <x:v>Не установлено</x:v>
      </x:c>
      <x:c r="J309" s="8" t="str">
        <x:v>Только контекст поиска</x:v>
      </x:c>
      <x:c r="K309" s="8" t="str">
        <x:v>Не установлено</x:v>
      </x:c>
      <x:c r="L309" s="8" t="str">
        <x:v>Не установлено</x:v>
      </x:c>
      <x:c r="M309" s="8" t="str">
        <x:v>Новый ключ источника</x:v>
      </x:c>
      <x:c r="N309" s="8" t="str">
        <x:v>Не установлено</x:v>
      </x:c>
      <x:c r="O309" s="8"/>
      <x:c r="P309" s="8" t="str">
        <x:v>https://marketplace.moodle.com/?type=53</x:v>
      </x:c>
      <x:c r="Q309" s="8" t="str">
        <x:v>turn1093search29; turn1093search30; turn1093search31</x:v>
      </x:c>
    </x:row>
    <x:row r="310" ht="35.25" customHeight="1">
      <x:c r="A310" s="8" t="str">
        <x:v>V7-Sa10ee3b42d</x:v>
      </x:c>
      <x:c r="B310" s="8" t="str">
        <x:v>Become a Moodle Certified Service Provider - Moodle</x:v>
      </x:c>
      <x:c r="C310" s="8" t="str">
        <x:v>LMS и студии курсов</x:v>
      </x:c>
      <x:c r="D310" s="8" t="str">
        <x:v>Найден профессиональный/образовательный контекст. Покупательские запросы и возможность сбора еще не проверены.</x:v>
      </x:c>
      <x:c r="E310" s="8" t="str">
        <x:v>Не установлена</x:v>
      </x:c>
      <x:c r="F310" s="8" t="str">
        <x:v>Сайт</x:v>
      </x:c>
      <x:c r="G310" s="8" t="str">
        <x:v>unverified_candidate</x:v>
      </x:c>
      <x:c r="H310" s="8" t="str">
        <x:v>Не проверен</x:v>
      </x:c>
      <x:c r="I310" s="8" t="str">
        <x:v>Не установлено</x:v>
      </x:c>
      <x:c r="J310" s="8" t="str">
        <x:v>Только контекст поиска</x:v>
      </x:c>
      <x:c r="K310" s="8" t="str">
        <x:v>Не установлено</x:v>
      </x:c>
      <x:c r="L310" s="8" t="str">
        <x:v>Не установлено</x:v>
      </x:c>
      <x:c r="M310" s="8" t="str">
        <x:v>Новый ключ источника</x:v>
      </x:c>
      <x:c r="N310" s="8" t="str">
        <x:v>Не установлено</x:v>
      </x:c>
      <x:c r="O310" s="8"/>
      <x:c r="P310" s="8" t="str">
        <x:v>https://moodle.com/become-moodle-partner/</x:v>
      </x:c>
      <x:c r="Q310" s="8" t="str">
        <x:v>turn1093search4; turn1093search10; turn1093search22; turn1093search25</x:v>
      </x:c>
    </x:row>
    <x:row r="311" ht="35.25" customHeight="1">
      <x:c r="A311" s="8" t="str">
        <x:v>V7-Sc489e3b76c</x:v>
      </x:c>
      <x:c r="B311" s="8" t="str">
        <x:v>Разработка ПО для электронного обучения | Твин Солюшенс</x:v>
      </x:c>
      <x:c r="C311" s="8" t="str">
        <x:v>LMS и студии курсов</x:v>
      </x:c>
      <x:c r="D311" s="8" t="str">
        <x:v>Найден профессиональный/образовательный контекст. Покупательские запросы и возможность сбора еще не проверены.</x:v>
      </x:c>
      <x:c r="E311" s="8" t="str">
        <x:v>Не установлена</x:v>
      </x:c>
      <x:c r="F311" s="8" t="str">
        <x:v>Сайт</x:v>
      </x:c>
      <x:c r="G311" s="8" t="str">
        <x:v>unverified_candidate</x:v>
      </x:c>
      <x:c r="H311" s="8" t="str">
        <x:v>Не проверен</x:v>
      </x:c>
      <x:c r="I311" s="8" t="str">
        <x:v>Не установлено</x:v>
      </x:c>
      <x:c r="J311" s="8" t="str">
        <x:v>Только контекст поиска</x:v>
      </x:c>
      <x:c r="K311" s="8" t="str">
        <x:v>Не установлено</x:v>
      </x:c>
      <x:c r="L311" s="8" t="str">
        <x:v>Не установлено</x:v>
      </x:c>
      <x:c r="M311" s="8" t="str">
        <x:v>Новый ключ источника</x:v>
      </x:c>
      <x:c r="N311" s="8" t="str">
        <x:v>Не установлено</x:v>
      </x:c>
      <x:c r="O311" s="8"/>
      <x:c r="P311" s="8" t="str">
        <x:v>https://tsdv.net/industries/e-learning</x:v>
      </x:c>
      <x:c r="Q311" s="8" t="str">
        <x:v>turn1089search20</x:v>
      </x:c>
    </x:row>
    <x:row r="312" ht="35.25" customHeight="1">
      <x:c r="A312" s="8" t="str">
        <x:v>V7-S9e3e30b0c9</x:v>
      </x:c>
      <x:c r="B312" s="8" t="str">
        <x:v>Collaborate with Tutor LMS Partners for Comprehensive Solutions | Tutor LMS</x:v>
      </x:c>
      <x:c r="C312" s="8" t="str">
        <x:v>LMS и студии курсов</x:v>
      </x:c>
      <x:c r="D312" s="8" t="str">
        <x:v>Найден профессиональный/образовательный контекст. Покупательские запросы и возможность сбора еще не проверены.</x:v>
      </x:c>
      <x:c r="E312" s="8" t="str">
        <x:v>Не установлена</x:v>
      </x:c>
      <x:c r="F312" s="8" t="str">
        <x:v>Сайт</x:v>
      </x:c>
      <x:c r="G312" s="8" t="str">
        <x:v>unverified_candidate</x:v>
      </x:c>
      <x:c r="H312" s="8" t="str">
        <x:v>Не проверен</x:v>
      </x:c>
      <x:c r="I312" s="8" t="str">
        <x:v>Не установлено</x:v>
      </x:c>
      <x:c r="J312" s="8" t="str">
        <x:v>Только контекст поиска</x:v>
      </x:c>
      <x:c r="K312" s="8" t="str">
        <x:v>Не установлено</x:v>
      </x:c>
      <x:c r="L312" s="8" t="str">
        <x:v>Не установлено</x:v>
      </x:c>
      <x:c r="M312" s="8" t="str">
        <x:v>Новый ключ источника</x:v>
      </x:c>
      <x:c r="N312" s="8" t="str">
        <x:v>Не установлено</x:v>
      </x:c>
      <x:c r="O312" s="8"/>
      <x:c r="P312" s="8" t="str">
        <x:v>https://tutorlms.com/partners/</x:v>
      </x:c>
      <x:c r="Q312" s="8" t="str">
        <x:v>turn1093search15</x:v>
      </x:c>
    </x:row>
    <x:row r="313" ht="35.25" customHeight="1">
      <x:c r="A313" s="8" t="str">
        <x:v>V7-S7c2b33350c</x:v>
      </x:c>
      <x:c r="B313" s="8" t="str">
        <x:v>Школа бизнес тренера Надежды Бондаренко</x:v>
      </x:c>
      <x:c r="C313" s="8" t="str">
        <x:v>Проектная работа и эксперты</x:v>
      </x:c>
      <x:c r="D313" s="8" t="str">
        <x:v>Найден профессиональный/образовательный контекст. Покупательские запросы и возможность сбора еще не проверены.</x:v>
      </x:c>
      <x:c r="E313" s="8" t="str">
        <x:v>RU</x:v>
      </x:c>
      <x:c r="F313" s="8" t="str">
        <x:v>Сайт</x:v>
      </x:c>
      <x:c r="G313" s="8" t="str">
        <x:v>unverified_candidate</x:v>
      </x:c>
      <x:c r="H313" s="8" t="str">
        <x:v>Не проверен</x:v>
      </x:c>
      <x:c r="I313" s="8" t="str">
        <x:v>Не установлено</x:v>
      </x:c>
      <x:c r="J313" s="8" t="str">
        <x:v>Только контекст поиска</x:v>
      </x:c>
      <x:c r="K313" s="8" t="str">
        <x:v>Не установлено</x:v>
      </x:c>
      <x:c r="L313" s="8" t="str">
        <x:v>Не установлено</x:v>
      </x:c>
      <x:c r="M313" s="8" t="str">
        <x:v>Новый ключ источника</x:v>
      </x:c>
      <x:c r="N313" s="8" t="str">
        <x:v>Не установлено</x:v>
      </x:c>
      <x:c r="O313" s="8"/>
      <x:c r="P313" s="8" t="str">
        <x:v>https://blogtrenera.ru/landing/</x:v>
      </x:c>
      <x:c r="Q313" s="8" t="str">
        <x:v>turn1186search7</x:v>
      </x:c>
    </x:row>
    <x:row r="314" ht="35.25" customHeight="1">
      <x:c r="A314" s="8" t="str">
        <x:v>V7-S4afe400b6f</x:v>
      </x:c>
      <x:c r="B314" s="8" t="str">
        <x:v>Надежда Бондаренко — отзывы, биография, школа бизнес-тренеров 2026</x:v>
      </x:c>
      <x:c r="C314" s="8" t="str">
        <x:v>Проектная работа и эксперты</x:v>
      </x:c>
      <x:c r="D314" s="8" t="str">
        <x:v>Найден профессиональный/образовательный контекст. Покупательские запросы и возможность сбора еще не проверены.</x:v>
      </x:c>
      <x:c r="E314" s="8" t="str">
        <x:v>RU</x:v>
      </x:c>
      <x:c r="F314" s="8" t="str">
        <x:v>Сайт</x:v>
      </x:c>
      <x:c r="G314" s="8" t="str">
        <x:v>unverified_candidate</x:v>
      </x:c>
      <x:c r="H314" s="8" t="str">
        <x:v>Не проверен</x:v>
      </x:c>
      <x:c r="I314" s="8" t="str">
        <x:v>Не установлено</x:v>
      </x:c>
      <x:c r="J314" s="8" t="str">
        <x:v>Только контекст поиска</x:v>
      </x:c>
      <x:c r="K314" s="8" t="str">
        <x:v>Не установлено</x:v>
      </x:c>
      <x:c r="L314" s="8" t="str">
        <x:v>Не установлено</x:v>
      </x:c>
      <x:c r="M314" s="8" t="str">
        <x:v>Новый ключ источника</x:v>
      </x:c>
      <x:c r="N314" s="8" t="str">
        <x:v>Не установлено</x:v>
      </x:c>
      <x:c r="O314" s="8"/>
      <x:c r="P314" s="8" t="str">
        <x:v>https://kursogid.ru/autors/nadezhda-bondarenko.php</x:v>
      </x:c>
      <x:c r="Q314" s="8" t="str">
        <x:v>turn1186search11</x:v>
      </x:c>
    </x:row>
    <x:row r="315" ht="35.25" customHeight="1">
      <x:c r="A315" s="8" t="str">
        <x:v>V7-S3850aa63be</x:v>
      </x:c>
      <x:c r="B315" s="8" t="str">
        <x:v>Методологическое сопровождение - Ирина Аваряскина</x:v>
      </x:c>
      <x:c r="C315" s="8" t="str">
        <x:v>Проектная работа и эксперты</x:v>
      </x:c>
      <x:c r="D315" s="8" t="str">
        <x:v>Найден профессиональный/образовательный контекст. Покупательские запросы и возможность сбора еще не проверены.</x:v>
      </x:c>
      <x:c r="E315" s="8" t="str">
        <x:v>BY</x:v>
      </x:c>
      <x:c r="F315" s="8" t="str">
        <x:v>Сайт</x:v>
      </x:c>
      <x:c r="G315" s="8" t="str">
        <x:v>unverified_candidate</x:v>
      </x:c>
      <x:c r="H315" s="8" t="str">
        <x:v>Не проверен</x:v>
      </x:c>
      <x:c r="I315" s="8" t="str">
        <x:v>Не установлено</x:v>
      </x:c>
      <x:c r="J315" s="8" t="str">
        <x:v>Только контекст поиска</x:v>
      </x:c>
      <x:c r="K315" s="8" t="str">
        <x:v>Не установлено</x:v>
      </x:c>
      <x:c r="L315" s="8" t="str">
        <x:v>Не установлено</x:v>
      </x:c>
      <x:c r="M315" s="8" t="str">
        <x:v>Новый ключ источника</x:v>
      </x:c>
      <x:c r="N315" s="8" t="str">
        <x:v>Не установлено</x:v>
      </x:c>
      <x:c r="O315" s="8"/>
      <x:c r="P315" s="8" t="str">
        <x:v>https://avarjaskina.by/services/methodological-support/</x:v>
      </x:c>
      <x:c r="Q315" s="8" t="str">
        <x:v>turn1096search6</x:v>
      </x:c>
    </x:row>
    <x:row r="316" ht="47.25" customHeight="1">
      <x:c r="A316" s="8" t="str">
        <x:v>V7-S32fa712ee0</x:v>
      </x:c>
      <x:c r="B316" s="8" t="str">
        <x:v>Экспертов сообщество чаты | В базе 119 чатов | Тг Каталог</x:v>
      </x:c>
      <x:c r="C316" s="8" t="str">
        <x:v>Проектная работа и эксперты</x:v>
      </x:c>
      <x:c r="D316" s="8" t="str">
        <x:v>Найден профессиональный/образовательный контекст. Покупательские запросы и возможность сбора еще не проверены.</x:v>
      </x:c>
      <x:c r="E316" s="8" t="str">
        <x:v>Не установлена</x:v>
      </x:c>
      <x:c r="F316" s="8" t="str">
        <x:v>Сайт</x:v>
      </x:c>
      <x:c r="G316" s="8" t="str">
        <x:v>unverified_candidate</x:v>
      </x:c>
      <x:c r="H316" s="8" t="str">
        <x:v>Не проверен</x:v>
      </x:c>
      <x:c r="I316" s="8" t="str">
        <x:v>Не установлено</x:v>
      </x:c>
      <x:c r="J316" s="8" t="str">
        <x:v>Только контекст поиска</x:v>
      </x:c>
      <x:c r="K316" s="8" t="str">
        <x:v>Не установлено</x:v>
      </x:c>
      <x:c r="L316" s="8" t="str">
        <x:v>Не установлено</x:v>
      </x:c>
      <x:c r="M316" s="8" t="str">
        <x:v>Новый ключ источника</x:v>
      </x:c>
      <x:c r="N316" s="8" t="str">
        <x:v>Не установлено</x:v>
      </x:c>
      <x:c r="O316" s="8"/>
      <x:c r="P316" s="8" t="str">
        <x:v>https://tg-cat.com/?search=%D1%8D%D0%BA%D1%81%D0%BF%D0%B5%D1%80%D1%82%D0%BE%D0%B2+%D1%81%D0%BE%D0%BE%D0%B1%D1%89%D0%B5%D1%81%D1%82%D0%B2%D0%BE&amp;type=supergroup</x:v>
      </x:c>
      <x:c r="Q316" s="8" t="str">
        <x:v>turn1184search7</x:v>
      </x:c>
    </x:row>
    <x:row r="317" ht="35.25" customHeight="1">
      <x:c r="A317" s="8" t="str">
        <x:v>V7-S5d282fb9fc</x:v>
      </x:c>
      <x:c r="B317" s="8" t="str">
        <x:v>Ассоциация российских разработчиков и производителей ...</x:v>
      </x:c>
      <x:c r="C317" s="8" t="str">
        <x:v>Проектная работа и эксперты</x:v>
      </x:c>
      <x:c r="D317" s="8" t="str">
        <x:v>Найден профессиональный/образовательный контекст. Покупательские запросы и возможность сбора еще не проверены.</x:v>
      </x:c>
      <x:c r="E317" s="8" t="str">
        <x:v>RU</x:v>
      </x:c>
      <x:c r="F317" s="8" t="str">
        <x:v>Сайт</x:v>
      </x:c>
      <x:c r="G317" s="8" t="str">
        <x:v>unverified_candidate</x:v>
      </x:c>
      <x:c r="H317" s="8" t="str">
        <x:v>Не проверен</x:v>
      </x:c>
      <x:c r="I317" s="8" t="str">
        <x:v>Не установлено</x:v>
      </x:c>
      <x:c r="J317" s="8" t="str">
        <x:v>Только контекст поиска</x:v>
      </x:c>
      <x:c r="K317" s="8" t="str">
        <x:v>Не установлено</x:v>
      </x:c>
      <x:c r="L317" s="8" t="str">
        <x:v>Не установлено</x:v>
      </x:c>
      <x:c r="M317" s="8" t="str">
        <x:v>Новый ключ источника</x:v>
      </x:c>
      <x:c r="N317" s="8" t="str">
        <x:v>Не установлено</x:v>
      </x:c>
      <x:c r="O317" s="8"/>
      <x:c r="P317" s="8" t="str">
        <x:v>https://arpe.ru/</x:v>
      </x:c>
      <x:c r="Q317" s="8" t="str">
        <x:v>turn1104search8</x:v>
      </x:c>
    </x:row>
    <x:row r="318" ht="35.25" customHeight="1">
      <x:c r="A318" s="8" t="str">
        <x:v>V7-Sc719bf7c5a</x:v>
      </x:c>
      <x:c r="B318" s="8" t="str">
        <x:v>Работа корпоративным тренером в Белгороде, свежие вакансии Корпоративный тренер на Rabota1000</x:v>
      </x:c>
      <x:c r="C318" s="8" t="str">
        <x:v>Проектная работа и эксперты</x:v>
      </x:c>
      <x:c r="D318" s="8" t="str">
        <x:v>Найден профессиональный/образовательный контекст. Покупательские запросы и возможность сбора еще не проверены.</x:v>
      </x:c>
      <x:c r="E318" s="8" t="str">
        <x:v>RU</x:v>
      </x:c>
      <x:c r="F318" s="8" t="str">
        <x:v>Сайт</x:v>
      </x:c>
      <x:c r="G318" s="8" t="str">
        <x:v>unverified_candidate</x:v>
      </x:c>
      <x:c r="H318" s="8" t="str">
        <x:v>Не проверен</x:v>
      </x:c>
      <x:c r="I318" s="8" t="str">
        <x:v>Не установлено</x:v>
      </x:c>
      <x:c r="J318" s="8" t="str">
        <x:v>Только контекст поиска</x:v>
      </x:c>
      <x:c r="K318" s="8" t="str">
        <x:v>Не установлено</x:v>
      </x:c>
      <x:c r="L318" s="8" t="str">
        <x:v>Не установлено</x:v>
      </x:c>
      <x:c r="M318" s="8" t="str">
        <x:v>Новый ключ источника</x:v>
      </x:c>
      <x:c r="N318" s="8" t="str">
        <x:v>Не установлено</x:v>
      </x:c>
      <x:c r="O318" s="8"/>
      <x:c r="P318" s="8" t="str">
        <x:v>https://rabota1000.ru/belgorod/korporativnyj-trener</x:v>
      </x:c>
      <x:c r="Q318" s="8" t="str">
        <x:v>turn1181search8</x:v>
      </x:c>
    </x:row>
    <x:row r="319" ht="35.25" customHeight="1">
      <x:c r="A319" s="8" t="str">
        <x:v>V7-S44b279e640</x:v>
      </x:c>
      <x:c r="B319" s="8" t="str">
        <x:v>_Форум-выставка Отдых 2025</x:v>
      </x:c>
      <x:c r="C319" s="8" t="str">
        <x:v>Проектная работа и эксперты</x:v>
      </x:c>
      <x:c r="D319" s="8" t="str">
        <x:v>Найден профессиональный/образовательный контекст. Покупательские запросы и возможность сбора еще не проверены.</x:v>
      </x:c>
      <x:c r="E319" s="8" t="str">
        <x:v>RU</x:v>
      </x:c>
      <x:c r="F319" s="8" t="str">
        <x:v>Сайт</x:v>
      </x:c>
      <x:c r="G319" s="8" t="str">
        <x:v>unverified_candidate</x:v>
      </x:c>
      <x:c r="H319" s="8" t="str">
        <x:v>Не проверен</x:v>
      </x:c>
      <x:c r="I319" s="8" t="str">
        <x:v>Не установлено</x:v>
      </x:c>
      <x:c r="J319" s="8" t="str">
        <x:v>Только контекст поиска</x:v>
      </x:c>
      <x:c r="K319" s="8" t="str">
        <x:v>Не установлено</x:v>
      </x:c>
      <x:c r="L319" s="8" t="str">
        <x:v>Не установлено</x:v>
      </x:c>
      <x:c r="M319" s="8" t="str">
        <x:v>Новый ключ источника</x:v>
      </x:c>
      <x:c r="N319" s="8" t="str">
        <x:v>Не установлено</x:v>
      </x:c>
      <x:c r="O319" s="8"/>
      <x:c r="P319" s="8" t="str">
        <x:v>https://tourismexpo.ru/local/templates/tourismexpo_2024/files/pres_2025_ru.pdf</x:v>
      </x:c>
      <x:c r="Q319" s="8" t="str">
        <x:v>turn1186search16</x:v>
      </x:c>
    </x:row>
    <x:row r="320" ht="35.25" customHeight="1">
      <x:c r="A320" s="8" t="str">
        <x:v>V7-S922d3bccf5</x:v>
      </x:c>
      <x:c r="B320" s="8" t="str">
        <x:v>Работа тренером в Новосибирске: Октябрь 2026 — 220 вакансий / JobVK</x:v>
      </x:c>
      <x:c r="C320" s="8" t="str">
        <x:v>Проектная работа и эксперты</x:v>
      </x:c>
      <x:c r="D320" s="8" t="str">
        <x:v>Найден профессиональный/образовательный контекст. Покупательские запросы и возможность сбора еще не проверены.</x:v>
      </x:c>
      <x:c r="E320" s="8" t="str">
        <x:v>Не установлена</x:v>
      </x:c>
      <x:c r="F320" s="8" t="str">
        <x:v>VK</x:v>
      </x:c>
      <x:c r="G320" s="8" t="str">
        <x:v>unverified_candidate</x:v>
      </x:c>
      <x:c r="H320" s="8" t="str">
        <x:v>Не проверен</x:v>
      </x:c>
      <x:c r="I320" s="8" t="str">
        <x:v>Не установлено</x:v>
      </x:c>
      <x:c r="J320" s="8" t="str">
        <x:v>Только контекст поиска</x:v>
      </x:c>
      <x:c r="K320" s="8" t="str">
        <x:v>Не установлено</x:v>
      </x:c>
      <x:c r="L320" s="8" t="str">
        <x:v>Не установлено</x:v>
      </x:c>
      <x:c r="M320" s="8" t="str">
        <x:v>Новый ключ источника</x:v>
      </x:c>
      <x:c r="N320" s="8" t="str">
        <x:v>Не установлено</x:v>
      </x:c>
      <x:c r="O320" s="8"/>
      <x:c r="P320" s="8" t="str">
        <x:v>https://trust.jobvk.com/novosibirsk/trener</x:v>
      </x:c>
      <x:c r="Q320" s="8" t="str">
        <x:v>turn1181search7</x:v>
      </x:c>
    </x:row>
    <x:row r="321" ht="35.25" customHeight="1">
      <x:c r="A321" s="8" t="str">
        <x:v>V7-Se51a1e6fde</x:v>
      </x:c>
      <x:c r="B321" s="8" t="str">
        <x:v>КУРСОМАНИЯ</x:v>
      </x:c>
      <x:c r="C321" s="8" t="str">
        <x:v>Проектная работа и эксперты</x:v>
      </x:c>
      <x:c r="D321" s="8" t="str">
        <x:v>Найден профессиональный/образовательный контекст. Покупательские запросы и возможность сбора еще не проверены.</x:v>
      </x:c>
      <x:c r="E321" s="8" t="str">
        <x:v>Не установлена</x:v>
      </x:c>
      <x:c r="F321" s="8" t="str">
        <x:v>Сайт</x:v>
      </x:c>
      <x:c r="G321" s="8" t="str">
        <x:v>unverified_candidate</x:v>
      </x:c>
      <x:c r="H321" s="8" t="str">
        <x:v>Не проверен</x:v>
      </x:c>
      <x:c r="I321" s="8" t="str">
        <x:v>Не установлено</x:v>
      </x:c>
      <x:c r="J321" s="8" t="str">
        <x:v>Только контекст поиска</x:v>
      </x:c>
      <x:c r="K321" s="8" t="str">
        <x:v>Не установлено</x:v>
      </x:c>
      <x:c r="L321" s="8" t="str">
        <x:v>Не установлено</x:v>
      </x:c>
      <x:c r="M321" s="8" t="str">
        <x:v>Новый ключ источника</x:v>
      </x:c>
      <x:c r="N321" s="8" t="str">
        <x:v>Не установлено</x:v>
      </x:c>
      <x:c r="O321" s="8"/>
      <x:c r="P321" s="8" t="str">
        <x:v>https://xn--80aqeigdniq1k.xn--p1ai/</x:v>
      </x:c>
      <x:c r="Q321" s="8" t="str">
        <x:v>turn1184search9</x:v>
      </x:c>
    </x:row>
    <x:row r="322" ht="47.25" customHeight="1">
      <x:c r="A322" s="8" t="str">
        <x:v>V7-Scd7b4ae32a</x:v>
      </x:c>
      <x:c r="B322" s="8" t="str">
        <x:v>Коллеги, мы начали набор участников групп на финал VIII Всероссийского конкурса Мастер бизнес тренинга 2024 | Москва и Московская область</x:v>
      </x:c>
      <x:c r="C322" s="8" t="str">
        <x:v>Проектная работа и эксперты</x:v>
      </x:c>
      <x:c r="D322" s="8" t="str">
        <x:v>Найден профессиональный/образовательный контекст. Покупательские запросы и возможность сбора еще не проверены.</x:v>
      </x:c>
      <x:c r="E322" s="8" t="str">
        <x:v>Не установлена</x:v>
      </x:c>
      <x:c r="F322" s="8" t="str">
        <x:v>Сайт</x:v>
      </x:c>
      <x:c r="G322" s="8" t="str">
        <x:v>unverified_candidate</x:v>
      </x:c>
      <x:c r="H322" s="8" t="str">
        <x:v>Не проверен</x:v>
      </x:c>
      <x:c r="I322" s="8" t="str">
        <x:v>Не установлено</x:v>
      </x:c>
      <x:c r="J322" s="8" t="str">
        <x:v>Только контекст поиска</x:v>
      </x:c>
      <x:c r="K322" s="8" t="str">
        <x:v>Не установлено</x:v>
      </x:c>
      <x:c r="L322" s="8" t="str">
        <x:v>Не установлено</x:v>
      </x:c>
      <x:c r="M322" s="8" t="str">
        <x:v>Новый ключ источника</x:v>
      </x:c>
      <x:c r="N322" s="8" t="str">
        <x:v>Не установлено</x:v>
      </x:c>
      <x:c r="O322" s="8"/>
      <x:c r="P322" s="8" t="str">
        <x:v>https://biznes-trainer.orgs.biz/news/1632</x:v>
      </x:c>
      <x:c r="Q322" s="8" t="str">
        <x:v>turn1104search24</x:v>
      </x:c>
    </x:row>
    <x:row r="323" ht="47.25" customHeight="1">
      <x:c r="A323" s="8" t="str">
        <x:v>V7-Sfba8fccd2c</x:v>
      </x:c>
      <x:c r="B323" s="8" t="str">
        <x:v>Блог сообщества e-Learning PRO: Возможности Телеграм для разработчиков курсов, преподавателей и профессиональных сообществ</x:v>
      </x:c>
      <x:c r="C323" s="8" t="str">
        <x:v>Проектная работа и эксперты</x:v>
      </x:c>
      <x:c r="D323" s="8" t="str">
        <x:v>Найден профессиональный/образовательный контекст. Покупательские запросы и возможность сбора еще не проверены.</x:v>
      </x:c>
      <x:c r="E323" s="8" t="str">
        <x:v>Не установлена</x:v>
      </x:c>
      <x:c r="F323" s="8" t="str">
        <x:v>Сайт</x:v>
      </x:c>
      <x:c r="G323" s="8" t="str">
        <x:v>unverified_candidate</x:v>
      </x:c>
      <x:c r="H323" s="8" t="str">
        <x:v>Не проверен</x:v>
      </x:c>
      <x:c r="I323" s="8" t="str">
        <x:v>Не установлено</x:v>
      </x:c>
      <x:c r="J323" s="8" t="str">
        <x:v>Только контекст поиска</x:v>
      </x:c>
      <x:c r="K323" s="8" t="str">
        <x:v>Не установлено</x:v>
      </x:c>
      <x:c r="L323" s="8" t="str">
        <x:v>Не установлено</x:v>
      </x:c>
      <x:c r="M323" s="8" t="str">
        <x:v>Новый ключ источника</x:v>
      </x:c>
      <x:c r="N323" s="8" t="str">
        <x:v>Не установлено</x:v>
      </x:c>
      <x:c r="O323" s="8"/>
      <x:c r="P323" s="8" t="str">
        <x:v>https://e-lpro.blogspot.com/2018/02/blog-post_14.html</x:v>
      </x:c>
      <x:c r="Q323" s="8" t="str">
        <x:v>turn1184search8</x:v>
      </x:c>
    </x:row>
    <x:row r="324" ht="35.25" customHeight="1">
      <x:c r="A324" s="8" t="str">
        <x:v>V7-S7bed540412</x:v>
      </x:c>
      <x:c r="B324" s="8" t="str">
        <x:v>Методист онлайн-обучения (педагогический дизайнер) в IT — Твой центр карьеры онлайн</x:v>
      </x:c>
      <x:c r="C324" s="8" t="str">
        <x:v>Проектная работа и эксперты</x:v>
      </x:c>
      <x:c r="D324" s="8" t="str">
        <x:v>Найден профессиональный/образовательный контекст. Покупательские запросы и возможность сбора еще не проверены.</x:v>
      </x:c>
      <x:c r="E324" s="8" t="str">
        <x:v>RU</x:v>
      </x:c>
      <x:c r="F324" s="8" t="str">
        <x:v>Сайт</x:v>
      </x:c>
      <x:c r="G324" s="8" t="str">
        <x:v>unverified_candidate</x:v>
      </x:c>
      <x:c r="H324" s="8" t="str">
        <x:v>Не проверен</x:v>
      </x:c>
      <x:c r="I324" s="8" t="str">
        <x:v>Не установлено</x:v>
      </x:c>
      <x:c r="J324" s="8" t="str">
        <x:v>Только контекст поиска</x:v>
      </x:c>
      <x:c r="K324" s="8" t="str">
        <x:v>Не установлено</x:v>
      </x:c>
      <x:c r="L324" s="8" t="str">
        <x:v>Не установлено</x:v>
      </x:c>
      <x:c r="M324" s="8" t="str">
        <x:v>Новый ключ источника</x:v>
      </x:c>
      <x:c r="N324" s="8" t="str">
        <x:v>Не установлено</x:v>
      </x:c>
      <x:c r="O324" s="8"/>
      <x:c r="P324" s="8" t="str">
        <x:v>https://embit.ru/job/metodist-onlajn-obucheniya-pedagogicheskij-dizajner-v-it/</x:v>
      </x:c>
      <x:c r="Q324" s="8" t="str">
        <x:v>turn1208search9</x:v>
      </x:c>
    </x:row>
    <x:row r="325" ht="47.25" customHeight="1">
      <x:c r="A325" s="8" t="str">
        <x:v>V7-S27ea8ce566</x:v>
      </x:c>
      <x:c r="B325" s="8" t="str">
        <x:v>Рынок корпоративного образования для топ-менеджеров: спрос растет, общий язык еще создается</x:v>
      </x:c>
      <x:c r="C325" s="8" t="str">
        <x:v>Проектная работа и эксперты</x:v>
      </x:c>
      <x:c r="D325" s="8" t="str">
        <x:v>Найден профессиональный/образовательный контекст. Покупательские запросы и возможность сбора еще не проверены.</x:v>
      </x:c>
      <x:c r="E325" s="8" t="str">
        <x:v>RU</x:v>
      </x:c>
      <x:c r="F325" s="8" t="str">
        <x:v>Сайт</x:v>
      </x:c>
      <x:c r="G325" s="8" t="str">
        <x:v>unverified_candidate</x:v>
      </x:c>
      <x:c r="H325" s="8" t="str">
        <x:v>Не проверен</x:v>
      </x:c>
      <x:c r="I325" s="8" t="str">
        <x:v>Не установлено</x:v>
      </x:c>
      <x:c r="J325" s="8" t="str">
        <x:v>Только контекст поиска</x:v>
      </x:c>
      <x:c r="K325" s="8" t="str">
        <x:v>Не установлено</x:v>
      </x:c>
      <x:c r="L325" s="8" t="str">
        <x:v>Не установлено</x:v>
      </x:c>
      <x:c r="M325" s="8" t="str">
        <x:v>Новый ключ источника</x:v>
      </x:c>
      <x:c r="N325" s="8" t="str">
        <x:v>Не установлено</x:v>
      </x:c>
      <x:c r="O325" s="8"/>
      <x:c r="P325" s="8" t="str">
        <x:v>https://ftp.skolkovo.ru/web_team/ExEd/file/%D0%9F%D1%83%D0%B1%D0%BB%D0%B8%D1%87%D0%BD%D1%8B%D0%B9%20%D0%BE%D1%82%D1%87%D0%B5%D1%82_ExEd%202025.pdf?bpmreplica=0&amp;bpmtrackid=3</x:v>
      </x:c>
      <x:c r="Q325" s="8" t="str">
        <x:v>turn1181search15</x:v>
      </x:c>
    </x:row>
    <x:row r="326" ht="35.25" customHeight="1">
      <x:c r="A326" s="8" t="str">
        <x:v>V7-S209ff33879</x:v>
      </x:c>
      <x:c r="B326" s="8" t="str">
        <x:v>Курс по систематизации бизнеса</x:v>
      </x:c>
      <x:c r="C326" s="8" t="str">
        <x:v>Проектная работа и эксперты</x:v>
      </x:c>
      <x:c r="D326" s="8" t="str">
        <x:v>Найден профессиональный/образовательный контекст. Покупательские запросы и возможность сбора еще не проверены.</x:v>
      </x:c>
      <x:c r="E326" s="8" t="str">
        <x:v>BY</x:v>
      </x:c>
      <x:c r="F326" s="8" t="str">
        <x:v>Сайт</x:v>
      </x:c>
      <x:c r="G326" s="8" t="str">
        <x:v>unverified_candidate</x:v>
      </x:c>
      <x:c r="H326" s="8" t="str">
        <x:v>Не проверен</x:v>
      </x:c>
      <x:c r="I326" s="8" t="str">
        <x:v>Не установлено</x:v>
      </x:c>
      <x:c r="J326" s="8" t="str">
        <x:v>Только контекст поиска</x:v>
      </x:c>
      <x:c r="K326" s="8" t="str">
        <x:v>Не установлено</x:v>
      </x:c>
      <x:c r="L326" s="8" t="str">
        <x:v>Не установлено</x:v>
      </x:c>
      <x:c r="M326" s="8" t="str">
        <x:v>Новый ключ источника</x:v>
      </x:c>
      <x:c r="N326" s="8" t="str">
        <x:v>Не установлено</x:v>
      </x:c>
      <x:c r="O326" s="8"/>
      <x:c r="P326" s="8" t="str">
        <x:v>https://gale.by/services/systems-business</x:v>
      </x:c>
      <x:c r="Q326" s="8" t="str">
        <x:v>turn1096search10</x:v>
      </x:c>
    </x:row>
    <x:row r="327" ht="35.25" customHeight="1">
      <x:c r="A327" s="8" t="str">
        <x:v>V7-S74f5c652a4</x:v>
      </x:c>
      <x:c r="B327" s="8" t="str">
        <x:v>Учись учить — тренинг тренеров. Коучинг</x:v>
      </x:c>
      <x:c r="C327" s="8" t="str">
        <x:v>Проектная работа и эксперты</x:v>
      </x:c>
      <x:c r="D327" s="8" t="str">
        <x:v>Найден профессиональный/образовательный контекст. Покупательские запросы и возможность сбора еще не проверены.</x:v>
      </x:c>
      <x:c r="E327" s="8" t="str">
        <x:v>KZ</x:v>
      </x:c>
      <x:c r="F327" s="8" t="str">
        <x:v>Сайт</x:v>
      </x:c>
      <x:c r="G327" s="8" t="str">
        <x:v>unverified_candidate</x:v>
      </x:c>
      <x:c r="H327" s="8" t="str">
        <x:v>Не проверен</x:v>
      </x:c>
      <x:c r="I327" s="8" t="str">
        <x:v>Не установлено</x:v>
      </x:c>
      <x:c r="J327" s="8" t="str">
        <x:v>Только контекст поиска</x:v>
      </x:c>
      <x:c r="K327" s="8" t="str">
        <x:v>Не установлено</x:v>
      </x:c>
      <x:c r="L327" s="8" t="str">
        <x:v>Не установлено</x:v>
      </x:c>
      <x:c r="M327" s="8" t="str">
        <x:v>Новый ключ источника</x:v>
      </x:c>
      <x:c r="N327" s="8" t="str">
        <x:v>Не установлено</x:v>
      </x:c>
      <x:c r="O327" s="8"/>
      <x:c r="P327" s="8" t="str">
        <x:v>https://mbschool.kz/seminars/personal-performance/uchis_uchit_trening_trenerov_kouching/</x:v>
      </x:c>
      <x:c r="Q327" s="8" t="str">
        <x:v>turn1095search13</x:v>
      </x:c>
    </x:row>
    <x:row r="328" ht="35.25" customHeight="1">
      <x:c r="A328" s="8" t="str">
        <x:v>V7-S1a6ca8356a</x:v>
      </x:c>
      <x:c r="B328" s="8" t="str">
        <x:v>Корпоративный тренер — вакансия в Сбер | naraboty</x:v>
      </x:c>
      <x:c r="C328" s="8" t="str">
        <x:v>Проектная работа и эксперты</x:v>
      </x:c>
      <x:c r="D328" s="8" t="str">
        <x:v>Найден профессиональный/образовательный контекст. Покупательские запросы и возможность сбора еще не проверены.</x:v>
      </x:c>
      <x:c r="E328" s="8" t="str">
        <x:v>Не установлена</x:v>
      </x:c>
      <x:c r="F328" s="8" t="str">
        <x:v>Сайт</x:v>
      </x:c>
      <x:c r="G328" s="8" t="str">
        <x:v>unverified_candidate</x:v>
      </x:c>
      <x:c r="H328" s="8" t="str">
        <x:v>Не проверен</x:v>
      </x:c>
      <x:c r="I328" s="8" t="str">
        <x:v>Не установлено</x:v>
      </x:c>
      <x:c r="J328" s="8" t="str">
        <x:v>Только контекст поиска</x:v>
      </x:c>
      <x:c r="K328" s="8" t="str">
        <x:v>Не установлено</x:v>
      </x:c>
      <x:c r="L328" s="8" t="str">
        <x:v>Не установлено</x:v>
      </x:c>
      <x:c r="M328" s="8" t="str">
        <x:v>Новый ключ источника</x:v>
      </x:c>
      <x:c r="N328" s="8" t="str">
        <x:v>Не установлено</x:v>
      </x:c>
      <x:c r="O328" s="8"/>
      <x:c r="P328" s="8" t="str">
        <x:v>https://naraboty.online/vacancy/2928156-korporativnyy-trener</x:v>
      </x:c>
      <x:c r="Q328" s="8" t="str">
        <x:v>turn1181search5</x:v>
      </x:c>
    </x:row>
    <x:row r="329" ht="59.25" customHeight="1">
      <x:c r="A329" s="8" t="str">
        <x:v>V7-Sd31e5939e6</x:v>
      </x:c>
      <x:c r="B329" s="8" t="str">
        <x:v>Разработка программ обучения оффлайн и онлайн. Практикум по созданию курсов. Повышение квалификации - онлайн-курс от Moscow Business School в Беларуси</x:v>
      </x:c>
      <x:c r="C329" s="8" t="str">
        <x:v>Проектная работа и эксперты</x:v>
      </x:c>
      <x:c r="D329" s="8" t="str">
        <x:v>Найден профессиональный/образовательный контекст. Покупательские запросы и возможность сбора еще не проверены.</x:v>
      </x:c>
      <x:c r="E329" s="8" t="str">
        <x:v>Не установлена</x:v>
      </x:c>
      <x:c r="F329" s="8" t="str">
        <x:v>Сайт</x:v>
      </x:c>
      <x:c r="G329" s="8" t="str">
        <x:v>unverified_candidate</x:v>
      </x:c>
      <x:c r="H329" s="8" t="str">
        <x:v>Не проверен</x:v>
      </x:c>
      <x:c r="I329" s="8" t="str">
        <x:v>Не установлено</x:v>
      </x:c>
      <x:c r="J329" s="8" t="str">
        <x:v>Только контекст поиска</x:v>
      </x:c>
      <x:c r="K329" s="8" t="str">
        <x:v>Не установлено</x:v>
      </x:c>
      <x:c r="L329" s="8" t="str">
        <x:v>Не установлено</x:v>
      </x:c>
      <x:c r="M329" s="8" t="str">
        <x:v>Новый ключ источника</x:v>
      </x:c>
      <x:c r="N329" s="8" t="str">
        <x:v>Не установлено</x:v>
      </x:c>
      <x:c r="O329" s="8"/>
      <x:c r="P329" s="8" t="str">
        <x:v>https://okursah.com/by/s/moscow-business-school/c/razrabotka-programm-obucheniya-offlayn-i-onlayn-praktikum-po-sozdaniyu-kursov-povyshenie-kvalifikatsii</x:v>
      </x:c>
      <x:c r="Q329" s="8" t="str">
        <x:v>turn1096search11</x:v>
      </x:c>
    </x:row>
    <x:row r="330" ht="35.25" customHeight="1">
      <x:c r="A330" s="8" t="str">
        <x:v>V7-S0960799601</x:v>
      </x:c>
      <x:c r="B330" s="8" t="str">
        <x:v>Работа тренером - 52 вакансии в Санкт-Петербурге, Июнь 2026 | Rabix.ru</x:v>
      </x:c>
      <x:c r="C330" s="8" t="str">
        <x:v>Проектная работа и эксперты</x:v>
      </x:c>
      <x:c r="D330" s="8" t="str">
        <x:v>Найден профессиональный/образовательный контекст. Покупательские запросы и возможность сбора еще не проверены.</x:v>
      </x:c>
      <x:c r="E330" s="8" t="str">
        <x:v>RU</x:v>
      </x:c>
      <x:c r="F330" s="8" t="str">
        <x:v>Сайт</x:v>
      </x:c>
      <x:c r="G330" s="8" t="str">
        <x:v>unverified_candidate</x:v>
      </x:c>
      <x:c r="H330" s="8" t="str">
        <x:v>Не проверен</x:v>
      </x:c>
      <x:c r="I330" s="8" t="str">
        <x:v>Не установлено</x:v>
      </x:c>
      <x:c r="J330" s="8" t="str">
        <x:v>Только контекст поиска</x:v>
      </x:c>
      <x:c r="K330" s="8" t="str">
        <x:v>Не установлено</x:v>
      </x:c>
      <x:c r="L330" s="8" t="str">
        <x:v>Не установлено</x:v>
      </x:c>
      <x:c r="M330" s="8" t="str">
        <x:v>Новый ключ источника</x:v>
      </x:c>
      <x:c r="N330" s="8" t="str">
        <x:v>Не установлено</x:v>
      </x:c>
      <x:c r="O330" s="8"/>
      <x:c r="P330" s="8" t="str">
        <x:v>https://rabix.ru/city/spb/catalog/sport-beauty/trener/</x:v>
      </x:c>
      <x:c r="Q330" s="8" t="str">
        <x:v>turn1181search4</x:v>
      </x:c>
    </x:row>
    <x:row r="331" ht="47.25" customHeight="1">
      <x:c r="A331" s="8" t="str">
        <x:v>V7-Sd8ede5a813</x:v>
      </x:c>
      <x:c r="B331" s="8" t="str">
        <x:v>Бизнес-курсы, тренинги в Минске | Программа от〖РЕКТОР〗</x:v>
      </x:c>
      <x:c r="C331" s="8" t="str">
        <x:v>Проектная работа и эксперты</x:v>
      </x:c>
      <x:c r="D331" s="8" t="str">
        <x:v>Найден профессиональный/образовательный контекст. Покупательские запросы и возможность сбора еще не проверены.</x:v>
      </x:c>
      <x:c r="E331" s="8" t="str">
        <x:v>BY</x:v>
      </x:c>
      <x:c r="F331" s="8" t="str">
        <x:v>Сайт</x:v>
      </x:c>
      <x:c r="G331" s="8" t="str">
        <x:v>unverified_candidate</x:v>
      </x:c>
      <x:c r="H331" s="8" t="str">
        <x:v>Не проверен</x:v>
      </x:c>
      <x:c r="I331" s="8" t="str">
        <x:v>Не установлено</x:v>
      </x:c>
      <x:c r="J331" s="8" t="str">
        <x:v>Только контекст поиска</x:v>
      </x:c>
      <x:c r="K331" s="8" t="str">
        <x:v>Не установлено</x:v>
      </x:c>
      <x:c r="L331" s="8" t="str">
        <x:v>Не установлено</x:v>
      </x:c>
      <x:c r="M331" s="8" t="str">
        <x:v>Новый ключ источника</x:v>
      </x:c>
      <x:c r="N331" s="8" t="str">
        <x:v>Не установлено</x:v>
      </x:c>
      <x:c r="O331" s="8"/>
      <x:c r="P331" s="8" t="str">
        <x:v>https://rector.by/programs.html</x:v>
      </x:c>
      <x:c r="Q331" s="8" t="str">
        <x:v>turn1096search1; turn1085search7; turn1092search16; turn1096search0; turn1083search33; turn1092search29</x:v>
      </x:c>
    </x:row>
    <x:row r="332" ht="35.25" customHeight="1">
      <x:c r="A332" s="8" t="str">
        <x:v>V7-S55c8282b87</x:v>
      </x:c>
      <x:c r="B332" s="8" t="str">
        <x:v>Бизнес-тренинги под заказ, опыт более 15 лет</x:v>
      </x:c>
      <x:c r="C332" s="8" t="str">
        <x:v>Проектная работа и эксперты</x:v>
      </x:c>
      <x:c r="D332" s="8" t="str">
        <x:v>Найден профессиональный/образовательный контекст. Покупательские запросы и возможность сбора еще не проверены.</x:v>
      </x:c>
      <x:c r="E332" s="8" t="str">
        <x:v>BY</x:v>
      </x:c>
      <x:c r="F332" s="8" t="str">
        <x:v>Сайт</x:v>
      </x:c>
      <x:c r="G332" s="8" t="str">
        <x:v>unverified_candidate</x:v>
      </x:c>
      <x:c r="H332" s="8" t="str">
        <x:v>Не проверен</x:v>
      </x:c>
      <x:c r="I332" s="8" t="str">
        <x:v>Не установлено</x:v>
      </x:c>
      <x:c r="J332" s="8" t="str">
        <x:v>Только контекст поиска</x:v>
      </x:c>
      <x:c r="K332" s="8" t="str">
        <x:v>Не установлено</x:v>
      </x:c>
      <x:c r="L332" s="8" t="str">
        <x:v>Не установлено</x:v>
      </x:c>
      <x:c r="M332" s="8" t="str">
        <x:v>Новый ключ источника</x:v>
      </x:c>
      <x:c r="N332" s="8" t="str">
        <x:v>Не установлено</x:v>
      </x:c>
      <x:c r="O332" s="8"/>
      <x:c r="P332" s="8" t="str">
        <x:v>https://riard.by/specproekty/training/corporate-sales-training</x:v>
      </x:c>
      <x:c r="Q332" s="8" t="str">
        <x:v>turn1096search2; turn1096search5</x:v>
      </x:c>
    </x:row>
    <x:row r="333" ht="47.25" customHeight="1">
      <x:c r="A333" s="8" t="str">
        <x:v>V7-Sebb3bcad8d</x:v>
      </x:c>
      <x:c r="B333" s="8" t="str">
        <x:v>Курс «Профессия Наставничество и управленческий коучинг»: онлайн-обучение от Skillbox в Казахстане</x:v>
      </x:c>
      <x:c r="C333" s="8" t="str">
        <x:v>Проектная работа и эксперты</x:v>
      </x:c>
      <x:c r="D333" s="8" t="str">
        <x:v>Найден профессиональный/образовательный контекст. Покупательские запросы и возможность сбора еще не проверены.</x:v>
      </x:c>
      <x:c r="E333" s="8" t="str">
        <x:v>KZ</x:v>
      </x:c>
      <x:c r="F333" s="8" t="str">
        <x:v>Сайт</x:v>
      </x:c>
      <x:c r="G333" s="8" t="str">
        <x:v>unverified_candidate</x:v>
      </x:c>
      <x:c r="H333" s="8" t="str">
        <x:v>Не проверен</x:v>
      </x:c>
      <x:c r="I333" s="8" t="str">
        <x:v>Не установлено</x:v>
      </x:c>
      <x:c r="J333" s="8" t="str">
        <x:v>Только контекст поиска</x:v>
      </x:c>
      <x:c r="K333" s="8" t="str">
        <x:v>Не установлено</x:v>
      </x:c>
      <x:c r="L333" s="8" t="str">
        <x:v>Не установлено</x:v>
      </x:c>
      <x:c r="M333" s="8" t="str">
        <x:v>Новый ключ источника</x:v>
      </x:c>
      <x:c r="N333" s="8" t="str">
        <x:v>Не установлено</x:v>
      </x:c>
      <x:c r="O333" s="8"/>
      <x:c r="P333" s="8" t="str">
        <x:v>https://skillbox.kz/course/mentoring-coaching-training/</x:v>
      </x:c>
      <x:c r="Q333" s="8" t="str">
        <x:v>turn1095search5</x:v>
      </x:c>
    </x:row>
    <x:row r="334" ht="35.25" customHeight="1">
      <x:c r="A334" s="8" t="str">
        <x:v>V7-S361ab22bb8</x:v>
      </x:c>
      <x:c r="B334" s="8" t="str">
        <x:v>HR-ШТАБ | TSQ Consulting | ТСК Консалтинг – Telegram</x:v>
      </x:c>
      <x:c r="C334" s="8" t="str">
        <x:v>Проектная работа и эксперты</x:v>
      </x:c>
      <x:c r="D334" s="8" t="str">
        <x:v>Найден профессиональный/образовательный контекст. Покупательские запросы и возможность сбора еще не проверены.</x:v>
      </x:c>
      <x:c r="E334" s="8" t="str">
        <x:v>Не установлена</x:v>
      </x:c>
      <x:c r="F334" s="8" t="str">
        <x:v>Telegram</x:v>
      </x:c>
      <x:c r="G334" s="8" t="str">
        <x:v>unverified_candidate</x:v>
      </x:c>
      <x:c r="H334" s="8" t="str">
        <x:v>Не проверен</x:v>
      </x:c>
      <x:c r="I334" s="8" t="str">
        <x:v>Не установлено</x:v>
      </x:c>
      <x:c r="J334" s="8" t="str">
        <x:v>Только контекст поиска</x:v>
      </x:c>
      <x:c r="K334" s="8" t="str">
        <x:v>Не установлено</x:v>
      </x:c>
      <x:c r="L334" s="8" t="str">
        <x:v>Не установлено</x:v>
      </x:c>
      <x:c r="M334" s="8" t="str">
        <x:v>Новый ключ источника</x:v>
      </x:c>
      <x:c r="N334" s="8" t="str">
        <x:v>Не установлено</x:v>
      </x:c>
      <x:c r="O334" s="8"/>
      <x:c r="P334" s="8" t="str">
        <x:v>https://t.me/s/emergency_HR?after=294</x:v>
      </x:c>
      <x:c r="Q334" s="8" t="str">
        <x:v>turn1096search17; turn1096search16</x:v>
      </x:c>
    </x:row>
    <x:row r="335" ht="35.25" customHeight="1">
      <x:c r="A335" s="8" t="str">
        <x:v>V7-S6ca06a56b5</x:v>
      </x:c>
      <x:c r="B335" s="8" t="str">
        <x:v>Обучение не для галочки: А.С.Консалт A.S.Consult</x:v>
      </x:c>
      <x:c r="C335" s="8" t="str">
        <x:v>Проектная работа и эксперты</x:v>
      </x:c>
      <x:c r="D335" s="8" t="str">
        <x:v>Найден профессиональный/образовательный контекст. Покупательские запросы и возможность сбора еще не проверены.</x:v>
      </x:c>
      <x:c r="E335" s="8" t="str">
        <x:v>RU</x:v>
      </x:c>
      <x:c r="F335" s="8" t="str">
        <x:v>Сайт</x:v>
      </x:c>
      <x:c r="G335" s="8" t="str">
        <x:v>unverified_candidate</x:v>
      </x:c>
      <x:c r="H335" s="8" t="str">
        <x:v>Не проверен</x:v>
      </x:c>
      <x:c r="I335" s="8" t="str">
        <x:v>Не установлено</x:v>
      </x:c>
      <x:c r="J335" s="8" t="str">
        <x:v>Только контекст поиска</x:v>
      </x:c>
      <x:c r="K335" s="8" t="str">
        <x:v>Не установлено</x:v>
      </x:c>
      <x:c r="L335" s="8" t="str">
        <x:v>Не установлено</x:v>
      </x:c>
      <x:c r="M335" s="8" t="str">
        <x:v>Новый ключ источника</x:v>
      </x:c>
      <x:c r="N335" s="8" t="str">
        <x:v>Не установлено</x:v>
      </x:c>
      <x:c r="O335" s="8"/>
      <x:c r="P335" s="8" t="str">
        <x:v>https://ttic.ru/obrazovanie/solomatin_asconsult.html</x:v>
      </x:c>
      <x:c r="Q335" s="8" t="str">
        <x:v>turn1104search16; turn1104search25; turn1104search26</x:v>
      </x:c>
    </x:row>
    <x:row r="336" ht="35.25" customHeight="1">
      <x:c r="A336" s="8" t="str">
        <x:v>V7-S835fae84dc</x:v>
      </x:c>
      <x:c r="B336" s="8" t="str">
        <x:v>Корпоративное обучение под задачи бизнеса — А.С.Консалт</x:v>
      </x:c>
      <x:c r="C336" s="8" t="str">
        <x:v>Проектная работа и эксперты</x:v>
      </x:c>
      <x:c r="D336" s="8" t="str">
        <x:v>Найден профессиональный/образовательный контекст. Покупательские запросы и возможность сбора еще не проверены.</x:v>
      </x:c>
      <x:c r="E336" s="8" t="str">
        <x:v>RU</x:v>
      </x:c>
      <x:c r="F336" s="8" t="str">
        <x:v>Сайт</x:v>
      </x:c>
      <x:c r="G336" s="8" t="str">
        <x:v>unverified_candidate</x:v>
      </x:c>
      <x:c r="H336" s="8" t="str">
        <x:v>Не проверен</x:v>
      </x:c>
      <x:c r="I336" s="8" t="str">
        <x:v>Не установлено</x:v>
      </x:c>
      <x:c r="J336" s="8" t="str">
        <x:v>Только контекст поиска</x:v>
      </x:c>
      <x:c r="K336" s="8" t="str">
        <x:v>Не установлено</x:v>
      </x:c>
      <x:c r="L336" s="8" t="str">
        <x:v>Не установлено</x:v>
      </x:c>
      <x:c r="M336" s="8" t="str">
        <x:v>Новый ключ источника</x:v>
      </x:c>
      <x:c r="N336" s="8" t="str">
        <x:v>Не установлено</x:v>
      </x:c>
      <x:c r="O336" s="8"/>
      <x:c r="P336" s="8" t="str">
        <x:v>https://asconsult.ru/</x:v>
      </x:c>
      <x:c r="Q336" s="8" t="str">
        <x:v>turn1095search31</x:v>
      </x:c>
    </x:row>
    <x:row r="337" ht="35.25" customHeight="1">
      <x:c r="A337" s="8" t="str">
        <x:v>V7-Sabaaa06bcd</x:v>
      </x:c>
      <x:c r="B337" s="8" t="str">
        <x:v>Нейросети в Закупках — Корпоративный тренинг Николая Лукши | baza2b.ru</x:v>
      </x:c>
      <x:c r="C337" s="8" t="str">
        <x:v>Проектная работа и эксперты</x:v>
      </x:c>
      <x:c r="D337" s="8" t="str">
        <x:v>Найден профессиональный/образовательный контекст. Покупательские запросы и возможность сбора еще не проверены.</x:v>
      </x:c>
      <x:c r="E337" s="8" t="str">
        <x:v>RU</x:v>
      </x:c>
      <x:c r="F337" s="8" t="str">
        <x:v>Сайт</x:v>
      </x:c>
      <x:c r="G337" s="8" t="str">
        <x:v>unverified_candidate</x:v>
      </x:c>
      <x:c r="H337" s="8" t="str">
        <x:v>Не проверен</x:v>
      </x:c>
      <x:c r="I337" s="8" t="str">
        <x:v>Не установлено</x:v>
      </x:c>
      <x:c r="J337" s="8" t="str">
        <x:v>Только контекст поиска</x:v>
      </x:c>
      <x:c r="K337" s="8" t="str">
        <x:v>Не установлено</x:v>
      </x:c>
      <x:c r="L337" s="8" t="str">
        <x:v>Не установлено</x:v>
      </x:c>
      <x:c r="M337" s="8" t="str">
        <x:v>Новый ключ источника</x:v>
      </x:c>
      <x:c r="N337" s="8" t="str">
        <x:v>Не установлено</x:v>
      </x:c>
      <x:c r="O337" s="8"/>
      <x:c r="P337" s="8" t="str">
        <x:v>https://baza2b.ru/</x:v>
      </x:c>
      <x:c r="Q337" s="8" t="str">
        <x:v>turn1095search34</x:v>
      </x:c>
    </x:row>
    <x:row r="338" ht="35.25" customHeight="1">
      <x:c r="A338" s="8" t="str">
        <x:v>V7-S755b2306e3</x:v>
      </x:c>
      <x:c r="B338" s="8" t="str">
        <x:v>Бизнес-тренинги и семинары</x:v>
      </x:c>
      <x:c r="C338" s="8" t="str">
        <x:v>Проектная работа и эксперты</x:v>
      </x:c>
      <x:c r="D338" s="8" t="str">
        <x:v>Найден профессиональный/образовательный контекст. Покупательские запросы и возможность сбора еще не проверены.</x:v>
      </x:c>
      <x:c r="E338" s="8" t="str">
        <x:v>RU</x:v>
      </x:c>
      <x:c r="F338" s="8" t="str">
        <x:v>Сайт</x:v>
      </x:c>
      <x:c r="G338" s="8" t="str">
        <x:v>unverified_candidate</x:v>
      </x:c>
      <x:c r="H338" s="8" t="str">
        <x:v>Не проверен</x:v>
      </x:c>
      <x:c r="I338" s="8" t="str">
        <x:v>Не установлено</x:v>
      </x:c>
      <x:c r="J338" s="8" t="str">
        <x:v>Только контекст поиска</x:v>
      </x:c>
      <x:c r="K338" s="8" t="str">
        <x:v>Не установлено</x:v>
      </x:c>
      <x:c r="L338" s="8" t="str">
        <x:v>Не установлено</x:v>
      </x:c>
      <x:c r="M338" s="8" t="str">
        <x:v>Новый ключ источника</x:v>
      </x:c>
      <x:c r="N338" s="8" t="str">
        <x:v>Не установлено</x:v>
      </x:c>
      <x:c r="O338" s="8"/>
      <x:c r="P338" s="8" t="str">
        <x:v>https://www.betri.ru/treningi</x:v>
      </x:c>
      <x:c r="Q338" s="8" t="str">
        <x:v>turn1095search32</x:v>
      </x:c>
    </x:row>
    <x:row r="339" ht="35.25" customHeight="1">
      <x:c r="A339" s="8" t="str">
        <x:v>V7-S60d02c168f</x:v>
      </x:c>
      <x:c r="B339" s="8" t="str">
        <x:v>Упаковка онлайн-курса под ключ за 5 дней — AI делает за вас | FLOW</x:v>
      </x:c>
      <x:c r="C339" s="8" t="str">
        <x:v>Проектная работа и эксперты</x:v>
      </x:c>
      <x:c r="D339" s="8" t="str">
        <x:v>Найден профессиональный/образовательный контекст. Покупательские запросы и возможность сбора еще не проверены.</x:v>
      </x:c>
      <x:c r="E339" s="8" t="str">
        <x:v>BY</x:v>
      </x:c>
      <x:c r="F339" s="8" t="str">
        <x:v>Сайт</x:v>
      </x:c>
      <x:c r="G339" s="8" t="str">
        <x:v>unverified_candidate</x:v>
      </x:c>
      <x:c r="H339" s="8" t="str">
        <x:v>Не проверен</x:v>
      </x:c>
      <x:c r="I339" s="8" t="str">
        <x:v>Не установлено</x:v>
      </x:c>
      <x:c r="J339" s="8" t="str">
        <x:v>Только контекст поиска</x:v>
      </x:c>
      <x:c r="K339" s="8" t="str">
        <x:v>Не установлено</x:v>
      </x:c>
      <x:c r="L339" s="8" t="str">
        <x:v>Не установлено</x:v>
      </x:c>
      <x:c r="M339" s="8" t="str">
        <x:v>Новый ключ источника</x:v>
      </x:c>
      <x:c r="N339" s="8" t="str">
        <x:v>Не установлено</x:v>
      </x:c>
      <x:c r="O339" s="8"/>
      <x:c r="P339" s="8" t="str">
        <x:v>https://flowup.by/creators</x:v>
      </x:c>
      <x:c r="Q339" s="8" t="str">
        <x:v>turn1096search4; turn1089search15; turn1089search24</x:v>
      </x:c>
    </x:row>
    <x:row r="340" ht="35.25" customHeight="1">
      <x:c r="A340" s="8" t="str">
        <x:v>V7-S3f36efdcc4</x:v>
      </x:c>
      <x:c r="B340" s="8" t="str">
        <x:v>Бизнес обучение и консалтинг</x:v>
      </x:c>
      <x:c r="C340" s="8" t="str">
        <x:v>Проектная работа и эксперты</x:v>
      </x:c>
      <x:c r="D340" s="8" t="str">
        <x:v>Найден профессиональный/образовательный контекст. Покупательские запросы и возможность сбора еще не проверены.</x:v>
      </x:c>
      <x:c r="E340" s="8" t="str">
        <x:v>BY</x:v>
      </x:c>
      <x:c r="F340" s="8" t="str">
        <x:v>Сайт</x:v>
      </x:c>
      <x:c r="G340" s="8" t="str">
        <x:v>unverified_candidate</x:v>
      </x:c>
      <x:c r="H340" s="8" t="str">
        <x:v>Не проверен</x:v>
      </x:c>
      <x:c r="I340" s="8" t="str">
        <x:v>Не установлено</x:v>
      </x:c>
      <x:c r="J340" s="8" t="str">
        <x:v>Только контекст поиска</x:v>
      </x:c>
      <x:c r="K340" s="8" t="str">
        <x:v>Не установлено</x:v>
      </x:c>
      <x:c r="L340" s="8" t="str">
        <x:v>Не установлено</x:v>
      </x:c>
      <x:c r="M340" s="8" t="str">
        <x:v>Новый ключ источника</x:v>
      </x:c>
      <x:c r="N340" s="8" t="str">
        <x:v>Не установлено</x:v>
      </x:c>
      <x:c r="O340" s="8"/>
      <x:c r="P340" s="8" t="str">
        <x:v>https://ihca.by/business</x:v>
      </x:c>
      <x:c r="Q340" s="8" t="str">
        <x:v>turn1096search7; turn1092search6</x:v>
      </x:c>
    </x:row>
    <x:row r="341" ht="59.25" customHeight="1">
      <x:c r="A341" s="8" t="str">
        <x:v>V7-Sb941333e4a</x:v>
      </x:c>
      <x:c r="B341" s="8" t="str">
        <x:v>Проект «Бастау Бизнес» стартует в 160 районах и моногородах — НПП «Атамекен» - Официальный информационный ресурс Премьер-министра Республики Казахстан</x:v>
      </x:c>
      <x:c r="C341" s="8" t="str">
        <x:v>Проектная работа и эксперты</x:v>
      </x:c>
      <x:c r="D341" s="8" t="str">
        <x:v>Найден профессиональный/образовательный контекст. Покупательские запросы и возможность сбора еще не проверены.</x:v>
      </x:c>
      <x:c r="E341" s="8" t="str">
        <x:v>KZ</x:v>
      </x:c>
      <x:c r="F341" s="8" t="str">
        <x:v>Сайт</x:v>
      </x:c>
      <x:c r="G341" s="8" t="str">
        <x:v>unverified_candidate</x:v>
      </x:c>
      <x:c r="H341" s="8" t="str">
        <x:v>Не проверен</x:v>
      </x:c>
      <x:c r="I341" s="8" t="str">
        <x:v>Не установлено</x:v>
      </x:c>
      <x:c r="J341" s="8" t="str">
        <x:v>Только контекст поиска</x:v>
      </x:c>
      <x:c r="K341" s="8" t="str">
        <x:v>Не установлено</x:v>
      </x:c>
      <x:c r="L341" s="8" t="str">
        <x:v>Не установлено</x:v>
      </x:c>
      <x:c r="M341" s="8" t="str">
        <x:v>Новый ключ источника</x:v>
      </x:c>
      <x:c r="N341" s="8" t="str">
        <x:v>Не установлено</x:v>
      </x:c>
      <x:c r="O341" s="8"/>
      <x:c r="P341" s="8" t="str">
        <x:v>https://primeminister.kz/ru/news/proekt-bastau-biznes-startuet-v-160-raionah-i-monogorodah-npp-atameken-16289</x:v>
      </x:c>
      <x:c r="Q341" s="8" t="str">
        <x:v>turn1095search6</x:v>
      </x:c>
    </x:row>
    <x:row r="342" ht="35.25" customHeight="1">
      <x:c r="A342" s="8" t="str">
        <x:v>V7-Sbfc97f4ecf</x:v>
      </x:c>
      <x:c r="B342" s="8" t="str">
        <x:v>Курс коучинга в Минске по 720р обучение бизнес-коучингу с сертификатом МШП</x:v>
      </x:c>
      <x:c r="C342" s="8" t="str">
        <x:v>Проектная работа и эксперты</x:v>
      </x:c>
      <x:c r="D342" s="8" t="str">
        <x:v>Найден профессиональный/образовательный контекст. Покупательские запросы и возможность сбора еще не проверены.</x:v>
      </x:c>
      <x:c r="E342" s="8" t="str">
        <x:v>BY</x:v>
      </x:c>
      <x:c r="F342" s="8" t="str">
        <x:v>Сайт</x:v>
      </x:c>
      <x:c r="G342" s="8" t="str">
        <x:v>unverified_candidate</x:v>
      </x:c>
      <x:c r="H342" s="8" t="str">
        <x:v>Не проверен</x:v>
      </x:c>
      <x:c r="I342" s="8" t="str">
        <x:v>Не установлено</x:v>
      </x:c>
      <x:c r="J342" s="8" t="str">
        <x:v>Только контекст поиска</x:v>
      </x:c>
      <x:c r="K342" s="8" t="str">
        <x:v>Не установлено</x:v>
      </x:c>
      <x:c r="L342" s="8" t="str">
        <x:v>Не установлено</x:v>
      </x:c>
      <x:c r="M342" s="8" t="str">
        <x:v>Новый ключ источника</x:v>
      </x:c>
      <x:c r="N342" s="8" t="str">
        <x:v>Не установлено</x:v>
      </x:c>
      <x:c r="O342" s="8"/>
      <x:c r="P342" s="8" t="str">
        <x:v>https://spbsot.by/psychology/training-of-trainers</x:v>
      </x:c>
      <x:c r="Q342" s="8" t="str">
        <x:v>turn1096search3</x:v>
      </x:c>
    </x:row>
    <x:row r="343" ht="35.25" customHeight="1">
      <x:c r="A343" s="8" t="str">
        <x:v>V7-Sa9eba8c976</x:v>
      </x:c>
      <x:c r="B343" s="8" t="str">
        <x:v>Бизнес-тренер Александр Москаленко – Telegram</x:v>
      </x:c>
      <x:c r="C343" s="8" t="str">
        <x:v>Проектная работа и эксперты</x:v>
      </x:c>
      <x:c r="D343" s="8" t="str">
        <x:v>Найден профессиональный/образовательный контекст. Покупательские запросы и возможность сбора еще не проверены.</x:v>
      </x:c>
      <x:c r="E343" s="8" t="str">
        <x:v>Не установлена</x:v>
      </x:c>
      <x:c r="F343" s="8" t="str">
        <x:v>Telegram</x:v>
      </x:c>
      <x:c r="G343" s="8" t="str">
        <x:v>unverified_candidate</x:v>
      </x:c>
      <x:c r="H343" s="8" t="str">
        <x:v>Не проверен</x:v>
      </x:c>
      <x:c r="I343" s="8" t="str">
        <x:v>Не установлено</x:v>
      </x:c>
      <x:c r="J343" s="8" t="str">
        <x:v>Только контекст поиска</x:v>
      </x:c>
      <x:c r="K343" s="8" t="str">
        <x:v>Не установлено</x:v>
      </x:c>
      <x:c r="L343" s="8" t="str">
        <x:v>Не установлено</x:v>
      </x:c>
      <x:c r="M343" s="8" t="str">
        <x:v>Новый ключ источника</x:v>
      </x:c>
      <x:c r="N343" s="8" t="str">
        <x:v>Не установлено</x:v>
      </x:c>
      <x:c r="O343" s="8"/>
      <x:c r="P343" s="8" t="str">
        <x:v>https://t.me/s/coachmoskalenko?before=270</x:v>
      </x:c>
      <x:c r="Q343" s="8" t="str">
        <x:v>turn1096search12</x:v>
      </x:c>
    </x:row>
    <x:row r="344" ht="35.25" customHeight="1">
      <x:c r="A344" s="8" t="str">
        <x:v>V7-S0f7e006d84</x:v>
      </x:c>
      <x:c r="B344" s="8" t="str">
        <x:v>Образование 4.0 – Telegram</x:v>
      </x:c>
      <x:c r="C344" s="8" t="str">
        <x:v>Проектная работа и эксперты</x:v>
      </x:c>
      <x:c r="D344" s="8" t="str">
        <x:v>Найден профессиональный/образовательный контекст. Покупательские запросы и возможность сбора еще не проверены.</x:v>
      </x:c>
      <x:c r="E344" s="8" t="str">
        <x:v>Не установлена</x:v>
      </x:c>
      <x:c r="F344" s="8" t="str">
        <x:v>Telegram</x:v>
      </x:c>
      <x:c r="G344" s="8" t="str">
        <x:v>unverified_candidate</x:v>
      </x:c>
      <x:c r="H344" s="8" t="str">
        <x:v>Не проверен</x:v>
      </x:c>
      <x:c r="I344" s="8" t="str">
        <x:v>Не установлено</x:v>
      </x:c>
      <x:c r="J344" s="8" t="str">
        <x:v>Только контекст поиска</x:v>
      </x:c>
      <x:c r="K344" s="8" t="str">
        <x:v>Не установлено</x:v>
      </x:c>
      <x:c r="L344" s="8" t="str">
        <x:v>Не установлено</x:v>
      </x:c>
      <x:c r="M344" s="8" t="str">
        <x:v>Новый ключ источника</x:v>
      </x:c>
      <x:c r="N344" s="8" t="str">
        <x:v>Не установлено</x:v>
      </x:c>
      <x:c r="O344" s="8"/>
      <x:c r="P344" s="8" t="str">
        <x:v>https://t.me/s/skillbox_media_education?before=2807</x:v>
      </x:c>
      <x:c r="Q344" s="8" t="str">
        <x:v>turn1266search11</x:v>
      </x:c>
    </x:row>
    <x:row r="345" ht="35.25" customHeight="1">
      <x:c r="A345" s="8" t="str">
        <x:v>V7-S6949197321</x:v>
      </x:c>
      <x:c r="B345" s="8" t="str">
        <x:v>Корпоративное обучение сотрудников: обучение персонала | USIB</x:v>
      </x:c>
      <x:c r="C345" s="8" t="str">
        <x:v>Проектная работа и эксперты</x:v>
      </x:c>
      <x:c r="D345" s="8" t="str">
        <x:v>Найден профессиональный/образовательный контекст. Покупательские запросы и возможность сбора еще не проверены.</x:v>
      </x:c>
      <x:c r="E345" s="8" t="str">
        <x:v>RU</x:v>
      </x:c>
      <x:c r="F345" s="8" t="str">
        <x:v>Сайт</x:v>
      </x:c>
      <x:c r="G345" s="8" t="str">
        <x:v>unverified_candidate</x:v>
      </x:c>
      <x:c r="H345" s="8" t="str">
        <x:v>Не проверен</x:v>
      </x:c>
      <x:c r="I345" s="8" t="str">
        <x:v>Не установлено</x:v>
      </x:c>
      <x:c r="J345" s="8" t="str">
        <x:v>Только контекст поиска</x:v>
      </x:c>
      <x:c r="K345" s="8" t="str">
        <x:v>Не установлено</x:v>
      </x:c>
      <x:c r="L345" s="8" t="str">
        <x:v>Не установлено</x:v>
      </x:c>
      <x:c r="M345" s="8" t="str">
        <x:v>Новый ключ источника</x:v>
      </x:c>
      <x:c r="N345" s="8" t="str">
        <x:v>Не установлено</x:v>
      </x:c>
      <x:c r="O345" s="8"/>
      <x:c r="P345" s="8" t="str">
        <x:v>https://usib.ru/programmy/korporativnoe-obuchenie/korporativnoe_obuchenie</x:v>
      </x:c>
      <x:c r="Q345" s="8" t="str">
        <x:v>turn1095search20</x:v>
      </x:c>
    </x:row>
    <x:row r="346" ht="35.25" customHeight="1">
      <x:c r="A346" s="8" t="str">
        <x:v>V7-Sa5a9a116ab</x:v>
      </x:c>
      <x:c r="B346" s="8" t="str">
        <x:v>ПРИЛОЖЕНИЕ / ПРОГРАММА ФОРУМА</x:v>
      </x:c>
      <x:c r="C346" s="8" t="str">
        <x:v>Провайдеры и бизнес-школы</x:v>
      </x:c>
      <x:c r="D346" s="8" t="str">
        <x:v>Найден профессиональный/образовательный контекст. Покупательские запросы и возможность сбора еще не проверены.</x:v>
      </x:c>
      <x:c r="E346" s="8" t="str">
        <x:v>Не установлена</x:v>
      </x:c>
      <x:c r="F346" s="8" t="str">
        <x:v>Сайт</x:v>
      </x:c>
      <x:c r="G346" s="8" t="str">
        <x:v>unverified_candidate</x:v>
      </x:c>
      <x:c r="H346" s="8" t="str">
        <x:v>Не проверен</x:v>
      </x:c>
      <x:c r="I346" s="8" t="str">
        <x:v>Не установлено</x:v>
      </x:c>
      <x:c r="J346" s="8" t="str">
        <x:v>Только контекст поиска</x:v>
      </x:c>
      <x:c r="K346" s="8" t="str">
        <x:v>Не установлено</x:v>
      </x:c>
      <x:c r="L346" s="8" t="str">
        <x:v>Не установлено</x:v>
      </x:c>
      <x:c r="M346" s="8" t="str">
        <x:v>Новый ключ источника</x:v>
      </x:c>
      <x:c r="N346" s="8" t="str">
        <x:v>Не установлено</x:v>
      </x:c>
      <x:c r="O346" s="8"/>
      <x:c r="P346" s="8" t="str">
        <x:v>https://carececo.org/news/CAIEF-2018_report_rus.pdf</x:v>
      </x:c>
      <x:c r="Q346" s="8" t="str">
        <x:v>turn1107search39</x:v>
      </x:c>
    </x:row>
    <x:row r="347" ht="47.25" customHeight="1">
      <x:c r="A347" s="8" t="str">
        <x:v>V7-S21866ea2a6</x:v>
      </x:c>
      <x:c r="B347" s="8" t="str">
        <x:v>Кайсар Макан — Эксперт по стратегическим сессиям, фасилитации и обучению руководителей | Астана</x:v>
      </x:c>
      <x:c r="C347" s="8" t="str">
        <x:v>Провайдеры и бизнес-школы</x:v>
      </x:c>
      <x:c r="D347" s="8" t="str">
        <x:v>Найден профессиональный/образовательный контекст. Покупательские запросы и возможность сбора еще не проверены.</x:v>
      </x:c>
      <x:c r="E347" s="8" t="str">
        <x:v>KZ</x:v>
      </x:c>
      <x:c r="F347" s="8" t="str">
        <x:v>Сайт</x:v>
      </x:c>
      <x:c r="G347" s="8" t="str">
        <x:v>unverified_candidate</x:v>
      </x:c>
      <x:c r="H347" s="8" t="str">
        <x:v>Не проверен</x:v>
      </x:c>
      <x:c r="I347" s="8" t="str">
        <x:v>Не установлено</x:v>
      </x:c>
      <x:c r="J347" s="8" t="str">
        <x:v>Только контекст поиска</x:v>
      </x:c>
      <x:c r="K347" s="8" t="str">
        <x:v>Не установлено</x:v>
      </x:c>
      <x:c r="L347" s="8" t="str">
        <x:v>Не установлено</x:v>
      </x:c>
      <x:c r="M347" s="8" t="str">
        <x:v>Новый ключ источника</x:v>
      </x:c>
      <x:c r="N347" s="8" t="str">
        <x:v>Не установлено</x:v>
      </x:c>
      <x:c r="O347" s="8"/>
      <x:c r="P347" s="8" t="str">
        <x:v>https://makan.kz/</x:v>
      </x:c>
      <x:c r="Q347" s="8" t="str">
        <x:v>turn1090search30; turn1095search8</x:v>
      </x:c>
    </x:row>
    <x:row r="348" ht="47.25" customHeight="1">
      <x:c r="A348" s="8" t="str">
        <x:v>V7-Sc02a38e132</x:v>
      </x:c>
      <x:c r="B348" s="8" t="str">
        <x:v>Конференция Ассоциации выпускников МГИМО в Казахстане «Диалог поколений и общее пространство знаний»</x:v>
      </x:c>
      <x:c r="C348" s="8" t="str">
        <x:v>Провайдеры и бизнес-школы</x:v>
      </x:c>
      <x:c r="D348" s="8" t="str">
        <x:v>Найден профессиональный/образовательный контекст. Покупательские запросы и возможность сбора еще не проверены.</x:v>
      </x:c>
      <x:c r="E348" s="8" t="str">
        <x:v>KZ</x:v>
      </x:c>
      <x:c r="F348" s="8" t="str">
        <x:v>Сайт</x:v>
      </x:c>
      <x:c r="G348" s="8" t="str">
        <x:v>unverified_candidate</x:v>
      </x:c>
      <x:c r="H348" s="8" t="str">
        <x:v>Не проверен</x:v>
      </x:c>
      <x:c r="I348" s="8" t="str">
        <x:v>Не установлено</x:v>
      </x:c>
      <x:c r="J348" s="8" t="str">
        <x:v>Только контекст поиска</x:v>
      </x:c>
      <x:c r="K348" s="8" t="str">
        <x:v>Не установлено</x:v>
      </x:c>
      <x:c r="L348" s="8" t="str">
        <x:v>Не установлено</x:v>
      </x:c>
      <x:c r="M348" s="8" t="str">
        <x:v>Новый ключ источника</x:v>
      </x:c>
      <x:c r="N348" s="8" t="str">
        <x:v>Не установлено</x:v>
      </x:c>
      <x:c r="O348" s="8"/>
      <x:c r="P348" s="8" t="str">
        <x:v>https://mgimo.kz/ru/news/mgimo-alumni-association-conference-13-12-25</x:v>
      </x:c>
      <x:c r="Q348" s="8" t="str">
        <x:v>turn1107search13</x:v>
      </x:c>
    </x:row>
    <x:row r="349" ht="71.25" customHeight="1">
      <x:c r="A349" s="8" t="str">
        <x:v>V7-Se88ea1d46b</x:v>
      </x:c>
      <x:c r="B349" s="8" t="str">
        <x:v>Вакансия Преподаватель/ментор курсов направления Битрикс24 и 1С-Битрикс (администрирование/разработка) в Москве - работа в Центр компьютерного обучения СПЕЦИАЛИСТ при МГТУ им. Н.Э.Баумана</x:v>
      </x:c>
      <x:c r="C349" s="8" t="str">
        <x:v>Провайдеры и бизнес-школы</x:v>
      </x:c>
      <x:c r="D349" s="8" t="str">
        <x:v>Найден профессиональный/образовательный контекст. Покупательские запросы и возможность сбора еще не проверены.</x:v>
      </x:c>
      <x:c r="E349" s="8" t="str">
        <x:v>RU</x:v>
      </x:c>
      <x:c r="F349" s="8" t="str">
        <x:v>Сайт</x:v>
      </x:c>
      <x:c r="G349" s="8" t="str">
        <x:v>unverified_candidate</x:v>
      </x:c>
      <x:c r="H349" s="8" t="str">
        <x:v>Не проверен</x:v>
      </x:c>
      <x:c r="I349" s="8" t="str">
        <x:v>Не установлено</x:v>
      </x:c>
      <x:c r="J349" s="8" t="str">
        <x:v>Только контекст поиска</x:v>
      </x:c>
      <x:c r="K349" s="8" t="str">
        <x:v>Не установлено</x:v>
      </x:c>
      <x:c r="L349" s="8" t="str">
        <x:v>Не установлено</x:v>
      </x:c>
      <x:c r="M349" s="8" t="str">
        <x:v>Новый ключ источника</x:v>
      </x:c>
      <x:c r="N349" s="8" t="str">
        <x:v>Не установлено</x:v>
      </x:c>
      <x:c r="O349" s="8"/>
      <x:c r="P349" s="8" t="str">
        <x:v>https://careerist.ru/vakansii/prepodavatel-mentor-kursov-napravleniya-bitriks24-i-1s-bitriks-administrirovanie-razrabotka-77593728.html</x:v>
      </x:c>
      <x:c r="Q349" s="8" t="str">
        <x:v>turn1264search3; turn1181search9</x:v>
      </x:c>
    </x:row>
    <x:row r="350" ht="71.25" customHeight="1">
      <x:c r="A350" s="8" t="str">
        <x:v>V7-S74904a5a7b</x:v>
      </x:c>
      <x:c r="B350" s="8" t="str">
        <x:v>В качестве преподавателей и бизнес-тренеров будут приглашаться к сотрудничеству успешные руководители предприятий, бизнес-тренеры г. Комсомольска-на-Амуре, а также психологи и успешные работники местных организаций.</x:v>
      </x:c>
      <x:c r="C350" s="8" t="str">
        <x:v>Провайдеры и бизнес-школы</x:v>
      </x:c>
      <x:c r="D350" s="8" t="str">
        <x:v>Найден профессиональный/образовательный контекст. Покупательские запросы и возможность сбора еще не проверены.</x:v>
      </x:c>
      <x:c r="E350" s="8" t="str">
        <x:v>RU</x:v>
      </x:c>
      <x:c r="F350" s="8" t="str">
        <x:v>Сайт</x:v>
      </x:c>
      <x:c r="G350" s="8" t="str">
        <x:v>unverified_candidate</x:v>
      </x:c>
      <x:c r="H350" s="8" t="str">
        <x:v>Не проверен</x:v>
      </x:c>
      <x:c r="I350" s="8" t="str">
        <x:v>Не установлено</x:v>
      </x:c>
      <x:c r="J350" s="8" t="str">
        <x:v>Только контекст поиска</x:v>
      </x:c>
      <x:c r="K350" s="8" t="str">
        <x:v>Не установлено</x:v>
      </x:c>
      <x:c r="L350" s="8" t="str">
        <x:v>Не установлено</x:v>
      </x:c>
      <x:c r="M350" s="8" t="str">
        <x:v>Новый ключ источника</x:v>
      </x:c>
      <x:c r="N350" s="8" t="str">
        <x:v>Не установлено</x:v>
      </x:c>
      <x:c r="O350" s="8"/>
      <x:c r="P350" s="8" t="str">
        <x:v>https://knastu.ru/media/files/page_files/education/etf/skb/spb_business/proektnay_dokumentacia/Biznes-shkola__2021-2022.pdf</x:v>
      </x:c>
      <x:c r="Q350" s="8" t="str">
        <x:v>turn1092search36</x:v>
      </x:c>
    </x:row>
    <x:row r="351" ht="47.25" customHeight="1">
      <x:c r="A351" s="8" t="str">
        <x:v>V7-Sead0f48e42</x:v>
      </x:c>
      <x:c r="B351" s="8" t="str">
        <x:v>Мастер-класс для социальных предпринимателей, руководителей и преподавателей языковых студий - Мой Бизнес Пенза</x:v>
      </x:c>
      <x:c r="C351" s="8" t="str">
        <x:v>Провайдеры и бизнес-школы</x:v>
      </x:c>
      <x:c r="D351" s="8" t="str">
        <x:v>Найден профессиональный/образовательный контекст. Покупательские запросы и возможность сбора еще не проверены.</x:v>
      </x:c>
      <x:c r="E351" s="8" t="str">
        <x:v>RU</x:v>
      </x:c>
      <x:c r="F351" s="8" t="str">
        <x:v>Сайт</x:v>
      </x:c>
      <x:c r="G351" s="8" t="str">
        <x:v>unverified_candidate</x:v>
      </x:c>
      <x:c r="H351" s="8" t="str">
        <x:v>Не проверен</x:v>
      </x:c>
      <x:c r="I351" s="8" t="str">
        <x:v>Не установлено</x:v>
      </x:c>
      <x:c r="J351" s="8" t="str">
        <x:v>Только контекст поиска</x:v>
      </x:c>
      <x:c r="K351" s="8" t="str">
        <x:v>Не установлено</x:v>
      </x:c>
      <x:c r="L351" s="8" t="str">
        <x:v>Не установлено</x:v>
      </x:c>
      <x:c r="M351" s="8" t="str">
        <x:v>Новый ключ источника</x:v>
      </x:c>
      <x:c r="N351" s="8" t="str">
        <x:v>Не установлено</x:v>
      </x:c>
      <x:c r="O351" s="8"/>
      <x:c r="P351" s="8" t="str">
        <x:v>https://mbpenza.ru/events/master-klass-dlya-soczialnyh-predprinimatelej-rukovoditelej-i-prepodavatelej-yazykovyh-studij/</x:v>
      </x:c>
      <x:c r="Q351" s="8" t="str">
        <x:v>turn1264search2</x:v>
      </x:c>
    </x:row>
    <x:row r="352" ht="95.25" customHeight="1">
      <x:c r="A352" s="8" t="str">
        <x:v>V7-Sbe85ad700b</x:v>
      </x:c>
      <x:c r="B352" s="8" t="str">
        <x:v>Работа Преподаватель английского языка общий бизнес английский в Москве, частичная занятость — поиск вакансий</x:v>
      </x:c>
      <x:c r="C352" s="8" t="str">
        <x:v>Провайдеры и бизнес-школы</x:v>
      </x:c>
      <x:c r="D352" s="8" t="str">
        <x:v>Найден профессиональный/образовательный контекст. Покупательские запросы и возможность сбора еще не проверены.</x:v>
      </x:c>
      <x:c r="E352" s="8" t="str">
        <x:v>RU</x:v>
      </x:c>
      <x:c r="F352" s="8" t="str">
        <x:v>Сайт</x:v>
      </x:c>
      <x:c r="G352" s="8" t="str">
        <x:v>unverified_candidate</x:v>
      </x:c>
      <x:c r="H352" s="8" t="str">
        <x:v>Не проверен</x:v>
      </x:c>
      <x:c r="I352" s="8" t="str">
        <x:v>Не установлено</x:v>
      </x:c>
      <x:c r="J352" s="8" t="str">
        <x:v>Только контекст поиска</x:v>
      </x:c>
      <x:c r="K352" s="8" t="str">
        <x:v>Не установлено</x:v>
      </x:c>
      <x:c r="L352" s="8" t="str">
        <x:v>Не установлено</x:v>
      </x:c>
      <x:c r="M352" s="8" t="str">
        <x:v>Новый ключ источника</x:v>
      </x:c>
      <x:c r="N352" s="8" t="str">
        <x:v>Не установлено</x:v>
      </x:c>
      <x:c r="O352" s="8"/>
      <x:c r="P352" s="8" t="str">
        <x:v>https://moskva.jobrun.ru/%D0%BF%D1%80%D0%B5%D0%BF%D0%BE%D0%B4%D0%B0%D0%B2%D0%B0%D1%82%D0%B5%D0%BB%D1%8C-%D0%B0%D0%BD%D0%B3%D0%BB%D0%B8%D0%B9%D1%81%D0%BA%D0%BE%D0%B3%D0%BE-%D1%8F%D0%B7%D1%8B%D0%BA%D0%B0-%D0%BE%D0%B1%D1%89%D0%B8%D0%B9-%D0%B1%D0%B8%D0%B7%D0%BD%D0%B5%D1%81-%D0%B0%D0%BD%D0%B3%D0%BB%D0%B8%D0%B9%D1%81%D0%BA%D0%B8%D0%B9-%D1%80%D0%B0%D0%B1%D0%BE%D1%82%D0%B0?empl=%D1%87%D0%B0%D1%81%D1%82%D0%B8%D1%87%D0%BD%D0%B0%D1%8F</x:v>
      </x:c>
      <x:c r="Q352" s="8" t="str">
        <x:v>turn1264search10</x:v>
      </x:c>
    </x:row>
    <x:row r="353" ht="35.25" customHeight="1">
      <x:c r="A353" s="8" t="str">
        <x:v>V7-S88b817f2b6</x:v>
      </x:c>
      <x:c r="B353" s="8" t="str">
        <x:v>Стать бизнес-тренером AGP — 250 ₽ за каждую регистрацию</x:v>
      </x:c>
      <x:c r="C353" s="8" t="str">
        <x:v>Провайдеры и бизнес-школы</x:v>
      </x:c>
      <x:c r="D353" s="8" t="str">
        <x:v>Найден профессиональный/образовательный контекст. Покупательские запросы и возможность сбора еще не проверены.</x:v>
      </x:c>
      <x:c r="E353" s="8" t="str">
        <x:v>RU</x:v>
      </x:c>
      <x:c r="F353" s="8" t="str">
        <x:v>Сайт</x:v>
      </x:c>
      <x:c r="G353" s="8" t="str">
        <x:v>unverified_candidate</x:v>
      </x:c>
      <x:c r="H353" s="8" t="str">
        <x:v>Не проверен</x:v>
      </x:c>
      <x:c r="I353" s="8" t="str">
        <x:v>Не установлено</x:v>
      </x:c>
      <x:c r="J353" s="8" t="str">
        <x:v>Только контекст поиска</x:v>
      </x:c>
      <x:c r="K353" s="8" t="str">
        <x:v>Не установлено</x:v>
      </x:c>
      <x:c r="L353" s="8" t="str">
        <x:v>Не установлено</x:v>
      </x:c>
      <x:c r="M353" s="8" t="str">
        <x:v>Новый ключ источника</x:v>
      </x:c>
      <x:c r="N353" s="8" t="str">
        <x:v>Не установлено</x:v>
      </x:c>
      <x:c r="O353" s="8"/>
      <x:c r="P353" s="8" t="str">
        <x:v>https://agpromotion.ru/nastavniki/join</x:v>
      </x:c>
      <x:c r="Q353" s="8" t="str">
        <x:v>turn1092search10</x:v>
      </x:c>
    </x:row>
    <x:row r="354" ht="35.25" customHeight="1">
      <x:c r="A354" s="8" t="str">
        <x:v>V7-S2dece3b001</x:v>
      </x:c>
      <x:c r="B354" s="8" t="str">
        <x:v>Корпоративное обучение для вашей команды</x:v>
      </x:c>
      <x:c r="C354" s="8" t="str">
        <x:v>Провайдеры и бизнес-школы</x:v>
      </x:c>
      <x:c r="D354" s="8" t="str">
        <x:v>Найден профессиональный/образовательный контекст. Покупательские запросы и возможность сбора еще не проверены.</x:v>
      </x:c>
      <x:c r="E354" s="8" t="str">
        <x:v>Не установлена</x:v>
      </x:c>
      <x:c r="F354" s="8" t="str">
        <x:v>Сайт</x:v>
      </x:c>
      <x:c r="G354" s="8" t="str">
        <x:v>unverified_candidate</x:v>
      </x:c>
      <x:c r="H354" s="8" t="str">
        <x:v>Не проверен</x:v>
      </x:c>
      <x:c r="I354" s="8" t="str">
        <x:v>Не установлено</x:v>
      </x:c>
      <x:c r="J354" s="8" t="str">
        <x:v>Только контекст поиска</x:v>
      </x:c>
      <x:c r="K354" s="8" t="str">
        <x:v>Не установлено</x:v>
      </x:c>
      <x:c r="L354" s="8" t="str">
        <x:v>Не установлено</x:v>
      </x:c>
      <x:c r="M354" s="8" t="str">
        <x:v>Новый ключ источника</x:v>
      </x:c>
      <x:c r="N354" s="8" t="str">
        <x:v>Не установлено</x:v>
      </x:c>
      <x:c r="O354" s="8"/>
      <x:c r="P354" s="8" t="str">
        <x:v>https://basil.group/b2b</x:v>
      </x:c>
      <x:c r="Q354" s="8" t="str">
        <x:v>turn1090search26</x:v>
      </x:c>
    </x:row>
    <x:row r="355" ht="35.25" customHeight="1">
      <x:c r="A355" s="8" t="str">
        <x:v>V7-S5851f9379c</x:v>
      </x:c>
      <x:c r="B355" s="8" t="str">
        <x:v>ООО «Тренинговая компания «Бизнес Партнер»</x:v>
      </x:c>
      <x:c r="C355" s="8" t="str">
        <x:v>Провайдеры и бизнес-школы</x:v>
      </x:c>
      <x:c r="D355" s="8" t="str">
        <x:v>Найден профессиональный/образовательный контекст. Покупательские запросы и возможность сбора еще не проверены.</x:v>
      </x:c>
      <x:c r="E355" s="8" t="str">
        <x:v>Не установлена</x:v>
      </x:c>
      <x:c r="F355" s="8" t="str">
        <x:v>Сайт</x:v>
      </x:c>
      <x:c r="G355" s="8" t="str">
        <x:v>unverified_candidate</x:v>
      </x:c>
      <x:c r="H355" s="8" t="str">
        <x:v>Не проверен</x:v>
      </x:c>
      <x:c r="I355" s="8" t="str">
        <x:v>Не установлено</x:v>
      </x:c>
      <x:c r="J355" s="8" t="str">
        <x:v>Только контекст поиска</x:v>
      </x:c>
      <x:c r="K355" s="8" t="str">
        <x:v>Не установлено</x:v>
      </x:c>
      <x:c r="L355" s="8" t="str">
        <x:v>Не установлено</x:v>
      </x:c>
      <x:c r="M355" s="8" t="str">
        <x:v>Новый ключ источника</x:v>
      </x:c>
      <x:c r="N355" s="8" t="str">
        <x:v>Не установлено</x:v>
      </x:c>
      <x:c r="O355" s="8"/>
      <x:c r="P355" s="8" t="str">
        <x:v>https://biznes-partner.inni.info/</x:v>
      </x:c>
      <x:c r="Q355" s="8" t="str">
        <x:v>turn1092search8</x:v>
      </x:c>
    </x:row>
    <x:row r="356" ht="47.25" customHeight="1">
      <x:c r="A356" s="8" t="str">
        <x:v>V7-S78788e6b1e</x:v>
      </x:c>
      <x:c r="B356" s="8" t="str">
        <x:v>Автономная некоммерческая организация дополнительного профессионального образования «Региональный учебный центр» - Главная</x:v>
      </x:c>
      <x:c r="C356" s="8" t="str">
        <x:v>Провайдеры и бизнес-школы</x:v>
      </x:c>
      <x:c r="D356" s="8" t="str">
        <x:v>Найден профессиональный/образовательный контекст. Покупательские запросы и возможность сбора еще не проверены.</x:v>
      </x:c>
      <x:c r="E356" s="8" t="str">
        <x:v>RU</x:v>
      </x:c>
      <x:c r="F356" s="8" t="str">
        <x:v>Сайт</x:v>
      </x:c>
      <x:c r="G356" s="8" t="str">
        <x:v>unverified_candidate</x:v>
      </x:c>
      <x:c r="H356" s="8" t="str">
        <x:v>Не проверен</x:v>
      </x:c>
      <x:c r="I356" s="8" t="str">
        <x:v>Не установлено</x:v>
      </x:c>
      <x:c r="J356" s="8" t="str">
        <x:v>Только контекст поиска</x:v>
      </x:c>
      <x:c r="K356" s="8" t="str">
        <x:v>Не установлено</x:v>
      </x:c>
      <x:c r="L356" s="8" t="str">
        <x:v>Не установлено</x:v>
      </x:c>
      <x:c r="M356" s="8" t="str">
        <x:v>Новый ключ источника</x:v>
      </x:c>
      <x:c r="N356" s="8" t="str">
        <x:v>Не установлено</x:v>
      </x:c>
      <x:c r="O356" s="8"/>
      <x:c r="P356" s="8" t="str">
        <x:v>https://www.centr39.ru/</x:v>
      </x:c>
      <x:c r="Q356" s="8" t="str">
        <x:v>turn1090search1; turn1090search4; turn1090search6</x:v>
      </x:c>
    </x:row>
    <x:row r="357" ht="35.25" customHeight="1">
      <x:c r="A357" s="8" t="str">
        <x:v>V7-Se72a062d2f</x:v>
      </x:c>
      <x:c r="B357" s="8" t="str">
        <x:v>Корпоративное обучение персонала и сотрудников. Курсы, тренинги, семинары для компаний.</x:v>
      </x:c>
      <x:c r="C357" s="8" t="str">
        <x:v>Провайдеры и бизнес-школы</x:v>
      </x:c>
      <x:c r="D357" s="8" t="str">
        <x:v>Найден профессиональный/образовательный контекст. Покупательские запросы и возможность сбора еще не проверены.</x:v>
      </x:c>
      <x:c r="E357" s="8" t="str">
        <x:v>RU</x:v>
      </x:c>
      <x:c r="F357" s="8" t="str">
        <x:v>Сайт</x:v>
      </x:c>
      <x:c r="G357" s="8" t="str">
        <x:v>unverified_candidate</x:v>
      </x:c>
      <x:c r="H357" s="8" t="str">
        <x:v>Не проверен</x:v>
      </x:c>
      <x:c r="I357" s="8" t="str">
        <x:v>Не установлено</x:v>
      </x:c>
      <x:c r="J357" s="8" t="str">
        <x:v>Только контекст поиска</x:v>
      </x:c>
      <x:c r="K357" s="8" t="str">
        <x:v>Не установлено</x:v>
      </x:c>
      <x:c r="L357" s="8" t="str">
        <x:v>Не установлено</x:v>
      </x:c>
      <x:c r="M357" s="8" t="str">
        <x:v>Новый ключ источника</x:v>
      </x:c>
      <x:c r="N357" s="8" t="str">
        <x:v>Не установлено</x:v>
      </x:c>
      <x:c r="O357" s="8"/>
      <x:c r="P357" s="8" t="str">
        <x:v>https://doprof.ru/corporate-training/</x:v>
      </x:c>
      <x:c r="Q357" s="8" t="str">
        <x:v>turn1090search25</x:v>
      </x:c>
    </x:row>
    <x:row r="358" ht="35.25" customHeight="1">
      <x:c r="A358" s="8" t="str">
        <x:v>V7-S64698d259e</x:v>
      </x:c>
      <x:c r="B358" s="8" t="str">
        <x:v>Дополнительное профессиональное образование — Образовательный центр «Альтернатива»</x:v>
      </x:c>
      <x:c r="C358" s="8" t="str">
        <x:v>Провайдеры и бизнес-школы</x:v>
      </x:c>
      <x:c r="D358" s="8" t="str">
        <x:v>Найден профессиональный/образовательный контекст. Покупательские запросы и возможность сбора еще не проверены.</x:v>
      </x:c>
      <x:c r="E358" s="8" t="str">
        <x:v>RU</x:v>
      </x:c>
      <x:c r="F358" s="8" t="str">
        <x:v>Сайт</x:v>
      </x:c>
      <x:c r="G358" s="8" t="str">
        <x:v>unverified_candidate</x:v>
      </x:c>
      <x:c r="H358" s="8" t="str">
        <x:v>Не проверен</x:v>
      </x:c>
      <x:c r="I358" s="8" t="str">
        <x:v>Не установлено</x:v>
      </x:c>
      <x:c r="J358" s="8" t="str">
        <x:v>Только контекст поиска</x:v>
      </x:c>
      <x:c r="K358" s="8" t="str">
        <x:v>Не установлено</x:v>
      </x:c>
      <x:c r="L358" s="8" t="str">
        <x:v>Не установлено</x:v>
      </x:c>
      <x:c r="M358" s="8" t="str">
        <x:v>Новый ключ источника</x:v>
      </x:c>
      <x:c r="N358" s="8" t="str">
        <x:v>Не установлено</x:v>
      </x:c>
      <x:c r="O358" s="8"/>
      <x:c r="P358" s="8" t="str">
        <x:v>https://edualt.ru/</x:v>
      </x:c>
      <x:c r="Q358" s="8" t="str">
        <x:v>turn1090search11</x:v>
      </x:c>
    </x:row>
    <x:row r="359" ht="35.25" customHeight="1">
      <x:c r="A359" s="8" t="str">
        <x:v>V7-S0837ef43f9</x:v>
      </x:c>
      <x:c r="B359" s="8" t="str">
        <x:v>Преподаватели - Высшая Школа Бизнеса AlmaU</x:v>
      </x:c>
      <x:c r="C359" s="8" t="str">
        <x:v>Провайдеры и бизнес-школы</x:v>
      </x:c>
      <x:c r="D359" s="8" t="str">
        <x:v>Найден профессиональный/образовательный контекст. Покупательские запросы и возможность сбора еще не проверены.</x:v>
      </x:c>
      <x:c r="E359" s="8" t="str">
        <x:v>KZ</x:v>
      </x:c>
      <x:c r="F359" s="8" t="str">
        <x:v>Сайт</x:v>
      </x:c>
      <x:c r="G359" s="8" t="str">
        <x:v>unverified_candidate</x:v>
      </x:c>
      <x:c r="H359" s="8" t="str">
        <x:v>Не проверен</x:v>
      </x:c>
      <x:c r="I359" s="8" t="str">
        <x:v>Не установлено</x:v>
      </x:c>
      <x:c r="J359" s="8" t="str">
        <x:v>Только контекст поиска</x:v>
      </x:c>
      <x:c r="K359" s="8" t="str">
        <x:v>Не установлено</x:v>
      </x:c>
      <x:c r="L359" s="8" t="str">
        <x:v>Не установлено</x:v>
      </x:c>
      <x:c r="M359" s="8" t="str">
        <x:v>Новый ключ источника</x:v>
      </x:c>
      <x:c r="N359" s="8" t="str">
        <x:v>Не установлено</x:v>
      </x:c>
      <x:c r="O359" s="8"/>
      <x:c r="P359" s="8" t="str">
        <x:v>https://gsb.almau.edu.kz/about/faculty/</x:v>
      </x:c>
      <x:c r="Q359" s="8" t="str">
        <x:v>turn1092search15</x:v>
      </x:c>
    </x:row>
    <x:row r="360" ht="35.25" customHeight="1">
      <x:c r="A360" s="8" t="str">
        <x:v>V7-Sfedeac71b0</x:v>
      </x:c>
      <x:c r="B360" s="8" t="str">
        <x:v>Стать тренером</x:v>
      </x:c>
      <x:c r="C360" s="8" t="str">
        <x:v>Провайдеры и бизнес-школы</x:v>
      </x:c>
      <x:c r="D360" s="8" t="str">
        <x:v>Найден профессиональный/образовательный контекст. Покупательские запросы и возможность сбора еще не проверены.</x:v>
      </x:c>
      <x:c r="E360" s="8" t="str">
        <x:v>KZ</x:v>
      </x:c>
      <x:c r="F360" s="8" t="str">
        <x:v>Сайт</x:v>
      </x:c>
      <x:c r="G360" s="8" t="str">
        <x:v>unverified_candidate</x:v>
      </x:c>
      <x:c r="H360" s="8" t="str">
        <x:v>Не проверен</x:v>
      </x:c>
      <x:c r="I360" s="8" t="str">
        <x:v>Не установлено</x:v>
      </x:c>
      <x:c r="J360" s="8" t="str">
        <x:v>Только контекст поиска</x:v>
      </x:c>
      <x:c r="K360" s="8" t="str">
        <x:v>Не установлено</x:v>
      </x:c>
      <x:c r="L360" s="8" t="str">
        <x:v>Не установлено</x:v>
      </x:c>
      <x:c r="M360" s="8" t="str">
        <x:v>Новый ключ источника</x:v>
      </x:c>
      <x:c r="N360" s="8" t="str">
        <x:v>Не установлено</x:v>
      </x:c>
      <x:c r="O360" s="8"/>
      <x:c r="P360" s="8" t="str">
        <x:v>https://mycoach.kz/for_coaches</x:v>
      </x:c>
      <x:c r="Q360" s="8" t="str">
        <x:v>turn1090search31</x:v>
      </x:c>
    </x:row>
    <x:row r="361" ht="35.25" customHeight="1">
      <x:c r="A361" s="8" t="str">
        <x:v>V7-S0dd2943045</x:v>
      </x:c>
      <x:c r="B361" s="8" t="str">
        <x:v>PROFобразование</x:v>
      </x:c>
      <x:c r="C361" s="8" t="str">
        <x:v>Провайдеры и бизнес-школы</x:v>
      </x:c>
      <x:c r="D361" s="8" t="str">
        <x:v>Найден профессиональный/образовательный контекст. Покупательские запросы и возможность сбора еще не проверены.</x:v>
      </x:c>
      <x:c r="E361" s="8" t="str">
        <x:v>RU</x:v>
      </x:c>
      <x:c r="F361" s="8" t="str">
        <x:v>Сайт</x:v>
      </x:c>
      <x:c r="G361" s="8" t="str">
        <x:v>unverified_candidate</x:v>
      </x:c>
      <x:c r="H361" s="8" t="str">
        <x:v>Не проверен</x:v>
      </x:c>
      <x:c r="I361" s="8" t="str">
        <x:v>Не установлено</x:v>
      </x:c>
      <x:c r="J361" s="8" t="str">
        <x:v>Только контекст поиска</x:v>
      </x:c>
      <x:c r="K361" s="8" t="str">
        <x:v>Не установлено</x:v>
      </x:c>
      <x:c r="L361" s="8" t="str">
        <x:v>Не установлено</x:v>
      </x:c>
      <x:c r="M361" s="8" t="str">
        <x:v>Новый ключ источника</x:v>
      </x:c>
      <x:c r="N361" s="8" t="str">
        <x:v>Не установлено</x:v>
      </x:c>
      <x:c r="O361" s="8"/>
      <x:c r="P361" s="8" t="str">
        <x:v>https://profspo.ru/event/150</x:v>
      </x:c>
      <x:c r="Q361" s="8" t="str">
        <x:v>turn1090search15</x:v>
      </x:c>
    </x:row>
    <x:row r="362" ht="35.25" customHeight="1">
      <x:c r="A362" s="8" t="str">
        <x:v>V7-S40417759f1</x:v>
      </x:c>
      <x:c r="B362" s="8" t="str">
        <x:v>Тренинговые компании Москвы</x:v>
      </x:c>
      <x:c r="C362" s="8" t="str">
        <x:v>Провайдеры и бизнес-школы</x:v>
      </x:c>
      <x:c r="D362" s="8" t="str">
        <x:v>Найден профессиональный/образовательный контекст. Покупательские запросы и возможность сбора еще не проверены.</x:v>
      </x:c>
      <x:c r="E362" s="8" t="str">
        <x:v>RU</x:v>
      </x:c>
      <x:c r="F362" s="8" t="str">
        <x:v>Сайт</x:v>
      </x:c>
      <x:c r="G362" s="8" t="str">
        <x:v>unverified_candidate</x:v>
      </x:c>
      <x:c r="H362" s="8" t="str">
        <x:v>Не проверен</x:v>
      </x:c>
      <x:c r="I362" s="8" t="str">
        <x:v>Не установлено</x:v>
      </x:c>
      <x:c r="J362" s="8" t="str">
        <x:v>Только контекст поиска</x:v>
      </x:c>
      <x:c r="K362" s="8" t="str">
        <x:v>Не установлено</x:v>
      </x:c>
      <x:c r="L362" s="8" t="str">
        <x:v>Не установлено</x:v>
      </x:c>
      <x:c r="M362" s="8" t="str">
        <x:v>Новый ключ источника</x:v>
      </x:c>
      <x:c r="N362" s="8" t="str">
        <x:v>Не установлено</x:v>
      </x:c>
      <x:c r="O362" s="8"/>
      <x:c r="P362" s="8" t="str">
        <x:v>https://training-partner.ru/contactinfo</x:v>
      </x:c>
      <x:c r="Q362" s="8" t="str">
        <x:v>turn1092search9</x:v>
      </x:c>
    </x:row>
    <x:row r="363" ht="35.25" customHeight="1">
      <x:c r="A363" s="8" t="str">
        <x:v>V7-S18326f720c</x:v>
      </x:c>
      <x:c r="B363" s="8" t="str">
        <x:v>Партнёрская программа Trenda Coach — выплаты за приведённых тренеров</x:v>
      </x:c>
      <x:c r="C363" s="8" t="str">
        <x:v>Провайдеры и бизнес-школы</x:v>
      </x:c>
      <x:c r="D363" s="8" t="str">
        <x:v>Найден профессиональный/образовательный контекст. Покупательские запросы и возможность сбора еще не проверены.</x:v>
      </x:c>
      <x:c r="E363" s="8" t="str">
        <x:v>Не установлена</x:v>
      </x:c>
      <x:c r="F363" s="8" t="str">
        <x:v>Сайт</x:v>
      </x:c>
      <x:c r="G363" s="8" t="str">
        <x:v>unverified_candidate</x:v>
      </x:c>
      <x:c r="H363" s="8" t="str">
        <x:v>Не проверен</x:v>
      </x:c>
      <x:c r="I363" s="8" t="str">
        <x:v>Не установлено</x:v>
      </x:c>
      <x:c r="J363" s="8" t="str">
        <x:v>Только контекст поиска</x:v>
      </x:c>
      <x:c r="K363" s="8" t="str">
        <x:v>Не установлено</x:v>
      </x:c>
      <x:c r="L363" s="8" t="str">
        <x:v>Не установлено</x:v>
      </x:c>
      <x:c r="M363" s="8" t="str">
        <x:v>Новый ключ источника</x:v>
      </x:c>
      <x:c r="N363" s="8" t="str">
        <x:v>Не установлено</x:v>
      </x:c>
      <x:c r="O363" s="8"/>
      <x:c r="P363" s="8" t="str">
        <x:v>https://trenda.coach/partnership</x:v>
      </x:c>
      <x:c r="Q363" s="8" t="str">
        <x:v>turn1092search11</x:v>
      </x:c>
    </x:row>
    <x:row r="364" ht="35.25" customHeight="1">
      <x:c r="A364" s="8" t="str">
        <x:v>V7-S6ce195aff6</x:v>
      </x:c>
      <x:c r="B364" s="8" t="str">
        <x:v>Право преподавания. Московская школа бизнеса</x:v>
      </x:c>
      <x:c r="C364" s="8" t="str">
        <x:v>Провайдеры и бизнес-школы</x:v>
      </x:c>
      <x:c r="D364" s="8" t="str">
        <x:v>Найден профессиональный/образовательный контекст. Покупательские запросы и возможность сбора еще не проверены.</x:v>
      </x:c>
      <x:c r="E364" s="8" t="str">
        <x:v>Не установлена</x:v>
      </x:c>
      <x:c r="F364" s="8" t="str">
        <x:v>Сайт</x:v>
      </x:c>
      <x:c r="G364" s="8" t="str">
        <x:v>unverified_candidate</x:v>
      </x:c>
      <x:c r="H364" s="8" t="str">
        <x:v>Не проверен</x:v>
      </x:c>
      <x:c r="I364" s="8" t="str">
        <x:v>Не установлено</x:v>
      </x:c>
      <x:c r="J364" s="8" t="str">
        <x:v>Только контекст поиска</x:v>
      </x:c>
      <x:c r="K364" s="8" t="str">
        <x:v>Не установлено</x:v>
      </x:c>
      <x:c r="L364" s="8" t="str">
        <x:v>Не установлено</x:v>
      </x:c>
      <x:c r="M364" s="8" t="str">
        <x:v>Новый ключ источника</x:v>
      </x:c>
      <x:c r="N364" s="8" t="str">
        <x:v>Не установлено</x:v>
      </x:c>
      <x:c r="O364" s="8"/>
      <x:c r="P364" s="8" t="str">
        <x:v>https://xn----7sbbahcmh5a3cechebjf3z.xn--p1ai/</x:v>
      </x:c>
      <x:c r="Q364" s="8" t="str">
        <x:v>turn1092search32</x:v>
      </x:c>
    </x:row>
    <x:row r="365" ht="35.25" customHeight="1">
      <x:c r="A365" s="8" t="str">
        <x:v>V7-S4f0a331cca</x:v>
      </x:c>
      <x:c r="B365" s="8" t="str">
        <x:v>Корпоративное обучение и тренинги / СМК / LEAN / KAIZEN</x:v>
      </x:c>
      <x:c r="C365" s="8" t="str">
        <x:v>Провайдеры и бизнес-школы</x:v>
      </x:c>
      <x:c r="D365" s="8" t="str">
        <x:v>Найден профессиональный/образовательный контекст. Покупательские запросы и возможность сбора еще не проверены.</x:v>
      </x:c>
      <x:c r="E365" s="8" t="str">
        <x:v>BY</x:v>
      </x:c>
      <x:c r="F365" s="8" t="str">
        <x:v>Сайт</x:v>
      </x:c>
      <x:c r="G365" s="8" t="str">
        <x:v>unverified_candidate</x:v>
      </x:c>
      <x:c r="H365" s="8" t="str">
        <x:v>Не проверен</x:v>
      </x:c>
      <x:c r="I365" s="8" t="str">
        <x:v>Не установлено</x:v>
      </x:c>
      <x:c r="J365" s="8" t="str">
        <x:v>Только контекст поиска</x:v>
      </x:c>
      <x:c r="K365" s="8" t="str">
        <x:v>Не установлено</x:v>
      </x:c>
      <x:c r="L365" s="8" t="str">
        <x:v>Не установлено</x:v>
      </x:c>
      <x:c r="M365" s="8" t="str">
        <x:v>Новый ключ источника</x:v>
      </x:c>
      <x:c r="N365" s="8" t="str">
        <x:v>Не установлено</x:v>
      </x:c>
      <x:c r="O365" s="8"/>
      <x:c r="P365" s="8" t="str">
        <x:v>https://bizprocess.by/learn/</x:v>
      </x:c>
      <x:c r="Q365" s="8" t="str">
        <x:v>turn1092search26</x:v>
      </x:c>
    </x:row>
    <x:row r="366" ht="35.25" customHeight="1">
      <x:c r="A366" s="8" t="str">
        <x:v>V7-S6f447db71a</x:v>
      </x:c>
      <x:c r="B366" s="8" t="str">
        <x:v>Обучение компаний и юридических лиц в Межрегиональном учебном центре</x:v>
      </x:c>
      <x:c r="C366" s="8" t="str">
        <x:v>Провайдеры и бизнес-школы</x:v>
      </x:c>
      <x:c r="D366" s="8" t="str">
        <x:v>Найден профессиональный/образовательный контекст. Покупательские запросы и возможность сбора еще не проверены.</x:v>
      </x:c>
      <x:c r="E366" s="8" t="str">
        <x:v>RU</x:v>
      </x:c>
      <x:c r="F366" s="8" t="str">
        <x:v>Сайт</x:v>
      </x:c>
      <x:c r="G366" s="8" t="str">
        <x:v>unverified_candidate</x:v>
      </x:c>
      <x:c r="H366" s="8" t="str">
        <x:v>Не проверен</x:v>
      </x:c>
      <x:c r="I366" s="8" t="str">
        <x:v>Не установлено</x:v>
      </x:c>
      <x:c r="J366" s="8" t="str">
        <x:v>Только контекст поиска</x:v>
      </x:c>
      <x:c r="K366" s="8" t="str">
        <x:v>Не установлено</x:v>
      </x:c>
      <x:c r="L366" s="8" t="str">
        <x:v>Не установлено</x:v>
      </x:c>
      <x:c r="M366" s="8" t="str">
        <x:v>Новый ключ источника</x:v>
      </x:c>
      <x:c r="N366" s="8" t="str">
        <x:v>Не установлено</x:v>
      </x:c>
      <x:c r="O366" s="8"/>
      <x:c r="P366" s="8" t="str">
        <x:v>https://nousro.ru/obuchenie_urlic.php</x:v>
      </x:c>
      <x:c r="Q366" s="8" t="str">
        <x:v>turn1090search5</x:v>
      </x:c>
    </x:row>
    <x:row r="367" ht="35.25" customHeight="1">
      <x:c r="A367" s="8" t="str">
        <x:v>V7-S038fe43f74</x:v>
      </x:c>
      <x:c r="B367" s="8" t="str">
        <x:v>☆ Корпоративное обучение для компаний от учебного центра от ГК “АЯК” | компания АЯК™</x:v>
      </x:c>
      <x:c r="C367" s="8" t="str">
        <x:v>Провайдеры и бизнес-школы</x:v>
      </x:c>
      <x:c r="D367" s="8" t="str">
        <x:v>Найден профессиональный/образовательный контекст. Покупательские запросы и возможность сбора еще не проверены.</x:v>
      </x:c>
      <x:c r="E367" s="8" t="str">
        <x:v>Не установлена</x:v>
      </x:c>
      <x:c r="F367" s="8" t="str">
        <x:v>Сайт</x:v>
      </x:c>
      <x:c r="G367" s="8" t="str">
        <x:v>unverified_candidate</x:v>
      </x:c>
      <x:c r="H367" s="8" t="str">
        <x:v>Не проверен</x:v>
      </x:c>
      <x:c r="I367" s="8" t="str">
        <x:v>Не установлено</x:v>
      </x:c>
      <x:c r="J367" s="8" t="str">
        <x:v>Только контекст поиска</x:v>
      </x:c>
      <x:c r="K367" s="8" t="str">
        <x:v>Не установлено</x:v>
      </x:c>
      <x:c r="L367" s="8" t="str">
        <x:v>Не установлено</x:v>
      </x:c>
      <x:c r="M367" s="8" t="str">
        <x:v>Новый ключ источника</x:v>
      </x:c>
      <x:c r="N367" s="8" t="str">
        <x:v>Не установлено</x:v>
      </x:c>
      <x:c r="O367" s="8"/>
      <x:c r="P367" s="8" t="str">
        <x:v>https://old.jac-company.com/support/training-center/corporate/</x:v>
      </x:c>
      <x:c r="Q367" s="8" t="str">
        <x:v>turn1090search20</x:v>
      </x:c>
    </x:row>
    <x:row r="368" ht="35.25" customHeight="1">
      <x:c r="A368" s="8" t="str">
        <x:v>V7-S5c3b2ffeea</x:v>
      </x:c>
      <x:c r="B368" s="8" t="str">
        <x:v>Корпоративное обучение: бесплатные тренинги и курсы для персонала</x:v>
      </x:c>
      <x:c r="C368" s="8" t="str">
        <x:v>Провайдеры и бизнес-школы</x:v>
      </x:c>
      <x:c r="D368" s="8" t="str">
        <x:v>Найден профессиональный/образовательный контекст. Покупательские запросы и возможность сбора еще не проверены.</x:v>
      </x:c>
      <x:c r="E368" s="8" t="str">
        <x:v>RU</x:v>
      </x:c>
      <x:c r="F368" s="8" t="str">
        <x:v>Сайт</x:v>
      </x:c>
      <x:c r="G368" s="8" t="str">
        <x:v>unverified_candidate</x:v>
      </x:c>
      <x:c r="H368" s="8" t="str">
        <x:v>Не проверен</x:v>
      </x:c>
      <x:c r="I368" s="8" t="str">
        <x:v>Не установлено</x:v>
      </x:c>
      <x:c r="J368" s="8" t="str">
        <x:v>Только контекст поиска</x:v>
      </x:c>
      <x:c r="K368" s="8" t="str">
        <x:v>Не установлено</x:v>
      </x:c>
      <x:c r="L368" s="8" t="str">
        <x:v>Не установлено</x:v>
      </x:c>
      <x:c r="M368" s="8" t="str">
        <x:v>Новый ключ источника</x:v>
      </x:c>
      <x:c r="N368" s="8" t="str">
        <x:v>Не установлено</x:v>
      </x:c>
      <x:c r="O368" s="8"/>
      <x:c r="P368" s="8" t="str">
        <x:v>https://www.tgu-dpo.ru/partners</x:v>
      </x:c>
      <x:c r="Q368" s="8" t="str">
        <x:v>turn1090search21</x:v>
      </x:c>
    </x:row>
    <x:row r="369" ht="35.25" customHeight="1">
      <x:c r="A369" s="8" t="str">
        <x:v>V7-S7c24f7b6d8</x:v>
      </x:c>
      <x:c r="B369" s="8" t="str">
        <x:v>Бизнес-клуб ТЕРРА-ЕКАТЕРИНБУРГ (@terraekb) — Telegram-чат</x:v>
      </x:c>
      <x:c r="C369" s="8" t="str">
        <x:v>Региональные HR-сообщества</x:v>
      </x:c>
      <x:c r="D369" s="8" t="str">
        <x:v>Найден профессиональный/образовательный контекст. Покупательские запросы и возможность сбора еще не проверены.</x:v>
      </x:c>
      <x:c r="E369" s="8" t="str">
        <x:v>RU</x:v>
      </x:c>
      <x:c r="F369" s="8" t="str">
        <x:v>Сайт</x:v>
      </x:c>
      <x:c r="G369" s="8" t="str">
        <x:v>unverified_candidate</x:v>
      </x:c>
      <x:c r="H369" s="8" t="str">
        <x:v>Не проверен</x:v>
      </x:c>
      <x:c r="I369" s="8" t="str">
        <x:v>Не установлено</x:v>
      </x:c>
      <x:c r="J369" s="8" t="str">
        <x:v>Только контекст поиска</x:v>
      </x:c>
      <x:c r="K369" s="8" t="str">
        <x:v>Не установлено</x:v>
      </x:c>
      <x:c r="L369" s="8" t="str">
        <x:v>Не установлено</x:v>
      </x:c>
      <x:c r="M369" s="8" t="str">
        <x:v>Новый ключ источника</x:v>
      </x:c>
      <x:c r="N369" s="8" t="str">
        <x:v>Не установлено</x:v>
      </x:c>
      <x:c r="O369" s="8"/>
      <x:c r="P369" s="8" t="str">
        <x:v>https://telegram-dialogs.ru/channel/%40terraekb</x:v>
      </x:c>
      <x:c r="Q369" s="8" t="str">
        <x:v>turn1152search1</x:v>
      </x:c>
    </x:row>
    <x:row r="370" ht="35.25" customHeight="1">
      <x:c r="A370" s="8" t="str">
        <x:v>V7-S8c2fc2583d</x:v>
      </x:c>
      <x:c r="B370" s="8" t="str">
        <x:v>Покидько Татьяна - Наставники Академии - Бизнес Академия Ольги Стаценко - Владивосток</x:v>
      </x:c>
      <x:c r="C370" s="8" t="str">
        <x:v>Региональные HR-сообщества</x:v>
      </x:c>
      <x:c r="D370" s="8" t="str">
        <x:v>Найден профессиональный/образовательный контекст. Покупательские запросы и возможность сбора еще не проверены.</x:v>
      </x:c>
      <x:c r="E370" s="8" t="str">
        <x:v>RU</x:v>
      </x:c>
      <x:c r="F370" s="8" t="str">
        <x:v>Сайт</x:v>
      </x:c>
      <x:c r="G370" s="8" t="str">
        <x:v>unverified_candidate</x:v>
      </x:c>
      <x:c r="H370" s="8" t="str">
        <x:v>Не проверен</x:v>
      </x:c>
      <x:c r="I370" s="8" t="str">
        <x:v>Не установлено</x:v>
      </x:c>
      <x:c r="J370" s="8" t="str">
        <x:v>Только контекст поиска</x:v>
      </x:c>
      <x:c r="K370" s="8" t="str">
        <x:v>Не установлено</x:v>
      </x:c>
      <x:c r="L370" s="8" t="str">
        <x:v>Не установлено</x:v>
      </x:c>
      <x:c r="M370" s="8" t="str">
        <x:v>Новый ключ источника</x:v>
      </x:c>
      <x:c r="N370" s="8" t="str">
        <x:v>Не установлено</x:v>
      </x:c>
      <x:c r="O370" s="8"/>
      <x:c r="P370" s="8" t="str">
        <x:v>https://bizakadem.ru/pokidko_tatyana</x:v>
      </x:c>
      <x:c r="Q370" s="8" t="str">
        <x:v>turn1155search2</x:v>
      </x:c>
    </x:row>
    <x:row r="371" ht="35.25" customHeight="1">
      <x:c r="A371" s="8" t="str">
        <x:v>V7-S866cedc6f4</x:v>
      </x:c>
      <x:c r="B371" s="8" t="str">
        <x:v>HR-клуб компании АСТ для нескучных профессионалов</x:v>
      </x:c>
      <x:c r="C371" s="8" t="str">
        <x:v>Региональные HR-сообщества</x:v>
      </x:c>
      <x:c r="D371" s="8" t="str">
        <x:v>Найден профессиональный/образовательный контекст. Покупательские запросы и возможность сбора еще не проверены.</x:v>
      </x:c>
      <x:c r="E371" s="8" t="str">
        <x:v>RU</x:v>
      </x:c>
      <x:c r="F371" s="8" t="str">
        <x:v>Сайт</x:v>
      </x:c>
      <x:c r="G371" s="8" t="str">
        <x:v>unverified_candidate</x:v>
      </x:c>
      <x:c r="H371" s="8" t="str">
        <x:v>Не проверен</x:v>
      </x:c>
      <x:c r="I371" s="8" t="str">
        <x:v>Не установлено</x:v>
      </x:c>
      <x:c r="J371" s="8" t="str">
        <x:v>Только контекст поиска</x:v>
      </x:c>
      <x:c r="K371" s="8" t="str">
        <x:v>Не установлено</x:v>
      </x:c>
      <x:c r="L371" s="8" t="str">
        <x:v>Не установлено</x:v>
      </x:c>
      <x:c r="M371" s="8" t="str">
        <x:v>Новый ключ источника</x:v>
      </x:c>
      <x:c r="N371" s="8" t="str">
        <x:v>Не установлено</x:v>
      </x:c>
      <x:c r="O371" s="8"/>
      <x:c r="P371" s="8" t="str">
        <x:v>https://ast-events.ru/hr_dialogues/</x:v>
      </x:c>
      <x:c r="Q371" s="8" t="str">
        <x:v>turn1156search10</x:v>
      </x:c>
    </x:row>
    <x:row r="372" ht="35.25" customHeight="1">
      <x:c r="A372" s="8" t="str">
        <x:v>V7-Sd1f1b039f4</x:v>
      </x:c>
      <x:c r="B372" s="8" t="str">
        <x:v>Заметка для HR. Управление внутренними коммуникациями, создаём комьюнити.</x:v>
      </x:c>
      <x:c r="C372" s="8" t="str">
        <x:v>Региональные HR-сообщества</x:v>
      </x:c>
      <x:c r="D372" s="8" t="str">
        <x:v>Найден профессиональный/образовательный контекст. Покупательские запросы и возможность сбора еще не проверены.</x:v>
      </x:c>
      <x:c r="E372" s="8" t="str">
        <x:v>Не установлена</x:v>
      </x:c>
      <x:c r="F372" s="8" t="str">
        <x:v>Сайт</x:v>
      </x:c>
      <x:c r="G372" s="8" t="str">
        <x:v>unverified_candidate</x:v>
      </x:c>
      <x:c r="H372" s="8" t="str">
        <x:v>Не проверен</x:v>
      </x:c>
      <x:c r="I372" s="8" t="str">
        <x:v>Не установлено</x:v>
      </x:c>
      <x:c r="J372" s="8" t="str">
        <x:v>Только контекст поиска</x:v>
      </x:c>
      <x:c r="K372" s="8" t="str">
        <x:v>Не установлено</x:v>
      </x:c>
      <x:c r="L372" s="8" t="str">
        <x:v>Не установлено</x:v>
      </x:c>
      <x:c r="M372" s="8" t="str">
        <x:v>Новый ключ источника</x:v>
      </x:c>
      <x:c r="N372" s="8" t="str">
        <x:v>Не установлено</x:v>
      </x:c>
      <x:c r="O372" s="8"/>
      <x:c r="P372" s="8" t="str">
        <x:v>https://comingoutspb.org/wp-content/uploads/2026/03/karernyj-kompas-40.pdf</x:v>
      </x:c>
      <x:c r="Q372" s="8" t="str">
        <x:v>turn1087search42</x:v>
      </x:c>
    </x:row>
    <x:row r="373" ht="35.25" customHeight="1">
      <x:c r="A373" s="8" t="str">
        <x:v>V7-Sc46f8e7016</x:v>
      </x:c>
      <x:c r="B373" s="8" t="str">
        <x:v>HR-Dive 2025</x:v>
      </x:c>
      <x:c r="C373" s="8" t="str">
        <x:v>Региональные HR-сообщества</x:v>
      </x:c>
      <x:c r="D373" s="8" t="str">
        <x:v>Найден профессиональный/образовательный контекст. Покупательские запросы и возможность сбора еще не проверены.</x:v>
      </x:c>
      <x:c r="E373" s="8" t="str">
        <x:v>RU</x:v>
      </x:c>
      <x:c r="F373" s="8" t="str">
        <x:v>Сайт</x:v>
      </x:c>
      <x:c r="G373" s="8" t="str">
        <x:v>unverified_candidate</x:v>
      </x:c>
      <x:c r="H373" s="8" t="str">
        <x:v>Не проверен</x:v>
      </x:c>
      <x:c r="I373" s="8" t="str">
        <x:v>Не установлено</x:v>
      </x:c>
      <x:c r="J373" s="8" t="str">
        <x:v>Только контекст поиска</x:v>
      </x:c>
      <x:c r="K373" s="8" t="str">
        <x:v>Не установлено</x:v>
      </x:c>
      <x:c r="L373" s="8" t="str">
        <x:v>Не установлено</x:v>
      </x:c>
      <x:c r="M373" s="8" t="str">
        <x:v>Новый ключ источника</x:v>
      </x:c>
      <x:c r="N373" s="8" t="str">
        <x:v>Не установлено</x:v>
      </x:c>
      <x:c r="O373" s="8"/>
      <x:c r="P373" s="8" t="str">
        <x:v>https://events.hh.ru/hr-dive2025</x:v>
      </x:c>
      <x:c r="Q373" s="8" t="str">
        <x:v>turn1155search6</x:v>
      </x:c>
    </x:row>
    <x:row r="374" ht="47.25" customHeight="1">
      <x:c r="A374" s="8" t="str">
        <x:v>V7-S6f140482a7</x:v>
      </x:c>
      <x:c r="B374" s="8" t="str">
        <x:v>HR-сообщество в Новосибирске. Обсуждение собеседований, вопросов на них, помощь при трудоустройстве. Общение hr на форуме НГС Новосибирск</x:v>
      </x:c>
      <x:c r="C374" s="8" t="str">
        <x:v>Региональные HR-сообщества</x:v>
      </x:c>
      <x:c r="D374" s="8" t="str">
        <x:v>Найден профессиональный/образовательный контекст. Покупательские запросы и возможность сбора еще не проверены.</x:v>
      </x:c>
      <x:c r="E374" s="8" t="str">
        <x:v>RU</x:v>
      </x:c>
      <x:c r="F374" s="8" t="str">
        <x:v>Сайт</x:v>
      </x:c>
      <x:c r="G374" s="8" t="str">
        <x:v>unverified_candidate</x:v>
      </x:c>
      <x:c r="H374" s="8" t="str">
        <x:v>Не проверен</x:v>
      </x:c>
      <x:c r="I374" s="8" t="str">
        <x:v>Не установлено</x:v>
      </x:c>
      <x:c r="J374" s="8" t="str">
        <x:v>Только контекст поиска</x:v>
      </x:c>
      <x:c r="K374" s="8" t="str">
        <x:v>Не установлено</x:v>
      </x:c>
      <x:c r="L374" s="8" t="str">
        <x:v>Не установлено</x:v>
      </x:c>
      <x:c r="M374" s="8" t="str">
        <x:v>Новый ключ источника</x:v>
      </x:c>
      <x:c r="N374" s="8" t="str">
        <x:v>Не установлено</x:v>
      </x:c>
      <x:c r="O374" s="8"/>
      <x:c r="P374" s="8" t="str">
        <x:v>https://forum.ngs.ru/board/hrjob/</x:v>
      </x:c>
      <x:c r="Q374" s="8" t="str">
        <x:v>turn1158search0; turn1158search2</x:v>
      </x:c>
    </x:row>
    <x:row r="375" ht="35.25" customHeight="1">
      <x:c r="A375" s="8" t="str">
        <x:v>V7-Se017f9b28e</x:v>
      </x:c>
      <x:c r="B375" s="8" t="str">
        <x:v>Форум «PR-среда» 2026</x:v>
      </x:c>
      <x:c r="C375" s="8" t="str">
        <x:v>Региональные HR-сообщества</x:v>
      </x:c>
      <x:c r="D375" s="8" t="str">
        <x:v>Найден профессиональный/образовательный контекст. Покупательские запросы и возможность сбора еще не проверены.</x:v>
      </x:c>
      <x:c r="E375" s="8" t="str">
        <x:v>RU</x:v>
      </x:c>
      <x:c r="F375" s="8" t="str">
        <x:v>Сайт</x:v>
      </x:c>
      <x:c r="G375" s="8" t="str">
        <x:v>unverified_candidate</x:v>
      </x:c>
      <x:c r="H375" s="8" t="str">
        <x:v>Не проверен</x:v>
      </x:c>
      <x:c r="I375" s="8" t="str">
        <x:v>Не установлено</x:v>
      </x:c>
      <x:c r="J375" s="8" t="str">
        <x:v>Только контекст поиска</x:v>
      </x:c>
      <x:c r="K375" s="8" t="str">
        <x:v>Не установлено</x:v>
      </x:c>
      <x:c r="L375" s="8" t="str">
        <x:v>Не установлено</x:v>
      </x:c>
      <x:c r="M375" s="8" t="str">
        <x:v>Новый ключ источника</x:v>
      </x:c>
      <x:c r="N375" s="8" t="str">
        <x:v>Не установлено</x:v>
      </x:c>
      <x:c r="O375" s="8"/>
      <x:c r="P375" s="8" t="str">
        <x:v>https://forum.prsreda.ru/</x:v>
      </x:c>
      <x:c r="Q375" s="8" t="str">
        <x:v>turn1156search0</x:v>
      </x:c>
    </x:row>
    <x:row r="376" ht="35.25" customHeight="1">
      <x:c r="A376" s="8" t="str">
        <x:v>V7-Se0f9bbc633</x:v>
      </x:c>
      <x:c r="B376" s="8" t="str">
        <x:v>Сообщество HR❤️DV! Присоединяйтесь</x:v>
      </x:c>
      <x:c r="C376" s="8" t="str">
        <x:v>Региональные HR-сообщества</x:v>
      </x:c>
      <x:c r="D376" s="8" t="str">
        <x:v>Найден профессиональный/образовательный контекст. Покупательские запросы и возможность сбора еще не проверены.</x:v>
      </x:c>
      <x:c r="E376" s="8" t="str">
        <x:v>Не установлена</x:v>
      </x:c>
      <x:c r="F376" s="8" t="str">
        <x:v>Сайт</x:v>
      </x:c>
      <x:c r="G376" s="8" t="str">
        <x:v>unverified_candidate</x:v>
      </x:c>
      <x:c r="H376" s="8" t="str">
        <x:v>Не проверен</x:v>
      </x:c>
      <x:c r="I376" s="8" t="str">
        <x:v>Не установлено</x:v>
      </x:c>
      <x:c r="J376" s="8" t="str">
        <x:v>Только контекст поиска</x:v>
      </x:c>
      <x:c r="K376" s="8" t="str">
        <x:v>Не установлено</x:v>
      </x:c>
      <x:c r="L376" s="8" t="str">
        <x:v>Не установлено</x:v>
      </x:c>
      <x:c r="M376" s="8" t="str">
        <x:v>Новый ключ источника</x:v>
      </x:c>
      <x:c r="N376" s="8" t="str">
        <x:v>Не установлено</x:v>
      </x:c>
      <x:c r="O376" s="8"/>
      <x:c r="P376" s="8" t="str">
        <x:v>https://hrdv.pro/</x:v>
      </x:c>
      <x:c r="Q376" s="8" t="str">
        <x:v>turn1155search0</x:v>
      </x:c>
    </x:row>
    <x:row r="377" ht="47.25" customHeight="1">
      <x:c r="A377" s="8" t="str">
        <x:v>V7-Saab4e5dafc</x:v>
      </x:c>
      <x:c r="B377" s="8" t="str">
        <x:v>«Hurma» станет площадкой для общения HR-специалистов «большой Сибири» | Деловой квартал DK.RU — новости Красноярска</x:v>
      </x:c>
      <x:c r="C377" s="8" t="str">
        <x:v>Региональные HR-сообщества</x:v>
      </x:c>
      <x:c r="D377" s="8" t="str">
        <x:v>Найден профессиональный/образовательный контекст. Покупательские запросы и возможность сбора еще не проверены.</x:v>
      </x:c>
      <x:c r="E377" s="8" t="str">
        <x:v>RU</x:v>
      </x:c>
      <x:c r="F377" s="8" t="str">
        <x:v>Сайт</x:v>
      </x:c>
      <x:c r="G377" s="8" t="str">
        <x:v>unverified_candidate</x:v>
      </x:c>
      <x:c r="H377" s="8" t="str">
        <x:v>Не проверен</x:v>
      </x:c>
      <x:c r="I377" s="8" t="str">
        <x:v>Не установлено</x:v>
      </x:c>
      <x:c r="J377" s="8" t="str">
        <x:v>Только контекст поиска</x:v>
      </x:c>
      <x:c r="K377" s="8" t="str">
        <x:v>Не установлено</x:v>
      </x:c>
      <x:c r="L377" s="8" t="str">
        <x:v>Не установлено</x:v>
      </x:c>
      <x:c r="M377" s="8" t="str">
        <x:v>Новый ключ источника</x:v>
      </x:c>
      <x:c r="N377" s="8" t="str">
        <x:v>Не установлено</x:v>
      </x:c>
      <x:c r="O377" s="8"/>
      <x:c r="P377" s="8" t="str">
        <x:v>https://krasnoyarsk.dk.ru/news/237238947</x:v>
      </x:c>
      <x:c r="Q377" s="8" t="str">
        <x:v>turn1156search1; turn1156search4</x:v>
      </x:c>
    </x:row>
    <x:row r="378" ht="83.25" customHeight="1">
      <x:c r="A378" s="8" t="str">
        <x:v>V7-S3d0e0d6d2f</x:v>
      </x:c>
      <x:c r="B378" s="8" t="str">
        <x:v>Работа hr менеджером в предпринимательское сообщество в Красноярске, без опыта — поиск вакансий</x:v>
      </x:c>
      <x:c r="C378" s="8" t="str">
        <x:v>Региональные HR-сообщества</x:v>
      </x:c>
      <x:c r="D378" s="8" t="str">
        <x:v>Найден профессиональный/образовательный контекст. Покупательские запросы и возможность сбора еще не проверены.</x:v>
      </x:c>
      <x:c r="E378" s="8" t="str">
        <x:v>RU</x:v>
      </x:c>
      <x:c r="F378" s="8" t="str">
        <x:v>Сайт</x:v>
      </x:c>
      <x:c r="G378" s="8" t="str">
        <x:v>unverified_candidate</x:v>
      </x:c>
      <x:c r="H378" s="8" t="str">
        <x:v>Не проверен</x:v>
      </x:c>
      <x:c r="I378" s="8" t="str">
        <x:v>Не установлено</x:v>
      </x:c>
      <x:c r="J378" s="8" t="str">
        <x:v>Только контекст поиска</x:v>
      </x:c>
      <x:c r="K378" s="8" t="str">
        <x:v>Не установлено</x:v>
      </x:c>
      <x:c r="L378" s="8" t="str">
        <x:v>Не установлено</x:v>
      </x:c>
      <x:c r="M378" s="8" t="str">
        <x:v>Новый ключ источника</x:v>
      </x:c>
      <x:c r="N378" s="8" t="str">
        <x:v>Не установлено</x:v>
      </x:c>
      <x:c r="O378" s="8"/>
      <x:c r="P378" s="8" t="str">
        <x:v>https://krasnoyarsk.jobrun.ru/hr-%D0%BC%D0%B5%D0%BD%D0%B5%D0%B4%D0%B6%D0%B5%D1%80-%D0%B2-%D0%BF%D1%80%D0%B5%D0%B4%D0%BF%D1%80%D0%B8%D0%BD%D0%B8%D0%BC%D0%B0%D1%82%D0%B5%D0%BB%D1%8C%D1%81%D0%BA%D0%BE%D0%B5-%D1%81%D0%BE%D0%BE%D0%B1%D1%89%D0%B5%D1%81%D1%82%D0%B2%D0%BE-%D1%80%D0%B0%D0%B1%D0%BE%D1%82%D0%B0?experience=%D0%B1%D0%B5%D0%B7-%D0%BE%D0%BF%D1%8B%D1%82%D0%B0</x:v>
      </x:c>
      <x:c r="Q378" s="8" t="str">
        <x:v>turn1156search8</x:v>
      </x:c>
    </x:row>
    <x:row r="379" ht="35.25" customHeight="1">
      <x:c r="A379" s="8" t="str">
        <x:v>V7-S6ed1806d71</x:v>
      </x:c>
      <x:c r="B379" s="8" t="str">
        <x:v>Телеграмм канал @CHAT_CLUBTK | Чат кадровиков от Clubtk.ru</x:v>
      </x:c>
      <x:c r="C379" s="8" t="str">
        <x:v>Региональные HR-сообщества</x:v>
      </x:c>
      <x:c r="D379" s="8" t="str">
        <x:v>Найден профессиональный/образовательный контекст. Покупательские запросы и возможность сбора еще не проверены.</x:v>
      </x:c>
      <x:c r="E379" s="8" t="str">
        <x:v>Не установлена</x:v>
      </x:c>
      <x:c r="F379" s="8" t="str">
        <x:v>VK</x:v>
      </x:c>
      <x:c r="G379" s="8" t="str">
        <x:v>unverified_candidate</x:v>
      </x:c>
      <x:c r="H379" s="8" t="str">
        <x:v>Не проверен</x:v>
      </x:c>
      <x:c r="I379" s="8" t="str">
        <x:v>Не установлено</x:v>
      </x:c>
      <x:c r="J379" s="8" t="str">
        <x:v>Только контекст поиска</x:v>
      </x:c>
      <x:c r="K379" s="8" t="str">
        <x:v>Не установлено</x:v>
      </x:c>
      <x:c r="L379" s="8" t="str">
        <x:v>Не установлено</x:v>
      </x:c>
      <x:c r="M379" s="8" t="str">
        <x:v>Новый ключ источника</x:v>
      </x:c>
      <x:c r="N379" s="8" t="str">
        <x:v>Не установлено</x:v>
      </x:c>
      <x:c r="O379" s="8"/>
      <x:c r="P379" s="8" t="str">
        <x:v>https://list-vk.com/tg/chat_clubtk/</x:v>
      </x:c>
      <x:c r="Q379" s="8" t="str">
        <x:v>turn1157search10</x:v>
      </x:c>
    </x:row>
    <x:row r="380" ht="35.25" customHeight="1">
      <x:c r="A380" s="8" t="str">
        <x:v>V7-S978b4732e2</x:v>
      </x:c>
      <x:c r="B380" s="8" t="str">
        <x:v>Конференции «Human» и «Поток»: Lindaily делится лучшими HR-практиками - Новосибирск</x:v>
      </x:c>
      <x:c r="C380" s="8" t="str">
        <x:v>Региональные HR-сообщества</x:v>
      </x:c>
      <x:c r="D380" s="8" t="str">
        <x:v>Найден профессиональный/образовательный контекст. Покупательские запросы и возможность сбора еще не проверены.</x:v>
      </x:c>
      <x:c r="E380" s="8" t="str">
        <x:v>Не установлена</x:v>
      </x:c>
      <x:c r="F380" s="8" t="str">
        <x:v>Сайт</x:v>
      </x:c>
      <x:c r="G380" s="8" t="str">
        <x:v>unverified_candidate</x:v>
      </x:c>
      <x:c r="H380" s="8" t="str">
        <x:v>Не проверен</x:v>
      </x:c>
      <x:c r="I380" s="8" t="str">
        <x:v>Не установлено</x:v>
      </x:c>
      <x:c r="J380" s="8" t="str">
        <x:v>Только контекст поиска</x:v>
      </x:c>
      <x:c r="K380" s="8" t="str">
        <x:v>Не установлено</x:v>
      </x:c>
      <x:c r="L380" s="8" t="str">
        <x:v>Не установлено</x:v>
      </x:c>
      <x:c r="M380" s="8" t="str">
        <x:v>Новый ключ источника</x:v>
      </x:c>
      <x:c r="N380" s="8" t="str">
        <x:v>Не установлено</x:v>
      </x:c>
      <x:c r="O380" s="8"/>
      <x:c r="P380" s="8" t="str">
        <x:v>https://novosibirsk.lindaily.com/news/konferencii-human-i-potok-lindaily-delitsja-luchshimi-hr-praktikami/</x:v>
      </x:c>
      <x:c r="Q380" s="8" t="str">
        <x:v>turn1158search4</x:v>
      </x:c>
    </x:row>
    <x:row r="381" ht="35.25" customHeight="1">
      <x:c r="A381" s="8" t="str">
        <x:v>V7-S47b6bd6cc3</x:v>
      </x:c>
      <x:c r="B381" s="8" t="str">
        <x:v>HR-Экспедиция: САХАЛИН</x:v>
      </x:c>
      <x:c r="C381" s="8" t="str">
        <x:v>Региональные HR-сообщества</x:v>
      </x:c>
      <x:c r="D381" s="8" t="str">
        <x:v>Найден профессиональный/образовательный контекст. Покупательские запросы и возможность сбора еще не проверены.</x:v>
      </x:c>
      <x:c r="E381" s="8" t="str">
        <x:v>RU</x:v>
      </x:c>
      <x:c r="F381" s="8" t="str">
        <x:v>Сайт</x:v>
      </x:c>
      <x:c r="G381" s="8" t="str">
        <x:v>unverified_candidate</x:v>
      </x:c>
      <x:c r="H381" s="8" t="str">
        <x:v>Не проверен</x:v>
      </x:c>
      <x:c r="I381" s="8" t="str">
        <x:v>Не установлено</x:v>
      </x:c>
      <x:c r="J381" s="8" t="str">
        <x:v>Только контекст поиска</x:v>
      </x:c>
      <x:c r="K381" s="8" t="str">
        <x:v>Не установлено</x:v>
      </x:c>
      <x:c r="L381" s="8" t="str">
        <x:v>Не установлено</x:v>
      </x:c>
      <x:c r="M381" s="8" t="str">
        <x:v>Новый ключ источника</x:v>
      </x:c>
      <x:c r="N381" s="8" t="str">
        <x:v>Не установлено</x:v>
      </x:c>
      <x:c r="O381" s="8"/>
      <x:c r="P381" s="8" t="str">
        <x:v>https://personalexpo.ru/hr_expedition_sakhalin</x:v>
      </x:c>
      <x:c r="Q381" s="8" t="str">
        <x:v>turn1155search9</x:v>
      </x:c>
    </x:row>
    <x:row r="382" ht="35.25" customHeight="1">
      <x:c r="A382" s="8" t="str">
        <x:v>V7-S10edf40315</x:v>
      </x:c>
      <x:c r="B382" s="8" t="str">
        <x:v>Восточный цифровой форум Russky MeetUP / 2024 / Владивосток</x:v>
      </x:c>
      <x:c r="C382" s="8" t="str">
        <x:v>Региональные HR-сообщества</x:v>
      </x:c>
      <x:c r="D382" s="8" t="str">
        <x:v>Найден профессиональный/образовательный контекст. Покупательские запросы и возможность сбора еще не проверены.</x:v>
      </x:c>
      <x:c r="E382" s="8" t="str">
        <x:v>RU</x:v>
      </x:c>
      <x:c r="F382" s="8" t="str">
        <x:v>Сайт</x:v>
      </x:c>
      <x:c r="G382" s="8" t="str">
        <x:v>unverified_candidate</x:v>
      </x:c>
      <x:c r="H382" s="8" t="str">
        <x:v>Не проверен</x:v>
      </x:c>
      <x:c r="I382" s="8" t="str">
        <x:v>Не установлено</x:v>
      </x:c>
      <x:c r="J382" s="8" t="str">
        <x:v>Только контекст поиска</x:v>
      </x:c>
      <x:c r="K382" s="8" t="str">
        <x:v>Не установлено</x:v>
      </x:c>
      <x:c r="L382" s="8" t="str">
        <x:v>Не установлено</x:v>
      </x:c>
      <x:c r="M382" s="8" t="str">
        <x:v>Новый ключ источника</x:v>
      </x:c>
      <x:c r="N382" s="8" t="str">
        <x:v>Не установлено</x:v>
      </x:c>
      <x:c r="O382" s="8"/>
      <x:c r="P382" s="8" t="str">
        <x:v>https://rumeetup.ru/</x:v>
      </x:c>
      <x:c r="Q382" s="8" t="str">
        <x:v>turn1155search7</x:v>
      </x:c>
    </x:row>
    <x:row r="383" ht="35.25" customHeight="1">
      <x:c r="A383" s="8" t="str">
        <x:v>V7-S3b48ee274d</x:v>
      </x:c>
      <x:c r="B383" s="8" t="str">
        <x:v>UCHET.KZ: БУХГАЛТЕРУ И БИЗНЕСМЕНУ – Telegram</x:v>
      </x:c>
      <x:c r="C383" s="8" t="str">
        <x:v>Региональные HR-сообщества</x:v>
      </x:c>
      <x:c r="D383" s="8" t="str">
        <x:v>Найден профессиональный/образовательный контекст. Покупательские запросы и возможность сбора еще не проверены.</x:v>
      </x:c>
      <x:c r="E383" s="8" t="str">
        <x:v>Не установлена</x:v>
      </x:c>
      <x:c r="F383" s="8" t="str">
        <x:v>Telegram</x:v>
      </x:c>
      <x:c r="G383" s="8" t="str">
        <x:v>unverified_candidate</x:v>
      </x:c>
      <x:c r="H383" s="8" t="str">
        <x:v>Не проверен</x:v>
      </x:c>
      <x:c r="I383" s="8" t="str">
        <x:v>Не установлено</x:v>
      </x:c>
      <x:c r="J383" s="8" t="str">
        <x:v>Только контекст поиска</x:v>
      </x:c>
      <x:c r="K383" s="8" t="str">
        <x:v>Не установлено</x:v>
      </x:c>
      <x:c r="L383" s="8" t="str">
        <x:v>Не установлено</x:v>
      </x:c>
      <x:c r="M383" s="8" t="str">
        <x:v>Новый ключ источника</x:v>
      </x:c>
      <x:c r="N383" s="8" t="str">
        <x:v>Не установлено</x:v>
      </x:c>
      <x:c r="O383" s="8"/>
      <x:c r="P383" s="8" t="str">
        <x:v>https://t.me/s/uchet_kz?before=15686</x:v>
      </x:c>
      <x:c r="Q383" s="8" t="str">
        <x:v>turn1157search11</x:v>
      </x:c>
    </x:row>
    <x:row r="384" ht="47.25" customHeight="1">
      <x:c r="A384" s="8" t="str">
        <x:v>V7-Se01aa4cefa</x:v>
      </x:c>
      <x:c r="B384" s="8" t="str">
        <x:v>Телеграмм канал «Чат кадровиков от Clubtk.ru». Поиск по Telegram каналам. Каталог телеграм каналов.</x:v>
      </x:c>
      <x:c r="C384" s="8" t="str">
        <x:v>Региональные HR-сообщества</x:v>
      </x:c>
      <x:c r="D384" s="8" t="str">
        <x:v>Найден профессиональный/образовательный контекст. Покупательские запросы и возможность сбора еще не проверены.</x:v>
      </x:c>
      <x:c r="E384" s="8" t="str">
        <x:v>Не установлена</x:v>
      </x:c>
      <x:c r="F384" s="8" t="str">
        <x:v>Сайт</x:v>
      </x:c>
      <x:c r="G384" s="8" t="str">
        <x:v>unverified_candidate</x:v>
      </x:c>
      <x:c r="H384" s="8" t="str">
        <x:v>Не проверен</x:v>
      </x:c>
      <x:c r="I384" s="8" t="str">
        <x:v>Не установлено</x:v>
      </x:c>
      <x:c r="J384" s="8" t="str">
        <x:v>Только контекст поиска</x:v>
      </x:c>
      <x:c r="K384" s="8" t="str">
        <x:v>Не установлено</x:v>
      </x:c>
      <x:c r="L384" s="8" t="str">
        <x:v>Не установлено</x:v>
      </x:c>
      <x:c r="M384" s="8" t="str">
        <x:v>Новый ключ источника</x:v>
      </x:c>
      <x:c r="N384" s="8" t="str">
        <x:v>Не установлено</x:v>
      </x:c>
      <x:c r="O384" s="8"/>
      <x:c r="P384" s="8" t="str">
        <x:v>https://tgramsearch.com/join/3723084999</x:v>
      </x:c>
      <x:c r="Q384" s="8" t="str">
        <x:v>turn1157search4; turn1157search9</x:v>
      </x:c>
    </x:row>
    <x:row r="385" ht="71.25" customHeight="1">
      <x:c r="A385" s="8" t="str">
        <x:v>V7-Sf2033eb71b</x:v>
      </x:c>
      <x:c r="B385" s="8" t="str">
        <x:v>Hr консультация для собственников и руководителей в Екатеринбурге: 78 исполнителей с отзывами и ценами на Яндекс Услугах.</x:v>
      </x:c>
      <x:c r="C385" s="8" t="str">
        <x:v>Региональные HR-сообщества</x:v>
      </x:c>
      <x:c r="D385" s="8" t="str">
        <x:v>Найден профессиональный/образовательный контекст. Покупательские запросы и возможность сбора еще не проверены.</x:v>
      </x:c>
      <x:c r="E385" s="8" t="str">
        <x:v>RU</x:v>
      </x:c>
      <x:c r="F385" s="8" t="str">
        <x:v>Сайт</x:v>
      </x:c>
      <x:c r="G385" s="8" t="str">
        <x:v>unverified_candidate</x:v>
      </x:c>
      <x:c r="H385" s="8" t="str">
        <x:v>Не проверен</x:v>
      </x:c>
      <x:c r="I385" s="8" t="str">
        <x:v>Не установлено</x:v>
      </x:c>
      <x:c r="J385" s="8" t="str">
        <x:v>Только контекст поиска</x:v>
      </x:c>
      <x:c r="K385" s="8" t="str">
        <x:v>Не установлено</x:v>
      </x:c>
      <x:c r="L385" s="8" t="str">
        <x:v>Не установлено</x:v>
      </x:c>
      <x:c r="M385" s="8" t="str">
        <x:v>Новый ключ источника</x:v>
      </x:c>
      <x:c r="N385" s="8" t="str">
        <x:v>Не установлено</x:v>
      </x:c>
      <x:c r="O385" s="8"/>
      <x:c r="P385" s="8" t="str">
        <x:v>https://uslugi.yandex.ru/54-yekaterinburg/category?text=hr+%D0%BA%D0%BE%D0%BD%D1%81%D1%83%D0%BB%D1%8C%D1%82%D0%B0%D1%86%D0%B8%D1%8F+%D0%B4%D0%BB%D1%8F+%D1%81%D0%BE%D0%B1%D1%81%D1%82%D0%B2%D0%B5%D0%BD%D0%BD%D0%B8%D0%BA%D0%BE%D0%B2+%D0%B8+%D1%80%D1%83%D0%BA%D0%BE%D0%B2%D0%BE%D0%B4%D0%B8%D1%82%D0%B5%D0%BB%D0%B5%D0%B9</x:v>
      </x:c>
      <x:c r="Q385" s="8" t="str">
        <x:v>turn1152search7; turn1152search10; turn1152search11</x:v>
      </x:c>
    </x:row>
    <x:row r="386" ht="35.25" customHeight="1">
      <x:c r="A386" s="8" t="str">
        <x:v>V7-S96ec5939e6</x:v>
      </x:c>
      <x:c r="B386" s="8" t="str">
        <x:v>VI Межрегиональный форум по управлению персоналом «HR-Платформа 2026»</x:v>
      </x:c>
      <x:c r="C386" s="8" t="str">
        <x:v>Региональные HR-сообщества</x:v>
      </x:c>
      <x:c r="D386" s="8" t="str">
        <x:v>Найден профессиональный/образовательный контекст. Покупательские запросы и возможность сбора еще не проверены.</x:v>
      </x:c>
      <x:c r="E386" s="8" t="str">
        <x:v>RU</x:v>
      </x:c>
      <x:c r="F386" s="8" t="str">
        <x:v>Сайт</x:v>
      </x:c>
      <x:c r="G386" s="8" t="str">
        <x:v>unverified_candidate</x:v>
      </x:c>
      <x:c r="H386" s="8" t="str">
        <x:v>Не проверен</x:v>
      </x:c>
      <x:c r="I386" s="8" t="str">
        <x:v>Не установлено</x:v>
      </x:c>
      <x:c r="J386" s="8" t="str">
        <x:v>Только контекст поиска</x:v>
      </x:c>
      <x:c r="K386" s="8" t="str">
        <x:v>Не установлено</x:v>
      </x:c>
      <x:c r="L386" s="8" t="str">
        <x:v>Не установлено</x:v>
      </x:c>
      <x:c r="M386" s="8" t="str">
        <x:v>Новый ключ источника</x:v>
      </x:c>
      <x:c r="N386" s="8" t="str">
        <x:v>Не установлено</x:v>
      </x:c>
      <x:c r="O386" s="8"/>
      <x:c r="P386" s="8" t="str">
        <x:v>https://veta.ru/hr-2026</x:v>
      </x:c>
      <x:c r="Q386" s="8" t="str">
        <x:v>turn1153search1</x:v>
      </x:c>
    </x:row>
    <x:row r="387" ht="59.25" customHeight="1">
      <x:c r="A387" s="8" t="str">
        <x:v>V7-Se180d661e3</x:v>
      </x:c>
      <x:c r="B387" s="8" t="str">
        <x:v>Мастер-классы «HR будущего: люди, обучение, нейросети». Серия семинаров с Юлией Гордеевой (г. Москва) во Владивостоке - 11 февраля, Ensola Space | Афиша VL.ru</x:v>
      </x:c>
      <x:c r="C387" s="8" t="str">
        <x:v>Региональные HR-сообщества</x:v>
      </x:c>
      <x:c r="D387" s="8" t="str">
        <x:v>Найден профессиональный/образовательный контекст. Покупательские запросы и возможность сбора еще не проверены.</x:v>
      </x:c>
      <x:c r="E387" s="8" t="str">
        <x:v>RU</x:v>
      </x:c>
      <x:c r="F387" s="8" t="str">
        <x:v>Сайт</x:v>
      </x:c>
      <x:c r="G387" s="8" t="str">
        <x:v>unverified_candidate</x:v>
      </x:c>
      <x:c r="H387" s="8" t="str">
        <x:v>Не проверен</x:v>
      </x:c>
      <x:c r="I387" s="8" t="str">
        <x:v>Не установлено</x:v>
      </x:c>
      <x:c r="J387" s="8" t="str">
        <x:v>Только контекст поиска</x:v>
      </x:c>
      <x:c r="K387" s="8" t="str">
        <x:v>Не установлено</x:v>
      </x:c>
      <x:c r="L387" s="8" t="str">
        <x:v>Не установлено</x:v>
      </x:c>
      <x:c r="M387" s="8" t="str">
        <x:v>Новый ключ источника</x:v>
      </x:c>
      <x:c r="N387" s="8" t="str">
        <x:v>Не установлено</x:v>
      </x:c>
      <x:c r="O387" s="8"/>
      <x:c r="P387" s="8" t="str">
        <x:v>https://www.vl.ru/afisha/vladivostok/event/245135</x:v>
      </x:c>
      <x:c r="Q387" s="8" t="str">
        <x:v>turn1155search5; turn1155search4</x:v>
      </x:c>
    </x:row>
    <x:row r="388" ht="35.25" customHeight="1">
      <x:c r="A388" s="8" t="str">
        <x:v>V7-S55dfd2087d</x:v>
      </x:c>
      <x:c r="B388" s="8" t="str">
        <x:v>В Самаре пройдет HR-Форум "Человек - формула будущего" - Волга Ньюс</x:v>
      </x:c>
      <x:c r="C388" s="8" t="str">
        <x:v>Региональные HR-сообщества</x:v>
      </x:c>
      <x:c r="D388" s="8" t="str">
        <x:v>Найден профессиональный/образовательный контекст. Покупательские запросы и возможность сбора еще не проверены.</x:v>
      </x:c>
      <x:c r="E388" s="8" t="str">
        <x:v>Не установлена</x:v>
      </x:c>
      <x:c r="F388" s="8" t="str">
        <x:v>Сайт</x:v>
      </x:c>
      <x:c r="G388" s="8" t="str">
        <x:v>unverified_candidate</x:v>
      </x:c>
      <x:c r="H388" s="8" t="str">
        <x:v>Не проверен</x:v>
      </x:c>
      <x:c r="I388" s="8" t="str">
        <x:v>Не установлено</x:v>
      </x:c>
      <x:c r="J388" s="8" t="str">
        <x:v>Только контекст поиска</x:v>
      </x:c>
      <x:c r="K388" s="8" t="str">
        <x:v>Не установлено</x:v>
      </x:c>
      <x:c r="L388" s="8" t="str">
        <x:v>Не установлено</x:v>
      </x:c>
      <x:c r="M388" s="8" t="str">
        <x:v>Новый ключ источника</x:v>
      </x:c>
      <x:c r="N388" s="8" t="str">
        <x:v>Не установлено</x:v>
      </x:c>
      <x:c r="O388" s="8"/>
      <x:c r="P388" s="8" t="str">
        <x:v>https://volga.news/article/781335.html</x:v>
      </x:c>
      <x:c r="Q388" s="8" t="str">
        <x:v>turn1159search0; turn1084search8</x:v>
      </x:c>
    </x:row>
    <x:row r="389" ht="71.25" customHeight="1">
      <x:c r="A389" s="8" t="str">
        <x:v>V7-Sbf10ecac86</x:v>
      </x:c>
      <x:c r="B389" s="8" t="str">
        <x:v>Академия развития профессиональных компетенций HR UP SKILL при участии консалтинговой компании ТОО «Контрольно-аналитическая служба РЕВИЗОР»</x:v>
      </x:c>
      <x:c r="C389" s="8" t="str">
        <x:v>Региональные HR-сообщества</x:v>
      </x:c>
      <x:c r="D389" s="8" t="str">
        <x:v>Найден профессиональный/образовательный контекст. Покупательские запросы и возможность сбора еще не проверены.</x:v>
      </x:c>
      <x:c r="E389" s="8" t="str">
        <x:v>Не установлена</x:v>
      </x:c>
      <x:c r="F389" s="8" t="str">
        <x:v>Сайт</x:v>
      </x:c>
      <x:c r="G389" s="8" t="str">
        <x:v>unverified_candidate</x:v>
      </x:c>
      <x:c r="H389" s="8" t="str">
        <x:v>Не проверен</x:v>
      </x:c>
      <x:c r="I389" s="8" t="str">
        <x:v>Не установлено</x:v>
      </x:c>
      <x:c r="J389" s="8" t="str">
        <x:v>Только контекст поиска</x:v>
      </x:c>
      <x:c r="K389" s="8" t="str">
        <x:v>Не установлено</x:v>
      </x:c>
      <x:c r="L389" s="8" t="str">
        <x:v>Не установлено</x:v>
      </x:c>
      <x:c r="M389" s="8" t="str">
        <x:v>Новый ключ источника</x:v>
      </x:c>
      <x:c r="N389" s="8" t="str">
        <x:v>Не установлено</x:v>
      </x:c>
      <x:c r="O389" s="8"/>
      <x:c r="P389" s="8" t="str">
        <x:v>https://web-akademia.com/wp-content/uploads/%D0%9A%D0%BE%D0%BC%D0%BF%D1%80%D0%B5%D0%B4-%D0%BD%D0%B0-%D0%BE%D0%B1%D1%83%D1%87%D0%B5%D0%BD%D0%B8%D0%B5-%D0%BA%D0%B0%D0%B4%D1%80%D1%8B-HR-UP-SKILL-24-25-%D1%82%D0%B0%D1%80%D0%B8%D1%84%D1%8B-%D1%81-%D0%BD%D0%BE%D1%8F%D0%B1%D1%80%D1%8F-2024-%D0%B3.pdf</x:v>
      </x:c>
      <x:c r="Q389" s="8" t="str">
        <x:v>turn1157search13</x:v>
      </x:c>
    </x:row>
    <x:row r="390" ht="35.25" customHeight="1">
      <x:c r="A390" s="8" t="str">
        <x:v>V7-S30376605f8</x:v>
      </x:c>
      <x:c r="B390" s="8" t="str">
        <x:v>Женщины в бизнесе</x:v>
      </x:c>
      <x:c r="C390" s="8" t="str">
        <x:v>Региональные HR-сообщества</x:v>
      </x:c>
      <x:c r="D390" s="8" t="str">
        <x:v>Найден профессиональный/образовательный контекст. Покупательские запросы и возможность сбора еще не проверены.</x:v>
      </x:c>
      <x:c r="E390" s="8" t="str">
        <x:v>RU</x:v>
      </x:c>
      <x:c r="F390" s="8" t="str">
        <x:v>Сайт</x:v>
      </x:c>
      <x:c r="G390" s="8" t="str">
        <x:v>unverified_candidate</x:v>
      </x:c>
      <x:c r="H390" s="8" t="str">
        <x:v>Не проверен</x:v>
      </x:c>
      <x:c r="I390" s="8" t="str">
        <x:v>Не установлено</x:v>
      </x:c>
      <x:c r="J390" s="8" t="str">
        <x:v>Только контекст поиска</x:v>
      </x:c>
      <x:c r="K390" s="8" t="str">
        <x:v>Не установлено</x:v>
      </x:c>
      <x:c r="L390" s="8" t="str">
        <x:v>Не установлено</x:v>
      </x:c>
      <x:c r="M390" s="8" t="str">
        <x:v>Новый ключ источника</x:v>
      </x:c>
      <x:c r="N390" s="8" t="str">
        <x:v>Не установлено</x:v>
      </x:c>
      <x:c r="O390" s="8"/>
      <x:c r="P390" s="8" t="str">
        <x:v>https://womeninbiz.ru/main-old</x:v>
      </x:c>
      <x:c r="Q390" s="8" t="str">
        <x:v>turn1155search3</x:v>
      </x:c>
    </x:row>
    <x:row r="391" ht="47.25" customHeight="1">
      <x:c r="A391" s="8" t="str">
        <x:v>V7-Sb767614f9c</x:v>
      </x:c>
      <x:c r="B391" s="8" t="str">
        <x:v>Интеграция 1С:ЗУП КОРП с мессенджером Telegram упростил жизнь кадровиков компании «Велесстрой»</x:v>
      </x:c>
      <x:c r="C391" s="8" t="str">
        <x:v>Региональные HR-сообщества</x:v>
      </x:c>
      <x:c r="D391" s="8" t="str">
        <x:v>Найден профессиональный/образовательный контекст. Покупательские запросы и возможность сбора еще не проверены.</x:v>
      </x:c>
      <x:c r="E391" s="8" t="str">
        <x:v>BY</x:v>
      </x:c>
      <x:c r="F391" s="8" t="str">
        <x:v>Сайт</x:v>
      </x:c>
      <x:c r="G391" s="8" t="str">
        <x:v>unverified_candidate</x:v>
      </x:c>
      <x:c r="H391" s="8" t="str">
        <x:v>Не проверен</x:v>
      </x:c>
      <x:c r="I391" s="8" t="str">
        <x:v>Не установлено</x:v>
      </x:c>
      <x:c r="J391" s="8" t="str">
        <x:v>Только контекст поиска</x:v>
      </x:c>
      <x:c r="K391" s="8" t="str">
        <x:v>Не установлено</x:v>
      </x:c>
      <x:c r="L391" s="8" t="str">
        <x:v>Не установлено</x:v>
      </x:c>
      <x:c r="M391" s="8" t="str">
        <x:v>Новый ключ источника</x:v>
      </x:c>
      <x:c r="N391" s="8" t="str">
        <x:v>Не установлено</x:v>
      </x:c>
      <x:c r="O391" s="8"/>
      <x:c r="P391" s="8" t="str">
        <x:v>https://borisov.1cbit.by/blog/business-cases/integratsiya-1s-zup-korp-s-messendzherom-telegram-uprostil-zhizn-kadrovikov-kompanii-velesstroy/</x:v>
      </x:c>
      <x:c r="Q391" s="8" t="str">
        <x:v>turn1157search3</x:v>
      </x:c>
    </x:row>
    <x:row r="392" ht="35.25" customHeight="1">
      <x:c r="A392" s="8" t="str">
        <x:v>V7-Se60426344c</x:v>
      </x:c>
      <x:c r="B392" s="8" t="str">
        <x:v>Корпоративный портал компании HR-эксперт</x:v>
      </x:c>
      <x:c r="C392" s="8" t="str">
        <x:v>Региональные HR-сообщества</x:v>
      </x:c>
      <x:c r="D392" s="8" t="str">
        <x:v>Найден профессиональный/образовательный контекст. Покупательские запросы и возможность сбора еще не проверены.</x:v>
      </x:c>
      <x:c r="E392" s="8" t="str">
        <x:v>Не установлена</x:v>
      </x:c>
      <x:c r="F392" s="8" t="str">
        <x:v>Сайт</x:v>
      </x:c>
      <x:c r="G392" s="8" t="str">
        <x:v>unverified_candidate</x:v>
      </x:c>
      <x:c r="H392" s="8" t="str">
        <x:v>Не проверен</x:v>
      </x:c>
      <x:c r="I392" s="8" t="str">
        <x:v>Не установлено</x:v>
      </x:c>
      <x:c r="J392" s="8" t="str">
        <x:v>Только контекст поиска</x:v>
      </x:c>
      <x:c r="K392" s="8" t="str">
        <x:v>Не установлено</x:v>
      </x:c>
      <x:c r="L392" s="8" t="str">
        <x:v>Не установлено</x:v>
      </x:c>
      <x:c r="M392" s="8" t="str">
        <x:v>Новый ключ источника</x:v>
      </x:c>
      <x:c r="N392" s="8" t="str">
        <x:v>Не установлено</x:v>
      </x:c>
      <x:c r="O392" s="8"/>
      <x:c r="P392" s="8" t="str">
        <x:v>https://career.hr-expert.club/sdo</x:v>
      </x:c>
      <x:c r="Q392" s="8" t="str">
        <x:v>turn1159search5</x:v>
      </x:c>
    </x:row>
    <x:row r="393" ht="35.25" customHeight="1">
      <x:c r="A393" s="8" t="str">
        <x:v>V7-S4c7755e308</x:v>
      </x:c>
      <x:c r="B393" s="8" t="str">
        <x:v>Тренинг: HR-TOUR: лучшие управленческие решения в бизнесе | Учебный центр Шифт</x:v>
      </x:c>
      <x:c r="C393" s="8" t="str">
        <x:v>Региональные HR-сообщества</x:v>
      </x:c>
      <x:c r="D393" s="8" t="str">
        <x:v>Найден профессиональный/образовательный контекст. Покупательские запросы и возможность сбора еще не проверены.</x:v>
      </x:c>
      <x:c r="E393" s="8" t="str">
        <x:v>RU</x:v>
      </x:c>
      <x:c r="F393" s="8" t="str">
        <x:v>Сайт</x:v>
      </x:c>
      <x:c r="G393" s="8" t="str">
        <x:v>unverified_candidate</x:v>
      </x:c>
      <x:c r="H393" s="8" t="str">
        <x:v>Не проверен</x:v>
      </x:c>
      <x:c r="I393" s="8" t="str">
        <x:v>Не установлено</x:v>
      </x:c>
      <x:c r="J393" s="8" t="str">
        <x:v>Только контекст поиска</x:v>
      </x:c>
      <x:c r="K393" s="8" t="str">
        <x:v>Не установлено</x:v>
      </x:c>
      <x:c r="L393" s="8" t="str">
        <x:v>Не установлено</x:v>
      </x:c>
      <x:c r="M393" s="8" t="str">
        <x:v>Новый ключ источника</x:v>
      </x:c>
      <x:c r="N393" s="8" t="str">
        <x:v>Не установлено</x:v>
      </x:c>
      <x:c r="O393" s="8"/>
      <x:c r="P393" s="8" t="str">
        <x:v>https://www.eshift.ru/courses/treningi/trening-hr-tour-luchshie-upravlencheskie-resheniya-v-biznese/</x:v>
      </x:c>
      <x:c r="Q393" s="8" t="str">
        <x:v>turn1084search13</x:v>
      </x:c>
    </x:row>
    <x:row r="394" ht="35.25" customHeight="1">
      <x:c r="A394" s="8" t="str">
        <x:v>V7-S6f9ddb405e</x:v>
      </x:c>
      <x:c r="B394" s="8" t="str">
        <x:v>HR Форум 2015 в Уфе: Человеческий капитал. Повышение эффективности в новых условиях.</x:v>
      </x:c>
      <x:c r="C394" s="8" t="str">
        <x:v>Региональные HR-сообщества</x:v>
      </x:c>
      <x:c r="D394" s="8" t="str">
        <x:v>Найден профессиональный/образовательный контекст. Покупательские запросы и возможность сбора еще не проверены.</x:v>
      </x:c>
      <x:c r="E394" s="8" t="str">
        <x:v>RU</x:v>
      </x:c>
      <x:c r="F394" s="8" t="str">
        <x:v>Сайт</x:v>
      </x:c>
      <x:c r="G394" s="8" t="str">
        <x:v>unverified_candidate</x:v>
      </x:c>
      <x:c r="H394" s="8" t="str">
        <x:v>Не проверен</x:v>
      </x:c>
      <x:c r="I394" s="8" t="str">
        <x:v>Не установлено</x:v>
      </x:c>
      <x:c r="J394" s="8" t="str">
        <x:v>Только контекст поиска</x:v>
      </x:c>
      <x:c r="K394" s="8" t="str">
        <x:v>Не установлено</x:v>
      </x:c>
      <x:c r="L394" s="8" t="str">
        <x:v>Не установлено</x:v>
      </x:c>
      <x:c r="M394" s="8" t="str">
        <x:v>Новый ключ источника</x:v>
      </x:c>
      <x:c r="N394" s="8" t="str">
        <x:v>Не установлено</x:v>
      </x:c>
      <x:c r="O394" s="8"/>
      <x:c r="P394" s="8" t="str">
        <x:v>https://hr-forumrb.ru/</x:v>
      </x:c>
      <x:c r="Q394" s="8" t="str">
        <x:v>turn1153search3</x:v>
      </x:c>
    </x:row>
    <x:row r="395" ht="35.25" customHeight="1">
      <x:c r="A395" s="8" t="str">
        <x:v>V7-S5c08f98a09</x:v>
      </x:c>
      <x:c r="B395" s="8" t="str">
        <x:v>Корпоративный портал - цены и внедрение | HRBOX</x:v>
      </x:c>
      <x:c r="C395" s="8" t="str">
        <x:v>Региональные HR-сообщества</x:v>
      </x:c>
      <x:c r="D395" s="8" t="str">
        <x:v>Найден профессиональный/образовательный контекст. Покупательские запросы и возможность сбора еще не проверены.</x:v>
      </x:c>
      <x:c r="E395" s="8" t="str">
        <x:v>KZ</x:v>
      </x:c>
      <x:c r="F395" s="8" t="str">
        <x:v>Сайт</x:v>
      </x:c>
      <x:c r="G395" s="8" t="str">
        <x:v>unverified_candidate</x:v>
      </x:c>
      <x:c r="H395" s="8" t="str">
        <x:v>Не проверен</x:v>
      </x:c>
      <x:c r="I395" s="8" t="str">
        <x:v>Не установлено</x:v>
      </x:c>
      <x:c r="J395" s="8" t="str">
        <x:v>Только контекст поиска</x:v>
      </x:c>
      <x:c r="K395" s="8" t="str">
        <x:v>Не установлено</x:v>
      </x:c>
      <x:c r="L395" s="8" t="str">
        <x:v>Не установлено</x:v>
      </x:c>
      <x:c r="M395" s="8" t="str">
        <x:v>Новый ключ источника</x:v>
      </x:c>
      <x:c r="N395" s="8" t="str">
        <x:v>Не установлено</x:v>
      </x:c>
      <x:c r="O395" s="8"/>
      <x:c r="P395" s="8" t="str">
        <x:v>https://www.hrbox.kz/chatbox</x:v>
      </x:c>
      <x:c r="Q395" s="8" t="str">
        <x:v>turn1154search0</x:v>
      </x:c>
    </x:row>
    <x:row r="396" ht="35.25" customHeight="1">
      <x:c r="A396" s="8" t="str">
        <x:v>V7-Sc847c37214</x:v>
      </x:c>
      <x:c r="B396" s="8" t="str">
        <x:v>Города HR Choice — работа и вакансии в городах России | HR Choice Russia</x:v>
      </x:c>
      <x:c r="C396" s="8" t="str">
        <x:v>Региональные HR-сообщества</x:v>
      </x:c>
      <x:c r="D396" s="8" t="str">
        <x:v>Найден профессиональный/образовательный контекст. Покупательские запросы и возможность сбора еще не проверены.</x:v>
      </x:c>
      <x:c r="E396" s="8" t="str">
        <x:v>RU</x:v>
      </x:c>
      <x:c r="F396" s="8" t="str">
        <x:v>Сайт</x:v>
      </x:c>
      <x:c r="G396" s="8" t="str">
        <x:v>unverified_candidate</x:v>
      </x:c>
      <x:c r="H396" s="8" t="str">
        <x:v>Не проверен</x:v>
      </x:c>
      <x:c r="I396" s="8" t="str">
        <x:v>Не установлено</x:v>
      </x:c>
      <x:c r="J396" s="8" t="str">
        <x:v>Только контекст поиска</x:v>
      </x:c>
      <x:c r="K396" s="8" t="str">
        <x:v>Не установлено</x:v>
      </x:c>
      <x:c r="L396" s="8" t="str">
        <x:v>Не установлено</x:v>
      </x:c>
      <x:c r="M396" s="8" t="str">
        <x:v>Новый ключ источника</x:v>
      </x:c>
      <x:c r="N396" s="8" t="str">
        <x:v>Не установлено</x:v>
      </x:c>
      <x:c r="O396" s="8"/>
      <x:c r="P396" s="8" t="str">
        <x:v>https://hrchoice.ru/goroda</x:v>
      </x:c>
      <x:c r="Q396" s="8" t="str">
        <x:v>turn1084search7</x:v>
      </x:c>
    </x:row>
    <x:row r="397" ht="35.25" customHeight="1">
      <x:c r="A397" s="8" t="str">
        <x:v>V7-Sc588bfda22</x:v>
      </x:c>
      <x:c r="B397" s="8" t="str">
        <x:v>Омниканальный мессенджер для рекрутинга: WhatsApp + AI-скрининг | HRStream</x:v>
      </x:c>
      <x:c r="C397" s="8" t="str">
        <x:v>Региональные HR-сообщества</x:v>
      </x:c>
      <x:c r="D397" s="8" t="str">
        <x:v>Найден профессиональный/образовательный контекст. Покупательские запросы и возможность сбора еще не проверены.</x:v>
      </x:c>
      <x:c r="E397" s="8" t="str">
        <x:v>KZ</x:v>
      </x:c>
      <x:c r="F397" s="8" t="str">
        <x:v>Сайт</x:v>
      </x:c>
      <x:c r="G397" s="8" t="str">
        <x:v>unverified_candidate</x:v>
      </x:c>
      <x:c r="H397" s="8" t="str">
        <x:v>Не проверен</x:v>
      </x:c>
      <x:c r="I397" s="8" t="str">
        <x:v>Не установлено</x:v>
      </x:c>
      <x:c r="J397" s="8" t="str">
        <x:v>Только контекст поиска</x:v>
      </x:c>
      <x:c r="K397" s="8" t="str">
        <x:v>Не установлено</x:v>
      </x:c>
      <x:c r="L397" s="8" t="str">
        <x:v>Не установлено</x:v>
      </x:c>
      <x:c r="M397" s="8" t="str">
        <x:v>Новый ключ источника</x:v>
      </x:c>
      <x:c r="N397" s="8" t="str">
        <x:v>Не установлено</x:v>
      </x:c>
      <x:c r="O397" s="8"/>
      <x:c r="P397" s="8" t="str">
        <x:v>https://www.hrstream.kz/blog/omnikanalnyj-messenger-hrstream</x:v>
      </x:c>
      <x:c r="Q397" s="8" t="str">
        <x:v>turn1154search2</x:v>
      </x:c>
    </x:row>
    <x:row r="398" ht="35.25" customHeight="1">
      <x:c r="A398" s="8" t="str">
        <x:v>V7-Sbea8686089</x:v>
      </x:c>
      <x:c r="B398" s="8" t="str">
        <x:v>Чат-бот Teams для HR - отдела кадров</x:v>
      </x:c>
      <x:c r="C398" s="8" t="str">
        <x:v>Региональные HR-сообщества</x:v>
      </x:c>
      <x:c r="D398" s="8" t="str">
        <x:v>Найден профессиональный/образовательный контекст. Покупательские запросы и возможность сбора еще не проверены.</x:v>
      </x:c>
      <x:c r="E398" s="8" t="str">
        <x:v>KZ</x:v>
      </x:c>
      <x:c r="F398" s="8" t="str">
        <x:v>Сайт</x:v>
      </x:c>
      <x:c r="G398" s="8" t="str">
        <x:v>unverified_candidate</x:v>
      </x:c>
      <x:c r="H398" s="8" t="str">
        <x:v>Не проверен</x:v>
      </x:c>
      <x:c r="I398" s="8" t="str">
        <x:v>Не установлено</x:v>
      </x:c>
      <x:c r="J398" s="8" t="str">
        <x:v>Только контекст поиска</x:v>
      </x:c>
      <x:c r="K398" s="8" t="str">
        <x:v>Не установлено</x:v>
      </x:c>
      <x:c r="L398" s="8" t="str">
        <x:v>Не установлено</x:v>
      </x:c>
      <x:c r="M398" s="8" t="str">
        <x:v>Новый ключ источника</x:v>
      </x:c>
      <x:c r="N398" s="8" t="str">
        <x:v>Не установлено</x:v>
      </x:c>
      <x:c r="O398" s="8"/>
      <x:c r="P398" s="8" t="str">
        <x:v>https://i-sys.kz/products/microsoft-office/hr-support/</x:v>
      </x:c>
      <x:c r="Q398" s="8" t="str">
        <x:v>turn1154search5</x:v>
      </x:c>
    </x:row>
    <x:row r="399" ht="35.25" customHeight="1">
      <x:c r="A399" s="8" t="str">
        <x:v>V7-S54be7cbf01</x:v>
      </x:c>
      <x:c r="B399" s="8" t="str">
        <x:v>Бизнес-премия "Персонал. Импульс. Дальний Восток"</x:v>
      </x:c>
      <x:c r="C399" s="8" t="str">
        <x:v>Региональные HR-сообщества</x:v>
      </x:c>
      <x:c r="D399" s="8" t="str">
        <x:v>Найден профессиональный/образовательный контекст. Покупательские запросы и возможность сбора еще не проверены.</x:v>
      </x:c>
      <x:c r="E399" s="8" t="str">
        <x:v>RU</x:v>
      </x:c>
      <x:c r="F399" s="8" t="str">
        <x:v>Сайт</x:v>
      </x:c>
      <x:c r="G399" s="8" t="str">
        <x:v>unverified_candidate</x:v>
      </x:c>
      <x:c r="H399" s="8" t="str">
        <x:v>Не проверен</x:v>
      </x:c>
      <x:c r="I399" s="8" t="str">
        <x:v>Не установлено</x:v>
      </x:c>
      <x:c r="J399" s="8" t="str">
        <x:v>Только контекст поиска</x:v>
      </x:c>
      <x:c r="K399" s="8" t="str">
        <x:v>Не установлено</x:v>
      </x:c>
      <x:c r="L399" s="8" t="str">
        <x:v>Не установлено</x:v>
      </x:c>
      <x:c r="M399" s="8" t="str">
        <x:v>Новый ключ источника</x:v>
      </x:c>
      <x:c r="N399" s="8" t="str">
        <x:v>Не установлено</x:v>
      </x:c>
      <x:c r="O399" s="8"/>
      <x:c r="P399" s="8" t="str">
        <x:v>https://impulse-hr.ru/</x:v>
      </x:c>
      <x:c r="Q399" s="8" t="str">
        <x:v>turn1155search8</x:v>
      </x:c>
    </x:row>
    <x:row r="400" ht="35.25" customHeight="1">
      <x:c r="A400" s="8" t="str">
        <x:v>V7-S1739e15b2e</x:v>
      </x:c>
      <x:c r="B400" s="8" t="str">
        <x:v>Награды 2024 года - HR-награды МТС - Красноярский край — Красноярск</x:v>
      </x:c>
      <x:c r="C400" s="8" t="str">
        <x:v>Региональные HR-сообщества</x:v>
      </x:c>
      <x:c r="D400" s="8" t="str">
        <x:v>Найден профессиональный/образовательный контекст. Покупательские запросы и возможность сбора еще не проверены.</x:v>
      </x:c>
      <x:c r="E400" s="8" t="str">
        <x:v>RU</x:v>
      </x:c>
      <x:c r="F400" s="8" t="str">
        <x:v>Сайт</x:v>
      </x:c>
      <x:c r="G400" s="8" t="str">
        <x:v>unverified_candidate</x:v>
      </x:c>
      <x:c r="H400" s="8" t="str">
        <x:v>Не проверен</x:v>
      </x:c>
      <x:c r="I400" s="8" t="str">
        <x:v>Не установлено</x:v>
      </x:c>
      <x:c r="J400" s="8" t="str">
        <x:v>Только контекст поиска</x:v>
      </x:c>
      <x:c r="K400" s="8" t="str">
        <x:v>Не установлено</x:v>
      </x:c>
      <x:c r="L400" s="8" t="str">
        <x:v>Не установлено</x:v>
      </x:c>
      <x:c r="M400" s="8" t="str">
        <x:v>Новый ключ источника</x:v>
      </x:c>
      <x:c r="N400" s="8" t="str">
        <x:v>Не установлено</x:v>
      </x:c>
      <x:c r="O400" s="8"/>
      <x:c r="P400" s="8" t="str">
        <x:v>https://kras.mts.ru/about/informaciya-o-mts/mts-v-rossii-i-v-mire/dostizheniya-mts/nagrady-2024-goda/hr-nagrady</x:v>
      </x:c>
      <x:c r="Q400" s="8" t="str">
        <x:v>turn1156search3; turn1156search6</x:v>
      </x:c>
    </x:row>
    <x:row r="401" ht="35.25" customHeight="1">
      <x:c r="A401" s="8" t="str">
        <x:v>V7-Sa42a343cfe</x:v>
      </x:c>
      <x:c r="B401" s="8" t="str">
        <x:v>HR Messenger | LinkedIn</x:v>
      </x:c>
      <x:c r="C401" s="8" t="str">
        <x:v>Региональные HR-сообщества</x:v>
      </x:c>
      <x:c r="D401" s="8" t="str">
        <x:v>Найден профессиональный/образовательный контекст. Покупательские запросы и возможность сбора еще не проверены.</x:v>
      </x:c>
      <x:c r="E401" s="8" t="str">
        <x:v>Не установлена</x:v>
      </x:c>
      <x:c r="F401" s="8" t="str">
        <x:v>LinkedIn</x:v>
      </x:c>
      <x:c r="G401" s="8" t="str">
        <x:v>unverified_candidate</x:v>
      </x:c>
      <x:c r="H401" s="8" t="str">
        <x:v>Не проверен</x:v>
      </x:c>
      <x:c r="I401" s="8" t="str">
        <x:v>Не установлено</x:v>
      </x:c>
      <x:c r="J401" s="8" t="str">
        <x:v>Только контекст поиска</x:v>
      </x:c>
      <x:c r="K401" s="8" t="str">
        <x:v>Не установлено</x:v>
      </x:c>
      <x:c r="L401" s="8" t="str">
        <x:v>Не установлено</x:v>
      </x:c>
      <x:c r="M401" s="8" t="str">
        <x:v>Новый ключ источника</x:v>
      </x:c>
      <x:c r="N401" s="8" t="str">
        <x:v>Не установлено</x:v>
      </x:c>
      <x:c r="O401" s="8"/>
      <x:c r="P401" s="8" t="str">
        <x:v>https://kz.linkedin.com/company/hr-messenger</x:v>
      </x:c>
      <x:c r="Q401" s="8" t="str">
        <x:v>turn1154search4; turn1154search10</x:v>
      </x:c>
    </x:row>
    <x:row r="402" ht="35.25" customHeight="1">
      <x:c r="A402" s="8" t="str">
        <x:v>V7-S60187d6ef2</x:v>
      </x:c>
      <x:c r="B402" s="8" t="str">
        <x:v>#hr #events #almaty #astana #hr4people | Marat Nurgaliyev | 15 комментариев</x:v>
      </x:c>
      <x:c r="C402" s="8" t="str">
        <x:v>Региональные HR-сообщества</x:v>
      </x:c>
      <x:c r="D402" s="8" t="str">
        <x:v>Найден профессиональный/образовательный контекст. Покупательские запросы и возможность сбора еще не проверены.</x:v>
      </x:c>
      <x:c r="E402" s="8" t="str">
        <x:v>Не установлена</x:v>
      </x:c>
      <x:c r="F402" s="8" t="str">
        <x:v>LinkedIn</x:v>
      </x:c>
      <x:c r="G402" s="8" t="str">
        <x:v>unverified_candidate</x:v>
      </x:c>
      <x:c r="H402" s="8" t="str">
        <x:v>Не проверен</x:v>
      </x:c>
      <x:c r="I402" s="8" t="str">
        <x:v>Не установлено</x:v>
      </x:c>
      <x:c r="J402" s="8" t="str">
        <x:v>Только контекст поиска</x:v>
      </x:c>
      <x:c r="K402" s="8" t="str">
        <x:v>Не установлено</x:v>
      </x:c>
      <x:c r="L402" s="8" t="str">
        <x:v>Не установлено</x:v>
      </x:c>
      <x:c r="M402" s="8" t="str">
        <x:v>Новый ключ источника</x:v>
      </x:c>
      <x:c r="N402" s="8" t="str">
        <x:v>Не установлено</x:v>
      </x:c>
      <x:c r="O402" s="8"/>
      <x:c r="P402" s="8" t="str">
        <x:v>https://ru.linkedin.com/posts/marat-nurgaliyev-b0900684_hr-events-almaty-activity-7224325194532679680-tTKC</x:v>
      </x:c>
      <x:c r="Q402" s="8" t="str">
        <x:v>turn1087search20</x:v>
      </x:c>
    </x:row>
    <x:row r="403" ht="59.25" customHeight="1">
      <x:c r="A403" s="8" t="str">
        <x:v>V7-See64215a8b</x:v>
      </x:c>
      <x:c r="B403" s="8" t="str">
        <x:v>HR сообщество - HR хаб - в Фейсбуке. Добро пожаловать</x:v>
      </x:c>
      <x:c r="C403" s="8" t="str">
        <x:v>Региональные HR-сообщества</x:v>
      </x:c>
      <x:c r="D403" s="8" t="str">
        <x:v>Найден профессиональный/образовательный контекст. Покупательские запросы и возможность сбора еще не проверены.</x:v>
      </x:c>
      <x:c r="E403" s="8" t="str">
        <x:v>Не установлена</x:v>
      </x:c>
      <x:c r="F403" s="8" t="str">
        <x:v>LinkedIn</x:v>
      </x:c>
      <x:c r="G403" s="8" t="str">
        <x:v>unverified_candidate</x:v>
      </x:c>
      <x:c r="H403" s="8" t="str">
        <x:v>Не проверен</x:v>
      </x:c>
      <x:c r="I403" s="8" t="str">
        <x:v>Не установлено</x:v>
      </x:c>
      <x:c r="J403" s="8" t="str">
        <x:v>Только контекст поиска</x:v>
      </x:c>
      <x:c r="K403" s="8" t="str">
        <x:v>Не установлено</x:v>
      </x:c>
      <x:c r="L403" s="8" t="str">
        <x:v>Не установлено</x:v>
      </x:c>
      <x:c r="M403" s="8" t="str">
        <x:v>Новый ключ источника</x:v>
      </x:c>
      <x:c r="N403" s="8" t="str">
        <x:v>Не установлено</x:v>
      </x:c>
      <x:c r="O403" s="8"/>
      <x:c r="P403" s="8" t="str">
        <x:v>https://ru.linkedin.com/pulse/hr-%D1%81%D0%BE%D0%BE%D0%B1%D1%89%D0%B5%D1%81%D1%82%D0%B2%D0%BE-%D1%85%D0%B0%D0%B1-%D0%B2-%D1%84%D0%B5%D0%B9%D1%81%D0%B1%D1%83%D0%BA%D0%B5-%D0%B4%D0%BE%D0%B1%D1%80%D0%BE-%D0%BF%D0%BE%D0%B6%D0%B0%D0%BB%D0%BE%D0%B2%D0%B0%D1%82%D1%8C-victor-khabarov</x:v>
      </x:c>
      <x:c r="Q403" s="8" t="str">
        <x:v>turn1156search9</x:v>
      </x:c>
    </x:row>
    <x:row r="404" ht="35.25" customHeight="1">
      <x:c r="A404" s="8" t="str">
        <x:v>V7-S07e6358af2</x:v>
      </x:c>
      <x:c r="B404" s="8" t="str">
        <x:v>Вселенная ИИ - ИИ-решения для роста бизнеса в Екатеринбурге | NOAPELSIN</x:v>
      </x:c>
      <x:c r="C404" s="8" t="str">
        <x:v>Региональные HR-сообщества</x:v>
      </x:c>
      <x:c r="D404" s="8" t="str">
        <x:v>Найден профессиональный/образовательный контекст. Покупательские запросы и возможность сбора еще не проверены.</x:v>
      </x:c>
      <x:c r="E404" s="8" t="str">
        <x:v>RU</x:v>
      </x:c>
      <x:c r="F404" s="8" t="str">
        <x:v>Сайт</x:v>
      </x:c>
      <x:c r="G404" s="8" t="str">
        <x:v>unverified_candidate</x:v>
      </x:c>
      <x:c r="H404" s="8" t="str">
        <x:v>Не проверен</x:v>
      </x:c>
      <x:c r="I404" s="8" t="str">
        <x:v>Не установлено</x:v>
      </x:c>
      <x:c r="J404" s="8" t="str">
        <x:v>Только контекст поиска</x:v>
      </x:c>
      <x:c r="K404" s="8" t="str">
        <x:v>Не установлено</x:v>
      </x:c>
      <x:c r="L404" s="8" t="str">
        <x:v>Не установлено</x:v>
      </x:c>
      <x:c r="M404" s="8" t="str">
        <x:v>Новый ключ источника</x:v>
      </x:c>
      <x:c r="N404" s="8" t="str">
        <x:v>Не установлено</x:v>
      </x:c>
      <x:c r="O404" s="8"/>
      <x:c r="P404" s="8" t="str">
        <x:v>https://noapelsin.ru/ru/ekaterinburg/ai</x:v>
      </x:c>
      <x:c r="Q404" s="8" t="str">
        <x:v>turn1152search6</x:v>
      </x:c>
    </x:row>
    <x:row r="405" ht="35.25" customHeight="1">
      <x:c r="A405" s="8" t="str">
        <x:v>V7-Sf21bded13d</x:v>
      </x:c>
      <x:c r="B405" s="8" t="str">
        <x:v>Лучшие работодатели Новосибирской области – 2026: итоги конкурса в НГУЭУ</x:v>
      </x:c>
      <x:c r="C405" s="8" t="str">
        <x:v>Региональные HR-сообщества</x:v>
      </x:c>
      <x:c r="D405" s="8" t="str">
        <x:v>Найден профессиональный/образовательный контекст. Покупательские запросы и возможность сбора еще не проверены.</x:v>
      </x:c>
      <x:c r="E405" s="8" t="str">
        <x:v>RU</x:v>
      </x:c>
      <x:c r="F405" s="8" t="str">
        <x:v>Сайт</x:v>
      </x:c>
      <x:c r="G405" s="8" t="str">
        <x:v>unverified_candidate</x:v>
      </x:c>
      <x:c r="H405" s="8" t="str">
        <x:v>Не проверен</x:v>
      </x:c>
      <x:c r="I405" s="8" t="str">
        <x:v>Не установлено</x:v>
      </x:c>
      <x:c r="J405" s="8" t="str">
        <x:v>Только контекст поиска</x:v>
      </x:c>
      <x:c r="K405" s="8" t="str">
        <x:v>Не установлено</x:v>
      </x:c>
      <x:c r="L405" s="8" t="str">
        <x:v>Не установлено</x:v>
      </x:c>
      <x:c r="M405" s="8" t="str">
        <x:v>Новый ключ источника</x:v>
      </x:c>
      <x:c r="N405" s="8" t="str">
        <x:v>Не установлено</x:v>
      </x:c>
      <x:c r="O405" s="8"/>
      <x:c r="P405" s="8" t="str">
        <x:v>https://nsuem.ru/university/news-and-announces/2026/04/147589</x:v>
      </x:c>
      <x:c r="Q405" s="8" t="str">
        <x:v>turn1158search7</x:v>
      </x:c>
    </x:row>
    <x:row r="406" ht="35.25" customHeight="1">
      <x:c r="A406" s="8" t="str">
        <x:v>V7-Sa882db299a</x:v>
      </x:c>
      <x:c r="B406" s="8" t="str">
        <x:v>Награды 2025 года - HR-награды МТС - Приморский край — Владивосток</x:v>
      </x:c>
      <x:c r="C406" s="8" t="str">
        <x:v>Региональные HR-сообщества</x:v>
      </x:c>
      <x:c r="D406" s="8" t="str">
        <x:v>Найден профессиональный/образовательный контекст. Покупательские запросы и возможность сбора еще не проверены.</x:v>
      </x:c>
      <x:c r="E406" s="8" t="str">
        <x:v>RU</x:v>
      </x:c>
      <x:c r="F406" s="8" t="str">
        <x:v>Сайт</x:v>
      </x:c>
      <x:c r="G406" s="8" t="str">
        <x:v>unverified_candidate</x:v>
      </x:c>
      <x:c r="H406" s="8" t="str">
        <x:v>Не проверен</x:v>
      </x:c>
      <x:c r="I406" s="8" t="str">
        <x:v>Не установлено</x:v>
      </x:c>
      <x:c r="J406" s="8" t="str">
        <x:v>Только контекст поиска</x:v>
      </x:c>
      <x:c r="K406" s="8" t="str">
        <x:v>Не установлено</x:v>
      </x:c>
      <x:c r="L406" s="8" t="str">
        <x:v>Не установлено</x:v>
      </x:c>
      <x:c r="M406" s="8" t="str">
        <x:v>Новый ключ источника</x:v>
      </x:c>
      <x:c r="N406" s="8" t="str">
        <x:v>Не установлено</x:v>
      </x:c>
      <x:c r="O406" s="8"/>
      <x:c r="P406" s="8" t="str">
        <x:v>https://primorye.mts.ru/about/informaciya-o-mts/mts-v-rossii-i-v-mire/dostizheniya-mts/nagrady-2025-goda/hr-nagrady</x:v>
      </x:c>
      <x:c r="Q406" s="8" t="str">
        <x:v>turn1155search11</x:v>
      </x:c>
    </x:row>
    <x:row r="407" ht="35.25" customHeight="1">
      <x:c r="A407" s="8" t="str">
        <x:v>V7-S4d5d01f787</x:v>
      </x:c>
      <x:c r="B407" s="8" t="str">
        <x:v>Подписчики сообщества Позвони HR-у в социальной сети Сетка</x:v>
      </x:c>
      <x:c r="C407" s="8" t="str">
        <x:v>Региональные HR-сообщества</x:v>
      </x:c>
      <x:c r="D407" s="8" t="str">
        <x:v>Найден профессиональный/образовательный контекст. Покупательские запросы и возможность сбора еще не проверены.</x:v>
      </x:c>
      <x:c r="E407" s="8" t="str">
        <x:v>Не установлена</x:v>
      </x:c>
      <x:c r="F407" s="8" t="str">
        <x:v>Сетка</x:v>
      </x:c>
      <x:c r="G407" s="8" t="str">
        <x:v>unverified_candidate</x:v>
      </x:c>
      <x:c r="H407" s="8" t="str">
        <x:v>Не проверен</x:v>
      </x:c>
      <x:c r="I407" s="8" t="str">
        <x:v>Не установлено</x:v>
      </x:c>
      <x:c r="J407" s="8" t="str">
        <x:v>Только контекст поиска</x:v>
      </x:c>
      <x:c r="K407" s="8" t="str">
        <x:v>Не установлено</x:v>
      </x:c>
      <x:c r="L407" s="8" t="str">
        <x:v>Не установлено</x:v>
      </x:c>
      <x:c r="M407" s="8" t="str">
        <x:v>Новый ключ источника</x:v>
      </x:c>
      <x:c r="N407" s="8" t="str">
        <x:v>Не установлено</x:v>
      </x:c>
      <x:c r="O407" s="8"/>
      <x:c r="P407" s="8" t="str">
        <x:v>https://setka.ru/communities/01909e8a-aa6d-4ad8-b2da-29f55447cf0c/subscribers</x:v>
      </x:c>
      <x:c r="Q407" s="8" t="str">
        <x:v>turn1262search1</x:v>
      </x:c>
    </x:row>
    <x:row r="408" ht="35.25" customHeight="1">
      <x:c r="A408" s="8" t="str">
        <x:v>V7-Sfebeb205a8</x:v>
      </x:c>
      <x:c r="B408" s="8" t="str">
        <x:v>Подписчики сообщества HR-нетворкинг в социальной сети Сетка</x:v>
      </x:c>
      <x:c r="C408" s="8" t="str">
        <x:v>Региональные HR-сообщества</x:v>
      </x:c>
      <x:c r="D408" s="8" t="str">
        <x:v>Найден профессиональный/образовательный контекст. Покупательские запросы и возможность сбора еще не проверены.</x:v>
      </x:c>
      <x:c r="E408" s="8" t="str">
        <x:v>Не установлена</x:v>
      </x:c>
      <x:c r="F408" s="8" t="str">
        <x:v>Сетка</x:v>
      </x:c>
      <x:c r="G408" s="8" t="str">
        <x:v>unverified_candidate</x:v>
      </x:c>
      <x:c r="H408" s="8" t="str">
        <x:v>Не проверен</x:v>
      </x:c>
      <x:c r="I408" s="8" t="str">
        <x:v>Не установлено</x:v>
      </x:c>
      <x:c r="J408" s="8" t="str">
        <x:v>Только контекст поиска</x:v>
      </x:c>
      <x:c r="K408" s="8" t="str">
        <x:v>Не установлено</x:v>
      </x:c>
      <x:c r="L408" s="8" t="str">
        <x:v>Не установлено</x:v>
      </x:c>
      <x:c r="M408" s="8" t="str">
        <x:v>Новый ключ источника</x:v>
      </x:c>
      <x:c r="N408" s="8" t="str">
        <x:v>Не установлено</x:v>
      </x:c>
      <x:c r="O408" s="8"/>
      <x:c r="P408" s="8" t="str">
        <x:v>https://setka.ru/communities/019167d8-d013-4179-ab94-314303aed69e/subscribers</x:v>
      </x:c>
      <x:c r="Q408" s="8" t="str">
        <x:v>turn1262search3</x:v>
      </x:c>
    </x:row>
    <x:row r="409" ht="35.25" customHeight="1">
      <x:c r="A409" s="8" t="str">
        <x:v>V7-Sb6709f0dda</x:v>
      </x:c>
      <x:c r="B409" s="8" t="str">
        <x:v>Подписчики сообщества Сообщество HR Россия в социальной сети Сетка</x:v>
      </x:c>
      <x:c r="C409" s="8" t="str">
        <x:v>Региональные HR-сообщества</x:v>
      </x:c>
      <x:c r="D409" s="8" t="str">
        <x:v>Найден профессиональный/образовательный контекст. Покупательские запросы и возможность сбора еще не проверены.</x:v>
      </x:c>
      <x:c r="E409" s="8" t="str">
        <x:v>Не установлена</x:v>
      </x:c>
      <x:c r="F409" s="8" t="str">
        <x:v>Сетка</x:v>
      </x:c>
      <x:c r="G409" s="8" t="str">
        <x:v>unverified_candidate</x:v>
      </x:c>
      <x:c r="H409" s="8" t="str">
        <x:v>Не проверен</x:v>
      </x:c>
      <x:c r="I409" s="8" t="str">
        <x:v>Не установлено</x:v>
      </x:c>
      <x:c r="J409" s="8" t="str">
        <x:v>Только контекст поиска</x:v>
      </x:c>
      <x:c r="K409" s="8" t="str">
        <x:v>Не установлено</x:v>
      </x:c>
      <x:c r="L409" s="8" t="str">
        <x:v>Не установлено</x:v>
      </x:c>
      <x:c r="M409" s="8" t="str">
        <x:v>Новый ключ источника</x:v>
      </x:c>
      <x:c r="N409" s="8" t="str">
        <x:v>Не установлено</x:v>
      </x:c>
      <x:c r="O409" s="8"/>
      <x:c r="P409" s="8" t="str">
        <x:v>https://setka.ru/communities/01917640-c3ea-4dfc-8293-f580ae9b38c7/subscribers</x:v>
      </x:c>
      <x:c r="Q409" s="8" t="str">
        <x:v>turn1262search0</x:v>
      </x:c>
    </x:row>
    <x:row r="410" ht="35.25" customHeight="1">
      <x:c r="A410" s="8" t="str">
        <x:v>V7-Sf44b552452</x:v>
      </x:c>
      <x:c r="B410" s="8" t="str">
        <x:v>HR-сообщество «Как делать» | Пересечёмся в Сетке</x:v>
      </x:c>
      <x:c r="C410" s="8" t="str">
        <x:v>Региональные HR-сообщества</x:v>
      </x:c>
      <x:c r="D410" s="8" t="str">
        <x:v>Найден профессиональный/образовательный контекст. Покупательские запросы и возможность сбора еще не проверены.</x:v>
      </x:c>
      <x:c r="E410" s="8" t="str">
        <x:v>Не установлена</x:v>
      </x:c>
      <x:c r="F410" s="8" t="str">
        <x:v>Сетка</x:v>
      </x:c>
      <x:c r="G410" s="8" t="str">
        <x:v>unverified_candidate</x:v>
      </x:c>
      <x:c r="H410" s="8" t="str">
        <x:v>Не проверен</x:v>
      </x:c>
      <x:c r="I410" s="8" t="str">
        <x:v>Не установлено</x:v>
      </x:c>
      <x:c r="J410" s="8" t="str">
        <x:v>Только контекст поиска</x:v>
      </x:c>
      <x:c r="K410" s="8" t="str">
        <x:v>Не установлено</x:v>
      </x:c>
      <x:c r="L410" s="8" t="str">
        <x:v>Не установлено</x:v>
      </x:c>
      <x:c r="M410" s="8" t="str">
        <x:v>Новый ключ источника</x:v>
      </x:c>
      <x:c r="N410" s="8" t="str">
        <x:v>Не установлено</x:v>
      </x:c>
      <x:c r="O410" s="8"/>
      <x:c r="P410" s="8" t="str">
        <x:v>https://setka.ru/communities/019519d5-3ffb-43cc-91c8-6b5d4e3fdc26</x:v>
      </x:c>
      <x:c r="Q410" s="8" t="str">
        <x:v>turn1262search9</x:v>
      </x:c>
    </x:row>
    <x:row r="411" ht="35.25" customHeight="1">
      <x:c r="A411" s="8" t="str">
        <x:v>V7-Sb2346858cd</x:v>
      </x:c>
      <x:c r="B411" s="8" t="str">
        <x:v>Большое исследование HR-бренда в социальных медиа</x:v>
      </x:c>
      <x:c r="C411" s="8" t="str">
        <x:v>Региональные HR-сообщества</x:v>
      </x:c>
      <x:c r="D411" s="8" t="str">
        <x:v>Найден профессиональный/образовательный контекст. Покупательские запросы и возможность сбора еще не проверены.</x:v>
      </x:c>
      <x:c r="E411" s="8" t="str">
        <x:v>Не установлена</x:v>
      </x:c>
      <x:c r="F411" s="8" t="str">
        <x:v>Сетка</x:v>
      </x:c>
      <x:c r="G411" s="8" t="str">
        <x:v>unverified_candidate</x:v>
      </x:c>
      <x:c r="H411" s="8" t="str">
        <x:v>Не проверен</x:v>
      </x:c>
      <x:c r="I411" s="8" t="str">
        <x:v>Не установлено</x:v>
      </x:c>
      <x:c r="J411" s="8" t="str">
        <x:v>Только контекст поиска</x:v>
      </x:c>
      <x:c r="K411" s="8" t="str">
        <x:v>Не установлено</x:v>
      </x:c>
      <x:c r="L411" s="8" t="str">
        <x:v>Не установлено</x:v>
      </x:c>
      <x:c r="M411" s="8" t="str">
        <x:v>Новый ключ источника</x:v>
      </x:c>
      <x:c r="N411" s="8" t="str">
        <x:v>Не установлено</x:v>
      </x:c>
      <x:c r="O411" s="8"/>
      <x:c r="P411" s="8" t="str">
        <x:v>https://setka.ru/hrbrand-survey2026/</x:v>
      </x:c>
      <x:c r="Q411" s="8" t="str">
        <x:v>turn1262search7</x:v>
      </x:c>
    </x:row>
    <x:row r="412" ht="47.25" customHeight="1">
      <x:c r="A412" s="8" t="str">
        <x:v>V7-S34a87acf8c</x:v>
      </x:c>
      <x:c r="B412" s="8" t="str">
        <x:v>TAGES: цифровизация бизнес-процессов. Аналитики, интеграция, разработка ПО и мобильных приложений</x:v>
      </x:c>
      <x:c r="C412" s="8" t="str">
        <x:v>Региональные HR-сообщества</x:v>
      </x:c>
      <x:c r="D412" s="8" t="str">
        <x:v>Найден профессиональный/образовательный контекст. Покупательские запросы и возможность сбора еще не проверены.</x:v>
      </x:c>
      <x:c r="E412" s="8" t="str">
        <x:v>RU</x:v>
      </x:c>
      <x:c r="F412" s="8" t="str">
        <x:v>Сайт</x:v>
      </x:c>
      <x:c r="G412" s="8" t="str">
        <x:v>unverified_candidate</x:v>
      </x:c>
      <x:c r="H412" s="8" t="str">
        <x:v>Не проверен</x:v>
      </x:c>
      <x:c r="I412" s="8" t="str">
        <x:v>Не установлено</x:v>
      </x:c>
      <x:c r="J412" s="8" t="str">
        <x:v>Только контекст поиска</x:v>
      </x:c>
      <x:c r="K412" s="8" t="str">
        <x:v>Не установлено</x:v>
      </x:c>
      <x:c r="L412" s="8" t="str">
        <x:v>Не установлено</x:v>
      </x:c>
      <x:c r="M412" s="8" t="str">
        <x:v>Новый ключ источника</x:v>
      </x:c>
      <x:c r="N412" s="8" t="str">
        <x:v>Не установлено</x:v>
      </x:c>
      <x:c r="O412" s="8"/>
      <x:c r="P412" s="8" t="str">
        <x:v>https://tages.ru/event/frontend-meetup</x:v>
      </x:c>
      <x:c r="Q412" s="8" t="str">
        <x:v>turn1153search4</x:v>
      </x:c>
    </x:row>
    <x:row r="413" ht="35.25" customHeight="1">
      <x:c r="A413" s="8" t="str">
        <x:v>V7-S1b9462aa1e</x:v>
      </x:c>
      <x:c r="B413" s="8" t="str">
        <x:v>Telegram-канал "HR-mnenie" — hr_mnenie — Telemetr - hr_mnenie</x:v>
      </x:c>
      <x:c r="C413" s="8" t="str">
        <x:v>Региональные HR-сообщества</x:v>
      </x:c>
      <x:c r="D413" s="8" t="str">
        <x:v>Найден профессиональный/образовательный контекст. Покупательские запросы и возможность сбора еще не проверены.</x:v>
      </x:c>
      <x:c r="E413" s="8" t="str">
        <x:v>Не установлена</x:v>
      </x:c>
      <x:c r="F413" s="8" t="str">
        <x:v>Сайт</x:v>
      </x:c>
      <x:c r="G413" s="8" t="str">
        <x:v>unverified_candidate</x:v>
      </x:c>
      <x:c r="H413" s="8" t="str">
        <x:v>Не проверен</x:v>
      </x:c>
      <x:c r="I413" s="8" t="str">
        <x:v>Не установлено</x:v>
      </x:c>
      <x:c r="J413" s="8" t="str">
        <x:v>Только контекст поиска</x:v>
      </x:c>
      <x:c r="K413" s="8" t="str">
        <x:v>Не установлено</x:v>
      </x:c>
      <x:c r="L413" s="8" t="str">
        <x:v>Не установлено</x:v>
      </x:c>
      <x:c r="M413" s="8" t="str">
        <x:v>Новый ключ источника</x:v>
      </x:c>
      <x:c r="N413" s="8" t="str">
        <x:v>Не установлено</x:v>
      </x:c>
      <x:c r="O413" s="8"/>
      <x:c r="P413" s="8" t="str">
        <x:v>https://telemetr.me/content/hr_mnenie</x:v>
      </x:c>
      <x:c r="Q413" s="8" t="str">
        <x:v>turn1087search5</x:v>
      </x:c>
    </x:row>
    <x:row r="414" ht="35.25" customHeight="1">
      <x:c r="A414" s="8" t="str">
        <x:v>V7-S964f7f548b</x:v>
      </x:c>
      <x:c r="B414" s="8" t="str">
        <x:v>Telegram канал «Работа в Новосибирске и области HR» - @hr_nso — TelNo.ru</x:v>
      </x:c>
      <x:c r="C414" s="8" t="str">
        <x:v>Региональные HR-сообщества</x:v>
      </x:c>
      <x:c r="D414" s="8" t="str">
        <x:v>Найден профессиональный/образовательный контекст. Покупательские запросы и возможность сбора еще не проверены.</x:v>
      </x:c>
      <x:c r="E414" s="8" t="str">
        <x:v>RU</x:v>
      </x:c>
      <x:c r="F414" s="8" t="str">
        <x:v>Сайт</x:v>
      </x:c>
      <x:c r="G414" s="8" t="str">
        <x:v>unverified_candidate</x:v>
      </x:c>
      <x:c r="H414" s="8" t="str">
        <x:v>Не проверен</x:v>
      </x:c>
      <x:c r="I414" s="8" t="str">
        <x:v>Не установлено</x:v>
      </x:c>
      <x:c r="J414" s="8" t="str">
        <x:v>Только контекст поиска</x:v>
      </x:c>
      <x:c r="K414" s="8" t="str">
        <x:v>Не установлено</x:v>
      </x:c>
      <x:c r="L414" s="8" t="str">
        <x:v>Не установлено</x:v>
      </x:c>
      <x:c r="M414" s="8" t="str">
        <x:v>Новый ключ источника</x:v>
      </x:c>
      <x:c r="N414" s="8" t="str">
        <x:v>Не установлено</x:v>
      </x:c>
      <x:c r="O414" s="8"/>
      <x:c r="P414" s="8" t="str">
        <x:v>https://telno.ru/channel/%40hr_nso</x:v>
      </x:c>
      <x:c r="Q414" s="8" t="str">
        <x:v>turn1158search3; turn1158search6</x:v>
      </x:c>
    </x:row>
    <x:row r="415" ht="35.25" customHeight="1">
      <x:c r="A415" s="8" t="str">
        <x:v>V7-Sbd14013774</x:v>
      </x:c>
      <x:c r="B415" s="8" t="str">
        <x:v>Чат-бот для кадровой работы</x:v>
      </x:c>
      <x:c r="C415" s="8" t="str">
        <x:v>Региональные HR-сообщества</x:v>
      </x:c>
      <x:c r="D415" s="8" t="str">
        <x:v>Найден профессиональный/образовательный контекст. Покупательские запросы и возможность сбора еще не проверены.</x:v>
      </x:c>
      <x:c r="E415" s="8" t="str">
        <x:v>Не установлена</x:v>
      </x:c>
      <x:c r="F415" s="8" t="str">
        <x:v>Сайт</x:v>
      </x:c>
      <x:c r="G415" s="8" t="str">
        <x:v>unverified_candidate</x:v>
      </x:c>
      <x:c r="H415" s="8" t="str">
        <x:v>Не проверен</x:v>
      </x:c>
      <x:c r="I415" s="8" t="str">
        <x:v>Не установлено</x:v>
      </x:c>
      <x:c r="J415" s="8" t="str">
        <x:v>Только контекст поиска</x:v>
      </x:c>
      <x:c r="K415" s="8" t="str">
        <x:v>Не установлено</x:v>
      </x:c>
      <x:c r="L415" s="8" t="str">
        <x:v>Не установлено</x:v>
      </x:c>
      <x:c r="M415" s="8" t="str">
        <x:v>Новый ключ источника</x:v>
      </x:c>
      <x:c r="N415" s="8" t="str">
        <x:v>Не установлено</x:v>
      </x:c>
      <x:c r="O415" s="8"/>
      <x:c r="P415" s="8" t="str">
        <x:v>https://www.xn--80ae0bbf.xn--2000-94dygis2b.xn--p1ai/informatika3/ainf1.pdf</x:v>
      </x:c>
      <x:c r="Q415" s="8" t="str">
        <x:v>turn1152search12</x:v>
      </x:c>
    </x:row>
    <x:row r="416" ht="35.25" customHeight="1">
      <x:c r="A416" s="8" t="str">
        <x:v>V7-S53e8a4f079</x:v>
      </x:c>
      <x:c r="B416" s="8" t="str">
        <x:v>Рейтинг работодателей России — HRlike</x:v>
      </x:c>
      <x:c r="C416" s="8" t="str">
        <x:v>Региональные HR-сообщества</x:v>
      </x:c>
      <x:c r="D416" s="8" t="str">
        <x:v>Найден профессиональный/образовательный контекст. Покупательские запросы и возможность сбора еще не проверены.</x:v>
      </x:c>
      <x:c r="E416" s="8" t="str">
        <x:v>RU</x:v>
      </x:c>
      <x:c r="F416" s="8" t="str">
        <x:v>Сайт</x:v>
      </x:c>
      <x:c r="G416" s="8" t="str">
        <x:v>unverified_candidate</x:v>
      </x:c>
      <x:c r="H416" s="8" t="str">
        <x:v>Не проверен</x:v>
      </x:c>
      <x:c r="I416" s="8" t="str">
        <x:v>Не установлено</x:v>
      </x:c>
      <x:c r="J416" s="8" t="str">
        <x:v>Только контекст поиска</x:v>
      </x:c>
      <x:c r="K416" s="8" t="str">
        <x:v>Не установлено</x:v>
      </x:c>
      <x:c r="L416" s="8" t="str">
        <x:v>Не установлено</x:v>
      </x:c>
      <x:c r="M416" s="8" t="str">
        <x:v>Новый ключ источника</x:v>
      </x:c>
      <x:c r="N416" s="8" t="str">
        <x:v>Не установлено</x:v>
      </x:c>
      <x:c r="O416" s="8"/>
      <x:c r="P416" s="8" t="str">
        <x:v>https://hrlike.ru/ratings/</x:v>
      </x:c>
      <x:c r="Q416" s="8" t="str">
        <x:v>turn1084search20</x:v>
      </x:c>
    </x:row>
    <x:row r="417" ht="47.25" customHeight="1">
      <x:c r="A417" s="8" t="str">
        <x:v>V7-Sf867d78a0f</x:v>
      </x:c>
      <x:c r="B417" s="8" t="str">
        <x:v>EY HR Club</x:v>
      </x:c>
      <x:c r="C417" s="8" t="str">
        <x:v>Региональные HR-сообщества</x:v>
      </x:c>
      <x:c r="D417" s="8" t="str">
        <x:v>Найден профессиональный/образовательный контекст. Покупательские запросы и возможность сбора еще не проверены.</x:v>
      </x:c>
      <x:c r="E417" s="8" t="str">
        <x:v>Не установлена</x:v>
      </x:c>
      <x:c r="F417" s="8" t="str">
        <x:v>LinkedIn</x:v>
      </x:c>
      <x:c r="G417" s="8" t="str">
        <x:v>unverified_candidate</x:v>
      </x:c>
      <x:c r="H417" s="8" t="str">
        <x:v>Не проверен</x:v>
      </x:c>
      <x:c r="I417" s="8" t="str">
        <x:v>Не установлено</x:v>
      </x:c>
      <x:c r="J417" s="8" t="str">
        <x:v>Только контекст поиска</x:v>
      </x:c>
      <x:c r="K417" s="8" t="str">
        <x:v>Не установлено</x:v>
      </x:c>
      <x:c r="L417" s="8" t="str">
        <x:v>Не установлено</x:v>
      </x:c>
      <x:c r="M417" s="8" t="str">
        <x:v>Новый ключ источника</x:v>
      </x:c>
      <x:c r="N417" s="8" t="str">
        <x:v>Не установлено</x:v>
      </x:c>
      <x:c r="O417" s="8"/>
      <x:c r="P417" s="8" t="str">
        <x:v>https://ru.linkedin.com/pulse/%D1%87%D1%82%D0%BE-%D0%BF%D1%80%D0%B8%D0%BD%D0%B5%D1%81-%D1%83%D1%87%D0%B0%D1%81%D1%82%D0%BD%D0%B8%D0%BA%D0%B0%D0%BC-ey-hr-club-2024-%D0%B3%D0%BE%D0%B4-community-manager-59eme</x:v>
      </x:c>
      <x:c r="Q417" s="8" t="str">
        <x:v>turn1087search17</x:v>
      </x:c>
    </x:row>
    <x:row r="418" ht="35.25" customHeight="1">
      <x:c r="A418" s="8" t="str">
        <x:v>V7-Sb2fd955345</x:v>
      </x:c>
      <x:c r="B418" s="8" t="str">
        <x:v>Крупнейшие HR-конференции на Урале и в Сибири</x:v>
      </x:c>
      <x:c r="C418" s="8" t="str">
        <x:v>Региональные HR-сообщества</x:v>
      </x:c>
      <x:c r="D418" s="8" t="str">
        <x:v>Найден профессиональный/образовательный контекст. Покупательские запросы и возможность сбора еще не проверены.</x:v>
      </x:c>
      <x:c r="E418" s="8" t="str">
        <x:v>RU</x:v>
      </x:c>
      <x:c r="F418" s="8" t="str">
        <x:v>Сайт</x:v>
      </x:c>
      <x:c r="G418" s="8" t="str">
        <x:v>unverified_candidate</x:v>
      </x:c>
      <x:c r="H418" s="8" t="str">
        <x:v>Не проверен</x:v>
      </x:c>
      <x:c r="I418" s="8" t="str">
        <x:v>Не установлено</x:v>
      </x:c>
      <x:c r="J418" s="8" t="str">
        <x:v>Только контекст поиска</x:v>
      </x:c>
      <x:c r="K418" s="8" t="str">
        <x:v>Не установлено</x:v>
      </x:c>
      <x:c r="L418" s="8" t="str">
        <x:v>Не установлено</x:v>
      </x:c>
      <x:c r="M418" s="8" t="str">
        <x:v>Новый ключ источника</x:v>
      </x:c>
      <x:c r="N418" s="8" t="str">
        <x:v>Не установлено</x:v>
      </x:c>
      <x:c r="O418" s="8"/>
      <x:c r="P418" s="8" t="str">
        <x:v>https://spb.zarplata.ru/article/mediakit?hhtmFrom=article_guide-to-companies_it-projects_list</x:v>
      </x:c>
      <x:c r="Q418" s="8" t="str">
        <x:v>turn1084search38</x:v>
      </x:c>
    </x:row>
    <x:row r="419" ht="35.25" customHeight="1">
      <x:c r="A419" s="8" t="str">
        <x:v>V7-S27da883aa2</x:v>
      </x:c>
      <x:c r="B419" s="8" t="str">
        <x:v>Код HR (@kodhrnn) — Telegram — TG.ME</x:v>
      </x:c>
      <x:c r="C419" s="8" t="str">
        <x:v>Региональные HR-сообщества</x:v>
      </x:c>
      <x:c r="D419" s="8" t="str">
        <x:v>Найден профессиональный/образовательный контекст. Покупательские запросы и возможность сбора еще не проверены.</x:v>
      </x:c>
      <x:c r="E419" s="8" t="str">
        <x:v>Не установлена</x:v>
      </x:c>
      <x:c r="F419" s="8" t="str">
        <x:v>Telegram</x:v>
      </x:c>
      <x:c r="G419" s="8" t="str">
        <x:v>unverified_candidate</x:v>
      </x:c>
      <x:c r="H419" s="8" t="str">
        <x:v>Не проверен</x:v>
      </x:c>
      <x:c r="I419" s="8" t="str">
        <x:v>Не установлено</x:v>
      </x:c>
      <x:c r="J419" s="8" t="str">
        <x:v>Только контекст поиска</x:v>
      </x:c>
      <x:c r="K419" s="8" t="str">
        <x:v>Не установлено</x:v>
      </x:c>
      <x:c r="L419" s="8" t="str">
        <x:v>Не установлено</x:v>
      </x:c>
      <x:c r="M419" s="8" t="str">
        <x:v>Новый ключ источника</x:v>
      </x:c>
      <x:c r="N419" s="8" t="str">
        <x:v>Не установлено</x:v>
      </x:c>
      <x:c r="O419" s="8"/>
      <x:c r="P419" s="8" t="str">
        <x:v>https://tg.me/kodhrnn</x:v>
      </x:c>
      <x:c r="Q419" s="8" t="str">
        <x:v>turn1087search12</x:v>
      </x:c>
    </x:row>
    <x:row r="420" ht="35.25" customHeight="1">
      <x:c r="A420" s="8" t="str">
        <x:v>V7-Sb5a4f6fcef</x:v>
      </x:c>
      <x:c r="B420" s="8" t="str">
        <x:v>Школа корпоративного обучения Учим Умно</x:v>
      </x:c>
      <x:c r="C420" s="8" t="str">
        <x:v>Региональные HR-сообщества</x:v>
      </x:c>
      <x:c r="D420" s="8" t="str">
        <x:v>Найден профессиональный/образовательный контекст. Покупательские запросы и возможность сбора еще не проверены.</x:v>
      </x:c>
      <x:c r="E420" s="8" t="str">
        <x:v>RU</x:v>
      </x:c>
      <x:c r="F420" s="8" t="str">
        <x:v>Сайт</x:v>
      </x:c>
      <x:c r="G420" s="8" t="str">
        <x:v>unverified_candidate</x:v>
      </x:c>
      <x:c r="H420" s="8" t="str">
        <x:v>Не проверен</x:v>
      </x:c>
      <x:c r="I420" s="8" t="str">
        <x:v>Не установлено</x:v>
      </x:c>
      <x:c r="J420" s="8" t="str">
        <x:v>Только контекст поиска</x:v>
      </x:c>
      <x:c r="K420" s="8" t="str">
        <x:v>Не установлено</x:v>
      </x:c>
      <x:c r="L420" s="8" t="str">
        <x:v>Не установлено</x:v>
      </x:c>
      <x:c r="M420" s="8" t="str">
        <x:v>Новый ключ источника</x:v>
      </x:c>
      <x:c r="N420" s="8" t="str">
        <x:v>Не установлено</x:v>
      </x:c>
      <x:c r="O420" s="8"/>
      <x:c r="P420" s="8" t="str">
        <x:v>https://uchimumno.ru/</x:v>
      </x:c>
      <x:c r="Q420" s="8" t="str">
        <x:v>turn1084search3</x:v>
      </x:c>
    </x:row>
    <x:row r="421" ht="35.25" customHeight="1">
      <x:c r="A421" s="8" t="str">
        <x:v>V7-S8e3492761d</x:v>
      </x:c>
      <x:c r="B421" s="8" t="str">
        <x:v>HR FORUM BIG FISH 15-19 сентября 2025 года</x:v>
      </x:c>
      <x:c r="C421" s="8" t="str">
        <x:v>Региональные HR-сообщества</x:v>
      </x:c>
      <x:c r="D421" s="8" t="str">
        <x:v>Найден профессиональный/образовательный контекст. Покупательские запросы и возможность сбора еще не проверены.</x:v>
      </x:c>
      <x:c r="E421" s="8" t="str">
        <x:v>RU</x:v>
      </x:c>
      <x:c r="F421" s="8" t="str">
        <x:v>Сайт</x:v>
      </x:c>
      <x:c r="G421" s="8" t="str">
        <x:v>unverified_candidate</x:v>
      </x:c>
      <x:c r="H421" s="8" t="str">
        <x:v>Не проверен</x:v>
      </x:c>
      <x:c r="I421" s="8" t="str">
        <x:v>Не установлено</x:v>
      </x:c>
      <x:c r="J421" s="8" t="str">
        <x:v>Только контекст поиска</x:v>
      </x:c>
      <x:c r="K421" s="8" t="str">
        <x:v>Не установлено</x:v>
      </x:c>
      <x:c r="L421" s="8" t="str">
        <x:v>Не установлено</x:v>
      </x:c>
      <x:c r="M421" s="8" t="str">
        <x:v>Новый ключ источника</x:v>
      </x:c>
      <x:c r="N421" s="8" t="str">
        <x:v>Не установлено</x:v>
      </x:c>
      <x:c r="O421" s="8"/>
      <x:c r="P421" s="8" t="str">
        <x:v>https://uralhr.ru/</x:v>
      </x:c>
      <x:c r="Q421" s="8" t="str">
        <x:v>turn1152search5</x:v>
      </x:c>
    </x:row>
    <x:row r="422" ht="35.25" customHeight="1">
      <x:c r="A422" s="8" t="str">
        <x:v>V7-S69331fe61a</x:v>
      </x:c>
      <x:c r="B422" s="8" t="str">
        <x:v>Первый HR форум Пермской ТПП</x:v>
      </x:c>
      <x:c r="C422" s="8" t="str">
        <x:v>Региональные HR-сообщества</x:v>
      </x:c>
      <x:c r="D422" s="8" t="str">
        <x:v>Найден профессиональный/образовательный контекст. Покупательские запросы и возможность сбора еще не проверены.</x:v>
      </x:c>
      <x:c r="E422" s="8" t="str">
        <x:v>Не установлена</x:v>
      </x:c>
      <x:c r="F422" s="8" t="str">
        <x:v>Сайт</x:v>
      </x:c>
      <x:c r="G422" s="8" t="str">
        <x:v>unverified_candidate</x:v>
      </x:c>
      <x:c r="H422" s="8" t="str">
        <x:v>Не проверен</x:v>
      </x:c>
      <x:c r="I422" s="8" t="str">
        <x:v>Не установлено</x:v>
      </x:c>
      <x:c r="J422" s="8" t="str">
        <x:v>Только контекст поиска</x:v>
      </x:c>
      <x:c r="K422" s="8" t="str">
        <x:v>Не установлено</x:v>
      </x:c>
      <x:c r="L422" s="8" t="str">
        <x:v>Не установлено</x:v>
      </x:c>
      <x:c r="M422" s="8" t="str">
        <x:v>Новый ключ источника</x:v>
      </x:c>
      <x:c r="N422" s="8" t="str">
        <x:v>Не установлено</x:v>
      </x:c>
      <x:c r="O422" s="8"/>
      <x:c r="P422" s="8" t="str">
        <x:v>https://xn----wtbfgaactfh.xn--p1ai/</x:v>
      </x:c>
      <x:c r="Q422" s="8" t="str">
        <x:v>turn1084search4</x:v>
      </x:c>
    </x:row>
  </x:sheetData>
  <x:pageMargins left="0.7" right="0.7" top="0.75" bottom="0.75" header="0.3" footer="0.3"/>
  <x:tableParts count="1">
    <x:tablePart xmlns:r="http://schemas.openxmlformats.org/officeDocument/2006/relationships" r:id="R940dc432268b448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34.439998626708984" hidden="0" customWidth="1"/>
    <x:col min="3" max="3" width="23.889999389648438" hidden="0" customWidth="1"/>
    <x:col min="4" max="4" width="72.22000122070312" hidden="0" customWidth="1"/>
    <x:col min="5" max="5" width="28.889999389648438" hidden="0" customWidth="1"/>
    <x:col min="6" max="6" width="20" hidden="0" customWidth="1"/>
    <x:col min="7" max="7" width="24.440000534057617" hidden="0" customWidth="1"/>
    <x:col min="8" max="8" width="36.66999816894531" hidden="0" customWidth="1"/>
    <x:col min="9" max="9" width="50" hidden="0" customWidth="1"/>
    <x:col min="10" max="10" width="11.109999656677246" hidden="0" customWidth="1"/>
    <x:col min="11" max="11" width="55.560001373291016" hidden="0" customWidth="1"/>
    <x:col min="12" max="12" width="16.670000076293945" hidden="0" customWidth="1"/>
    <x:col min="13" max="13" width="3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6.25" customHeight="1">
      <x:c r="A2" s="3" t="str">
        <x:v>100 приоритетных источников • 135 попыток чтения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.5" customHeight="1">
      <x:c r="A3" s="4" t="str">
        <x:v>Наблюдения и ограничения; полный 14-дневный охват не установлен. Контакты публичные, владелец заказа не подтвержден.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7" t="str">
        <x:v>Проверка ID</x:v>
      </x:c>
      <x:c r="B5" s="7" t="str">
        <x:v>Источник</x:v>
      </x:c>
      <x:c r="C5" s="7" t="str">
        <x:v>Результат чтения</x:v>
      </x:c>
      <x:c r="D5" s="7" t="str">
        <x:v>Содержательный вывод</x:v>
      </x:c>
      <x:c r="E5" s="7" t="str">
        <x:v>Тип</x:v>
      </x:c>
      <x:c r="F5" s="7" t="str">
        <x:v>Дата в источнике</x:v>
      </x:c>
      <x:c r="G5" s="7" t="str">
        <x:v>Тип даты</x:v>
      </x:c>
      <x:c r="H5" s="7" t="str">
        <x:v>Публичный контакт</x:v>
      </x:c>
      <x:c r="I5" s="7" t="str">
        <x:v>Следующий шаг</x:v>
      </x:c>
      <x:c r="J5" s="7" t="str">
        <x:v>Попыток</x:v>
      </x:c>
      <x:c r="K5" s="7" t="str">
        <x:v>URL</x:v>
      </x:c>
      <x:c r="L5" s="7" t="str">
        <x:v>Источник ID</x:v>
      </x:c>
      <x:c r="M5" s="7" t="str">
        <x:v>Свидетельства</x:v>
      </x:c>
    </x:row>
    <x:row r="6" ht="35.25" customHeight="1">
      <x:c r="A6" s="8" t="str">
        <x:v>V7-R001</x:v>
      </x:c>
      <x:c r="B6" s="8" t="str">
        <x:v>ВРЕМЯ:HR</x:v>
      </x:c>
      <x:c r="C6" s="8" t="str">
        <x:v>Прочитана часть</x:v>
      </x:c>
      <x:c r="D6" s="8" t="str">
        <x:v>Региональное HR-сообщество принимает предложения выступлений и сотрудничества. Найдены отдельные канал, чат и MAX.</x:v>
      </x:c>
      <x:c r="E6" s="8" t="str">
        <x:v>cooperation_invitation</x:v>
      </x:c>
      <x:c r="F6" s="8"/>
      <x:c r="G6" s="8"/>
      <x:c r="H6" s="8" t="str">
        <x:v>info@hrtime-nn.ru</x:v>
      </x:c>
      <x:c r="I6" s="8" t="str">
        <x:v>Уточнить тему, оплату, договор с МИСБ и актуальность приема.</x:v>
      </x:c>
      <x:c r="J6" s="8" t="n">
        <x:v>4</x:v>
      </x:c>
      <x:c r="K6" s="8" t="str">
        <x:v>https://hrtime-nn.ru/</x:v>
      </x:c>
      <x:c r="L6" s="8" t="str">
        <x:v>V7-Sfa3ab462bb</x:v>
      </x:c>
      <x:c r="M6" s="8" t="str">
        <x:v>turn1123view0; turn1240view0; turn1236view0; turn1243view0</x:v>
      </x:c>
    </x:row>
    <x:row r="7" ht="35.25" customHeight="1">
      <x:c r="A7" s="8" t="str">
        <x:v>V7-R002</x:v>
      </x:c>
      <x:c r="B7" s="8" t="str">
        <x:v>HR Breakfast Live – Telegram</x:v>
      </x:c>
      <x:c r="C7" s="8" t="str">
        <x:v>Прочитана часть</x:v>
      </x:c>
      <x:c r="D7" s="8" t="str">
        <x:v>Прочитана архивная выборка HR-вакансий Беларуси. Текущая лента не открылась; свежесть нельзя переносить с даты чтения.</x:v>
      </x:c>
      <x:c r="E7" s="8" t="str">
        <x:v>employment_feed</x:v>
      </x:c>
      <x:c r="F7" s="8"/>
      <x:c r="G7" s="8"/>
      <x:c r="H7" s="8"/>
      <x:c r="I7" s="8" t="str">
        <x:v>Найти текущие задачи, точную поверхность запросов и владельца программы.</x:v>
      </x:c>
      <x:c r="J7" s="8" t="n">
        <x:v>2</x:v>
      </x:c>
      <x:c r="K7" s="8" t="str">
        <x:v>https://t.me/s/HRBreakfast_Live?before=146</x:v>
      </x:c>
      <x:c r="L7" s="8" t="str">
        <x:v>V7-S16d6155188</x:v>
      </x:c>
      <x:c r="M7" s="8" t="str">
        <x:v>turn1119view0; turn1273view0</x:v>
      </x:c>
    </x:row>
    <x:row r="8" ht="33" customHeight="1">
      <x:c r="A8" s="8" t="str">
        <x:v>V7-R003</x:v>
      </x:c>
      <x:c r="B8" s="8" t="str">
        <x:v>Telegram: View @hr_only</x:v>
      </x:c>
      <x:c r="C8" s="8" t="str">
        <x:v>Только карточка</x:v>
      </x:c>
      <x:c r="D8" s="8" t="str">
        <x:v>Видна карточка HR-чата, сообщения недоступны в публичном чтении.</x:v>
      </x:c>
      <x:c r="E8" s="8" t="str">
        <x:v>community_preview</x:v>
      </x:c>
      <x:c r="F8" s="8"/>
      <x:c r="G8" s="8"/>
      <x:c r="H8" s="8"/>
      <x:c r="I8" s="8" t="str">
        <x:v>Восстановить доступ или получить разрешенный экспорт.</x:v>
      </x:c>
      <x:c r="J8" s="8" t="n">
        <x:v>1</x:v>
      </x:c>
      <x:c r="K8" s="8" t="str">
        <x:v>https://t.me/hr_only</x:v>
      </x:c>
      <x:c r="L8" s="8" t="str">
        <x:v>V7-Sc83c2c8841</x:v>
      </x:c>
      <x:c r="M8" s="8" t="str">
        <x:v>turn1115view0</x:v>
      </x:c>
    </x:row>
    <x:row r="9" ht="33" customHeight="1">
      <x:c r="A9" s="8" t="str">
        <x:v>V7-R004</x:v>
      </x:c>
      <x:c r="B9" s="8" t="str">
        <x:v>Telegram: View @HR_lounge</x:v>
      </x:c>
      <x:c r="C9" s="8" t="str">
        <x:v>Только карточка</x:v>
      </x:c>
      <x:c r="D9" s="8" t="str">
        <x:v>Украиноязычный HR-чат; принадлежность к РФ, Беларуси или Казахстану не установлена.</x:v>
      </x:c>
      <x:c r="E9" s="8" t="str">
        <x:v>outside_geography_review</x:v>
      </x:c>
      <x:c r="F9" s="8"/>
      <x:c r="G9" s="8"/>
      <x:c r="H9" s="8"/>
      <x:c r="I9" s="8" t="str">
        <x:v>Восстановить доступ или получить разрешенный экспорт.</x:v>
      </x:c>
      <x:c r="J9" s="8" t="n">
        <x:v>1</x:v>
      </x:c>
      <x:c r="K9" s="8" t="str">
        <x:v>https://t.me/HR_lounge</x:v>
      </x:c>
      <x:c r="L9" s="8" t="str">
        <x:v>V7-Sb212459090</x:v>
      </x:c>
      <x:c r="M9" s="8" t="str">
        <x:v>turn1120view0</x:v>
      </x:c>
    </x:row>
    <x:row r="10" ht="35.25" customHeight="1">
      <x:c r="A10" s="8" t="str">
        <x:v>V7-R005</x:v>
      </x:c>
      <x:c r="B10" s="8" t="str">
        <x:v>HR-сообщество - Пермская Торгово-Промышленная Палата</x:v>
      </x:c>
      <x:c r="C10" s="8" t="str">
        <x:v>Прочитана часть</x:v>
      </x:c>
      <x:c r="D10" s="8" t="str">
        <x:v>HR-раздел Пермской ТПП; отдельные события видны, сплошное окно не доказано.</x:v>
      </x:c>
      <x:c r="E10" s="8" t="str">
        <x:v>community_news</x:v>
      </x:c>
      <x:c r="F10" s="8"/>
      <x:c r="G10" s="8"/>
      <x:c r="H10" s="8"/>
      <x:c r="I10" s="8" t="str">
        <x:v>Найти текущие задачи, точную поверхность запросов и владельца программы.</x:v>
      </x:c>
      <x:c r="J10" s="8" t="n">
        <x:v>1</x:v>
      </x:c>
      <x:c r="K10" s="8" t="str">
        <x:v>https://www.permtpp.ru/tags/hr-soobshchestvo/?SHOWALL_2=1</x:v>
      </x:c>
      <x:c r="L10" s="8" t="str">
        <x:v>V7-S8bb0eb5451</x:v>
      </x:c>
      <x:c r="M10" s="8" t="str">
        <x:v>turn1112view0</x:v>
      </x:c>
    </x:row>
    <x:row r="11" ht="35.25" customHeight="1">
      <x:c r="A11" s="8" t="str">
        <x:v>V7-R006</x:v>
      </x:c>
      <x:c r="B11" s="8" t="str">
        <x:v>HR конференция 15 апреля 2026 в Беларуси | HR Day</x:v>
      </x:c>
      <x:c r="C11" s="8" t="str">
        <x:v>Прочитана часть</x:v>
      </x:c>
      <x:c r="D11" s="8" t="str">
        <x:v>HR-конференция Беларуси состоялась 15 апреля 2026. Использовать организатора и будущий цикл.</x:v>
      </x:c>
      <x:c r="E11" s="8" t="str">
        <x:v>past_event</x:v>
      </x:c>
      <x:c r="F11" s="8" t="str">
        <x:v>2026-04-15</x:v>
      </x:c>
      <x:c r="G11" s="8" t="str">
        <x:v>event</x:v>
      </x:c>
      <x:c r="H11" s="8"/>
      <x:c r="I11" s="8" t="str">
        <x:v>Найти текущие задачи, точную поверхность запросов и владельца программы.</x:v>
      </x:c>
      <x:c r="J11" s="8" t="n">
        <x:v>1</x:v>
      </x:c>
      <x:c r="K11" s="8" t="str">
        <x:v>https://www.hrday.by/</x:v>
      </x:c>
      <x:c r="L11" s="8" t="str">
        <x:v>V7-S87810b61c6</x:v>
      </x:c>
      <x:c r="M11" s="8" t="str">
        <x:v>turn1117view0</x:v>
      </x:c>
    </x:row>
    <x:row r="12" ht="35.25" customHeight="1">
      <x:c r="A12" s="8" t="str">
        <x:v>V7-R007</x:v>
      </x:c>
      <x:c r="B12" s="8" t="str">
        <x:v>#hrclubrt — Сообщество HR сотрудников компаний по г. Казани и ближайщих городов.</x:v>
      </x:c>
      <x:c r="C12" s="8" t="str">
        <x:v>Ошибка доступа</x:v>
      </x:c>
      <x:c r="D12" s="8" t="str">
        <x:v>Две попытки чтения закончились ошибками; источник сохранен.</x:v>
      </x:c>
      <x:c r="E12" s="8" t="str">
        <x:v>access_unresolved</x:v>
      </x:c>
      <x:c r="F12" s="8"/>
      <x:c r="G12" s="8"/>
      <x:c r="H12" s="8"/>
      <x:c r="I12" s="8" t="str">
        <x:v>Восстановить доступ или получить разрешенный экспорт.</x:v>
      </x:c>
      <x:c r="J12" s="8" t="n">
        <x:v>2</x:v>
      </x:c>
      <x:c r="K12" s="8" t="str">
        <x:v>https://hrclubrt.ru/</x:v>
      </x:c>
      <x:c r="L12" s="8" t="str">
        <x:v>V7-Seffad25b7d</x:v>
      </x:c>
      <x:c r="M12" s="8" t="str">
        <x:v>turn1129view0; turn1279view0</x:v>
      </x:c>
    </x:row>
    <x:row r="13" ht="35.25" customHeight="1">
      <x:c r="A13" s="8" t="str">
        <x:v>V7-R008</x:v>
      </x:c>
      <x:c r="B13" s="8" t="str">
        <x:v>Ассоциация HR-менеджеров</x:v>
      </x:c>
      <x:c r="C13" s="8" t="str">
        <x:v>Прочитана часть</x:v>
      </x:c>
      <x:c r="D13" s="8" t="str">
        <x:v>Ассоциация HR-менеджеров Казахстана: мероприятия и сообщество; закупка обучения не подтверждена.</x:v>
      </x:c>
      <x:c r="E13" s="8" t="str">
        <x:v>professional_association</x:v>
      </x:c>
      <x:c r="F13" s="8"/>
      <x:c r="G13" s="8"/>
      <x:c r="H13" s="8"/>
      <x:c r="I13" s="8" t="str">
        <x:v>Найти текущие задачи, точную поверхность запросов и владельца программы.</x:v>
      </x:c>
      <x:c r="J13" s="8" t="n">
        <x:v>1</x:v>
      </x:c>
      <x:c r="K13" s="8" t="str">
        <x:v>https://hrbp.kz/</x:v>
      </x:c>
      <x:c r="L13" s="8" t="str">
        <x:v>V7-Sf05a7b614a</x:v>
      </x:c>
      <x:c r="M13" s="8" t="str">
        <x:v>turn1121view0</x:v>
      </x:c>
    </x:row>
    <x:row r="14" ht="35.25" customHeight="1">
      <x:c r="A14" s="8" t="str">
        <x:v>V7-R009</x:v>
      </x:c>
      <x:c r="B14" s="8" t="str">
        <x:v>HR4People ASTANA</x:v>
      </x:c>
      <x:c r="C14" s="8" t="str">
        <x:v>Прочитана часть</x:v>
      </x:c>
      <x:c r="D14" s="8" t="str">
        <x:v>Страница события 21 мая 2026; есть маршрут партнерства, но это не текущий заказ.</x:v>
      </x:c>
      <x:c r="E14" s="8" t="str">
        <x:v>past_event</x:v>
      </x:c>
      <x:c r="F14" s="8" t="str">
        <x:v>2026-05-21</x:v>
      </x:c>
      <x:c r="G14" s="8" t="str">
        <x:v>event</x:v>
      </x:c>
      <x:c r="H14" s="8" t="str">
        <x:v>forum.liderov@gmail.com</x:v>
      </x:c>
      <x:c r="I14" s="8" t="str">
        <x:v>Найти текущие задачи, точную поверхность запросов и владельца программы.</x:v>
      </x:c>
      <x:c r="J14" s="8" t="n">
        <x:v>1</x:v>
      </x:c>
      <x:c r="K14" s="8" t="str">
        <x:v>https://hr4people.kz/hr4peopleastana2026</x:v>
      </x:c>
      <x:c r="L14" s="8" t="str">
        <x:v>V7-S5512915722</x:v>
      </x:c>
      <x:c r="M14" s="8" t="str">
        <x:v>turn1125view0</x:v>
      </x:c>
    </x:row>
    <x:row r="15" ht="35.25" customHeight="1">
      <x:c r="A15" s="8" t="str">
        <x:v>V7-R010</x:v>
      </x:c>
      <x:c r="B15" s="8" t="str">
        <x:v>HR сообщество | Изменения рынка труда Беларуси</x:v>
      </x:c>
      <x:c r="C15" s="8" t="str">
        <x:v>Прочитана часть</x:v>
      </x:c>
      <x:c r="D15" s="8" t="str">
        <x:v>Интервью о HR Breakfast помогает найти сообщество. Сама статья не является запросом обучения.</x:v>
      </x:c>
      <x:c r="E15" s="8" t="str">
        <x:v>discovery_editorial</x:v>
      </x:c>
      <x:c r="F15" s="8"/>
      <x:c r="G15" s="8"/>
      <x:c r="H15" s="8"/>
      <x:c r="I15" s="8" t="str">
        <x:v>Найти текущие задачи, точную поверхность запросов и владельца программы.</x:v>
      </x:c>
      <x:c r="J15" s="8" t="n">
        <x:v>1</x:v>
      </x:c>
      <x:c r="K15" s="8" t="str">
        <x:v>https://ares.by/blog/intervyu_s_sozdatelyami_hr_breakfast/</x:v>
      </x:c>
      <x:c r="L15" s="8" t="str">
        <x:v>V7-Sd58bf3286e</x:v>
      </x:c>
      <x:c r="M15" s="8" t="str">
        <x:v>turn1126view0</x:v>
      </x:c>
    </x:row>
    <x:row r="16" ht="35.25" customHeight="1">
      <x:c r="A16" s="8" t="str">
        <x:v>V7-R011</x:v>
      </x:c>
      <x:c r="B16" s="8" t="str">
        <x:v>Союз Проектных Менеджеров Республики Казахстан - Партнеры СПМ РК</x:v>
      </x:c>
      <x:c r="C16" s="8" t="str">
        <x:v>Прочитана часть</x:v>
      </x:c>
      <x:c r="D16" s="8" t="str">
        <x:v>СПМ РК приглашает практиков для разработки и проведения программ. Открытость конкретного задания и контракт с МИСБ уточняются.</x:v>
      </x:c>
      <x:c r="E16" s="8" t="str">
        <x:v>expert_pool</x:v>
      </x:c>
      <x:c r="F16" s="8"/>
      <x:c r="G16" s="8"/>
      <x:c r="H16" s="8"/>
      <x:c r="I16" s="8" t="str">
        <x:v>Уточнить тему, оплату, договор с МИСБ и актуальность приема.</x:v>
      </x:c>
      <x:c r="J16" s="8" t="n">
        <x:v>2</x:v>
      </x:c>
      <x:c r="K16" s="8" t="str">
        <x:v>https://spmrk.kz/ru/news/item/682-konkurs-po-naboru-biznes-trenerov</x:v>
      </x:c>
      <x:c r="L16" s="8" t="str">
        <x:v>V7-S5ef01ce831</x:v>
      </x:c>
      <x:c r="M16" s="8" t="str">
        <x:v>turn1116view0; turn1256view0</x:v>
      </x:c>
    </x:row>
    <x:row r="17" ht="35.25" customHeight="1">
      <x:c r="A17" s="8" t="str">
        <x:v>V7-R012</x:v>
      </x:c>
      <x:c r="B17" s="8" t="str">
        <x:v>Вступить в Клуб финансовых директоров</x:v>
      </x:c>
      <x:c r="C17" s="8" t="str">
        <x:v>Прочитана часть</x:v>
      </x:c>
      <x:c r="D17" s="8" t="str">
        <x:v>Клуб финансовых директоров описывает закрытый чат и мероприятия. Доступ к сообщениям и стоимость участия не проверены.</x:v>
      </x:c>
      <x:c r="E17" s="8" t="str">
        <x:v>membership_route</x:v>
      </x:c>
      <x:c r="F17" s="8"/>
      <x:c r="G17" s="8"/>
      <x:c r="H17" s="8"/>
      <x:c r="I17" s="8" t="str">
        <x:v>Найти текущие задачи, точную поверхность запросов и владельца программы.</x:v>
      </x:c>
      <x:c r="J17" s="8" t="n">
        <x:v>1</x:v>
      </x:c>
      <x:c r="K17" s="8" t="str">
        <x:v>https://club.fd.ru/</x:v>
      </x:c>
      <x:c r="L17" s="8" t="str">
        <x:v>V7-S483a0bbc8e</x:v>
      </x:c>
      <x:c r="M17" s="8" t="str">
        <x:v>turn1118view0</x:v>
      </x:c>
    </x:row>
    <x:row r="18" ht="35.25" customHeight="1">
      <x:c r="A18" s="8" t="str">
        <x:v>V7-R013</x:v>
      </x:c>
      <x:c r="B18" s="8" t="str">
        <x:v>Описание проекта | Клуб топ-менеджеров 4CIO</x:v>
      </x:c>
      <x:c r="C18" s="8" t="str">
        <x:v>Прочитана часть</x:v>
      </x:c>
      <x:c r="D18" s="8" t="str">
        <x:v>Прочитаны образовательный проект и партнерская страница 4CIO. Партнерство связано с продвижением; это не заказ обучения.</x:v>
      </x:c>
      <x:c r="E18" s="8" t="str">
        <x:v>sponsorship_route</x:v>
      </x:c>
      <x:c r="F18" s="8"/>
      <x:c r="G18" s="8"/>
      <x:c r="H18" s="8"/>
      <x:c r="I18" s="8" t="str">
        <x:v>Найти текущие задачи, точную поверхность запросов и владельца программы.</x:v>
      </x:c>
      <x:c r="J18" s="8" t="n">
        <x:v>2</x:v>
      </x:c>
      <x:c r="K18" s="8" t="str">
        <x:v>https://4cio.ru/pages/677</x:v>
      </x:c>
      <x:c r="L18" s="8" t="str">
        <x:v>V7-S6033ef9a7e</x:v>
      </x:c>
      <x:c r="M18" s="8" t="str">
        <x:v>turn1124view0; turn1237view0</x:v>
      </x:c>
    </x:row>
    <x:row r="19" ht="35.25" customHeight="1">
      <x:c r="A19" s="8" t="str">
        <x:v>V7-R014</x:v>
      </x:c>
      <x:c r="B19" s="8" t="str">
        <x:v>Санкт-Петербургский клуб ИТ-директоров «SPb CIO Club</x:v>
      </x:c>
      <x:c r="C19" s="8" t="str">
        <x:v>Прочитана часть</x:v>
      </x:c>
      <x:c r="D19" s="8" t="str">
        <x:v>ИТ-клуб предлагает участие поставщиков. Проверить стоимость и возможность образовательного партнерства.</x:v>
      </x:c>
      <x:c r="E19" s="8" t="str">
        <x:v>sponsorship_route</x:v>
      </x:c>
      <x:c r="F19" s="8"/>
      <x:c r="G19" s="8"/>
      <x:c r="H19" s="8" t="str">
        <x:v>office@spbcioclub.ru</x:v>
      </x:c>
      <x:c r="I19" s="8" t="str">
        <x:v>Найти текущие задачи, точную поверхность запросов и владельца программы.</x:v>
      </x:c>
      <x:c r="J19" s="8" t="n">
        <x:v>1</x:v>
      </x:c>
      <x:c r="K19" s="8" t="str">
        <x:v>https://www.spbcioclub.ru/about/</x:v>
      </x:c>
      <x:c r="L19" s="8" t="str">
        <x:v>V7-S53bc7cc615</x:v>
      </x:c>
      <x:c r="M19" s="8" t="str">
        <x:v>turn1122view0</x:v>
      </x:c>
    </x:row>
    <x:row r="20" ht="35.25" customHeight="1">
      <x:c r="A20" s="8" t="str">
        <x:v>V7-R015</x:v>
      </x:c>
      <x:c r="B20" s="8" t="str">
        <x:v>CMO Club Russia - Ассоциация Директоров по маркетингу ...</x:v>
      </x:c>
      <x:c r="C20" s="8" t="str">
        <x:v>Прочитана часть</x:v>
      </x:c>
      <x:c r="D20" s="8" t="str">
        <x:v>Сообщество директоров по маркетингу. Полезно искать образовательные задачи членов; прямой запрос не найден.</x:v>
      </x:c>
      <x:c r="E20" s="8" t="str">
        <x:v>professional_association</x:v>
      </x:c>
      <x:c r="F20" s="8"/>
      <x:c r="G20" s="8"/>
      <x:c r="H20" s="8"/>
      <x:c r="I20" s="8" t="str">
        <x:v>Найти текущие задачи, точную поверхность запросов и владельца программы.</x:v>
      </x:c>
      <x:c r="J20" s="8" t="n">
        <x:v>1</x:v>
      </x:c>
      <x:c r="K20" s="8" t="str">
        <x:v>https://cmoclubrussia.ru/</x:v>
      </x:c>
      <x:c r="L20" s="8" t="str">
        <x:v>V7-S435d490a4a</x:v>
      </x:c>
      <x:c r="M20" s="8" t="str">
        <x:v>turn1127view0</x:v>
      </x:c>
    </x:row>
    <x:row r="21" ht="35.25" customHeight="1">
      <x:c r="A21" s="8" t="str">
        <x:v>V7-R016</x:v>
      </x:c>
      <x:c r="B21" s="8" t="str">
        <x:v>Клуб финансовых директоров: Главная</x:v>
      </x:c>
      <x:c r="C21" s="8" t="str">
        <x:v>Прочитана часть</x:v>
      </x:c>
      <x:c r="D21" s="8" t="str">
        <x:v>Финансовый клуб публикует совместные образовательные инициативы. Пример email в форме не является контактом.</x:v>
      </x:c>
      <x:c r="E21" s="8" t="str">
        <x:v>professional_association</x:v>
      </x:c>
      <x:c r="F21" s="8"/>
      <x:c r="G21" s="8"/>
      <x:c r="H21" s="8"/>
      <x:c r="I21" s="8" t="str">
        <x:v>Найти текущие задачи, точную поверхность запросов и владельца программы.</x:v>
      </x:c>
      <x:c r="J21" s="8" t="n">
        <x:v>1</x:v>
      </x:c>
      <x:c r="K21" s="8" t="str">
        <x:v>https://financial-directors-club.ru/</x:v>
      </x:c>
      <x:c r="L21" s="8" t="str">
        <x:v>V7-Sd3423809f1</x:v>
      </x:c>
      <x:c r="M21" s="8" t="str">
        <x:v>turn1114view0</x:v>
      </x:c>
    </x:row>
    <x:row r="22" ht="35.25" customHeight="1">
      <x:c r="A22" s="8" t="str">
        <x:v>V7-R017</x:v>
      </x:c>
      <x:c r="B22" s="8" t="str">
        <x:v>СТМЛК - сообщество топ-менеджеров логистических компаний</x:v>
      </x:c>
      <x:c r="C22" s="8" t="str">
        <x:v>Прочитана часть</x:v>
      </x:c>
      <x:c r="D22" s="8" t="str">
        <x:v>Сообщество руководителей логистики открыто к образовательным организациям; есть отдельные VK и Telegram.</x:v>
      </x:c>
      <x:c r="E22" s="8" t="str">
        <x:v>association_partnership</x:v>
      </x:c>
      <x:c r="F22" s="8"/>
      <x:c r="G22" s="8"/>
      <x:c r="H22" s="8" t="str">
        <x:v>info@tmlc.ru</x:v>
      </x:c>
      <x:c r="I22" s="8" t="str">
        <x:v>Уточнить тему, оплату, договор с МИСБ и актуальность приема.</x:v>
      </x:c>
      <x:c r="J22" s="8" t="n">
        <x:v>3</x:v>
      </x:c>
      <x:c r="K22" s="8" t="str">
        <x:v>https://tmlc.ru/about</x:v>
      </x:c>
      <x:c r="L22" s="8" t="str">
        <x:v>V7-S931d7f18e4</x:v>
      </x:c>
      <x:c r="M22" s="8" t="str">
        <x:v>turn1113view0; turn1241view0; turn1245view0</x:v>
      </x:c>
    </x:row>
    <x:row r="23" ht="35.25" customHeight="1">
      <x:c r="A23" s="8" t="str">
        <x:v>V7-R018</x:v>
      </x:c>
      <x:c r="B23" s="8" t="str">
        <x:v>О компании</x:v>
      </x:c>
      <x:c r="C23" s="8" t="str">
        <x:v>Прочитана часть</x:v>
      </x:c>
      <x:c r="D23" s="8" t="str">
        <x:v>Ассоциация проектного управления: обучение, сертификация и подготовка тренеров.</x:v>
      </x:c>
      <x:c r="E23" s="8" t="str">
        <x:v>professional_association</x:v>
      </x:c>
      <x:c r="F23" s="8"/>
      <x:c r="G23" s="8"/>
      <x:c r="H23" s="8" t="str">
        <x:v>kpma@kpma.kz</x:v>
      </x:c>
      <x:c r="I23" s="8" t="str">
        <x:v>Найти текущие задачи, точную поверхность запросов и владельца программы.</x:v>
      </x:c>
      <x:c r="J23" s="8" t="n">
        <x:v>1</x:v>
      </x:c>
      <x:c r="K23" s="8" t="str">
        <x:v>https://www.kpma.kz/aboutus/o-kompanii.html</x:v>
      </x:c>
      <x:c r="L23" s="8" t="str">
        <x:v>V7-Sbb3bf1a453</x:v>
      </x:c>
      <x:c r="M23" s="8" t="str">
        <x:v>turn1131view0</x:v>
      </x:c>
    </x:row>
    <x:row r="24" ht="35.25" customHeight="1">
      <x:c r="A24" s="8" t="str">
        <x:v>V7-R019</x:v>
      </x:c>
      <x:c r="B24" s="8" t="str">
        <x:v>ACPA - Ассоциация сертифицированных профессиональных бухгалтеров</x:v>
      </x:c>
      <x:c r="C24" s="8" t="str">
        <x:v>Прочитана часть</x:v>
      </x:c>
      <x:c r="D24" s="8" t="str">
        <x:v>Бухгалтерская ассоциация Казахстана; партнерство и образовательная аудитория, без конкретного заказа.</x:v>
      </x:c>
      <x:c r="E24" s="8" t="str">
        <x:v>professional_association</x:v>
      </x:c>
      <x:c r="F24" s="8"/>
      <x:c r="G24" s="8"/>
      <x:c r="H24" s="8" t="str">
        <x:v>info@acpa.kz</x:v>
      </x:c>
      <x:c r="I24" s="8" t="str">
        <x:v>Найти текущие задачи, точную поверхность запросов и владельца программы.</x:v>
      </x:c>
      <x:c r="J24" s="8" t="n">
        <x:v>1</x:v>
      </x:c>
      <x:c r="K24" s="8" t="str">
        <x:v>https://acpa.kz/</x:v>
      </x:c>
      <x:c r="L24" s="8" t="str">
        <x:v>V7-S43b1b3cd6f</x:v>
      </x:c>
      <x:c r="M24" s="8" t="str">
        <x:v>turn1128view0</x:v>
      </x:c>
    </x:row>
    <x:row r="25" ht="35.25" customHeight="1">
      <x:c r="A25" s="8" t="str">
        <x:v>V7-R020</x:v>
      </x:c>
      <x:c r="B25" s="8" t="str">
        <x:v>GlobalCIO | DigitalExperts - сообщество ИТ-руководителей и ...</x:v>
      </x:c>
      <x:c r="C25" s="8" t="str">
        <x:v>Прочитана часть</x:v>
      </x:c>
      <x:c r="D25" s="8" t="str">
        <x:v>Профессиональное сообщество ИТ-руководителей. Материал об обучении от 10 марта 2026 ведет к собственной академии.</x:v>
      </x:c>
      <x:c r="E25" s="8" t="str">
        <x:v>professional_community</x:v>
      </x:c>
      <x:c r="F25" s="8"/>
      <x:c r="G25" s="8"/>
      <x:c r="H25" s="8" t="str">
        <x:v>study@globalcio.ru</x:v>
      </x:c>
      <x:c r="I25" s="8" t="str">
        <x:v>Найти текущие задачи, точную поверхность запросов и владельца программы.</x:v>
      </x:c>
      <x:c r="J25" s="8" t="n">
        <x:v>2</x:v>
      </x:c>
      <x:c r="K25" s="8" t="str">
        <x:v>https://globalcio.ru/</x:v>
      </x:c>
      <x:c r="L25" s="8" t="str">
        <x:v>V7-Sd283c226c8</x:v>
      </x:c>
      <x:c r="M25" s="8" t="str">
        <x:v>turn1130view0; turn1259view0</x:v>
      </x:c>
    </x:row>
    <x:row r="26" ht="35.25" customHeight="1">
      <x:c r="A26" s="8" t="str">
        <x:v>V7-R021</x:v>
      </x:c>
      <x:c r="B26" s="8" t="str">
        <x:v>Ассоциация загородных отелей России</x:v>
      </x:c>
      <x:c r="C26" s="8" t="str">
        <x:v>Прочитана часть</x:v>
      </x:c>
      <x:c r="D26" s="8" t="str">
        <x:v>Есть закрытые чаты владельцев отелей и партнерская программа поставщиков. Доступ и коммерческие условия нужно уточнить.</x:v>
      </x:c>
      <x:c r="E26" s="8" t="str">
        <x:v>membership_and_partner_route</x:v>
      </x:c>
      <x:c r="F26" s="8"/>
      <x:c r="G26" s="8"/>
      <x:c r="H26" s="8"/>
      <x:c r="I26" s="8" t="str">
        <x:v>Найти текущие задачи, точную поверхность запросов и владельца программы.</x:v>
      </x:c>
      <x:c r="J26" s="8" t="n">
        <x:v>2</x:v>
      </x:c>
      <x:c r="K26" s="8" t="str">
        <x:v>https://azo-hotels.com/</x:v>
      </x:c>
      <x:c r="L26" s="8" t="str">
        <x:v>V7-Sd345f458a2</x:v>
      </x:c>
      <x:c r="M26" s="8" t="str">
        <x:v>turn1137view0; turn1238view0</x:v>
      </x:c>
    </x:row>
    <x:row r="27" ht="47.25" customHeight="1">
      <x:c r="A27" s="8" t="str">
        <x:v>V7-R022</x:v>
      </x:c>
      <x:c r="B27" s="8" t="str">
        <x:v>Ассоциация экспертов, спикеров, модераторов и продюсеров | Членство и деловой сезон 2026–2027</x:v>
      </x:c>
      <x:c r="C27" s="8" t="str">
        <x:v>Прочитана часть</x:v>
      </x:c>
      <x:c r="D27" s="8" t="str">
        <x:v>Ассоциация спикеров предлагает участие в профессиональной сети. Членство не равно гарантированным оплачиваемым заказам.</x:v>
      </x:c>
      <x:c r="E27" s="8" t="str">
        <x:v>speaker_membership</x:v>
      </x:c>
      <x:c r="F27" s="8"/>
      <x:c r="G27" s="8"/>
      <x:c r="H27" s="8"/>
      <x:c r="I27" s="8" t="str">
        <x:v>Найти текущие задачи, точную поверхность запросов и владельца программы.</x:v>
      </x:c>
      <x:c r="J27" s="8" t="n">
        <x:v>1</x:v>
      </x:c>
      <x:c r="K27" s="8" t="str">
        <x:v>https://aesmp.ru/</x:v>
      </x:c>
      <x:c r="L27" s="8" t="str">
        <x:v>V7-S85d9ad0352</x:v>
      </x:c>
      <x:c r="M27" s="8" t="str">
        <x:v>turn1134view0</x:v>
      </x:c>
    </x:row>
    <x:row r="28" ht="35.25" customHeight="1">
      <x:c r="A28" s="8" t="str">
        <x:v>V7-R023</x:v>
      </x:c>
      <x:c r="B28" s="8" t="str">
        <x:v>Что дает членство в ААУ</x:v>
      </x:c>
      <x:c r="C28" s="8" t="str">
        <x:v>Прочитана часть</x:v>
      </x:c>
      <x:c r="D28" s="8" t="str">
        <x:v>Фармацевтическая ассоциация проводит обучение членов; выявлять программу и ответственного за экспертов.</x:v>
      </x:c>
      <x:c r="E28" s="8" t="str">
        <x:v>association_training_offer</x:v>
      </x:c>
      <x:c r="F28" s="8"/>
      <x:c r="G28" s="8"/>
      <x:c r="H28" s="8" t="str">
        <x:v>info@spharma.ru</x:v>
      </x:c>
      <x:c r="I28" s="8" t="str">
        <x:v>Найти текущие задачи, точную поверхность запросов и владельца программы.</x:v>
      </x:c>
      <x:c r="J28" s="8" t="n">
        <x:v>1</x:v>
      </x:c>
      <x:c r="K28" s="8" t="str">
        <x:v>https://www.sojuzpharma.ru/about/aau/</x:v>
      </x:c>
      <x:c r="L28" s="8" t="str">
        <x:v>V7-Sd6b0cd05ec</x:v>
      </x:c>
      <x:c r="M28" s="8" t="str">
        <x:v>turn1147view0</x:v>
      </x:c>
    </x:row>
    <x:row r="29" ht="35.25" customHeight="1">
      <x:c r="A29" s="8" t="str">
        <x:v>V7-R024</x:v>
      </x:c>
      <x:c r="B29" s="8" t="str">
        <x:v>Главная</x:v>
      </x:c>
      <x:c r="C29" s="8" t="str">
        <x:v>Прочитана часть</x:v>
      </x:c>
      <x:c r="D29" s="8" t="str">
        <x:v>После повторной попытки сайт Белинфоком прочитан. Первичная ошибка не означает, что источник не работает.</x:v>
      </x:c>
      <x:c r="E29" s="8" t="str">
        <x:v>professional_association</x:v>
      </x:c>
      <x:c r="F29" s="8"/>
      <x:c r="G29" s="8"/>
      <x:c r="H29" s="8"/>
      <x:c r="I29" s="8" t="str">
        <x:v>Найти текущие задачи, точную поверхность запросов и владельца программы.</x:v>
      </x:c>
      <x:c r="J29" s="8" t="n">
        <x:v>2</x:v>
      </x:c>
      <x:c r="K29" s="8" t="str">
        <x:v>https://belinfocom.by/</x:v>
      </x:c>
      <x:c r="L29" s="8" t="str">
        <x:v>V7-Sac4f4552dd</x:v>
      </x:c>
      <x:c r="M29" s="8" t="str">
        <x:v>turn1143view0; turn1281view0</x:v>
      </x:c>
    </x:row>
    <x:row r="30" ht="35.25" customHeight="1">
      <x:c r="A30" s="8" t="str">
        <x:v>V7-R025</x:v>
      </x:c>
      <x:c r="B30" s="8" t="str">
        <x:v>Преимущества членства - Ассоциация Kazdidac</x:v>
      </x:c>
      <x:c r="C30" s="8" t="str">
        <x:v>Прочитана часть</x:v>
      </x:c>
      <x:c r="D30" s="8" t="str">
        <x:v>EdTech-ассоциация с образовательными проектами, включая дошкольную сферу. Для МИСБ выделить корпоративную часть.</x:v>
      </x:c>
      <x:c r="E30" s="8" t="str">
        <x:v>adjacent_education_network</x:v>
      </x:c>
      <x:c r="F30" s="8"/>
      <x:c r="G30" s="8"/>
      <x:c r="H30" s="8"/>
      <x:c r="I30" s="8" t="str">
        <x:v>Найти текущие задачи, точную поверхность запросов и владельца программы.</x:v>
      </x:c>
      <x:c r="J30" s="8" t="n">
        <x:v>1</x:v>
      </x:c>
      <x:c r="K30" s="8" t="str">
        <x:v>https://kazdidac.kz/how-to-join/why-join</x:v>
      </x:c>
      <x:c r="L30" s="8" t="str">
        <x:v>V7-S8330215cd0</x:v>
      </x:c>
      <x:c r="M30" s="8" t="str">
        <x:v>turn1133view0</x:v>
      </x:c>
    </x:row>
    <x:row r="31" ht="35.25" customHeight="1">
      <x:c r="A31" s="8" t="str">
        <x:v>V7-R026</x:v>
      </x:c>
      <x:c r="B31" s="8" t="str">
        <x:v>Ассоциация предприятий легкой промышленности Казахстана — Страница 2</x:v>
      </x:c>
      <x:c r="C31" s="8" t="str">
        <x:v>Прочитана часть</x:v>
      </x:c>
      <x:c r="D31" s="8" t="str">
        <x:v>Ассоциация легкой промышленности публикует образовательные события и новости предприятий.</x:v>
      </x:c>
      <x:c r="E31" s="8" t="str">
        <x:v>industry_association</x:v>
      </x:c>
      <x:c r="F31" s="8"/>
      <x:c r="G31" s="8"/>
      <x:c r="H31" s="8"/>
      <x:c r="I31" s="8" t="str">
        <x:v>Найти текущие задачи, точную поверхность запросов и владельца программы.</x:v>
      </x:c>
      <x:c r="J31" s="8" t="n">
        <x:v>1</x:v>
      </x:c>
      <x:c r="K31" s="8" t="str">
        <x:v>https://aplp.kz/page/2/</x:v>
      </x:c>
      <x:c r="L31" s="8" t="str">
        <x:v>V7-S479a96013c</x:v>
      </x:c>
      <x:c r="M31" s="8" t="str">
        <x:v>turn1145view0</x:v>
      </x:c>
    </x:row>
    <x:row r="32" ht="35.25" customHeight="1">
      <x:c r="A32" s="8" t="str">
        <x:v>V7-R027</x:v>
      </x:c>
      <x:c r="B32" s="8" t="str">
        <x:v>Мероприятия для членов СРО | Ассоциация «СРО «АЛЬЯНС СТРОИТЕЛЕЙ»</x:v>
      </x:c>
      <x:c r="C32" s="8" t="str">
        <x:v>Прочитана часть</x:v>
      </x:c>
      <x:c r="D32" s="8" t="str">
        <x:v>Регулярные семинары для членов строительной СРО; искать организатора и планы следующего цикла.</x:v>
      </x:c>
      <x:c r="E32" s="8" t="str">
        <x:v>association_training_offer</x:v>
      </x:c>
      <x:c r="F32" s="8"/>
      <x:c r="G32" s="8"/>
      <x:c r="H32" s="8"/>
      <x:c r="I32" s="8" t="str">
        <x:v>Найти текущие задачи, точную поверхность запросов и владельца программы.</x:v>
      </x:c>
      <x:c r="J32" s="8" t="n">
        <x:v>1</x:v>
      </x:c>
      <x:c r="K32" s="8" t="str">
        <x:v>https://www.as-sro.ru/seminars</x:v>
      </x:c>
      <x:c r="L32" s="8" t="str">
        <x:v>V7-S7dda2a59e6</x:v>
      </x:c>
      <x:c r="M32" s="8" t="str">
        <x:v>turn1136view0</x:v>
      </x:c>
    </x:row>
    <x:row r="33" ht="35.25" customHeight="1">
      <x:c r="A33" s="8" t="str">
        <x:v>V7-R028</x:v>
      </x:c>
      <x:c r="B33" s="8" t="str">
        <x:v>Мероприятия для членов СРО | Ассоциация «СРО «БЕЗОПАСНОСТЬ И КАЧЕСТВО»</x:v>
      </x:c>
      <x:c r="C33" s="8" t="str">
        <x:v>Прочитана часть</x:v>
      </x:c>
      <x:c r="D33" s="8" t="str">
        <x:v>Семинары другой СРО частично совпадают с программой Альянса строителей. Проверить общего организатора, не считать репост новым спросом.</x:v>
      </x:c>
      <x:c r="E33" s="8" t="str">
        <x:v>association_training_offer</x:v>
      </x:c>
      <x:c r="F33" s="8"/>
      <x:c r="G33" s="8"/>
      <x:c r="H33" s="8"/>
      <x:c r="I33" s="8" t="str">
        <x:v>Найти текущие задачи, точную поверхность запросов и владельца программы.</x:v>
      </x:c>
      <x:c r="J33" s="8" t="n">
        <x:v>1</x:v>
      </x:c>
      <x:c r="K33" s="8" t="str">
        <x:v>https://www.bik-sro.ru/seminars</x:v>
      </x:c>
      <x:c r="L33" s="8" t="str">
        <x:v>V7-Sf38ececf82</x:v>
      </x:c>
      <x:c r="M33" s="8" t="str">
        <x:v>turn1142view0</x:v>
      </x:c>
    </x:row>
    <x:row r="34" ht="71.25" customHeight="1">
      <x:c r="A34" s="8" t="str">
        <x:v>V7-R029</x:v>
      </x:c>
      <x:c r="B34" s="8" t="str">
        <x:v>Союз машиностроителей приглашает на курс повышения квалификации «Организация эффективной работы отдела технического контроля: практика передовых предприятий» - Россоюзхолодпром</x:v>
      </x:c>
      <x:c r="C34" s="8" t="str">
        <x:v>Ошибка доступа</x:v>
      </x:c>
      <x:c r="D34" s="8" t="str">
        <x:v>Страница об обучении недоступна при повторе. Сохранена для восстановления.</x:v>
      </x:c>
      <x:c r="E34" s="8" t="str">
        <x:v>access_unresolved</x:v>
      </x:c>
      <x:c r="F34" s="8"/>
      <x:c r="G34" s="8"/>
      <x:c r="H34" s="8"/>
      <x:c r="I34" s="8" t="str">
        <x:v>Восстановить доступ или получить разрешенный экспорт.</x:v>
      </x:c>
      <x:c r="J34" s="8" t="n">
        <x:v>2</x:v>
      </x:c>
      <x:c r="K34" s="8" t="str">
        <x:v>https://holodunion.ru/news/obuchenie-seminary-konferentsii/soyuz-mashinostroiteley-priglashaet-na-kurs-povysheniya-kvalifikatsii-organizatsiya-effektivnoy-rabo/</x:v>
      </x:c>
      <x:c r="L34" s="8" t="str">
        <x:v>V7-S555bad87a5</x:v>
      </x:c>
      <x:c r="M34" s="8" t="str">
        <x:v>turn1146view0; turn1275view0</x:v>
      </x:c>
    </x:row>
    <x:row r="35" ht="35.25" customHeight="1">
      <x:c r="A35" s="8" t="str">
        <x:v>V7-R030</x:v>
      </x:c>
      <x:c r="B35" s="8" t="str">
        <x:v>Семинары и конференции</x:v>
      </x:c>
      <x:c r="C35" s="8" t="str">
        <x:v>Прочитана часть</x:v>
      </x:c>
      <x:c r="D35" s="8" t="str">
        <x:v>Ассоциация уже называет образовательного партнера. Возможен субподряд или дополняющая тема, но потребность не заявлена.</x:v>
      </x:c>
      <x:c r="E35" s="8" t="str">
        <x:v>existing_training_partner</x:v>
      </x:c>
      <x:c r="F35" s="8"/>
      <x:c r="G35" s="8"/>
      <x:c r="H35" s="8" t="str">
        <x:v>info@asstr.ru</x:v>
      </x:c>
      <x:c r="I35" s="8" t="str">
        <x:v>Найти текущие задачи, точную поверхность запросов и владельца программы.</x:v>
      </x:c>
      <x:c r="J35" s="8" t="n">
        <x:v>1</x:v>
      </x:c>
      <x:c r="K35" s="8" t="str">
        <x:v>https://asstr.ru/seminars</x:v>
      </x:c>
      <x:c r="L35" s="8" t="str">
        <x:v>V7-Sf9dee745f9</x:v>
      </x:c>
      <x:c r="M35" s="8" t="str">
        <x:v>turn1144view0</x:v>
      </x:c>
    </x:row>
    <x:row r="36" ht="35.25" customHeight="1">
      <x:c r="A36" s="8" t="str">
        <x:v>V7-R031</x:v>
      </x:c>
      <x:c r="B36" s="8" t="str">
        <x:v>Партнерская программа для тренинговых компаний и преподавателей</x:v>
      </x:c>
      <x:c r="C36" s="8" t="str">
        <x:v>Прочитана часть</x:v>
      </x:c>
      <x:c r="D36" s="8" t="str">
        <x:v>Simformer предлагает сотрудничество тренинговым компаниям и преподавателям вокруг платформы бизнес-симуляций.</x:v>
      </x:c>
      <x:c r="E36" s="8" t="str">
        <x:v>platform_partnership</x:v>
      </x:c>
      <x:c r="F36" s="8"/>
      <x:c r="G36" s="8"/>
      <x:c r="H36" s="8"/>
      <x:c r="I36" s="8" t="str">
        <x:v>Найти текущие задачи, точную поверхность запросов и владельца программы.</x:v>
      </x:c>
      <x:c r="J36" s="8" t="n">
        <x:v>1</x:v>
      </x:c>
      <x:c r="K36" s="8" t="str">
        <x:v>https://simformer.com/ru/for-partners/</x:v>
      </x:c>
      <x:c r="L36" s="8" t="str">
        <x:v>V7-Scb11e4689a</x:v>
      </x:c>
      <x:c r="M36" s="8" t="str">
        <x:v>turn1141view0</x:v>
      </x:c>
    </x:row>
    <x:row r="37" ht="35.25" customHeight="1">
      <x:c r="A37" s="8" t="str">
        <x:v>V7-R032</x:v>
      </x:c>
      <x:c r="B37" s="8" t="str">
        <x:v>Спикерам: как создавать курсы</x:v>
      </x:c>
      <x:c r="C37" s="8" t="str">
        <x:v>Прочитана часть</x:v>
      </x:c>
      <x:c r="D37" s="8" t="str">
        <x:v>Slurm приглашает авторов и спикеров IT-курсов. Тематику и договор с образовательной организацией требуется согласовать.</x:v>
      </x:c>
      <x:c r="E37" s="8" t="str">
        <x:v>course_author_pool</x:v>
      </x:c>
      <x:c r="F37" s="8"/>
      <x:c r="G37" s="8"/>
      <x:c r="H37" s="8"/>
      <x:c r="I37" s="8" t="str">
        <x:v>Уточнить тему, оплату, договор с МИСБ и актуальность приема.</x:v>
      </x:c>
      <x:c r="J37" s="8" t="n">
        <x:v>1</x:v>
      </x:c>
      <x:c r="K37" s="8" t="str">
        <x:v>https://slurm.io/for-speakers</x:v>
      </x:c>
      <x:c r="L37" s="8" t="str">
        <x:v>V7-S3f62f435c1</x:v>
      </x:c>
      <x:c r="M37" s="8" t="str">
        <x:v>turn1132view0</x:v>
      </x:c>
    </x:row>
    <x:row r="38" ht="35.25" customHeight="1">
      <x:c r="A38" s="8" t="str">
        <x:v>V7-R033</x:v>
      </x:c>
      <x:c r="B38" s="8" t="str">
        <x:v>Вакансии / Об академии / БИЗНЕС АКАДЕМИЯ DKS - официальный сайт учебного центра</x:v>
      </x:c>
      <x:c r="C38" s="8" t="str">
        <x:v>Прочитана часть</x:v>
      </x:c>
      <x:c r="D38" s="8" t="str">
        <x:v>DKS приглашает преподавателей-практиков; предусмотрены аккредитация и трудовое соглашение. Это не подтвержденный субподряд МИСБ.</x:v>
      </x:c>
      <x:c r="E38" s="8" t="str">
        <x:v>individual_trainer_recruitment</x:v>
      </x:c>
      <x:c r="F38" s="8"/>
      <x:c r="G38" s="8"/>
      <x:c r="H38" s="8"/>
      <x:c r="I38" s="8" t="str">
        <x:v>Уточнить тему, оплату, договор с МИСБ и актуальность приема.</x:v>
      </x:c>
      <x:c r="J38" s="8" t="n">
        <x:v>1</x:v>
      </x:c>
      <x:c r="K38" s="8" t="str">
        <x:v>https://btacademy.ru/about/vakansii/</x:v>
      </x:c>
      <x:c r="L38" s="8" t="str">
        <x:v>V7-S563f083c46</x:v>
      </x:c>
      <x:c r="M38" s="8" t="str">
        <x:v>turn1138view0</x:v>
      </x:c>
    </x:row>
    <x:row r="39" ht="35.25" customHeight="1">
      <x:c r="A39" s="8" t="str">
        <x:v>V7-R034</x:v>
      </x:c>
      <x:c r="B39" s="8" t="str">
        <x:v>Приглашаем в Клуб бизнес-тренеров - БИЗНЕС-ТРЕНЕРЫ</x:v>
      </x:c>
      <x:c r="C39" s="8" t="str">
        <x:v>Прочитана часть</x:v>
      </x:c>
      <x:c r="D39" s="8" t="str">
        <x:v>Клуб бизнес-тренеров: развитие выступлений и контактов. Публикация от 13 марта 2026; не свежий заказ.</x:v>
      </x:c>
      <x:c r="E39" s="8" t="str">
        <x:v>speaker_membership</x:v>
      </x:c>
      <x:c r="F39" s="8" t="str">
        <x:v>2026-03-13</x:v>
      </x:c>
      <x:c r="G39" s="8" t="str">
        <x:v>publication</x:v>
      </x:c>
      <x:c r="H39" s="8"/>
      <x:c r="I39" s="8" t="str">
        <x:v>Найти текущие задачи, точную поверхность запросов и владельца программы.</x:v>
      </x:c>
      <x:c r="J39" s="8" t="n">
        <x:v>1</x:v>
      </x:c>
      <x:c r="K39" s="8" t="str">
        <x:v>https://business-trainers.ru/priglashaem-v-klub-biznes-trenerov/</x:v>
      </x:c>
      <x:c r="L39" s="8" t="str">
        <x:v>V7-S9dffdbe77b</x:v>
      </x:c>
      <x:c r="M39" s="8" t="str">
        <x:v>turn1140view0</x:v>
      </x:c>
    </x:row>
    <x:row r="40" ht="35.25" customHeight="1">
      <x:c r="A40" s="8" t="str">
        <x:v>V7-R035</x:v>
      </x:c>
      <x:c r="B40" s="8" t="str">
        <x:v>Международная Академия Информатизации - Конкурс по набору бизнес-тренеров</x:v>
      </x:c>
      <x:c r="C40" s="8" t="str">
        <x:v>Прочитана часть</x:v>
      </x:c>
      <x:c r="D40" s="8" t="str">
        <x:v>Перепечатка приглашения СПМ РК, датированная 27 августа 2026. Связать с источником 11, не удваивать потребность.</x:v>
      </x:c>
      <x:c r="E40" s="8" t="str">
        <x:v>repost_expert_pool</x:v>
      </x:c>
      <x:c r="F40" s="8" t="str">
        <x:v>2026-08-27</x:v>
      </x:c>
      <x:c r="G40" s="8" t="str">
        <x:v>publication</x:v>
      </x:c>
      <x:c r="H40" s="8"/>
      <x:c r="I40" s="8" t="str">
        <x:v>Найти текущие задачи, точную поверхность запросов и владельца программы.</x:v>
      </x:c>
      <x:c r="J40" s="8" t="n">
        <x:v>1</x:v>
      </x:c>
      <x:c r="K40" s="8" t="str">
        <x:v>https://academy.kz/kk/news/nashi-novosti/item/6638-konkurs-po-naboru-biznes-trenerov</x:v>
      </x:c>
      <x:c r="L40" s="8" t="str">
        <x:v>V7-Sb1d33b490a</x:v>
      </x:c>
      <x:c r="M40" s="8" t="str">
        <x:v>turn1135view0</x:v>
      </x:c>
    </x:row>
    <x:row r="41" ht="35.25" customHeight="1">
      <x:c r="A41" s="8" t="str">
        <x:v>V7-R036</x:v>
      </x:c>
      <x:c r="B41" s="8" t="str">
        <x:v>Inter Partner - Организатор международных бизнес-мероприятий</x:v>
      </x:c>
      <x:c r="C41" s="8" t="str">
        <x:v>Прочитана часть</x:v>
      </x:c>
      <x:c r="D41" s="8" t="str">
        <x:v>Организатор деловых мероприятий Казахстана приглашает к сотрудничеству; конкретная образовательная задача не указана.</x:v>
      </x:c>
      <x:c r="E41" s="8" t="str">
        <x:v>organizer_partnership</x:v>
      </x:c>
      <x:c r="F41" s="8"/>
      <x:c r="G41" s="8"/>
      <x:c r="H41" s="8" t="str">
        <x:v>info@interpartner.kz</x:v>
      </x:c>
      <x:c r="I41" s="8" t="str">
        <x:v>Найти текущие задачи, точную поверхность запросов и владельца программы.</x:v>
      </x:c>
      <x:c r="J41" s="8" t="n">
        <x:v>1</x:v>
      </x:c>
      <x:c r="K41" s="8" t="str">
        <x:v>https://www.interpartner.kz/</x:v>
      </x:c>
      <x:c r="L41" s="8" t="str">
        <x:v>V7-Sc38b87bc48</x:v>
      </x:c>
      <x:c r="M41" s="8" t="str">
        <x:v>turn1139view0</x:v>
      </x:c>
    </x:row>
    <x:row r="42" ht="35.25" customHeight="1">
      <x:c r="A42" s="8" t="str">
        <x:v>V7-R037</x:v>
      </x:c>
      <x:c r="B42" s="8" t="str">
        <x:v>Abadan &amp; Co. — Корпоративное обучение и бизнес-тренинги в Казахстане</x:v>
      </x:c>
      <x:c r="C42" s="8" t="str">
        <x:v>Прочитана часть</x:v>
      </x:c>
      <x:c r="D42" s="8" t="str">
        <x:v>Провайдер корпоративного обучения. Кнопка сотрудничества ведет к продаже услуг; набор внешних провайдеров не доказан.</x:v>
      </x:c>
      <x:c r="E42" s="8" t="str">
        <x:v>provider_offer</x:v>
      </x:c>
      <x:c r="F42" s="8"/>
      <x:c r="G42" s="8"/>
      <x:c r="H42" s="8"/>
      <x:c r="I42" s="8" t="str">
        <x:v>Найти текущие задачи, точную поверхность запросов и владельца программы.</x:v>
      </x:c>
      <x:c r="J42" s="8" t="n">
        <x:v>1</x:v>
      </x:c>
      <x:c r="K42" s="8" t="str">
        <x:v>https://www.abadan.kz/</x:v>
      </x:c>
      <x:c r="L42" s="8" t="str">
        <x:v>V7-S744a59ce08</x:v>
      </x:c>
      <x:c r="M42" s="8" t="str">
        <x:v>turn1150view0</x:v>
      </x:c>
    </x:row>
    <x:row r="43" ht="35.25" customHeight="1">
      <x:c r="A43" s="8" t="str">
        <x:v>V7-R038</x:v>
      </x:c>
      <x:c r="B43" s="8" t="str">
        <x:v>Сотрудничество с организациями и предприятиями</x:v>
      </x:c>
      <x:c r="C43" s="8" t="str">
        <x:v>Прочитана часть</x:v>
      </x:c>
      <x:c r="D43" s="8" t="str">
        <x:v>Новое завтра предлагает компаниям купить обучение. Это партнер-кандидат, а не покупательский запрос.</x:v>
      </x:c>
      <x:c r="E43" s="8" t="str">
        <x:v>provider_offer</x:v>
      </x:c>
      <x:c r="F43" s="8"/>
      <x:c r="G43" s="8"/>
      <x:c r="H43" s="8"/>
      <x:c r="I43" s="8" t="str">
        <x:v>Найти текущие задачи, точную поверхность запросов и владельца программы.</x:v>
      </x:c>
      <x:c r="J43" s="8" t="n">
        <x:v>1</x:v>
      </x:c>
      <x:c r="K43" s="8" t="str">
        <x:v>https://www.novoezavtra.by/sotrudnichestvo</x:v>
      </x:c>
      <x:c r="L43" s="8" t="str">
        <x:v>V7-S0b81b8c8aa</x:v>
      </x:c>
      <x:c r="M43" s="8" t="str">
        <x:v>turn1149view0</x:v>
      </x:c>
    </x:row>
    <x:row r="44" ht="47.25" customHeight="1">
      <x:c r="A44" s="8" t="str">
        <x:v>V7-R039</x:v>
      </x:c>
      <x:c r="B44" s="8" t="str">
        <x:v>Профпереподготовка и повышение квалификации | Дистанционное обучение в Оренбургской бизнес-школе - О бизнес-школе</x:v>
      </x:c>
      <x:c r="C44" s="8" t="str">
        <x:v>Прочитана часть</x:v>
      </x:c>
      <x:c r="D44" s="8" t="str">
        <x:v>Бизнес-школа приглашает преподавателей и организаторов вебинаров. Отдельная программа для регионов является агентской.</x:v>
      </x:c>
      <x:c r="E44" s="8" t="str">
        <x:v>expert_and_reseller_pool</x:v>
      </x:c>
      <x:c r="F44" s="8"/>
      <x:c r="G44" s="8"/>
      <x:c r="H44" s="8" t="str">
        <x:v>info@orenbs.ru</x:v>
      </x:c>
      <x:c r="I44" s="8" t="str">
        <x:v>Уточнить тему, оплату, договор с МИСБ и актуальность приема.</x:v>
      </x:c>
      <x:c r="J44" s="8" t="n">
        <x:v>2</x:v>
      </x:c>
      <x:c r="K44" s="8" t="str">
        <x:v>https://orenbs.info/school</x:v>
      </x:c>
      <x:c r="L44" s="8" t="str">
        <x:v>V7-Se38c2001d4</x:v>
      </x:c>
      <x:c r="M44" s="8" t="str">
        <x:v>turn1148view0; turn1242view0</x:v>
      </x:c>
    </x:row>
    <x:row r="45" ht="35.25" customHeight="1">
      <x:c r="A45" s="8" t="str">
        <x:v>V7-R040</x:v>
      </x:c>
      <x:c r="B45" s="8" t="str">
        <x:v>Партнерам</x:v>
      </x:c>
      <x:c r="C45" s="8" t="str">
        <x:v>Прочитана часть</x:v>
      </x:c>
      <x:c r="D45" s="8" t="str">
        <x:v>LTC принимает резюме тренеров в HR-службу; предложения промосотрудничества направляются отдельно.</x:v>
      </x:c>
      <x:c r="E45" s="8" t="str">
        <x:v>trainer_cv_route</x:v>
      </x:c>
      <x:c r="F45" s="8"/>
      <x:c r="G45" s="8"/>
      <x:c r="H45" s="8" t="str">
        <x:v>hr@1ltc.ru</x:v>
      </x:c>
      <x:c r="I45" s="8" t="str">
        <x:v>Уточнить тему, оплату, договор с МИСБ и актуальность приема.</x:v>
      </x:c>
      <x:c r="J45" s="8" t="n">
        <x:v>1</x:v>
      </x:c>
      <x:c r="K45" s="8" t="str">
        <x:v>https://1ltc.ru/%D1%81%D0%BE%D1%82%D1%80%D1%83%D0%B4%D0%BD%D0%B8%D1%87%D0%B5%D1%81%D1%82%D0%B2%D0%BE/</x:v>
      </x:c>
      <x:c r="L45" s="8" t="str">
        <x:v>V7-S819b1005ce</x:v>
      </x:c>
      <x:c r="M45" s="8" t="str">
        <x:v>turn1151view0</x:v>
      </x:c>
    </x:row>
    <x:row r="46" ht="59.25" customHeight="1">
      <x:c r="A46" s="8" t="str">
        <x:v>V7-R041</x:v>
      </x:c>
      <x:c r="B46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46" s="8" t="str">
        <x:v>Прочитана часть</x:v>
      </x:c>
      <x:c r="D46" s="8" t="str">
        <x:v>Открытые Технологии отдельно приглашают разработчиков образовательного контента, включая библиотеки совместимых курсов.</x:v>
      </x:c>
      <x:c r="E46" s="8" t="str">
        <x:v>content_partner_pool</x:v>
      </x:c>
      <x:c r="F46" s="8"/>
      <x:c r="G46" s="8"/>
      <x:c r="H46" s="8"/>
      <x:c r="I46" s="8" t="str">
        <x:v>Уточнить тему, оплату, договор с МИСБ и актуальность приема.</x:v>
      </x:c>
      <x:c r="J46" s="8" t="n">
        <x:v>1</x:v>
      </x:c>
      <x:c r="K46" s="8" t="str">
        <x:v>https://opentechnology.ru/cooperation</x:v>
      </x:c>
      <x:c r="L46" s="8" t="str">
        <x:v>V7-Se18ccb41d5</x:v>
      </x:c>
      <x:c r="M46" s="8" t="str">
        <x:v>turn1162view0</x:v>
      </x:c>
    </x:row>
    <x:row r="47" ht="35.25" customHeight="1">
      <x:c r="A47" s="8" t="str">
        <x:v>V7-R042</x:v>
      </x:c>
      <x:c r="B47" s="8" t="str">
        <x:v>eDISCUS: Разработка электронных курсов для LMS</x:v>
      </x:c>
      <x:c r="C47" s="8" t="str">
        <x:v>Прочитана часть</x:v>
      </x:c>
      <x:c r="D47" s="8" t="str">
        <x:v>Студия электронных курсов Казахстана; подтверждено предложение услуг, субподряд остается гипотезой.</x:v>
      </x:c>
      <x:c r="E47" s="8" t="str">
        <x:v>course_studio_offer</x:v>
      </x:c>
      <x:c r="F47" s="8"/>
      <x:c r="G47" s="8"/>
      <x:c r="H47" s="8" t="str">
        <x:v>hello@ediscus.kz</x:v>
      </x:c>
      <x:c r="I47" s="8" t="str">
        <x:v>Найти текущие задачи, точную поверхность запросов и владельца программы.</x:v>
      </x:c>
      <x:c r="J47" s="8" t="n">
        <x:v>1</x:v>
      </x:c>
      <x:c r="K47" s="8" t="str">
        <x:v>https://ediscus.kz/</x:v>
      </x:c>
      <x:c r="L47" s="8" t="str">
        <x:v>V7-S5c4da160f0</x:v>
      </x:c>
      <x:c r="M47" s="8" t="str">
        <x:v>turn1165view0</x:v>
      </x:c>
    </x:row>
    <x:row r="48" ht="47.25" customHeight="1">
      <x:c r="A48" s="8" t="str">
        <x:v>V7-R043</x:v>
      </x:c>
      <x:c r="B48" s="8" t="str">
        <x:v>Разработка электронных курсов. Проектирование образовательного курса - Лабмедиа в Казахстане</x:v>
      </x:c>
      <x:c r="C48" s="8" t="str">
        <x:v>Прочитана часть</x:v>
      </x:c>
      <x:c r="D48" s="8" t="str">
        <x:v>Партнерская страница Лабмедиа предлагает вознаграждение за продажи продуктов. Не считать это заказом разработки курсов.</x:v>
      </x:c>
      <x:c r="E48" s="8" t="str">
        <x:v>referral_partnership</x:v>
      </x:c>
      <x:c r="F48" s="8"/>
      <x:c r="G48" s="8"/>
      <x:c r="H48" s="8"/>
      <x:c r="I48" s="8" t="str">
        <x:v>Найти текущие задачи, точную поверхность запросов и владельца программы.</x:v>
      </x:c>
      <x:c r="J48" s="8" t="n">
        <x:v>2</x:v>
      </x:c>
      <x:c r="K48" s="8" t="str">
        <x:v>https://www.labmedia.kz/ru/e-learning</x:v>
      </x:c>
      <x:c r="L48" s="8" t="str">
        <x:v>V7-S5793ff89d0</x:v>
      </x:c>
      <x:c r="M48" s="8" t="str">
        <x:v>turn1166view0; turn1244view0</x:v>
      </x:c>
    </x:row>
    <x:row r="49" ht="35.25" customHeight="1">
      <x:c r="A49" s="8" t="str">
        <x:v>V7-R044</x:v>
      </x:c>
      <x:c r="B49" s="8" t="str">
        <x:v>Разработка электронных курсов от WellDone</x:v>
      </x:c>
      <x:c r="C49" s="8" t="str">
        <x:v>Прочитана часть</x:v>
      </x:c>
      <x:c r="D49" s="8" t="str">
        <x:v>Форма WellDone регистрирует клиентскую сделку и лицензию. Это канал партнерских продаж, не публичная заявка на производство курса.</x:v>
      </x:c>
      <x:c r="E49" s="8" t="str">
        <x:v>reseller_deal_registration</x:v>
      </x:c>
      <x:c r="F49" s="8"/>
      <x:c r="G49" s="8"/>
      <x:c r="H49" s="8" t="str">
        <x:v>info@wldn.kz</x:v>
      </x:c>
      <x:c r="I49" s="8" t="str">
        <x:v>Найти текущие задачи, точную поверхность запросов и владельца программы.</x:v>
      </x:c>
      <x:c r="J49" s="8" t="n">
        <x:v>2</x:v>
      </x:c>
      <x:c r="K49" s="8" t="str">
        <x:v>https://well-done.kz/</x:v>
      </x:c>
      <x:c r="L49" s="8" t="str">
        <x:v>V7-Sad097f9a69</x:v>
      </x:c>
      <x:c r="M49" s="8" t="str">
        <x:v>turn1174view0; turn1239view0</x:v>
      </x:c>
    </x:row>
    <x:row r="50" ht="47.25" customHeight="1">
      <x:c r="A50" s="8" t="str">
        <x:v>V7-R045</x:v>
      </x:c>
      <x:c r="B50" s="8" t="str">
        <x:v>LMS.KZ - Системы дистанционного обучения под ключ на базе программного обеспечения Moodle</x:v>
      </x:c>
      <x:c r="C50" s="8" t="str">
        <x:v>Прочитана часть</x:v>
      </x:c>
      <x:c r="D50" s="8" t="str">
        <x:v>Интегратор Moodle в Казахстане. Кнопка начала проекта относится к клиентам; поле ask@next.com не использовать как подтвержденный контакт.</x:v>
      </x:c>
      <x:c r="E50" s="8" t="str">
        <x:v>lms_integrator_offer</x:v>
      </x:c>
      <x:c r="F50" s="8"/>
      <x:c r="G50" s="8"/>
      <x:c r="H50" s="8"/>
      <x:c r="I50" s="8" t="str">
        <x:v>Найти текущие задачи, точную поверхность запросов и владельца программы.</x:v>
      </x:c>
      <x:c r="J50" s="8" t="n">
        <x:v>1</x:v>
      </x:c>
      <x:c r="K50" s="8" t="str">
        <x:v>https://lms.kz/</x:v>
      </x:c>
      <x:c r="L50" s="8" t="str">
        <x:v>V7-Sddad4169f7</x:v>
      </x:c>
      <x:c r="M50" s="8" t="str">
        <x:v>turn1169view0</x:v>
      </x:c>
    </x:row>
    <x:row r="51" ht="35.25" customHeight="1">
      <x:c r="A51" s="8" t="str">
        <x:v>V7-R046</x:v>
      </x:c>
      <x:c r="B51" s="8" t="str">
        <x:v>КОРП.ЕДУ — AI-тренажеры и онлайн-курсы | Алматы</x:v>
      </x:c>
      <x:c r="C51" s="8" t="str">
        <x:v>Прочитана часть</x:v>
      </x:c>
      <x:c r="D51" s="8" t="str">
        <x:v>КОРП.ЕДУ предлагает тренажеры и курсы; запрос внешнего подрядчика не подтвержден.</x:v>
      </x:c>
      <x:c r="E51" s="8" t="str">
        <x:v>course_studio_offer</x:v>
      </x:c>
      <x:c r="F51" s="8"/>
      <x:c r="G51" s="8"/>
      <x:c r="H51" s="8"/>
      <x:c r="I51" s="8" t="str">
        <x:v>Найти текущие задачи, точную поверхность запросов и владельца программы.</x:v>
      </x:c>
      <x:c r="J51" s="8" t="n">
        <x:v>1</x:v>
      </x:c>
      <x:c r="K51" s="8" t="str">
        <x:v>https://corp-edu.kz/</x:v>
      </x:c>
      <x:c r="L51" s="8" t="str">
        <x:v>V7-Scd697733c6</x:v>
      </x:c>
      <x:c r="M51" s="8" t="str">
        <x:v>turn1163view0</x:v>
      </x:c>
    </x:row>
    <x:row r="52" ht="35.25" customHeight="1">
      <x:c r="A52" s="8" t="str">
        <x:v>V7-R047</x:v>
      </x:c>
      <x:c r="B52" s="8" t="str">
        <x:v>Разработка и создание электронных курсов дистанционного обучения на заказ | BeOnTime</x:v>
      </x:c>
      <x:c r="C52" s="8" t="str">
        <x:v>Прочитана часть</x:v>
      </x:c>
      <x:c r="D52" s="8" t="str">
        <x:v>BeOnTime разрабатывает обучение. Возможность субподряда требуется выяснить отдельно.</x:v>
      </x:c>
      <x:c r="E52" s="8" t="str">
        <x:v>course_studio_offer</x:v>
      </x:c>
      <x:c r="F52" s="8"/>
      <x:c r="G52" s="8"/>
      <x:c r="H52" s="8"/>
      <x:c r="I52" s="8" t="str">
        <x:v>Найти текущие задачи, точную поверхность запросов и владельца программы.</x:v>
      </x:c>
      <x:c r="J52" s="8" t="n">
        <x:v>1</x:v>
      </x:c>
      <x:c r="K52" s="8" t="str">
        <x:v>https://beontime.ru/courses</x:v>
      </x:c>
      <x:c r="L52" s="8" t="str">
        <x:v>V7-S744a70c43d</x:v>
      </x:c>
      <x:c r="M52" s="8" t="str">
        <x:v>turn1170view0</x:v>
      </x:c>
    </x:row>
    <x:row r="53" ht="35.25" customHeight="1">
      <x:c r="A53" s="8" t="str">
        <x:v>V7-R048</x:v>
      </x:c>
      <x:c r="B53" s="8" t="str">
        <x:v>5 способов монетизации для e-learning-студии</x:v>
      </x:c>
      <x:c r="C53" s="8" t="str">
        <x:v>Прочитана часть</x:v>
      </x:c>
      <x:c r="D53" s="8" t="str">
        <x:v>Brusnika.LMS описывает партнерские продажи платформы, а не покупку контента у МИСБ.</x:v>
      </x:c>
      <x:c r="E53" s="8" t="str">
        <x:v>referral_partnership</x:v>
      </x:c>
      <x:c r="F53" s="8"/>
      <x:c r="G53" s="8"/>
      <x:c r="H53" s="8"/>
      <x:c r="I53" s="8" t="str">
        <x:v>Найти текущие задачи, точную поверхность запросов и владельца программы.</x:v>
      </x:c>
      <x:c r="J53" s="8" t="n">
        <x:v>1</x:v>
      </x:c>
      <x:c r="K53" s="8" t="str">
        <x:v>https://brusnika-lms.com/ru/blog/posts/5-ways-to-monetize-elearning-studio</x:v>
      </x:c>
      <x:c r="L53" s="8" t="str">
        <x:v>V7-Sd64e325143</x:v>
      </x:c>
      <x:c r="M53" s="8" t="str">
        <x:v>turn1160view0</x:v>
      </x:c>
    </x:row>
    <x:row r="54" ht="35.25" customHeight="1">
      <x:c r="A54" s="8" t="str">
        <x:v>V7-R049</x:v>
      </x:c>
      <x:c r="B54" s="8" t="str">
        <x:v>Образовательные услуги академии SENSYS</x:v>
      </x:c>
      <x:c r="C54" s="8" t="str">
        <x:v>Прочитана часть</x:v>
      </x:c>
      <x:c r="D54" s="8" t="str">
        <x:v>Академия SENSYS включает технические рабочие профессии и управленцев. Отбирать только подходящую аудиторию.</x:v>
      </x:c>
      <x:c r="E54" s="8" t="str">
        <x:v>mixed_audience_provider</x:v>
      </x:c>
      <x:c r="F54" s="8"/>
      <x:c r="G54" s="8"/>
      <x:c r="H54" s="8"/>
      <x:c r="I54" s="8" t="str">
        <x:v>Найти текущие задачи, точную поверхность запросов и владельца программы.</x:v>
      </x:c>
      <x:c r="J54" s="8" t="n">
        <x:v>1</x:v>
      </x:c>
      <x:c r="K54" s="8" t="str">
        <x:v>https://by.pro-sensys.com/services/</x:v>
      </x:c>
      <x:c r="L54" s="8" t="str">
        <x:v>V7-S68396b42d5</x:v>
      </x:c>
      <x:c r="M54" s="8" t="str">
        <x:v>turn1173view0</x:v>
      </x:c>
    </x:row>
    <x:row r="55" ht="35.25" customHeight="1">
      <x:c r="A55" s="8" t="str">
        <x:v>V7-R050</x:v>
      </x:c>
      <x:c r="B55" s="8" t="str">
        <x:v>Разработка электронных курсов и бизнес-симуляций | LEVEL</x:v>
      </x:c>
      <x:c r="C55" s="8" t="str">
        <x:v>Прочитана часть</x:v>
      </x:c>
      <x:c r="D55" s="8" t="str">
        <x:v>LEVEL разрабатывает курсы и симуляции; перспективный партнер-кандидат, без подтвержденной потребности.</x:v>
      </x:c>
      <x:c r="E55" s="8" t="str">
        <x:v>course_studio_offer</x:v>
      </x:c>
      <x:c r="F55" s="8"/>
      <x:c r="G55" s="8"/>
      <x:c r="H55" s="8" t="str">
        <x:v>mm@levellab.ru</x:v>
      </x:c>
      <x:c r="I55" s="8" t="str">
        <x:v>Найти текущие задачи, точную поверхность запросов и владельца программы.</x:v>
      </x:c>
      <x:c r="J55" s="8" t="n">
        <x:v>1</x:v>
      </x:c>
      <x:c r="K55" s="8" t="str">
        <x:v>https://www.levellab.ru/</x:v>
      </x:c>
      <x:c r="L55" s="8" t="str">
        <x:v>V7-S8be65e8fc6</x:v>
      </x:c>
      <x:c r="M55" s="8" t="str">
        <x:v>turn1164view0</x:v>
      </x:c>
    </x:row>
    <x:row r="56" ht="35.25" customHeight="1">
      <x:c r="A56" s="8" t="str">
        <x:v>V7-R051</x:v>
      </x:c>
      <x:c r="B56" s="8" t="str">
        <x:v>Корпоративные преподаватели Технического университета УГМК</x:v>
      </x:c>
      <x:c r="C56" s="8" t="str">
        <x:v>Прочитана часть</x:v>
      </x:c>
      <x:c r="D56" s="8" t="str">
        <x:v>Технический университет УГМК набирает корпоративных преподавателей и указывает возмездные условия. Доступность для внешней организации уточнить.</x:v>
      </x:c>
      <x:c r="E56" s="8" t="str">
        <x:v>paid_corporate_teacher_pool</x:v>
      </x:c>
      <x:c r="F56" s="8"/>
      <x:c r="G56" s="8"/>
      <x:c r="H56" s="8"/>
      <x:c r="I56" s="8" t="str">
        <x:v>Уточнить тему, оплату, договор с МИСБ и актуальность приема.</x:v>
      </x:c>
      <x:c r="J56" s="8" t="n">
        <x:v>1</x:v>
      </x:c>
      <x:c r="K56" s="8" t="str">
        <x:v>https://korp.eduugmk.com/</x:v>
      </x:c>
      <x:c r="L56" s="8" t="str">
        <x:v>V7-S2b1db7eaaa</x:v>
      </x:c>
      <x:c r="M56" s="8" t="str">
        <x:v>turn1161view0</x:v>
      </x:c>
    </x:row>
    <x:row r="57" ht="47.25" customHeight="1">
      <x:c r="A57" s="8" t="str">
        <x:v>V7-R052</x:v>
      </x:c>
      <x:c r="B57" s="8" t="str">
        <x:v>Корпоративный университет BAXI (БАКСИ) – обучение, партнерство, ценности БДР Термия Рус</x:v>
      </x:c>
      <x:c r="C57" s="8" t="str">
        <x:v>Прочитана часть</x:v>
      </x:c>
      <x:c r="D57" s="8" t="str">
        <x:v>BAXI обучает партнеров, владельцев бизнеса и менеджеров. Рабочие технические семинары отделены от управленческих задач.</x:v>
      </x:c>
      <x:c r="E57" s="8" t="str">
        <x:v>corporate_learning_ecosystem</x:v>
      </x:c>
      <x:c r="F57" s="8"/>
      <x:c r="G57" s="8"/>
      <x:c r="H57" s="8"/>
      <x:c r="I57" s="8" t="str">
        <x:v>Найти текущие задачи, точную поверхность запросов и владельца программы.</x:v>
      </x:c>
      <x:c r="J57" s="8" t="n">
        <x:v>1</x:v>
      </x:c>
      <x:c r="K57" s="8" t="str">
        <x:v>https://baxi.ru/partners/university/</x:v>
      </x:c>
      <x:c r="L57" s="8" t="str">
        <x:v>V7-S8be40b09b3</x:v>
      </x:c>
      <x:c r="M57" s="8" t="str">
        <x:v>turn1172view0</x:v>
      </x:c>
    </x:row>
    <x:row r="58" ht="35.25" customHeight="1">
      <x:c r="A58" s="8" t="str">
        <x:v>V7-R053</x:v>
      </x:c>
      <x:c r="B58" s="8" t="str">
        <x:v>Сведения об образовательной организации</x:v>
      </x:c>
      <x:c r="C58" s="8" t="str">
        <x:v>Прочитана часть</x:v>
      </x:c>
      <x:c r="D58" s="8" t="str">
        <x:v>Найден официальный образовательный контакт КУ РМК. Он не доказывает владение прежним запросом коучинга.</x:v>
      </x:c>
      <x:c r="E58" s="8" t="str">
        <x:v>corporate_university_contact</x:v>
      </x:c>
      <x:c r="F58" s="8"/>
      <x:c r="G58" s="8"/>
      <x:c r="H58" s="8" t="str">
        <x:v>universitet@curmk.ru</x:v>
      </x:c>
      <x:c r="I58" s="8" t="str">
        <x:v>Найти текущие задачи, точную поверхность запросов и владельца программы.</x:v>
      </x:c>
      <x:c r="J58" s="8" t="n">
        <x:v>1</x:v>
      </x:c>
      <x:c r="K58" s="8" t="str">
        <x:v>https://curmk.ru/about_oo</x:v>
      </x:c>
      <x:c r="L58" s="8" t="str">
        <x:v>V7-S463f7cbaa9</x:v>
      </x:c>
      <x:c r="M58" s="8" t="str">
        <x:v>turn1167view0</x:v>
      </x:c>
    </x:row>
    <x:row r="59" ht="35.25" customHeight="1">
      <x:c r="A59" s="8" t="str">
        <x:v>V7-R054</x:v>
      </x:c>
      <x:c r="B59" s="8" t="str">
        <x:v>Корпоративная Академия "эВ-групп" — обучение персонала</x:v>
      </x:c>
      <x:c r="C59" s="8" t="str">
        <x:v>Прочитана часть</x:v>
      </x:c>
      <x:c r="D59" s="8" t="str">
        <x:v>Академия эВ-групп обучает сотрудников, дочерние компании и партнеров. Внешний заказ не найден.</x:v>
      </x:c>
      <x:c r="E59" s="8" t="str">
        <x:v>corporate_university_contact</x:v>
      </x:c>
      <x:c r="F59" s="8"/>
      <x:c r="G59" s="8"/>
      <x:c r="H59" s="8" t="str">
        <x:v>academy@evgrp.ru</x:v>
      </x:c>
      <x:c r="I59" s="8" t="str">
        <x:v>Найти текущие задачи, точную поверхность запросов и владельца программы.</x:v>
      </x:c>
      <x:c r="J59" s="8" t="n">
        <x:v>1</x:v>
      </x:c>
      <x:c r="K59" s="8" t="str">
        <x:v>https://www.ev.group/academy/</x:v>
      </x:c>
      <x:c r="L59" s="8" t="str">
        <x:v>V7-S3ac006e7ae</x:v>
      </x:c>
      <x:c r="M59" s="8" t="str">
        <x:v>turn1168view0</x:v>
      </x:c>
    </x:row>
    <x:row r="60" ht="47.25" customHeight="1">
      <x:c r="A60" s="8" t="str">
        <x:v>V7-R055</x:v>
      </x:c>
      <x:c r="B60" s="8" t="str">
        <x:v>Развиваем экосистему: итоги сотрудничества Корпоративного университета с партнерами Группы НЛМК</x:v>
      </x:c>
      <x:c r="C60" s="8" t="str">
        <x:v>Прочитана часть</x:v>
      </x:c>
      <x:c r="D60" s="8" t="str">
        <x:v>Материал НЛМК относится к результатам 2022 года. Полезен для карты связанных компаний, не для свежего спроса.</x:v>
      </x:c>
      <x:c r="E60" s="8" t="str">
        <x:v>historical_partner_network</x:v>
      </x:c>
      <x:c r="F60" s="8" t="str">
        <x:v>2022</x:v>
      </x:c>
      <x:c r="G60" s="8" t="str">
        <x:v>reporting_year</x:v>
      </x:c>
      <x:c r="H60" s="8"/>
      <x:c r="I60" s="8" t="str">
        <x:v>Найти текущие задачи, точную поверхность запросов и владельца программы.</x:v>
      </x:c>
      <x:c r="J60" s="8" t="n">
        <x:v>1</x:v>
      </x:c>
      <x:c r="K60" s="8" t="str">
        <x:v>https://university.nlmk.com/news/razvivaem-ekosistemu-itogi-sotrudnichestva-korporativnogo-universiteta-s-partnerami-gruppy-nlmk/</x:v>
      </x:c>
      <x:c r="L60" s="8" t="str">
        <x:v>V7-Se5a6ba3e7f</x:v>
      </x:c>
      <x:c r="M60" s="8" t="str">
        <x:v>turn1179view0</x:v>
      </x:c>
    </x:row>
    <x:row r="61" ht="35.25" customHeight="1">
      <x:c r="A61" s="8" t="str">
        <x:v>V7-R056</x:v>
      </x:c>
      <x:c r="B61" s="8" t="str">
        <x:v>UNIVERSITY — корпоративный университет</x:v>
      </x:c>
      <x:c r="C61" s="8" t="str">
        <x:v>Прочитана часть</x:v>
      </x:c>
      <x:c r="D61" s="8" t="str">
        <x:v>QazTehna: корпоративное обучение и связь с вузами. Разделять управленческие задачи и рабочие профессии.</x:v>
      </x:c>
      <x:c r="E61" s="8" t="str">
        <x:v>mixed_corporate_university</x:v>
      </x:c>
      <x:c r="F61" s="8"/>
      <x:c r="G61" s="8"/>
      <x:c r="H61" s="8"/>
      <x:c r="I61" s="8" t="str">
        <x:v>Найти текущие задачи, точную поверхность запросов и владельца программы.</x:v>
      </x:c>
      <x:c r="J61" s="8" t="n">
        <x:v>1</x:v>
      </x:c>
      <x:c r="K61" s="8" t="str">
        <x:v>https://university.qaztehna.kz/</x:v>
      </x:c>
      <x:c r="L61" s="8" t="str">
        <x:v>V7-S35ff34e672</x:v>
      </x:c>
      <x:c r="M61" s="8" t="str">
        <x:v>turn1171view0</x:v>
      </x:c>
    </x:row>
    <x:row r="62" ht="95.25" customHeight="1">
      <x:c r="A62" s="8" t="str">
        <x:v>V7-R057</x:v>
      </x:c>
      <x:c r="B62" s="8" t="str">
        <x:v>КОРПОРАТИВНАЯ АКАДЕМИЯ РОСАТОМА  |  2023</x:v>
      </x:c>
      <x:c r="C62" s="8" t="str">
        <x:v>Прочитана часть</x:v>
      </x:c>
      <x:c r="D62" s="8" t="str">
        <x:v>Каталог Академии Росатома 2023 года позволяет сопоставлять темы и искать владельцев программ. Свежая потребность не доказана.</x:v>
      </x:c>
      <x:c r="E62" s="8" t="str">
        <x:v>historical_catalog</x:v>
      </x:c>
      <x:c r="F62" s="8" t="str">
        <x:v>2023</x:v>
      </x:c>
      <x:c r="G62" s="8" t="str">
        <x:v>catalog_year</x:v>
      </x:c>
      <x:c r="H62" s="8"/>
      <x:c r="I62" s="8" t="str">
        <x:v>Найти текущие задачи, точную поверхность запросов и владельца программы.</x:v>
      </x:c>
      <x:c r="J62" s="8" t="n">
        <x:v>1</x:v>
      </x:c>
      <x:c r="K62" s="8" t="str">
        <x:v>https://www.rosatom-academy.ru/upload/iblock/601/7ayxe2o56p4f2ieejj3mzljg0xasj19r/%D0%9A%D0%B0%D1%82%D0%B0%D0%BB%D0%BE%D0%B3%20%D0%BF%D1%80%D0%BE%D0%B3%D1%80%D0%B0%D0%BC%D0%BC%20%D0%B8%20%D0%BF%D1%80%D0%BE%D0%B5%D0%BA%D1%82%D0%BE%D0%B2%20%D0%9A%D0%BE%D1%80%D0%BF%D0%BE%D1%80%D0%B0%D1%82%D0%B8%D0%B2%D0%BD%D0%BE%D0%B9%20%D0%90%D0%BA%D0%B0%D0%B4%D0%B5%D0%BC%D0%B8%D0%B8%20%D0%A0%D0%BE%D1%81%D0%B0%D1%82%D0%BE%D0%BC_2023.pdf</x:v>
      </x:c>
      <x:c r="L62" s="8" t="str">
        <x:v>V7-Saa67f9c280</x:v>
      </x:c>
      <x:c r="M62" s="8" t="str">
        <x:v>turn1178view0</x:v>
      </x:c>
    </x:row>
    <x:row r="63" ht="35.25" customHeight="1">
      <x:c r="A63" s="8" t="str">
        <x:v>V7-R058</x:v>
      </x:c>
      <x:c r="B63" s="8" t="str">
        <x:v>Университет прокуратуры | АНО «Корпоративная Академия Роскосмоса»</x:v>
      </x:c>
      <x:c r="C63" s="8" t="str">
        <x:v>Прочитана часть</x:v>
      </x:c>
      <x:c r="D63" s="8" t="str">
        <x:v>Соглашение Академии Роскосмоса от июля 2024 года. Использовать как связь организаций, без статуса открытого заказа.</x:v>
      </x:c>
      <x:c r="E63" s="8" t="str">
        <x:v>historical_agreement</x:v>
      </x:c>
      <x:c r="F63" s="8" t="str">
        <x:v>2024-07-09</x:v>
      </x:c>
      <x:c r="G63" s="8" t="str">
        <x:v>agreement</x:v>
      </x:c>
      <x:c r="H63" s="8" t="str">
        <x:v>info@rcacademy.ru</x:v>
      </x:c>
      <x:c r="I63" s="8" t="str">
        <x:v>Найти текущие задачи, точную поверхность запросов и владельца программы.</x:v>
      </x:c>
      <x:c r="J63" s="8" t="n">
        <x:v>1</x:v>
      </x:c>
      <x:c r="K63" s="8" t="str">
        <x:v>https://rcacademy.ru/project/1683/</x:v>
      </x:c>
      <x:c r="L63" s="8" t="str">
        <x:v>V7-S67cf22b1a5</x:v>
      </x:c>
      <x:c r="M63" s="8" t="str">
        <x:v>turn1176view0</x:v>
      </x:c>
    </x:row>
    <x:row r="64" ht="35.25" customHeight="1">
      <x:c r="A64" s="8" t="str">
        <x:v>V7-R059</x:v>
      </x:c>
      <x:c r="B64" s="8" t="str">
        <x:v>Корпоративная Академия Росатома – Telegram</x:v>
      </x:c>
      <x:c r="C64" s="8" t="str">
        <x:v>Прочитана часть</x:v>
      </x:c>
      <x:c r="D64" s="8" t="str">
        <x:v>Прочитан старый отфильтрованный Telegram-фрагмент Академии Росатома. Текущая лента недоступна.</x:v>
      </x:c>
      <x:c r="E64" s="8" t="str">
        <x:v>historical_feed</x:v>
      </x:c>
      <x:c r="F64" s="8"/>
      <x:c r="G64" s="8"/>
      <x:c r="H64" s="8"/>
      <x:c r="I64" s="8" t="str">
        <x:v>Найти текущие задачи, точную поверхность запросов и владельца программы.</x:v>
      </x:c>
      <x:c r="J64" s="8" t="n">
        <x:v>2</x:v>
      </x:c>
      <x:c r="K64" s="8" t="str">
        <x:v>https://t.me/s/academyrosatom?before=1691&amp;q=%23%D0%90%D0%BA%D0%B0%D0%B4%D0%B5%D0%BC%D0%B8%D1%8F%D0%9E%D0%B1%D1%83%D1%87%D0%B0%D0%B5%D1%82</x:v>
      </x:c>
      <x:c r="L64" s="8" t="str">
        <x:v>V7-Scf5c3b44a5</x:v>
      </x:c>
      <x:c r="M64" s="8" t="str">
        <x:v>turn1175view0; turn1271view0</x:v>
      </x:c>
    </x:row>
    <x:row r="65" ht="35.25" customHeight="1">
      <x:c r="A65" s="8" t="str">
        <x:v>V7-R060</x:v>
      </x:c>
      <x:c r="B65" s="8" t="str">
        <x:v>Как стать партнёрской образовательной организацией</x:v>
      </x:c>
      <x:c r="C65" s="8" t="str">
        <x:v>Ошибка доступа</x:v>
      </x:c>
      <x:c r="D65" s="8" t="str">
        <x:v>Найденный путь относится к партнерству со школами для абитуриентов и возвращает 403. Требуется другой раздел ДПО.</x:v>
      </x:c>
      <x:c r="E65" s="8" t="str">
        <x:v>wrong_surface_and_access</x:v>
      </x:c>
      <x:c r="F65" s="8"/>
      <x:c r="G65" s="8"/>
      <x:c r="H65" s="8"/>
      <x:c r="I65" s="8" t="str">
        <x:v>Восстановить доступ или получить разрешенный экспорт.</x:v>
      </x:c>
      <x:c r="J65" s="8" t="n">
        <x:v>1</x:v>
      </x:c>
      <x:c r="K65" s="8" t="str">
        <x:v>https://www.fa.ru/for-applicants/priyemka/schools/partner/</x:v>
      </x:c>
      <x:c r="L65" s="8" t="str">
        <x:v>V7-Sc848e540a7</x:v>
      </x:c>
      <x:c r="M65" s="8" t="str">
        <x:v>turn1177view0</x:v>
      </x:c>
    </x:row>
    <x:row r="66" ht="35.25" customHeight="1">
      <x:c r="A66" s="8" t="str">
        <x:v>V7-R061</x:v>
      </x:c>
      <x:c r="B66" s="8" t="str">
        <x:v>Как стать спикером конференции HR API?</x:v>
      </x:c>
      <x:c r="C66" s="8" t="str">
        <x:v>Пустое извлечение</x:v>
      </x:c>
      <x:c r="D66" s="8" t="str">
        <x:v>Страница заявки HR API отдает только служебное изображение; форму и актуальность прочитать не удалось.</x:v>
      </x:c>
      <x:c r="E66" s="8" t="str">
        <x:v>empty_extraction</x:v>
      </x:c>
      <x:c r="F66" s="8"/>
      <x:c r="G66" s="8"/>
      <x:c r="H66" s="8"/>
      <x:c r="I66" s="8" t="str">
        <x:v>Восстановить доступ или получить разрешенный экспорт.</x:v>
      </x:c>
      <x:c r="J66" s="8" t="n">
        <x:v>1</x:v>
      </x:c>
      <x:c r="K66" s="8" t="str">
        <x:v>https://hrapiconf.com/cfp</x:v>
      </x:c>
      <x:c r="L66" s="8" t="str">
        <x:v>V7-Sffb9ad3f04</x:v>
      </x:c>
      <x:c r="M66" s="8" t="str">
        <x:v>turn1192view0</x:v>
      </x:c>
    </x:row>
    <x:row r="67" ht="35.25" customHeight="1">
      <x:c r="A67" s="8" t="str">
        <x:v>V7-R062</x:v>
      </x:c>
      <x:c r="B67" s="8" t="str">
        <x:v>Как стать спикером - Суровый Питерский Форум про маркетинг, SMM и бизнес</x:v>
      </x:c>
      <x:c r="C67" s="8" t="str">
        <x:v>Прочитана часть</x:v>
      </x:c>
      <x:c r="D67" s="8" t="str">
        <x:v>Есть условия отбора практиков для форума. Гонорар и свободные места не подтверждены; вложение открылось лишь страницей Диска.</x:v>
      </x:c>
      <x:c r="E67" s="8" t="str">
        <x:v>speaker_application</x:v>
      </x:c>
      <x:c r="F67" s="8"/>
      <x:c r="G67" s="8"/>
      <x:c r="H67" s="8" t="str">
        <x:v>info@smmconfa.ru</x:v>
      </x:c>
      <x:c r="I67" s="8" t="str">
        <x:v>Уточнить тему, оплату, договор с МИСБ и актуальность приема.</x:v>
      </x:c>
      <x:c r="J67" s="8" t="n">
        <x:v>2</x:v>
      </x:c>
      <x:c r="K67" s="8" t="str">
        <x:v>https://smmconfa.ru/become_speaker/</x:v>
      </x:c>
      <x:c r="L67" s="8" t="str">
        <x:v>V7-S42275a4852</x:v>
      </x:c>
      <x:c r="M67" s="8" t="str">
        <x:v>turn1188view0; turn1252view0</x:v>
      </x:c>
    </x:row>
    <x:row r="68" ht="35.25" customHeight="1">
      <x:c r="A68" s="8" t="str">
        <x:v>V7-R063</x:v>
      </x:c>
      <x:c r="B68" s="8" t="str">
        <x:v>Стать спикером SOC Forum: подайте заявку до 11 сентября 2026</x:v>
      </x:c>
      <x:c r="C68" s="8" t="str">
        <x:v>Прочитана часть</x:v>
      </x:c>
      <x:c r="D68" s="8" t="str">
        <x:v>На странице SOC Forum указан срок 11 сентября 2026. Участие для спикеров бесплатно, но это не обещание гонорара.</x:v>
      </x:c>
      <x:c r="E68" s="8" t="str">
        <x:v>past_deadline</x:v>
      </x:c>
      <x:c r="F68" s="8" t="str">
        <x:v>2026-09-11</x:v>
      </x:c>
      <x:c r="G68" s="8" t="str">
        <x:v>deadline</x:v>
      </x:c>
      <x:c r="H68" s="8"/>
      <x:c r="I68" s="8" t="str">
        <x:v>Найти текущие задачи, точную поверхность запросов и владельца программы.</x:v>
      </x:c>
      <x:c r="J68" s="8" t="n">
        <x:v>1</x:v>
      </x:c>
      <x:c r="K68" s="8" t="str">
        <x:v>https://forumsoc.ru/become-a-speaker/</x:v>
      </x:c>
      <x:c r="L68" s="8" t="str">
        <x:v>V7-S04d4a79a44</x:v>
      </x:c>
      <x:c r="M68" s="8" t="str">
        <x:v>turn1195view0</x:v>
      </x:c>
    </x:row>
    <x:row r="69" ht="35.25" customHeight="1">
      <x:c r="A69" s="8" t="str">
        <x:v>V7-R064</x:v>
      </x:c>
      <x:c r="B69" s="8" t="str">
        <x:v>HR-club</x:v>
      </x:c>
      <x:c r="C69" s="8" t="str">
        <x:v>Прочитана часть</x:v>
      </x:c>
      <x:c r="D69" s="8" t="str">
        <x:v>HR-club принимает заявки спикеров и спонсоров в общей форме; эти коммерческие роли нужно различать.</x:v>
      </x:c>
      <x:c r="E69" s="8" t="str">
        <x:v>speaker_application</x:v>
      </x:c>
      <x:c r="F69" s="8"/>
      <x:c r="G69" s="8"/>
      <x:c r="H69" s="8"/>
      <x:c r="I69" s="8" t="str">
        <x:v>Уточнить тему, оплату, договор с МИСБ и актуальность приема.</x:v>
      </x:c>
      <x:c r="J69" s="8" t="n">
        <x:v>1</x:v>
      </x:c>
      <x:c r="K69" s="8" t="str">
        <x:v>https://hrclub-conf.ru/</x:v>
      </x:c>
      <x:c r="L69" s="8" t="str">
        <x:v>V7-Sc0fa290396</x:v>
      </x:c>
      <x:c r="M69" s="8" t="str">
        <x:v>turn1194view0</x:v>
      </x:c>
    </x:row>
    <x:row r="70" ht="35.25" customHeight="1">
      <x:c r="A70" s="8" t="str">
        <x:v>V7-R065</x:v>
      </x:c>
      <x:c r="B70" s="8" t="str">
        <x:v>Конференция ПОТОК: Большой HR-день</x:v>
      </x:c>
      <x:c r="C70" s="8" t="str">
        <x:v>Прочитана часть</x:v>
      </x:c>
      <x:c r="D70" s="8" t="str">
        <x:v>Большой HR-день заявлен на 16 ноября 2026. Наличие события не доказывает незакрытый слот спикера.</x:v>
      </x:c>
      <x:c r="E70" s="8" t="str">
        <x:v>future_event</x:v>
      </x:c>
      <x:c r="F70" s="8" t="str">
        <x:v>2026-11-16</x:v>
      </x:c>
      <x:c r="G70" s="8" t="str">
        <x:v>event</x:v>
      </x:c>
      <x:c r="H70" s="8"/>
      <x:c r="I70" s="8" t="str">
        <x:v>Найти текущие задачи, точную поверхность запросов и владельца программы.</x:v>
      </x:c>
      <x:c r="J70" s="8" t="n">
        <x:v>1</x:v>
      </x:c>
      <x:c r="K70" s="8" t="str">
        <x:v>https://potokconf.ru/hr</x:v>
      </x:c>
      <x:c r="L70" s="8" t="str">
        <x:v>V7-S1b80b7cbbe</x:v>
      </x:c>
      <x:c r="M70" s="8" t="str">
        <x:v>turn1196view0</x:v>
      </x:c>
    </x:row>
    <x:row r="71" ht="59.25" customHeight="1">
      <x:c r="A71" s="8" t="str">
        <x:v>V7-R066</x:v>
      </x:c>
      <x:c r="B71" s="8" t="str">
        <x:v>Приглашение</x:v>
      </x:c>
      <x:c r="C71" s="8" t="str">
        <x:v>Прочитана часть</x:v>
      </x:c>
      <x:c r="D71" s="8" t="str">
        <x:v>Вложение относится к агрофоруму 5 декабря 2024. Полезен организатор следующего цикла.</x:v>
      </x:c>
      <x:c r="E71" s="8" t="str">
        <x:v>historical_attachment</x:v>
      </x:c>
      <x:c r="F71" s="8" t="str">
        <x:v>2024-12-05</x:v>
      </x:c>
      <x:c r="G71" s="8" t="str">
        <x:v>event</x:v>
      </x:c>
      <x:c r="H71" s="8"/>
      <x:c r="I71" s="8" t="str">
        <x:v>Найти текущие задачи, точную поверхность запросов и владельца программы.</x:v>
      </x:c>
      <x:c r="J71" s="8" t="n">
        <x:v>1</x:v>
      </x:c>
      <x:c r="K71" s="8" t="str">
        <x:v>https://kazsut.com/wp-content/uploads/%D0%9F%D1%80%D0%B8%D0%B3%D0%BB%D0%B0%D1%88%D0%B5%D0%BD%D0%B8%D0%B5-%D0%BD%D0%B0-%D0%A4%D0%BE%D1%80%D1%83%D0%BC-Asia-AGRO-%D0%9F%D0%B5%D1%80%D0%B5%D1%80%D0%B0%D0%B1%D0%BE%D1%82%D0%BA%D0%B0-4.0-2024.pdf?t=</x:v>
      </x:c>
      <x:c r="L71" s="8" t="str">
        <x:v>V7-S4072063ba3</x:v>
      </x:c>
      <x:c r="M71" s="8" t="str">
        <x:v>turn1203view0</x:v>
      </x:c>
    </x:row>
    <x:row r="72" ht="35.25" customHeight="1">
      <x:c r="A72" s="8" t="str">
        <x:v>V7-R067</x:v>
      </x:c>
      <x:c r="B72" s="8" t="str">
        <x:v>МЕЖДУНАРОДНЫЙ HR-ФОРУМ 2026 В АЛМАТЫ 25-26 НОЯБРЯ</x:v>
      </x:c>
      <x:c r="C72" s="8" t="str">
        <x:v>Прочитана часть</x:v>
      </x:c>
      <x:c r="D72" s="8" t="str">
        <x:v>HR-форум в Алматы 25–26 ноября 2026 приглашает партнеров и спикеров. Найден Telegram-контакт куратора.</x:v>
      </x:c>
      <x:c r="E72" s="8" t="str">
        <x:v>speaker_application</x:v>
      </x:c>
      <x:c r="F72" s="8" t="str">
        <x:v>2026-11-25</x:v>
      </x:c>
      <x:c r="G72" s="8" t="str">
        <x:v>event_start</x:v>
      </x:c>
      <x:c r="H72" s="8" t="str">
        <x:v>pr.manager.chuprina@gmail.com</x:v>
      </x:c>
      <x:c r="I72" s="8" t="str">
        <x:v>Уточнить тему, оплату, договор с МИСБ и актуальность приема.</x:v>
      </x:c>
      <x:c r="J72" s="8" t="n">
        <x:v>2</x:v>
      </x:c>
      <x:c r="K72" s="8" t="str">
        <x:v>https://www.hrforumasia.com/almaty</x:v>
      </x:c>
      <x:c r="L72" s="8" t="str">
        <x:v>V7-S89a2f1541e</x:v>
      </x:c>
      <x:c r="M72" s="8" t="str">
        <x:v>turn1189view0; turn1253view0</x:v>
      </x:c>
    </x:row>
    <x:row r="73" ht="35.25" customHeight="1">
      <x:c r="A73" s="8" t="str">
        <x:v>V7-R068</x:v>
      </x:c>
      <x:c r="B73" s="8" t="str">
        <x:v>Kazakhstan HR-Forum объединяет HRD Центральной Азии</x:v>
      </x:c>
      <x:c r="C73" s="8" t="str">
        <x:v>Пустое извлечение</x:v>
      </x:c>
      <x:c r="D73" s="8" t="str">
        <x:v>Страница HR-клуба возвращает только счетчик. Состав сообщества и сообщения не прочитаны.</x:v>
      </x:c>
      <x:c r="E73" s="8" t="str">
        <x:v>empty_extraction</x:v>
      </x:c>
      <x:c r="F73" s="8"/>
      <x:c r="G73" s="8"/>
      <x:c r="H73" s="8"/>
      <x:c r="I73" s="8" t="str">
        <x:v>Восстановить доступ или получить разрешенный экспорт.</x:v>
      </x:c>
      <x:c r="J73" s="8" t="n">
        <x:v>1</x:v>
      </x:c>
      <x:c r="K73" s="8" t="str">
        <x:v>https://hrf.kgforum.kz/hr-club</x:v>
      </x:c>
      <x:c r="L73" s="8" t="str">
        <x:v>V7-S07b861e5fd</x:v>
      </x:c>
      <x:c r="M73" s="8" t="str">
        <x:v>turn1190view0</x:v>
      </x:c>
    </x:row>
    <x:row r="74" ht="35.25" customHeight="1">
      <x:c r="A74" s="8" t="str">
        <x:v>V7-R069</x:v>
      </x:c>
      <x:c r="B74" s="8" t="str">
        <x:v>HoReCa</x:v>
      </x:c>
      <x:c r="C74" s="8" t="str">
        <x:v>Прочитана часть</x:v>
      </x:c>
      <x:c r="D74" s="8" t="str">
        <x:v>Прочитана PDF-программа HoReCa 2026: апрельское событие. Сохранить организаторов и тематические треки для следующего цикла.</x:v>
      </x:c>
      <x:c r="E74" s="8" t="str">
        <x:v>past_event_attachment</x:v>
      </x:c>
      <x:c r="F74" s="8" t="str">
        <x:v>2026-04</x:v>
      </x:c>
      <x:c r="G74" s="8" t="str">
        <x:v>event_month</x:v>
      </x:c>
      <x:c r="H74" s="8"/>
      <x:c r="I74" s="8" t="str">
        <x:v>Найти текущие задачи, точную поверхность запросов и владельца программы.</x:v>
      </x:c>
      <x:c r="J74" s="8" t="n">
        <x:v>2</x:v>
      </x:c>
      <x:c r="K74" s="8" t="str">
        <x:v>https://horecaexpo.by/</x:v>
      </x:c>
      <x:c r="L74" s="8" t="str">
        <x:v>V7-S9a3b273a27</x:v>
      </x:c>
      <x:c r="M74" s="8" t="str">
        <x:v>turn1193view0; turn1255view0</x:v>
      </x:c>
    </x:row>
    <x:row r="75" ht="35.25" customHeight="1">
      <x:c r="A75" s="8" t="str">
        <x:v>V7-R070</x:v>
      </x:c>
      <x:c r="B75" s="8" t="str">
        <x:v>ProductConf 2026</x:v>
      </x:c>
      <x:c r="C75" s="8" t="str">
        <x:v>Прочитана часть</x:v>
      </x:c>
      <x:c r="D75" s="8" t="str">
        <x:v>Прием докладов ProductConf закончился 25 января 2026. Использовать следующий цикл.</x:v>
      </x:c>
      <x:c r="E75" s="8" t="str">
        <x:v>past_deadline</x:v>
      </x:c>
      <x:c r="F75" s="8" t="str">
        <x:v>2026-01-25</x:v>
      </x:c>
      <x:c r="G75" s="8" t="str">
        <x:v>deadline</x:v>
      </x:c>
      <x:c r="H75" s="8"/>
      <x:c r="I75" s="8" t="str">
        <x:v>Найти текущие задачи, точную поверхность запросов и владельца программы.</x:v>
      </x:c>
      <x:c r="J75" s="8" t="n">
        <x:v>1</x:v>
      </x:c>
      <x:c r="K75" s="8" t="str">
        <x:v>https://productconf.ru/apply-as-speaker/</x:v>
      </x:c>
      <x:c r="L75" s="8" t="str">
        <x:v>V7-S0a2221efc2</x:v>
      </x:c>
      <x:c r="M75" s="8" t="str">
        <x:v>turn1197view0</x:v>
      </x:c>
    </x:row>
    <x:row r="76" ht="47.25" customHeight="1">
      <x:c r="A76" s="8" t="str">
        <x:v>V7-R071</x:v>
      </x:c>
      <x:c r="B76" s="8" t="str">
        <x:v>Центр «Мой Бизнес» — Центр «Мой бизнес» приглашает к сотрудничеству спикеров и лекторов - Центр мой бизнес Орёл</x:v>
      </x:c>
      <x:c r="C76" s="8" t="str">
        <x:v>Прочитана часть</x:v>
      </x:c>
      <x:c r="D76" s="8" t="str">
        <x:v>Центр Мой бизнес Орёл публикует правила подачи предложений спикеров. Дата 14 июля 2025, прием сейчас требует уточнения.</x:v>
      </x:c>
      <x:c r="E76" s="8" t="str">
        <x:v>standing_speaker_invitation</x:v>
      </x:c>
      <x:c r="F76" s="8" t="str">
        <x:v>2025-07-14</x:v>
      </x:c>
      <x:c r="G76" s="8" t="str">
        <x:v>publication</x:v>
      </x:c>
      <x:c r="H76" s="8"/>
      <x:c r="I76" s="8" t="str">
        <x:v>Уточнить тему, оплату, договор с МИСБ и актуальность приема.</x:v>
      </x:c>
      <x:c r="J76" s="8" t="n">
        <x:v>1</x:v>
      </x:c>
      <x:c r="K76" s="8" t="str">
        <x:v>https://msb-orel.ru/events/czentr-moj-biznes-priglashaet-k-sotrudnichestvu-spikerov-i-lektorov</x:v>
      </x:c>
      <x:c r="L76" s="8" t="str">
        <x:v>V7-Sfb2f3cb02d</x:v>
      </x:c>
      <x:c r="M76" s="8" t="str">
        <x:v>turn1198view0</x:v>
      </x:c>
    </x:row>
    <x:row r="77" ht="35.25" customHeight="1">
      <x:c r="A77" s="8" t="str">
        <x:v>V7-R072</x:v>
      </x:c>
      <x:c r="B77" s="8" t="str">
        <x:v>Как стать спикером центра «Мой бизнес» | АНО «Мой бизнес»</x:v>
      </x:c>
      <x:c r="C77" s="8" t="str">
        <x:v>Прочитана часть</x:v>
      </x:c>
      <x:c r="D77" s="8" t="str">
        <x:v>Вологодский центр принимает портфолио и программы на бланке организации. Публикация 26 августа 2025.</x:v>
      </x:c>
      <x:c r="E77" s="8" t="str">
        <x:v>standing_speaker_invitation</x:v>
      </x:c>
      <x:c r="F77" s="8" t="str">
        <x:v>2025-08-26</x:v>
      </x:c>
      <x:c r="G77" s="8" t="str">
        <x:v>publication</x:v>
      </x:c>
      <x:c r="H77" s="8" t="str">
        <x:v>mail@mb35.ru</x:v>
      </x:c>
      <x:c r="I77" s="8" t="str">
        <x:v>Уточнить тему, оплату, договор с МИСБ и актуальность приема.</x:v>
      </x:c>
      <x:c r="J77" s="8" t="n">
        <x:v>1</x:v>
      </x:c>
      <x:c r="K77" s="8" t="str">
        <x:v>https://mb35.ru/novosti/kak-stat-spikerom-tsentra-moy-biznes/</x:v>
      </x:c>
      <x:c r="L77" s="8" t="str">
        <x:v>V7-Sa2b398a91e</x:v>
      </x:c>
      <x:c r="M77" s="8" t="str">
        <x:v>turn1201view0</x:v>
      </x:c>
    </x:row>
    <x:row r="78" ht="35.25" customHeight="1">
      <x:c r="A78" s="8" t="str">
        <x:v>V7-R073</x:v>
      </x:c>
      <x:c r="B78" s="8" t="str">
        <x:v>Хотите стать экспертом Центра «Мой бизнес» и заявить о себе?</x:v>
      </x:c>
      <x:c r="C78" s="8" t="str">
        <x:v>Прочитана часть</x:v>
      </x:c>
      <x:c r="D78" s="8" t="str">
        <x:v>Приглашение тюменского центра относится к событию ноября 2024. Не считать действующим сроком.</x:v>
      </x:c>
      <x:c r="E78" s="8" t="str">
        <x:v>historical_expert_call</x:v>
      </x:c>
      <x:c r="F78" s="8" t="str">
        <x:v>2024-10-30</x:v>
      </x:c>
      <x:c r="G78" s="8" t="str">
        <x:v>publication</x:v>
      </x:c>
      <x:c r="H78" s="8" t="str">
        <x:v>cmb@obl72.ru</x:v>
      </x:c>
      <x:c r="I78" s="8" t="str">
        <x:v>Найти текущие задачи, точную поверхность запросов и владельца программы.</x:v>
      </x:c>
      <x:c r="J78" s="8" t="n">
        <x:v>1</x:v>
      </x:c>
      <x:c r="K78" s="8" t="str">
        <x:v>https://xn---72-9cdulgg0aog6b.xn--p1ai/information/news/khotite-stat-ekspertom-tsentra-moy-biznes-i-zayavit-o-sebe/</x:v>
      </x:c>
      <x:c r="L78" s="8" t="str">
        <x:v>V7-Sdf3544e88a</x:v>
      </x:c>
      <x:c r="M78" s="8" t="str">
        <x:v>turn1191view0</x:v>
      </x:c>
    </x:row>
    <x:row r="79" ht="35.25" customHeight="1">
      <x:c r="A79" s="8" t="str">
        <x:v>V7-R074</x:v>
      </x:c>
      <x:c r="B79" s="8" t="str">
        <x:v>Союз "Торгово-промышленная палата города Дубны"</x:v>
      </x:c>
      <x:c r="C79" s="8" t="str">
        <x:v>Прочитана часть</x:v>
      </x:c>
      <x:c r="D79" s="8" t="str">
        <x:v>Прочитаны новости ТПП Дубны, включая даты 1 октября 2026; прямого запроса обучения не выявлено.</x:v>
      </x:c>
      <x:c r="E79" s="8" t="str">
        <x:v>chamber_news</x:v>
      </x:c>
      <x:c r="F79" s="8"/>
      <x:c r="G79" s="8"/>
      <x:c r="H79" s="8"/>
      <x:c r="I79" s="8" t="str">
        <x:v>Найти текущие задачи, точную поверхность запросов и владельца программы.</x:v>
      </x:c>
      <x:c r="J79" s="8" t="n">
        <x:v>1</x:v>
      </x:c>
      <x:c r="K79" s="8" t="str">
        <x:v>https://dubna.tpprf.ru/ru/</x:v>
      </x:c>
      <x:c r="L79" s="8" t="str">
        <x:v>V7-S48ead27887</x:v>
      </x:c>
      <x:c r="M79" s="8" t="str">
        <x:v>turn1200view0</x:v>
      </x:c>
    </x:row>
    <x:row r="80" ht="35.25" customHeight="1">
      <x:c r="A80" s="8" t="str">
        <x:v>V7-R075</x:v>
      </x:c>
      <x:c r="B80" s="8" t="str">
        <x:v>Союз "ТПП Краснодарского края"</x:v>
      </x:c>
      <x:c r="C80" s="8" t="str">
        <x:v>Прочитана часть</x:v>
      </x:c>
      <x:c r="D80" s="8" t="str">
        <x:v>Выбранная новость ТПП Кубани относится к апрелю 2026. Нужна текущая лента образовательных инициатив.</x:v>
      </x:c>
      <x:c r="E80" s="8" t="str">
        <x:v>past_event</x:v>
      </x:c>
      <x:c r="F80" s="8"/>
      <x:c r="G80" s="8"/>
      <x:c r="H80" s="8"/>
      <x:c r="I80" s="8" t="str">
        <x:v>Найти текущие задачи, точную поверхность запросов и владельца программы.</x:v>
      </x:c>
      <x:c r="J80" s="8" t="n">
        <x:v>1</x:v>
      </x:c>
      <x:c r="K80" s="8" t="str">
        <x:v>https://kuban.tpprf.ru/ru/announcements/601051/</x:v>
      </x:c>
      <x:c r="L80" s="8" t="str">
        <x:v>V7-Sd51036b56e</x:v>
      </x:c>
      <x:c r="M80" s="8" t="str">
        <x:v>turn1199view0</x:v>
      </x:c>
    </x:row>
    <x:row r="81" ht="35.25" customHeight="1">
      <x:c r="A81" s="8" t="str">
        <x:v>V7-R076</x:v>
      </x:c>
      <x:c r="B81" s="8" t="str">
        <x:v>Союз "Торгово-промышленная палата Республики Татарстан"</x:v>
      </x:c>
      <x:c r="C81" s="8" t="str">
        <x:v>Прочитана часть</x:v>
      </x:c>
      <x:c r="D81" s="8" t="str">
        <x:v>У ТПП Татарстана видны новости конца сентября 2026; границы полной истории не проверены.</x:v>
      </x:c>
      <x:c r="E81" s="8" t="str">
        <x:v>chamber_news</x:v>
      </x:c>
      <x:c r="F81" s="8"/>
      <x:c r="G81" s="8"/>
      <x:c r="H81" s="8"/>
      <x:c r="I81" s="8" t="str">
        <x:v>Найти текущие задачи, точную поверхность запросов и владельца программы.</x:v>
      </x:c>
      <x:c r="J81" s="8" t="n">
        <x:v>1</x:v>
      </x:c>
      <x:c r="K81" s="8" t="str">
        <x:v>https://tatarstan.tpprf.ru/ru/</x:v>
      </x:c>
      <x:c r="L81" s="8" t="str">
        <x:v>V7-S64b48bb8de</x:v>
      </x:c>
      <x:c r="M81" s="8" t="str">
        <x:v>turn1206view0</x:v>
      </x:c>
    </x:row>
    <x:row r="82" ht="35.25" customHeight="1">
      <x:c r="A82" s="8" t="str">
        <x:v>V7-R077</x:v>
      </x:c>
      <x:c r="B82" s="8" t="str">
        <x:v>ЦПЭ - Центр поддержки экспорта | Тула</x:v>
      </x:c>
      <x:c r="C82" s="8" t="str">
        <x:v>Прочитана часть</x:v>
      </x:c>
      <x:c r="D82" s="8" t="str">
        <x:v>У тульского центра экспорта есть образовательные анонсы конца сентября и октября 2026. Ищем организатора/следующий цикл, не покупателя по анонсу.</x:v>
      </x:c>
      <x:c r="E82" s="8" t="str">
        <x:v>training_program_operator</x:v>
      </x:c>
      <x:c r="F82" s="8"/>
      <x:c r="G82" s="8"/>
      <x:c r="H82" s="8"/>
      <x:c r="I82" s="8" t="str">
        <x:v>Найти текущие задачи, точную поверхность запросов и владельца программы.</x:v>
      </x:c>
      <x:c r="J82" s="8" t="n">
        <x:v>1</x:v>
      </x:c>
      <x:c r="K82" s="8" t="str">
        <x:v>https://export71.ru/</x:v>
      </x:c>
      <x:c r="L82" s="8" t="str">
        <x:v>V7-Sff951dc50e</x:v>
      </x:c>
      <x:c r="M82" s="8" t="str">
        <x:v>turn1207view0</x:v>
      </x:c>
    </x:row>
    <x:row r="83" ht="47.25" customHeight="1">
      <x:c r="A83" s="8" t="str">
        <x:v>V7-R078</x:v>
      </x:c>
      <x:c r="B83" s="8" t="str">
        <x:v>О Центре поддержки предпринимательства «Стартап технологии» - Startup Weekend Belarus</x:v>
      </x:c>
      <x:c r="C83" s="8" t="str">
        <x:v>Прочитана часть</x:v>
      </x:c>
      <x:c r="D83" s="8" t="str">
        <x:v>Белорусский центр Стартап технологии организует события и приглашает партнеров. Оплачиваемый образовательный заказ не указан.</x:v>
      </x:c>
      <x:c r="E83" s="8" t="str">
        <x:v>business_support_network</x:v>
      </x:c>
      <x:c r="F83" s="8"/>
      <x:c r="G83" s="8"/>
      <x:c r="H83" s="8"/>
      <x:c r="I83" s="8" t="str">
        <x:v>Найти текущие задачи, точную поверхность запросов и владельца программы.</x:v>
      </x:c>
      <x:c r="J83" s="8" t="n">
        <x:v>1</x:v>
      </x:c>
      <x:c r="K83" s="8" t="str">
        <x:v>https://startupweekend.by/st/</x:v>
      </x:c>
      <x:c r="L83" s="8" t="str">
        <x:v>V7-Sad37182e5b</x:v>
      </x:c>
      <x:c r="M83" s="8" t="str">
        <x:v>turn1202view0</x:v>
      </x:c>
    </x:row>
    <x:row r="84" ht="47.25" customHeight="1">
      <x:c r="A84" s="8" t="str">
        <x:v>V7-R079</x:v>
      </x:c>
      <x:c r="B84" s="8" t="str">
        <x:v>Центр поддержки предпринимательства. Финансовая поддержка малого бизнеса ─ konsalt.by</x:v>
      </x:c>
      <x:c r="C84" s="8" t="str">
        <x:v>Прочитана часть</x:v>
      </x:c>
      <x:c r="D84" s="8" t="str">
        <x:v>Белорусский центр привлекает внешних специалистов на семинары. Конкретную незакрытую тему требуется уточнить.</x:v>
      </x:c>
      <x:c r="E84" s="8" t="str">
        <x:v>training_program_operator</x:v>
      </x:c>
      <x:c r="F84" s="8"/>
      <x:c r="G84" s="8"/>
      <x:c r="H84" s="8" t="str">
        <x:v>officemanager@konsalt.by</x:v>
      </x:c>
      <x:c r="I84" s="8" t="str">
        <x:v>Найти текущие задачи, точную поверхность запросов и владельца программы.</x:v>
      </x:c>
      <x:c r="J84" s="8" t="n">
        <x:v>1</x:v>
      </x:c>
      <x:c r="K84" s="8" t="str">
        <x:v>https://www.konsalt.by/uslugi/centr-podderzhki-predprinimatelya.html</x:v>
      </x:c>
      <x:c r="L84" s="8" t="str">
        <x:v>V7-S5d2ad3bd5a</x:v>
      </x:c>
      <x:c r="M84" s="8" t="str">
        <x:v>turn1204view0</x:v>
      </x:c>
    </x:row>
    <x:row r="85" ht="35.25" customHeight="1">
      <x:c r="A85" s="8" t="str">
        <x:v>V7-R080</x:v>
      </x:c>
      <x:c r="B85" s="8" t="str">
        <x:v>Центр поддержки предпринимательства</x:v>
      </x:c>
      <x:c r="C85" s="8" t="str">
        <x:v>Прочитана часть</x:v>
      </x:c>
      <x:c r="D85" s="8" t="str">
        <x:v>АСБ Консалт публикует вебинары для бизнеса. Последний видимый анонс 16 сентября 2026, вне выбранного окна.</x:v>
      </x:c>
      <x:c r="E85" s="8" t="str">
        <x:v>training_program_operator</x:v>
      </x:c>
      <x:c r="F85" s="8" t="str">
        <x:v>2026-09-16</x:v>
      </x:c>
      <x:c r="G85" s="8" t="str">
        <x:v>visible_news</x:v>
      </x:c>
      <x:c r="H85" s="8" t="str">
        <x:v>info@asbconsult.by</x:v>
      </x:c>
      <x:c r="I85" s="8" t="str">
        <x:v>Найти текущие задачи, точную поверхность запросов и владельца программы.</x:v>
      </x:c>
      <x:c r="J85" s="8" t="n">
        <x:v>1</x:v>
      </x:c>
      <x:c r="K85" s="8" t="str">
        <x:v>https://asbconsult.by/press-centr_nekz/</x:v>
      </x:c>
      <x:c r="L85" s="8" t="str">
        <x:v>V7-Sb5ab71bdd9</x:v>
      </x:c>
      <x:c r="M85" s="8" t="str">
        <x:v>turn1205view0</x:v>
      </x:c>
    </x:row>
    <x:row r="86" ht="35.25" customHeight="1">
      <x:c r="A86" s="8" t="str">
        <x:v>V7-R081</x:v>
      </x:c>
      <x:c r="B86" s="8" t="str">
        <x:v>Бизнес-клуб NOVA — закрытый клуб собственников бизнеса, Москва</x:v>
      </x:c>
      <x:c r="C86" s="8" t="str">
        <x:v>Прочитана часть</x:v>
      </x:c>
      <x:c r="D86" s="8" t="str">
        <x:v>Закрытый клуб собственников с правилами против продаж внутри. Рассматривать через организатора и образовательное партнерство.</x:v>
      </x:c>
      <x:c r="E86" s="8" t="str">
        <x:v>closed_business_community</x:v>
      </x:c>
      <x:c r="F86" s="8"/>
      <x:c r="G86" s="8"/>
      <x:c r="H86" s="8" t="str">
        <x:v>info@club-nova.ru</x:v>
      </x:c>
      <x:c r="I86" s="8" t="str">
        <x:v>Найти текущие задачи, точную поверхность запросов и владельца программы.</x:v>
      </x:c>
      <x:c r="J86" s="8" t="n">
        <x:v>1</x:v>
      </x:c>
      <x:c r="K86" s="8" t="str">
        <x:v>https://club-nova.ru/</x:v>
      </x:c>
      <x:c r="L86" s="8" t="str">
        <x:v>V7-S5286645120</x:v>
      </x:c>
      <x:c r="M86" s="8" t="str">
        <x:v>turn1220view0</x:v>
      </x:c>
    </x:row>
    <x:row r="87" ht="35.25" customHeight="1">
      <x:c r="A87" s="8" t="str">
        <x:v>V7-R082</x:v>
      </x:c>
      <x:c r="B87" s="8" t="str">
        <x:v>Бизнес-клуб Раменки</x:v>
      </x:c>
      <x:c r="C87" s="8" t="str">
        <x:v>Прочитана часть</x:v>
      </x:c>
      <x:c r="D87" s="8" t="str">
        <x:v>Клуб Раменки проводит встречи с приглашенными спикерами и имеет закрытый чат. Условия выступления уточняются.</x:v>
      </x:c>
      <x:c r="E87" s="8" t="str">
        <x:v>guest_speaker_network</x:v>
      </x:c>
      <x:c r="F87" s="8"/>
      <x:c r="G87" s="8"/>
      <x:c r="H87" s="8"/>
      <x:c r="I87" s="8" t="str">
        <x:v>Найти текущие задачи, точную поверхность запросов и владельца программы.</x:v>
      </x:c>
      <x:c r="J87" s="8" t="n">
        <x:v>1</x:v>
      </x:c>
      <x:c r="K87" s="8" t="str">
        <x:v>https://localbusinessclub.ru/</x:v>
      </x:c>
      <x:c r="L87" s="8" t="str">
        <x:v>V7-S7cf84ce65b</x:v>
      </x:c>
      <x:c r="M87" s="8" t="str">
        <x:v>turn1223view0</x:v>
      </x:c>
    </x:row>
    <x:row r="88" ht="35.25" customHeight="1">
      <x:c r="A88" s="8" t="str">
        <x:v>V7-R083</x:v>
      </x:c>
      <x:c r="B88" s="8" t="str">
        <x:v>Спикеры для бизнеса и лекции для предпринимателей – приглашенные эксперты</x:v>
      </x:c>
      <x:c r="C88" s="8" t="str">
        <x:v>Прочитана часть</x:v>
      </x:c>
      <x:c r="D88" s="8" t="str">
        <x:v>PROБИЗНЕС прямо ищет практиков для B2B-выступлений и принимает заявки. Оплата и доступность слота не названы.</x:v>
      </x:c>
      <x:c r="E88" s="8" t="str">
        <x:v>speaker_application</x:v>
      </x:c>
      <x:c r="F88" s="8"/>
      <x:c r="G88" s="8"/>
      <x:c r="H88" s="8"/>
      <x:c r="I88" s="8" t="str">
        <x:v>Уточнить тему, оплату, договор с МИСБ и актуальность приема.</x:v>
      </x:c>
      <x:c r="J88" s="8" t="n">
        <x:v>2</x:v>
      </x:c>
      <x:c r="K88" s="8" t="str">
        <x:v>https://probusinessclub.ru/speakers</x:v>
      </x:c>
      <x:c r="L88" s="8" t="str">
        <x:v>V7-Sca3637f5e2</x:v>
      </x:c>
      <x:c r="M88" s="8" t="str">
        <x:v>turn1221view0; turn1261view0</x:v>
      </x:c>
    </x:row>
    <x:row r="89" ht="35.25" customHeight="1">
      <x:c r="A89" s="8" t="str">
        <x:v>V7-R084</x:v>
      </x:c>
      <x:c r="B89" s="8" t="str">
        <x:v>Бизнес-клуб BizPride в Алматы — открытое сообщество для МСБ</x:v>
      </x:c>
      <x:c r="C89" s="8" t="str">
        <x:v>Прочитана часть</x:v>
      </x:c>
      <x:c r="D89" s="8" t="str">
        <x:v>BizPride описывает чат предпринимателей и поиск подрядчиков. Сами запросы участников не прочитаны.</x:v>
      </x:c>
      <x:c r="E89" s="8" t="str">
        <x:v>closed_business_community</x:v>
      </x:c>
      <x:c r="F89" s="8"/>
      <x:c r="G89" s="8"/>
      <x:c r="H89" s="8"/>
      <x:c r="I89" s="8" t="str">
        <x:v>Найти текущие задачи, точную поверхность запросов и владельца программы.</x:v>
      </x:c>
      <x:c r="J89" s="8" t="n">
        <x:v>1</x:v>
      </x:c>
      <x:c r="K89" s="8" t="str">
        <x:v>https://bizpride.kz/business-club/</x:v>
      </x:c>
      <x:c r="L89" s="8" t="str">
        <x:v>V7-S7aca20cc74</x:v>
      </x:c>
      <x:c r="M89" s="8" t="str">
        <x:v>turn1218view0</x:v>
      </x:c>
    </x:row>
    <x:row r="90" ht="35.25" customHeight="1">
      <x:c r="A90" s="8" t="str">
        <x:v>V7-R085</x:v>
      </x:c>
      <x:c r="B90" s="8" t="str">
        <x:v>Бизнес-сообщество предпринимателей - «Эквиум» Казахстан</x:v>
      </x:c>
      <x:c r="C90" s="8" t="str">
        <x:v>Ошибка доступа</x:v>
      </x:c>
      <x:c r="D90" s="8" t="str">
        <x:v>Повторная ошибка чтения клуба Эквиум Казахстан; доступ остается неизвестным.</x:v>
      </x:c>
      <x:c r="E90" s="8" t="str">
        <x:v>access_unresolved</x:v>
      </x:c>
      <x:c r="F90" s="8"/>
      <x:c r="G90" s="8"/>
      <x:c r="H90" s="8"/>
      <x:c r="I90" s="8" t="str">
        <x:v>Восстановить доступ или получить разрешенный экспорт.</x:v>
      </x:c>
      <x:c r="J90" s="8" t="n">
        <x:v>2</x:v>
      </x:c>
      <x:c r="K90" s="8" t="str">
        <x:v>https://equium.kz/</x:v>
      </x:c>
      <x:c r="L90" s="8" t="str">
        <x:v>V7-S2bdb29ccb8</x:v>
      </x:c>
      <x:c r="M90" s="8" t="str">
        <x:v>turn1229view0; turn1277view0</x:v>
      </x:c>
    </x:row>
    <x:row r="91" ht="33" customHeight="1">
      <x:c r="A91" s="8" t="str">
        <x:v>V7-R086</x:v>
      </x:c>
      <x:c r="B91" s="8" t="str">
        <x:v>№1 Бизнес сообщество в Казахстане</x:v>
      </x:c>
      <x:c r="C91" s="8" t="str">
        <x:v>Ошибка доступа</x:v>
      </x:c>
      <x:c r="D91" s="8" t="str">
        <x:v>Сайт вернул HTTP 402 дважды. Причину и стоимость доступа не выводить из кода ошибки.</x:v>
      </x:c>
      <x:c r="E91" s="8" t="str">
        <x:v>access_unresolved</x:v>
      </x:c>
      <x:c r="F91" s="8"/>
      <x:c r="G91" s="8"/>
      <x:c r="H91" s="8"/>
      <x:c r="I91" s="8" t="str">
        <x:v>Восстановить доступ или получить разрешенный экспорт.</x:v>
      </x:c>
      <x:c r="J91" s="8" t="n">
        <x:v>2</x:v>
      </x:c>
      <x:c r="K91" s="8" t="str">
        <x:v>https://friendscommunity.kz/</x:v>
      </x:c>
      <x:c r="L91" s="8" t="str">
        <x:v>V7-S61d25a5a00</x:v>
      </x:c>
      <x:c r="M91" s="8" t="str">
        <x:v>turn1225view0; turn1276view0</x:v>
      </x:c>
    </x:row>
    <x:row r="92" ht="35.25" customHeight="1">
      <x:c r="A92" s="8" t="str">
        <x:v>V7-R087</x:v>
      </x:c>
      <x:c r="B92" s="8" t="str">
        <x:v>26 Business Club — Сообщество high-impact предпринимателей</x:v>
      </x:c>
      <x:c r="C92" s="8" t="str">
        <x:v>Пустое извлечение</x:v>
      </x:c>
      <x:c r="D92" s="8" t="str">
        <x:v>Две попытки извлечения не дали текста. Наличие JS-страницы не подтверждает просмотр содержания.</x:v>
      </x:c>
      <x:c r="E92" s="8" t="str">
        <x:v>empty_extraction</x:v>
      </x:c>
      <x:c r="F92" s="8"/>
      <x:c r="G92" s="8"/>
      <x:c r="H92" s="8"/>
      <x:c r="I92" s="8" t="str">
        <x:v>Восстановить доступ или получить разрешенный экспорт.</x:v>
      </x:c>
      <x:c r="J92" s="8" t="n">
        <x:v>2</x:v>
      </x:c>
      <x:c r="K92" s="8" t="str">
        <x:v>https://www.26businessclub.kz/</x:v>
      </x:c>
      <x:c r="L92" s="8" t="str">
        <x:v>V7-S468cc38e30</x:v>
      </x:c>
      <x:c r="M92" s="8" t="str">
        <x:v>turn1231view0; turn1269view0</x:v>
      </x:c>
    </x:row>
    <x:row r="93" ht="35.25" customHeight="1">
      <x:c r="A93" s="8" t="str">
        <x:v>V7-R088</x:v>
      </x:c>
      <x:c r="B93" s="8" t="str">
        <x:v>Практикум 2.0 для предпринимателей - Бизнес клуб "Аномалия"</x:v>
      </x:c>
      <x:c r="C93" s="8" t="str">
        <x:v>Прочитана часть</x:v>
      </x:c>
      <x:c r="D93" s="8" t="str">
        <x:v>После повторной попытки прочитана публикация 18 июня 2026 о прошедшем практикуме.</x:v>
      </x:c>
      <x:c r="E93" s="8" t="str">
        <x:v>past_event</x:v>
      </x:c>
      <x:c r="F93" s="8" t="str">
        <x:v>2026-06-18</x:v>
      </x:c>
      <x:c r="G93" s="8" t="str">
        <x:v>publication</x:v>
      </x:c>
      <x:c r="H93" s="8"/>
      <x:c r="I93" s="8" t="str">
        <x:v>Найти текущие задачи, точную поверхность запросов и владельца программы.</x:v>
      </x:c>
      <x:c r="J93" s="8" t="n">
        <x:v>2</x:v>
      </x:c>
      <x:c r="K93" s="8" t="str">
        <x:v>https://anomalia-club.by/praktikum-2-0-dlya-predprinimatelei/</x:v>
      </x:c>
      <x:c r="L93" s="8" t="str">
        <x:v>V7-S9526f21382</x:v>
      </x:c>
      <x:c r="M93" s="8" t="str">
        <x:v>turn1222view0; turn1280view0</x:v>
      </x:c>
    </x:row>
    <x:row r="94" ht="35.25" customHeight="1">
      <x:c r="A94" s="8" t="str">
        <x:v>V7-R089</x:v>
      </x:c>
      <x:c r="B94" s="8" t="str">
        <x:v>club.startupbelarus.by</x:v>
      </x:c>
      <x:c r="C94" s="8" t="str">
        <x:v>Прочитана часть</x:v>
      </x:c>
      <x:c r="D94" s="8" t="str">
        <x:v>Кейс-клуб Стартап технологии обсуждает задачи бизнеса с практиками. Найден общий контакт, не конкретный заказ.</x:v>
      </x:c>
      <x:c r="E94" s="8" t="str">
        <x:v>expert_business_community</x:v>
      </x:c>
      <x:c r="F94" s="8"/>
      <x:c r="G94" s="8"/>
      <x:c r="H94" s="8" t="str">
        <x:v>info@startupweekend.by</x:v>
      </x:c>
      <x:c r="I94" s="8" t="str">
        <x:v>Найти текущие задачи, точную поверхность запросов и владельца программы.</x:v>
      </x:c>
      <x:c r="J94" s="8" t="n">
        <x:v>1</x:v>
      </x:c>
      <x:c r="K94" s="8" t="str">
        <x:v>https://club.startupbelarus.by/</x:v>
      </x:c>
      <x:c r="L94" s="8" t="str">
        <x:v>V7-S4e3c66d1d7</x:v>
      </x:c>
      <x:c r="M94" s="8" t="str">
        <x:v>turn1228view0</x:v>
      </x:c>
    </x:row>
    <x:row r="95" ht="59.25" customHeight="1">
      <x:c r="A95" s="8" t="str">
        <x:v>V7-R090</x:v>
      </x:c>
      <x:c r="B95" s="8" t="str">
        <x:v>Пост-релиз xxii ассамблеи деловых кругов республики беларусь | официальный сайт СЮЛ "Республиканская конфедерация предпринимательства"</x:v>
      </x:c>
      <x:c r="C95" s="8" t="str">
        <x:v>Ошибка доступа</x:v>
      </x:c>
      <x:c r="D95" s="8" t="str">
        <x:v>Пост-релиз Республиканской конфедерации предпринимательства Беларуси дважды вернул 403.</x:v>
      </x:c>
      <x:c r="E95" s="8" t="str">
        <x:v>access_unresolved</x:v>
      </x:c>
      <x:c r="F95" s="8"/>
      <x:c r="G95" s="8"/>
      <x:c r="H95" s="8"/>
      <x:c r="I95" s="8" t="str">
        <x:v>Восстановить доступ или получить разрешенный экспорт.</x:v>
      </x:c>
      <x:c r="J95" s="8" t="n">
        <x:v>2</x:v>
      </x:c>
      <x:c r="K95" s="8" t="str">
        <x:v>https://www.rce.by/post-reliz2025.php</x:v>
      </x:c>
      <x:c r="L95" s="8" t="str">
        <x:v>V7-Sd1bc080a0b</x:v>
      </x:c>
      <x:c r="M95" s="8" t="str">
        <x:v>turn1216view0; turn1270view0</x:v>
      </x:c>
    </x:row>
    <x:row r="96" ht="35.25" customHeight="1">
      <x:c r="A96" s="8" t="str">
        <x:v>V7-R091</x:v>
      </x:c>
      <x:c r="B96" s="8" t="str">
        <x:v>Мероприятия сообщества Business Lead Биржа бизнес-заказов | Business Lead</x:v>
      </x:c>
      <x:c r="C96" s="8" t="str">
        <x:v>Прочитана часть</x:v>
      </x:c>
      <x:c r="D96" s="8" t="str">
        <x:v>Business Lead: сообщество и образовательные мероприятия. Для заказов нужно отдельно открыть соответствующий раздел.</x:v>
      </x:c>
      <x:c r="E96" s="8" t="str">
        <x:v>business_network</x:v>
      </x:c>
      <x:c r="F96" s="8"/>
      <x:c r="G96" s="8"/>
      <x:c r="H96" s="8" t="str">
        <x:v>info@2lead.ru</x:v>
      </x:c>
      <x:c r="I96" s="8" t="str">
        <x:v>Найти текущие задачи, точную поверхность запросов и владельца программы.</x:v>
      </x:c>
      <x:c r="J96" s="8" t="n">
        <x:v>1</x:v>
      </x:c>
      <x:c r="K96" s="8" t="str">
        <x:v>https://2lead.ru/blog/other/meropriyatiya-soobshchestva-business-lead</x:v>
      </x:c>
      <x:c r="L96" s="8" t="str">
        <x:v>V7-Scdfed7e877</x:v>
      </x:c>
      <x:c r="M96" s="8" t="str">
        <x:v>turn1217view0</x:v>
      </x:c>
    </x:row>
    <x:row r="97" ht="47.25" customHeight="1">
      <x:c r="A97" s="8" t="str">
        <x:v>V7-R092</x:v>
      </x:c>
      <x:c r="B97" s="8" t="str">
        <x:v>Ищем методолога образовательных курсов Нужен человек, который умеет… — SMMLANCER - работа в соц.сетях! — TG.ME</x:v>
      </x:c>
      <x:c r="C97" s="8" t="str">
        <x:v>Прочитана часть</x:v>
      </x:c>
      <x:c r="D97" s="8" t="str">
        <x:v>Есть запрос методолога для создания курсов от 14 сентября 2026. Он старше двух недель; актуальность не подтверждена.</x:v>
      </x:c>
      <x:c r="E97" s="8" t="str">
        <x:v>course_methodologist_request</x:v>
      </x:c>
      <x:c r="F97" s="8" t="str">
        <x:v>2026-09-14</x:v>
      </x:c>
      <x:c r="G97" s="8" t="str">
        <x:v>publication</x:v>
      </x:c>
      <x:c r="H97" s="8"/>
      <x:c r="I97" s="8" t="str">
        <x:v>Найти текущие задачи, точную поверхность запросов и владельца программы.</x:v>
      </x:c>
      <x:c r="J97" s="8" t="n">
        <x:v>2</x:v>
      </x:c>
      <x:c r="K97" s="8" t="str">
        <x:v>https://tg.me/smmlancer/8652</x:v>
      </x:c>
      <x:c r="L97" s="8" t="str">
        <x:v>V7-S3b30c35e66</x:v>
      </x:c>
      <x:c r="M97" s="8" t="str">
        <x:v>turn1226view0; turn1274view0</x:v>
      </x:c>
    </x:row>
    <x:row r="98" ht="35.25" customHeight="1">
      <x:c r="A98" s="8" t="str">
        <x:v>V7-R093</x:v>
      </x:c>
      <x:c r="B98" s="8" t="str">
        <x:v>Вся творческая работа. Event hunter. Петербург – Telegram</x:v>
      </x:c>
      <x:c r="C98" s="8" t="str">
        <x:v>Прочитана часть</x:v>
      </x:c>
      <x:c r="D98" s="8" t="str">
        <x:v>Event hunter содержит профессиональные задания, рекламу, детские занятия и развлекательные события. Нужен широкий сбор с последующей тематической разметкой.</x:v>
      </x:c>
      <x:c r="E98" s="8" t="str">
        <x:v>mixed_project_feed</x:v>
      </x:c>
      <x:c r="F98" s="8"/>
      <x:c r="G98" s="8"/>
      <x:c r="H98" s="8"/>
      <x:c r="I98" s="8" t="str">
        <x:v>Найти текущие задачи, точную поверхность запросов и владельца программы.</x:v>
      </x:c>
      <x:c r="J98" s="8" t="n">
        <x:v>5</x:v>
      </x:c>
      <x:c r="K98" s="8" t="str">
        <x:v>https://t.me/s/spbeventjob?before=106617&amp;q=%23%D0%A1%D0%BF%D0%B8%D0%BA%D0%B5%D1%80</x:v>
      </x:c>
      <x:c r="L98" s="8" t="str">
        <x:v>V7-S681d2bb13f</x:v>
      </x:c>
      <x:c r="M98" s="8" t="str">
        <x:v>turn1227view0; turn1278view0; turn1257view0; turn1260view0; turn1258view0</x:v>
      </x:c>
    </x:row>
    <x:row r="99" ht="35.25" customHeight="1">
      <x:c r="A99" s="8" t="str">
        <x:v>V7-R094</x:v>
      </x:c>
      <x:c r="B99" s="8" t="str">
        <x:v>Фриланс Таверна Official | Вакансии Удаленная работа – Telegram</x:v>
      </x:c>
      <x:c r="C99" s="8" t="str">
        <x:v>Прочитана часть</x:v>
      </x:c>
      <x:c r="D99" s="8" t="str">
        <x:v>В тематической выборке есть проектная разработка интерактивных курсов и SCORM. Даты конкретных примеров требуют отдельного подтверждения.</x:v>
      </x:c>
      <x:c r="E99" s="8" t="str">
        <x:v>course_development_examples</x:v>
      </x:c>
      <x:c r="F99" s="8"/>
      <x:c r="G99" s="8"/>
      <x:c r="H99" s="8"/>
      <x:c r="I99" s="8" t="str">
        <x:v>Найти текущие задачи, точную поверхность запросов и владельца программы.</x:v>
      </x:c>
      <x:c r="J99" s="8" t="n">
        <x:v>2</x:v>
      </x:c>
      <x:c r="K99" s="8" t="str">
        <x:v>https://t.me/s/freelancetaverna/2881?q=%23%D0%BC%D0%B5%D1%82%D0%BE%D0%B4%D0%B8%D1%81%D1%82</x:v>
      </x:c>
      <x:c r="L99" s="8" t="str">
        <x:v>V7-S416f752672</x:v>
      </x:c>
      <x:c r="M99" s="8" t="str">
        <x:v>turn1219view0; turn1268view0</x:v>
      </x:c>
    </x:row>
    <x:row r="100" ht="35.25" customHeight="1">
      <x:c r="A100" s="8" t="str">
        <x:v>V7-R095</x:v>
      </x:c>
      <x:c r="B100" s="8" t="str">
        <x:v>HR[хаб]вакансии – Telegram</x:v>
      </x:c>
      <x:c r="C100" s="8" t="str">
        <x:v>Прочитана часть</x:v>
      </x:c>
      <x:c r="D100" s="8" t="str">
        <x:v>HR-вакансии помогают выявлять развитие функции обучения; не считать найм сотрудника внешним заказом.</x:v>
      </x:c>
      <x:c r="E100" s="8" t="str">
        <x:v>employment_early_signals</x:v>
      </x:c>
      <x:c r="F100" s="8"/>
      <x:c r="G100" s="8"/>
      <x:c r="H100" s="8"/>
      <x:c r="I100" s="8" t="str">
        <x:v>Найти текущие задачи, точную поверхность запросов и владельца программы.</x:v>
      </x:c>
      <x:c r="J100" s="8" t="n">
        <x:v>2</x:v>
      </x:c>
      <x:c r="K100" s="8" t="str">
        <x:v>https://t.me/s/hrhubvacancy?before=3485</x:v>
      </x:c>
      <x:c r="L100" s="8" t="str">
        <x:v>V7-S8443ac4e73</x:v>
      </x:c>
      <x:c r="M100" s="8" t="str">
        <x:v>turn1230view0; turn1282view0</x:v>
      </x:c>
    </x:row>
    <x:row r="101" ht="35.25" customHeight="1">
      <x:c r="A101" s="8" t="str">
        <x:v>V7-R096</x:v>
      </x:c>
      <x:c r="B101" s="8" t="str">
        <x:v>Тренер тренеру (поиск экспертов) – Telegram</x:v>
      </x:c>
      <x:c r="C101" s="8" t="str">
        <x:v>Прочитана часть</x:v>
      </x:c>
      <x:c r="D101" s="8" t="str">
        <x:v>Архивная выборка содержит рекомендации тренеров и запросы лидерского обучения. Актуальные даты и текущая лента не установлены.</x:v>
      </x:c>
      <x:c r="E101" s="8" t="str">
        <x:v>direct_training_examples</x:v>
      </x:c>
      <x:c r="F101" s="8"/>
      <x:c r="G101" s="8"/>
      <x:c r="H101" s="8"/>
      <x:c r="I101" s="8" t="str">
        <x:v>Найти текущие задачи, точную поверхность запросов и владельца программы.</x:v>
      </x:c>
      <x:c r="J101" s="8" t="n">
        <x:v>2</x:v>
      </x:c>
      <x:c r="K101" s="8" t="str">
        <x:v>https://t.me/s/edu_feed?before=41&amp;q=%23%D1%82%D1%80%D0%B5%D0%BD%D0%B5%D1%80</x:v>
      </x:c>
      <x:c r="L101" s="8" t="str">
        <x:v>V7-S2de79a2239</x:v>
      </x:c>
      <x:c r="M101" s="8" t="str">
        <x:v>turn1224view0; turn1272view0</x:v>
      </x:c>
    </x:row>
    <x:row r="102" ht="35.25" customHeight="1">
      <x:c r="A102" s="8" t="str">
        <x:v>V7-R097</x:v>
      </x:c>
      <x:c r="B102" s="8" t="str">
        <x:v>Методист (проектная работа) в NDA | Эйч — сервис развития карьеры</x:v>
      </x:c>
      <x:c r="C102" s="8" t="str">
        <x:v>Прочитана часть</x:v>
      </x:c>
      <x:c r="D102" s="8" t="str">
        <x:v>Карточка проектного методиста явно находится в архиве. Сохранить площадку как источник следующих заданий.</x:v>
      </x:c>
      <x:c r="E102" s="8" t="str">
        <x:v>archived_project</x:v>
      </x:c>
      <x:c r="F102" s="8"/>
      <x:c r="G102" s="8"/>
      <x:c r="H102" s="8"/>
      <x:c r="I102" s="8" t="str">
        <x:v>Найти текущие задачи, точную поверхность запросов и владельца программы.</x:v>
      </x:c>
      <x:c r="J102" s="8" t="n">
        <x:v>1</x:v>
      </x:c>
      <x:c r="K102" s="8" t="str">
        <x:v>https://h.careers/job/06eb6afe-2dc9-45cb-a22f-62ff8dcb7742</x:v>
      </x:c>
      <x:c r="L102" s="8" t="str">
        <x:v>V7-Sb6e66ff496</x:v>
      </x:c>
      <x:c r="M102" s="8" t="str">
        <x:v>turn1233view0</x:v>
      </x:c>
    </x:row>
    <x:row r="103" ht="35.25" customHeight="1">
      <x:c r="A103" s="8" t="str">
        <x:v>V7-R098</x:v>
      </x:c>
      <x:c r="B103" s="8" t="str">
        <x:v>Методолог (EdTech) в Sergey Sergeev | Hirify</x:v>
      </x:c>
      <x:c r="C103" s="8" t="str">
        <x:v>Прочитана часть</x:v>
      </x:c>
      <x:c r="D103" s="8" t="str">
        <x:v>Запрос на микро-курсы для предпринимателей архивирован. Не считать открытым лидом.</x:v>
      </x:c>
      <x:c r="E103" s="8" t="str">
        <x:v>archived_project</x:v>
      </x:c>
      <x:c r="F103" s="8"/>
      <x:c r="G103" s="8"/>
      <x:c r="H103" s="8"/>
      <x:c r="I103" s="8" t="str">
        <x:v>Найти текущие задачи, точную поверхность запросов и владельца программы.</x:v>
      </x:c>
      <x:c r="J103" s="8" t="n">
        <x:v>1</x:v>
      </x:c>
      <x:c r="K103" s="8" t="str">
        <x:v>https://hirify.me/jobs/487898-metodolog-edtech</x:v>
      </x:c>
      <x:c r="L103" s="8" t="str">
        <x:v>V7-S933287c25b</x:v>
      </x:c>
      <x:c r="M103" s="8" t="str">
        <x:v>turn1235view0</x:v>
      </x:c>
    </x:row>
    <x:row r="104" ht="35.25" customHeight="1">
      <x:c r="A104" s="8" t="str">
        <x:v>V7-R099</x:v>
      </x:c>
      <x:c r="B104" s="8" t="str">
        <x:v>Бизнес-тренер — ПРОГРЕСС&amp;CO — Актау · Гибрид · Частичная — Finder.work</x:v>
      </x:c>
      <x:c r="C104" s="8" t="str">
        <x:v>Прочитана часть</x:v>
      </x:c>
      <x:c r="D104" s="8" t="str">
        <x:v>ПРОГРЕСС&amp;CO в Актау приглашает тренеров корпоративных программ. Публикация 6 августа 2026; актуальность проверить у первоисточника.</x:v>
      </x:c>
      <x:c r="E104" s="8" t="str">
        <x:v>trainer_recruitment</x:v>
      </x:c>
      <x:c r="F104" s="8" t="str">
        <x:v>2026-08-06</x:v>
      </x:c>
      <x:c r="G104" s="8" t="str">
        <x:v>publication</x:v>
      </x:c>
      <x:c r="H104" s="8"/>
      <x:c r="I104" s="8" t="str">
        <x:v>Уточнить тему, оплату, договор с МИСБ и актуальность приема.</x:v>
      </x:c>
      <x:c r="J104" s="8" t="n">
        <x:v>1</x:v>
      </x:c>
      <x:c r="K104" s="8" t="str">
        <x:v>https://kz.finder.work/vacancy/28065058</x:v>
      </x:c>
      <x:c r="L104" s="8" t="str">
        <x:v>V7-S5411233558</x:v>
      </x:c>
      <x:c r="M104" s="8" t="str">
        <x:v>turn1232view0</x:v>
      </x:c>
    </x:row>
    <x:row r="105" ht="35.25" customHeight="1">
      <x:c r="A105" s="8" t="str">
        <x:v>V7-R100</x:v>
      </x:c>
      <x:c r="B105" s="8" t="str">
        <x:v>Ассоциация Бизнес-тренеров</x:v>
      </x:c>
      <x:c r="C105" s="8" t="str">
        <x:v>Прочитана часть</x:v>
      </x:c>
      <x:c r="D105" s="8" t="str">
        <x:v>Ассоциация бизнес-тренеров Казахстана: эксперты и партнерская сеть; незакрытый заказ не найден.</x:v>
      </x:c>
      <x:c r="E105" s="8" t="str">
        <x:v>trainer_association</x:v>
      </x:c>
      <x:c r="F105" s="8"/>
      <x:c r="G105" s="8"/>
      <x:c r="H105" s="8"/>
      <x:c r="I105" s="8" t="str">
        <x:v>Найти текущие задачи, точную поверхность запросов и владельца программы.</x:v>
      </x:c>
      <x:c r="J105" s="8" t="n">
        <x:v>2</x:v>
      </x:c>
      <x:c r="K105" s="8" t="str">
        <x:v>https://qazcoach.com/</x:v>
      </x:c>
      <x:c r="L105" s="8" t="str">
        <x:v>V7-Sbc2a52a665</x:v>
      </x:c>
      <x:c r="M105" s="8" t="str">
        <x:v>turn1234view0; turn1254view0</x:v>
      </x:c>
    </x:row>
  </x:sheetData>
  <x:pageMargins left="0.7" right="0.7" top="0.75" bottom="0.75" header="0.3" footer="0.3"/>
  <x:tableParts count="1">
    <x:tablePart xmlns:r="http://schemas.openxmlformats.org/officeDocument/2006/relationships" r:id="R59c3093d4dd942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34.439998626708984" hidden="0" customWidth="1"/>
    <x:col min="3" max="3" width="27.219999313354492" hidden="0" customWidth="1"/>
    <x:col min="4" max="4" width="72.22000122070312" hidden="0" customWidth="1"/>
    <x:col min="5" max="5" width="20.559999465942383" hidden="0" customWidth="1"/>
    <x:col min="6" max="6" width="26.670000076293945" hidden="0" customWidth="1"/>
    <x:col min="7" max="7" width="19.440000534057617" hidden="0" customWidth="1"/>
    <x:col min="8" max="8" width="20.559999465942383" hidden="0" customWidth="1"/>
    <x:col min="9" max="9" width="36.66999816894531" hidden="0" customWidth="1"/>
    <x:col min="10" max="10" width="50" hidden="0" customWidth="1"/>
    <x:col min="11" max="11" width="55.560001373291016" hidden="0" customWidth="1"/>
    <x:col min="12" max="12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6.25" customHeight="1">
      <x:c r="A2" s="3" t="str">
        <x:v>21 пример для адресной проверки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.5" customHeight="1">
      <x:c r="A3" s="4" t="str">
        <x:v>Приглашения и исторические запросы. Ни один пример не подтвержден как новый открытый покупательский заказ.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Пример ID</x:v>
      </x:c>
      <x:c r="B5" s="7" t="str">
        <x:v>Источник</x:v>
      </x:c>
      <x:c r="C5" s="7" t="str">
        <x:v>Тип примера</x:v>
      </x:c>
      <x:c r="D5" s="7" t="str">
        <x:v>Что найдено</x:v>
      </x:c>
      <x:c r="E5" s="7" t="str">
        <x:v>Дата в источнике</x:v>
      </x:c>
      <x:c r="F5" s="7" t="str">
        <x:v>Тип даты</x:v>
      </x:c>
      <x:c r="G5" s="7" t="str">
        <x:v>Свежесть 14 дней</x:v>
      </x:c>
      <x:c r="H5" s="7" t="str">
        <x:v>Открыто сейчас</x:v>
      </x:c>
      <x:c r="I5" s="7" t="str">
        <x:v>Маршрут контакта</x:v>
      </x:c>
      <x:c r="J5" s="7" t="str">
        <x:v>Следующий шаг</x:v>
      </x:c>
      <x:c r="K5" s="7" t="str">
        <x:v>URL</x:v>
      </x:c>
      <x:c r="L5" s="7" t="str">
        <x:v>Источник ID</x:v>
      </x:c>
    </x:row>
    <x:row r="6" ht="35.25" customHeight="1">
      <x:c r="A6" s="8" t="str">
        <x:v>V7-X001</x:v>
      </x:c>
      <x:c r="B6" s="8" t="str">
        <x:v>ВРЕМЯ:HR</x:v>
      </x:c>
      <x:c r="C6" s="8" t="str">
        <x:v>cooperation_invitation</x:v>
      </x:c>
      <x:c r="D6" s="8" t="str">
        <x:v>Региональное HR-сообщество принимает предложения выступлений и сотрудничества. Найдены отдельные канал, чат и MAX.</x:v>
      </x:c>
      <x:c r="E6" s="8"/>
      <x:c r="F6" s="8"/>
      <x:c r="G6" s="8" t="str">
        <x:v>Не подтверждена</x:v>
      </x:c>
      <x:c r="H6" s="8" t="str">
        <x:v>Не подтверждено</x:v>
      </x:c>
      <x:c r="I6" s="8" t="str">
        <x:v>info@hrtime-nn.ru</x:v>
      </x:c>
      <x:c r="J6" s="8" t="str">
        <x:v>Уточнить тему, оплату, договор с МИСБ и актуальность приема.</x:v>
      </x:c>
      <x:c r="K6" s="8" t="str">
        <x:v>https://hrtime-nn.ru/</x:v>
      </x:c>
      <x:c r="L6" s="8" t="str">
        <x:v>V7-Sfa3ab462bb</x:v>
      </x:c>
    </x:row>
    <x:row r="7" ht="35.25" customHeight="1">
      <x:c r="A7" s="8" t="str">
        <x:v>V7-X011</x:v>
      </x:c>
      <x:c r="B7" s="8" t="str">
        <x:v>Союз Проектных Менеджеров Республики Казахстан - Партнеры СПМ РК</x:v>
      </x:c>
      <x:c r="C7" s="8" t="str">
        <x:v>expert_pool</x:v>
      </x:c>
      <x:c r="D7" s="8" t="str">
        <x:v>СПМ РК приглашает практиков для разработки и проведения программ. Открытость конкретного задания и контракт с МИСБ уточняются.</x:v>
      </x:c>
      <x:c r="E7" s="8"/>
      <x:c r="F7" s="8"/>
      <x:c r="G7" s="8" t="str">
        <x:v>Не подтверждена</x:v>
      </x:c>
      <x:c r="H7" s="8" t="str">
        <x:v>Не подтверждено</x:v>
      </x:c>
      <x:c r="I7" s="8"/>
      <x:c r="J7" s="8" t="str">
        <x:v>Уточнить тему, оплату, договор с МИСБ и актуальность приема.</x:v>
      </x:c>
      <x:c r="K7" s="8" t="str">
        <x:v>https://spmrk.kz/ru/news/item/682-konkurs-po-naboru-biznes-trenerov</x:v>
      </x:c>
      <x:c r="L7" s="8" t="str">
        <x:v>V7-S5ef01ce831</x:v>
      </x:c>
    </x:row>
    <x:row r="8" ht="35.25" customHeight="1">
      <x:c r="A8" s="8" t="str">
        <x:v>V7-X017</x:v>
      </x:c>
      <x:c r="B8" s="8" t="str">
        <x:v>СТМЛК - сообщество топ-менеджеров логистических компаний</x:v>
      </x:c>
      <x:c r="C8" s="8" t="str">
        <x:v>association_partnership</x:v>
      </x:c>
      <x:c r="D8" s="8" t="str">
        <x:v>Сообщество руководителей логистики открыто к образовательным организациям; есть отдельные VK и Telegram.</x:v>
      </x:c>
      <x:c r="E8" s="8"/>
      <x:c r="F8" s="8"/>
      <x:c r="G8" s="8" t="str">
        <x:v>Не подтверждена</x:v>
      </x:c>
      <x:c r="H8" s="8" t="str">
        <x:v>Не подтверждено</x:v>
      </x:c>
      <x:c r="I8" s="8" t="str">
        <x:v>info@tmlc.ru</x:v>
      </x:c>
      <x:c r="J8" s="8" t="str">
        <x:v>Уточнить тему, оплату, договор с МИСБ и актуальность приема.</x:v>
      </x:c>
      <x:c r="K8" s="8" t="str">
        <x:v>https://tmlc.ru/about</x:v>
      </x:c>
      <x:c r="L8" s="8" t="str">
        <x:v>V7-S931d7f18e4</x:v>
      </x:c>
    </x:row>
    <x:row r="9" ht="35.25" customHeight="1">
      <x:c r="A9" s="8" t="str">
        <x:v>V7-X032</x:v>
      </x:c>
      <x:c r="B9" s="8" t="str">
        <x:v>Спикерам: как создавать курсы</x:v>
      </x:c>
      <x:c r="C9" s="8" t="str">
        <x:v>course_author_pool</x:v>
      </x:c>
      <x:c r="D9" s="8" t="str">
        <x:v>Slurm приглашает авторов и спикеров IT-курсов. Тематику и договор с образовательной организацией требуется согласовать.</x:v>
      </x:c>
      <x:c r="E9" s="8"/>
      <x:c r="F9" s="8"/>
      <x:c r="G9" s="8" t="str">
        <x:v>Не подтверждена</x:v>
      </x:c>
      <x:c r="H9" s="8" t="str">
        <x:v>Не подтверждено</x:v>
      </x:c>
      <x:c r="I9" s="8"/>
      <x:c r="J9" s="8" t="str">
        <x:v>Уточнить тему, оплату, договор с МИСБ и актуальность приема.</x:v>
      </x:c>
      <x:c r="K9" s="8" t="str">
        <x:v>https://slurm.io/for-speakers</x:v>
      </x:c>
      <x:c r="L9" s="8" t="str">
        <x:v>V7-S3f62f435c1</x:v>
      </x:c>
    </x:row>
    <x:row r="10" ht="35.25" customHeight="1">
      <x:c r="A10" s="8" t="str">
        <x:v>V7-X033</x:v>
      </x:c>
      <x:c r="B10" s="8" t="str">
        <x:v>Вакансии / Об академии / БИЗНЕС АКАДЕМИЯ DKS - официальный сайт учебного центра</x:v>
      </x:c>
      <x:c r="C10" s="8" t="str">
        <x:v>individual_trainer_recruitment</x:v>
      </x:c>
      <x:c r="D10" s="8" t="str">
        <x:v>DKS приглашает преподавателей-практиков; предусмотрены аккредитация и трудовое соглашение. Это не подтвержденный субподряд МИСБ.</x:v>
      </x:c>
      <x:c r="E10" s="8"/>
      <x:c r="F10" s="8"/>
      <x:c r="G10" s="8" t="str">
        <x:v>Не подтверждена</x:v>
      </x:c>
      <x:c r="H10" s="8" t="str">
        <x:v>Не подтверждено</x:v>
      </x:c>
      <x:c r="I10" s="8"/>
      <x:c r="J10" s="8" t="str">
        <x:v>Уточнить тему, оплату, договор с МИСБ и актуальность приема.</x:v>
      </x:c>
      <x:c r="K10" s="8" t="str">
        <x:v>https://btacademy.ru/about/vakansii/</x:v>
      </x:c>
      <x:c r="L10" s="8" t="str">
        <x:v>V7-S563f083c46</x:v>
      </x:c>
    </x:row>
    <x:row r="11" ht="47.25" customHeight="1">
      <x:c r="A11" s="8" t="str">
        <x:v>V7-X039</x:v>
      </x:c>
      <x:c r="B11" s="8" t="str">
        <x:v>Профпереподготовка и повышение квалификации | Дистанционное обучение в Оренбургской бизнес-школе - О бизнес-школе</x:v>
      </x:c>
      <x:c r="C11" s="8" t="str">
        <x:v>expert_and_reseller_pool</x:v>
      </x:c>
      <x:c r="D11" s="8" t="str">
        <x:v>Бизнес-школа приглашает преподавателей и организаторов вебинаров. Отдельная программа для регионов является агентской.</x:v>
      </x:c>
      <x:c r="E11" s="8"/>
      <x:c r="F11" s="8"/>
      <x:c r="G11" s="8" t="str">
        <x:v>Не подтверждена</x:v>
      </x:c>
      <x:c r="H11" s="8" t="str">
        <x:v>Не подтверждено</x:v>
      </x:c>
      <x:c r="I11" s="8" t="str">
        <x:v>info@orenbs.ru</x:v>
      </x:c>
      <x:c r="J11" s="8" t="str">
        <x:v>Уточнить тему, оплату, договор с МИСБ и актуальность приема.</x:v>
      </x:c>
      <x:c r="K11" s="8" t="str">
        <x:v>https://orenbs.info/school</x:v>
      </x:c>
      <x:c r="L11" s="8" t="str">
        <x:v>V7-Se38c2001d4</x:v>
      </x:c>
    </x:row>
    <x:row r="12" ht="35.25" customHeight="1">
      <x:c r="A12" s="8" t="str">
        <x:v>V7-X040</x:v>
      </x:c>
      <x:c r="B12" s="8" t="str">
        <x:v>Партнерам</x:v>
      </x:c>
      <x:c r="C12" s="8" t="str">
        <x:v>trainer_cv_route</x:v>
      </x:c>
      <x:c r="D12" s="8" t="str">
        <x:v>LTC принимает резюме тренеров в HR-службу; предложения промосотрудничества направляются отдельно.</x:v>
      </x:c>
      <x:c r="E12" s="8"/>
      <x:c r="F12" s="8"/>
      <x:c r="G12" s="8" t="str">
        <x:v>Не подтверждена</x:v>
      </x:c>
      <x:c r="H12" s="8" t="str">
        <x:v>Не подтверждено</x:v>
      </x:c>
      <x:c r="I12" s="8" t="str">
        <x:v>hr@1ltc.ru</x:v>
      </x:c>
      <x:c r="J12" s="8" t="str">
        <x:v>Уточнить тему, оплату, договор с МИСБ и актуальность приема.</x:v>
      </x:c>
      <x:c r="K12" s="8" t="str">
        <x:v>https://1ltc.ru/%D1%81%D0%BE%D1%82%D1%80%D1%83%D0%B4%D0%BD%D0%B8%D1%87%D0%B5%D1%81%D1%82%D0%B2%D0%BE/</x:v>
      </x:c>
      <x:c r="L12" s="8" t="str">
        <x:v>V7-S819b1005ce</x:v>
      </x:c>
    </x:row>
    <x:row r="13" ht="59.25" customHeight="1">
      <x:c r="A13" s="8" t="str">
        <x:v>V7-X041</x:v>
      </x:c>
      <x:c r="B13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13" s="8" t="str">
        <x:v>content_partner_pool</x:v>
      </x:c>
      <x:c r="D13" s="8" t="str">
        <x:v>Открытые Технологии отдельно приглашают разработчиков образовательного контента, включая библиотеки совместимых курсов.</x:v>
      </x:c>
      <x:c r="E13" s="8"/>
      <x:c r="F13" s="8"/>
      <x:c r="G13" s="8" t="str">
        <x:v>Не подтверждена</x:v>
      </x:c>
      <x:c r="H13" s="8" t="str">
        <x:v>Не подтверждено</x:v>
      </x:c>
      <x:c r="I13" s="8"/>
      <x:c r="J13" s="8" t="str">
        <x:v>Уточнить тему, оплату, договор с МИСБ и актуальность приема.</x:v>
      </x:c>
      <x:c r="K13" s="8" t="str">
        <x:v>https://opentechnology.ru/cooperation</x:v>
      </x:c>
      <x:c r="L13" s="8" t="str">
        <x:v>V7-Se18ccb41d5</x:v>
      </x:c>
    </x:row>
    <x:row r="14" ht="35.25" customHeight="1">
      <x:c r="A14" s="8" t="str">
        <x:v>V7-X051</x:v>
      </x:c>
      <x:c r="B14" s="8" t="str">
        <x:v>Корпоративные преподаватели Технического университета УГМК</x:v>
      </x:c>
      <x:c r="C14" s="8" t="str">
        <x:v>paid_corporate_teacher_pool</x:v>
      </x:c>
      <x:c r="D14" s="8" t="str">
        <x:v>Технический университет УГМК набирает корпоративных преподавателей и указывает возмездные условия. Доступность для внешней организации уточнить.</x:v>
      </x:c>
      <x:c r="E14" s="8"/>
      <x:c r="F14" s="8"/>
      <x:c r="G14" s="8" t="str">
        <x:v>Не подтверждена</x:v>
      </x:c>
      <x:c r="H14" s="8" t="str">
        <x:v>Не подтверждено</x:v>
      </x:c>
      <x:c r="I14" s="8"/>
      <x:c r="J14" s="8" t="str">
        <x:v>Уточнить тему, оплату, договор с МИСБ и актуальность приема.</x:v>
      </x:c>
      <x:c r="K14" s="8" t="str">
        <x:v>https://korp.eduugmk.com/</x:v>
      </x:c>
      <x:c r="L14" s="8" t="str">
        <x:v>V7-S2b1db7eaaa</x:v>
      </x:c>
    </x:row>
    <x:row r="15" ht="35.25" customHeight="1">
      <x:c r="A15" s="8" t="str">
        <x:v>V7-X062</x:v>
      </x:c>
      <x:c r="B15" s="8" t="str">
        <x:v>Как стать спикером - Суровый Питерский Форум про маркетинг, SMM и бизнес</x:v>
      </x:c>
      <x:c r="C15" s="8" t="str">
        <x:v>speaker_application</x:v>
      </x:c>
      <x:c r="D15" s="8" t="str">
        <x:v>Есть условия отбора практиков для форума. Гонорар и свободные места не подтверждены; вложение открылось лишь страницей Диска.</x:v>
      </x:c>
      <x:c r="E15" s="8"/>
      <x:c r="F15" s="8"/>
      <x:c r="G15" s="8" t="str">
        <x:v>Не подтверждена</x:v>
      </x:c>
      <x:c r="H15" s="8" t="str">
        <x:v>Не подтверждено</x:v>
      </x:c>
      <x:c r="I15" s="8" t="str">
        <x:v>info@smmconfa.ru</x:v>
      </x:c>
      <x:c r="J15" s="8" t="str">
        <x:v>Уточнить тему, оплату, договор с МИСБ и актуальность приема.</x:v>
      </x:c>
      <x:c r="K15" s="8" t="str">
        <x:v>https://smmconfa.ru/become_speaker/</x:v>
      </x:c>
      <x:c r="L15" s="8" t="str">
        <x:v>V7-S42275a4852</x:v>
      </x:c>
    </x:row>
    <x:row r="16" ht="35.25" customHeight="1">
      <x:c r="A16" s="8" t="str">
        <x:v>V7-X064</x:v>
      </x:c>
      <x:c r="B16" s="8" t="str">
        <x:v>HR-club</x:v>
      </x:c>
      <x:c r="C16" s="8" t="str">
        <x:v>speaker_application</x:v>
      </x:c>
      <x:c r="D16" s="8" t="str">
        <x:v>HR-club принимает заявки спикеров и спонсоров в общей форме; эти коммерческие роли нужно различать.</x:v>
      </x:c>
      <x:c r="E16" s="8"/>
      <x:c r="F16" s="8"/>
      <x:c r="G16" s="8" t="str">
        <x:v>Не подтверждена</x:v>
      </x:c>
      <x:c r="H16" s="8" t="str">
        <x:v>Не подтверждено</x:v>
      </x:c>
      <x:c r="I16" s="8"/>
      <x:c r="J16" s="8" t="str">
        <x:v>Уточнить тему, оплату, договор с МИСБ и актуальность приема.</x:v>
      </x:c>
      <x:c r="K16" s="8" t="str">
        <x:v>https://hrclub-conf.ru/</x:v>
      </x:c>
      <x:c r="L16" s="8" t="str">
        <x:v>V7-Sc0fa290396</x:v>
      </x:c>
    </x:row>
    <x:row r="17" ht="35.25" customHeight="1">
      <x:c r="A17" s="8" t="str">
        <x:v>V7-X067</x:v>
      </x:c>
      <x:c r="B17" s="8" t="str">
        <x:v>МЕЖДУНАРОДНЫЙ HR-ФОРУМ 2026 В АЛМАТЫ 25-26 НОЯБРЯ</x:v>
      </x:c>
      <x:c r="C17" s="8" t="str">
        <x:v>speaker_application</x:v>
      </x:c>
      <x:c r="D17" s="8" t="str">
        <x:v>HR-форум в Алматы 25–26 ноября 2026 приглашает партнеров и спикеров. Найден Telegram-контакт куратора.</x:v>
      </x:c>
      <x:c r="E17" s="8" t="str">
        <x:v>2026-11-25</x:v>
      </x:c>
      <x:c r="F17" s="8" t="str">
        <x:v>event_start</x:v>
      </x:c>
      <x:c r="G17" s="8" t="str">
        <x:v>Не подтверждена</x:v>
      </x:c>
      <x:c r="H17" s="8" t="str">
        <x:v>Не подтверждено</x:v>
      </x:c>
      <x:c r="I17" s="8" t="str">
        <x:v>pr.manager.chuprina@gmail.com</x:v>
      </x:c>
      <x:c r="J17" s="8" t="str">
        <x:v>Уточнить тему, оплату, договор с МИСБ и актуальность приема.</x:v>
      </x:c>
      <x:c r="K17" s="8" t="str">
        <x:v>https://www.hrforumasia.com/almaty</x:v>
      </x:c>
      <x:c r="L17" s="8" t="str">
        <x:v>V7-S89a2f1541e</x:v>
      </x:c>
    </x:row>
    <x:row r="18" ht="47.25" customHeight="1">
      <x:c r="A18" s="8" t="str">
        <x:v>V7-X071</x:v>
      </x:c>
      <x:c r="B18" s="8" t="str">
        <x:v>Центр «Мой Бизнес» — Центр «Мой бизнес» приглашает к сотрудничеству спикеров и лекторов - Центр мой бизнес Орёл</x:v>
      </x:c>
      <x:c r="C18" s="8" t="str">
        <x:v>standing_speaker_invitation</x:v>
      </x:c>
      <x:c r="D18" s="8" t="str">
        <x:v>Центр Мой бизнес Орёл публикует правила подачи предложений спикеров. Дата 14 июля 2025, прием сейчас требует уточнения.</x:v>
      </x:c>
      <x:c r="E18" s="8" t="str">
        <x:v>2025-07-14</x:v>
      </x:c>
      <x:c r="F18" s="8" t="str">
        <x:v>publication</x:v>
      </x:c>
      <x:c r="G18" s="8" t="str">
        <x:v>Не подтверждена</x:v>
      </x:c>
      <x:c r="H18" s="8" t="str">
        <x:v>Не подтверждено</x:v>
      </x:c>
      <x:c r="I18" s="8"/>
      <x:c r="J18" s="8" t="str">
        <x:v>Уточнить тему, оплату, договор с МИСБ и актуальность приема.</x:v>
      </x:c>
      <x:c r="K18" s="8" t="str">
        <x:v>https://msb-orel.ru/events/czentr-moj-biznes-priglashaet-k-sotrudnichestvu-spikerov-i-lektorov</x:v>
      </x:c>
      <x:c r="L18" s="8" t="str">
        <x:v>V7-Sfb2f3cb02d</x:v>
      </x:c>
    </x:row>
    <x:row r="19" ht="35.25" customHeight="1">
      <x:c r="A19" s="8" t="str">
        <x:v>V7-X072</x:v>
      </x:c>
      <x:c r="B19" s="8" t="str">
        <x:v>Как стать спикером центра «Мой бизнес» | АНО «Мой бизнес»</x:v>
      </x:c>
      <x:c r="C19" s="8" t="str">
        <x:v>standing_speaker_invitation</x:v>
      </x:c>
      <x:c r="D19" s="8" t="str">
        <x:v>Вологодский центр принимает портфолио и программы на бланке организации. Публикация 26 августа 2025.</x:v>
      </x:c>
      <x:c r="E19" s="8" t="str">
        <x:v>2025-08-26</x:v>
      </x:c>
      <x:c r="F19" s="8" t="str">
        <x:v>publication</x:v>
      </x:c>
      <x:c r="G19" s="8" t="str">
        <x:v>Не подтверждена</x:v>
      </x:c>
      <x:c r="H19" s="8" t="str">
        <x:v>Не подтверждено</x:v>
      </x:c>
      <x:c r="I19" s="8" t="str">
        <x:v>mail@mb35.ru</x:v>
      </x:c>
      <x:c r="J19" s="8" t="str">
        <x:v>Уточнить тему, оплату, договор с МИСБ и актуальность приема.</x:v>
      </x:c>
      <x:c r="K19" s="8" t="str">
        <x:v>https://mb35.ru/novosti/kak-stat-spikerom-tsentra-moy-biznes/</x:v>
      </x:c>
      <x:c r="L19" s="8" t="str">
        <x:v>V7-Sa2b398a91e</x:v>
      </x:c>
    </x:row>
    <x:row r="20" ht="35.25" customHeight="1">
      <x:c r="A20" s="8" t="str">
        <x:v>V7-X083</x:v>
      </x:c>
      <x:c r="B20" s="8" t="str">
        <x:v>Спикеры для бизнеса и лекции для предпринимателей – приглашенные эксперты</x:v>
      </x:c>
      <x:c r="C20" s="8" t="str">
        <x:v>speaker_application</x:v>
      </x:c>
      <x:c r="D20" s="8" t="str">
        <x:v>PROБИЗНЕС прямо ищет практиков для B2B-выступлений и принимает заявки. Оплата и доступность слота не названы.</x:v>
      </x:c>
      <x:c r="E20" s="8"/>
      <x:c r="F20" s="8"/>
      <x:c r="G20" s="8" t="str">
        <x:v>Не подтверждена</x:v>
      </x:c>
      <x:c r="H20" s="8" t="str">
        <x:v>Не подтверждено</x:v>
      </x:c>
      <x:c r="I20" s="8"/>
      <x:c r="J20" s="8" t="str">
        <x:v>Уточнить тему, оплату, договор с МИСБ и актуальность приема.</x:v>
      </x:c>
      <x:c r="K20" s="8" t="str">
        <x:v>https://probusinessclub.ru/speakers</x:v>
      </x:c>
      <x:c r="L20" s="8" t="str">
        <x:v>V7-Sca3637f5e2</x:v>
      </x:c>
    </x:row>
    <x:row r="21" ht="47.25" customHeight="1">
      <x:c r="A21" s="8" t="str">
        <x:v>V7-X092</x:v>
      </x:c>
      <x:c r="B21" s="8" t="str">
        <x:v>Ищем методолога образовательных курсов Нужен человек, который умеет… — SMMLANCER - работа в соц.сетях! — TG.ME</x:v>
      </x:c>
      <x:c r="C21" s="8" t="str">
        <x:v>course_methodologist_request</x:v>
      </x:c>
      <x:c r="D21" s="8" t="str">
        <x:v>Есть запрос методолога для создания курсов от 14 сентября 2026. Он старше двух недель; актуальность не подтверждена.</x:v>
      </x:c>
      <x:c r="E21" s="8" t="str">
        <x:v>2026-09-14</x:v>
      </x:c>
      <x:c r="F21" s="8" t="str">
        <x:v>publication</x:v>
      </x:c>
      <x:c r="G21" s="8" t="str">
        <x:v>Не подтверждена</x:v>
      </x:c>
      <x:c r="H21" s="8" t="str">
        <x:v>Не подтверждено</x:v>
      </x:c>
      <x:c r="I21" s="8"/>
      <x:c r="J21" s="8" t="str">
        <x:v>Найти текущие задачи, точную поверхность запросов и владельца программы.</x:v>
      </x:c>
      <x:c r="K21" s="8" t="str">
        <x:v>https://tg.me/smmlancer/8652</x:v>
      </x:c>
      <x:c r="L21" s="8" t="str">
        <x:v>V7-S3b30c35e66</x:v>
      </x:c>
    </x:row>
    <x:row r="22" ht="35.25" customHeight="1">
      <x:c r="A22" s="8" t="str">
        <x:v>V7-X094</x:v>
      </x:c>
      <x:c r="B22" s="8" t="str">
        <x:v>Фриланс Таверна Official | Вакансии Удаленная работа – Telegram</x:v>
      </x:c>
      <x:c r="C22" s="8" t="str">
        <x:v>course_development_examples</x:v>
      </x:c>
      <x:c r="D22" s="8" t="str">
        <x:v>В тематической выборке есть проектная разработка интерактивных курсов и SCORM. Даты конкретных примеров требуют отдельного подтверждения.</x:v>
      </x:c>
      <x:c r="E22" s="8"/>
      <x:c r="F22" s="8"/>
      <x:c r="G22" s="8" t="str">
        <x:v>Не подтверждена</x:v>
      </x:c>
      <x:c r="H22" s="8" t="str">
        <x:v>Не подтверждено</x:v>
      </x:c>
      <x:c r="I22" s="8"/>
      <x:c r="J22" s="8" t="str">
        <x:v>Найти текущие задачи, точную поверхность запросов и владельца программы.</x:v>
      </x:c>
      <x:c r="K22" s="8" t="str">
        <x:v>https://t.me/s/freelancetaverna/2881?q=%23%D0%BC%D0%B5%D1%82%D0%BE%D0%B4%D0%B8%D1%81%D1%82</x:v>
      </x:c>
      <x:c r="L22" s="8" t="str">
        <x:v>V7-S416f752672</x:v>
      </x:c>
    </x:row>
    <x:row r="23" ht="35.25" customHeight="1">
      <x:c r="A23" s="8" t="str">
        <x:v>V7-X096</x:v>
      </x:c>
      <x:c r="B23" s="8" t="str">
        <x:v>Тренер тренеру (поиск экспертов) – Telegram</x:v>
      </x:c>
      <x:c r="C23" s="8" t="str">
        <x:v>direct_training_examples</x:v>
      </x:c>
      <x:c r="D23" s="8" t="str">
        <x:v>Архивная выборка содержит рекомендации тренеров и запросы лидерского обучения. Актуальные даты и текущая лента не установлены.</x:v>
      </x:c>
      <x:c r="E23" s="8"/>
      <x:c r="F23" s="8"/>
      <x:c r="G23" s="8" t="str">
        <x:v>Не подтверждена</x:v>
      </x:c>
      <x:c r="H23" s="8" t="str">
        <x:v>Не подтверждено</x:v>
      </x:c>
      <x:c r="I23" s="8"/>
      <x:c r="J23" s="8" t="str">
        <x:v>Найти текущие задачи, точную поверхность запросов и владельца программы.</x:v>
      </x:c>
      <x:c r="K23" s="8" t="str">
        <x:v>https://t.me/s/edu_feed?before=41&amp;q=%23%D1%82%D1%80%D0%B5%D0%BD%D0%B5%D1%80</x:v>
      </x:c>
      <x:c r="L23" s="8" t="str">
        <x:v>V7-S2de79a2239</x:v>
      </x:c>
    </x:row>
    <x:row r="24" ht="35.25" customHeight="1">
      <x:c r="A24" s="8" t="str">
        <x:v>V7-X097</x:v>
      </x:c>
      <x:c r="B24" s="8" t="str">
        <x:v>Методист (проектная работа) в NDA | Эйч — сервис развития карьеры</x:v>
      </x:c>
      <x:c r="C24" s="8" t="str">
        <x:v>archived_project</x:v>
      </x:c>
      <x:c r="D24" s="8" t="str">
        <x:v>Карточка проектного методиста явно находится в архиве. Сохранить площадку как источник следующих заданий.</x:v>
      </x:c>
      <x:c r="E24" s="8"/>
      <x:c r="F24" s="8"/>
      <x:c r="G24" s="8" t="str">
        <x:v>Не подтверждена</x:v>
      </x:c>
      <x:c r="H24" s="8" t="str">
        <x:v>Не подтверждено</x:v>
      </x:c>
      <x:c r="I24" s="8"/>
      <x:c r="J24" s="8" t="str">
        <x:v>Найти текущие задачи, точную поверхность запросов и владельца программы.</x:v>
      </x:c>
      <x:c r="K24" s="8" t="str">
        <x:v>https://h.careers/job/06eb6afe-2dc9-45cb-a22f-62ff8dcb7742</x:v>
      </x:c>
      <x:c r="L24" s="8" t="str">
        <x:v>V7-Sb6e66ff496</x:v>
      </x:c>
    </x:row>
    <x:row r="25" ht="35.25" customHeight="1">
      <x:c r="A25" s="8" t="str">
        <x:v>V7-X098</x:v>
      </x:c>
      <x:c r="B25" s="8" t="str">
        <x:v>Методолог (EdTech) в Sergey Sergeev | Hirify</x:v>
      </x:c>
      <x:c r="C25" s="8" t="str">
        <x:v>archived_project</x:v>
      </x:c>
      <x:c r="D25" s="8" t="str">
        <x:v>Запрос на микро-курсы для предпринимателей архивирован. Не считать открытым лидом.</x:v>
      </x:c>
      <x:c r="E25" s="8"/>
      <x:c r="F25" s="8"/>
      <x:c r="G25" s="8" t="str">
        <x:v>Не подтверждена</x:v>
      </x:c>
      <x:c r="H25" s="8" t="str">
        <x:v>Не подтверждено</x:v>
      </x:c>
      <x:c r="I25" s="8"/>
      <x:c r="J25" s="8" t="str">
        <x:v>Найти текущие задачи, точную поверхность запросов и владельца программы.</x:v>
      </x:c>
      <x:c r="K25" s="8" t="str">
        <x:v>https://hirify.me/jobs/487898-metodolog-edtech</x:v>
      </x:c>
      <x:c r="L25" s="8" t="str">
        <x:v>V7-S933287c25b</x:v>
      </x:c>
    </x:row>
    <x:row r="26" ht="35.25" customHeight="1">
      <x:c r="A26" s="8" t="str">
        <x:v>V7-X099</x:v>
      </x:c>
      <x:c r="B26" s="8" t="str">
        <x:v>Бизнес-тренер — ПРОГРЕСС&amp;CO — Актау · Гибрид · Частичная — Finder.work</x:v>
      </x:c>
      <x:c r="C26" s="8" t="str">
        <x:v>trainer_recruitment</x:v>
      </x:c>
      <x:c r="D26" s="8" t="str">
        <x:v>ПРОГРЕСС&amp;CO в Актау приглашает тренеров корпоративных программ. Публикация 6 августа 2026; актуальность проверить у первоисточника.</x:v>
      </x:c>
      <x:c r="E26" s="8" t="str">
        <x:v>2026-08-06</x:v>
      </x:c>
      <x:c r="F26" s="8" t="str">
        <x:v>publication</x:v>
      </x:c>
      <x:c r="G26" s="8" t="str">
        <x:v>Не подтверждена</x:v>
      </x:c>
      <x:c r="H26" s="8" t="str">
        <x:v>Не подтверждено</x:v>
      </x:c>
      <x:c r="I26" s="8"/>
      <x:c r="J26" s="8" t="str">
        <x:v>Уточнить тему, оплату, договор с МИСБ и актуальность приема.</x:v>
      </x:c>
      <x:c r="K26" s="8" t="str">
        <x:v>https://kz.finder.work/vacancy/28065058</x:v>
      </x:c>
      <x:c r="L26" s="8" t="str">
        <x:v>V7-S5411233558</x:v>
      </x:c>
    </x:row>
  </x:sheetData>
  <x:pageMargins left="0.7" right="0.7" top="0.75" bottom="0.75" header="0.3" footer="0.3"/>
  <x:tableParts count="1">
    <x:tablePart xmlns:r="http://schemas.openxmlformats.org/officeDocument/2006/relationships" r:id="Ra40345ee75df42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34.439998626708984" hidden="0" customWidth="1"/>
    <x:col min="3" max="3" width="42.220001220703125" hidden="0" customWidth="1"/>
    <x:col min="4" max="4" width="24.440000534057617" hidden="0" customWidth="1"/>
    <x:col min="5" max="5" width="57.779998779296875" hidden="0" customWidth="1"/>
    <x:col min="6" max="6" width="25.559999465942383" hidden="0" customWidth="1"/>
    <x:col min="7" max="7" width="56.66999816894531" hidden="0" customWidth="1"/>
    <x:col min="8" max="8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6.25" customHeight="1">
      <x:c r="A2" s="3" t="str">
        <x:v>20 наблюденных переходов</x:v>
      </x:c>
      <x:c r="B2" s="2"/>
      <x:c r="C2" s="2"/>
      <x:c r="D2" s="2"/>
      <x:c r="E2" s="2"/>
      <x:c r="F2" s="2"/>
      <x:c r="G2" s="2"/>
      <x:c r="H2" s="2"/>
    </x:row>
    <x:row r="3" ht="22.5" customHeight="1">
      <x:c r="A3" s="4" t="str">
        <x:v>Точный адрес получен из ссылки; содержимое чатов, форм или вложений могло остаться недоступно.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Маршрут ID</x:v>
      </x:c>
      <x:c r="B5" s="7" t="str">
        <x:v>Источник</x:v>
      </x:c>
      <x:c r="C5" s="7" t="str">
        <x:v>Ссылка / назначение</x:v>
      </x:c>
      <x:c r="D5" s="7" t="str">
        <x:v>Доступ</x:v>
      </x:c>
      <x:c r="E5" s="7" t="str">
        <x:v>Точный URL</x:v>
      </x:c>
      <x:c r="F5" s="7" t="str">
        <x:v>Связь</x:v>
      </x:c>
      <x:c r="G5" s="7" t="str">
        <x:v>Родительский URL</x:v>
      </x:c>
      <x:c r="H5" s="7" t="str">
        <x:v>Источник ID</x:v>
      </x:c>
    </x:row>
    <x:row r="6" ht="33" customHeight="1">
      <x:c r="A6" s="8" t="str">
        <x:v>V7-follow-0</x:v>
      </x:c>
      <x:c r="B6" s="8" t="str">
        <x:v>ВРЕМЯ:HR</x:v>
      </x:c>
      <x:c r="C6" s="8" t="str">
        <x:v>Канал ВРЕМЯ:HR</x:v>
      </x:c>
      <x:c r="D6" s="8" t="str">
        <x:v>Только карточка</x:v>
      </x:c>
      <x:c r="E6" s="8" t="str">
        <x:v>https://t.me/%2Bf5FlS1n29JE3Nzgy</x:v>
      </x:c>
      <x:c r="F6" s="8" t="str">
        <x:v>social</x:v>
      </x:c>
      <x:c r="G6" s="8" t="str">
        <x:v>https://hrtime-nn.ru/</x:v>
      </x:c>
      <x:c r="H6" s="8" t="str">
        <x:v>V7-Sfa3ab462bb</x:v>
      </x:c>
    </x:row>
    <x:row r="7" ht="33" customHeight="1">
      <x:c r="A7" s="8" t="str">
        <x:v>V7-follow-1</x:v>
      </x:c>
      <x:c r="B7" s="8" t="str">
        <x:v>ВРЕМЯ:HR</x:v>
      </x:c>
      <x:c r="C7" s="8" t="str">
        <x:v>Чат ВРЕМЯ:HR</x:v>
      </x:c>
      <x:c r="D7" s="8" t="str">
        <x:v>Только карточка</x:v>
      </x:c>
      <x:c r="E7" s="8" t="str">
        <x:v>https://t.me/%2BpTJmqIST1GhkYjdi</x:v>
      </x:c>
      <x:c r="F7" s="8" t="str">
        <x:v>discussion</x:v>
      </x:c>
      <x:c r="G7" s="8" t="str">
        <x:v>https://hrtime-nn.ru/</x:v>
      </x:c>
      <x:c r="H7" s="8" t="str">
        <x:v>V7-Sfa3ab462bb</x:v>
      </x:c>
    </x:row>
    <x:row r="8" ht="35.25" customHeight="1">
      <x:c r="A8" s="8" t="str">
        <x:v>V7-follow-10</x:v>
      </x:c>
      <x:c r="B8" s="8" t="str">
        <x:v>Спикеры для бизнеса и лекции для предпринимателей – приглашенные эксперты</x:v>
      </x:c>
      <x:c r="C8" s="8" t="str">
        <x:v>Заявка спикера PROБИЗНЕС</x:v>
      </x:c>
      <x:c r="D8" s="8" t="str">
        <x:v>Прочитана часть</x:v>
      </x:c>
      <x:c r="E8" s="8" t="str">
        <x:v>https://probusinessclub.ru/speakers</x:v>
      </x:c>
      <x:c r="F8" s="8" t="str">
        <x:v>partner_or_reference</x:v>
      </x:c>
      <x:c r="G8" s="8" t="str">
        <x:v>https://probusinessclub.ru/speakers</x:v>
      </x:c>
      <x:c r="H8" s="8" t="str">
        <x:v>V7-Sca3637f5e2</x:v>
      </x:c>
    </x:row>
    <x:row r="9" ht="35.25" customHeight="1">
      <x:c r="A9" s="8" t="str">
        <x:v>V7-follow-11</x:v>
      </x:c>
      <x:c r="B9" s="8" t="str">
        <x:v>МЕЖДУНАРОДНЫЙ HR-ФОРУМ 2026 В АЛМАТЫ 25-26 НОЯБРЯ</x:v>
      </x:c>
      <x:c r="C9" s="8" t="str">
        <x:v>Контакт спикерам HR Forum Asia</x:v>
      </x:c>
      <x:c r="D9" s="8" t="str">
        <x:v>Только карточка</x:v>
      </x:c>
      <x:c r="E9" s="8" t="str">
        <x:v>https://t.me/hr_alenachernenko</x:v>
      </x:c>
      <x:c r="F9" s="8" t="str">
        <x:v>partner_or_reference</x:v>
      </x:c>
      <x:c r="G9" s="8" t="str">
        <x:v>https://www.hrforumasia.com/almaty</x:v>
      </x:c>
      <x:c r="H9" s="8" t="str">
        <x:v>V7-S89a2f1541e</x:v>
      </x:c>
    </x:row>
    <x:row r="10" ht="35.25" customHeight="1">
      <x:c r="A10" s="8" t="str">
        <x:v>V7-follow-12</x:v>
      </x:c>
      <x:c r="B10" s="8" t="str">
        <x:v>Союз Проектных Менеджеров Республики Казахстан - Партнеры СПМ РК</x:v>
      </x:c>
      <x:c r="C10" s="8" t="str">
        <x:v>Telegram СПМ РК</x:v>
      </x:c>
      <x:c r="D10" s="8" t="str">
        <x:v>Только карточка</x:v>
      </x:c>
      <x:c r="E10" s="8" t="str">
        <x:v>https://t.me/spm_rk</x:v>
      </x:c>
      <x:c r="F10" s="8" t="str">
        <x:v>social</x:v>
      </x:c>
      <x:c r="G10" s="8" t="str">
        <x:v>https://spmrk.kz/ru/news/item/682-konkurs-po-naboru-biznes-trenerov</x:v>
      </x:c>
      <x:c r="H10" s="8" t="str">
        <x:v>V7-S5ef01ce831</x:v>
      </x:c>
    </x:row>
    <x:row r="11" ht="35.25" customHeight="1">
      <x:c r="A11" s="8" t="str">
        <x:v>V7-follow-13</x:v>
      </x:c>
      <x:c r="B11" s="8" t="str">
        <x:v>GlobalCIO | DigitalExperts - сообщество ИТ-руководителей и ...</x:v>
      </x:c>
      <x:c r="C11" s="8" t="str">
        <x:v>Как ИТ-директора учатся</x:v>
      </x:c>
      <x:c r="D11" s="8" t="str">
        <x:v>Прочитана часть</x:v>
      </x:c>
      <x:c r="E11" s="8" t="str">
        <x:v>https://globalcio.ru/discussion/56828/</x:v>
      </x:c>
      <x:c r="F11" s="8" t="str">
        <x:v>partner_or_reference</x:v>
      </x:c>
      <x:c r="G11" s="8" t="str">
        <x:v>https://globalcio.ru/</x:v>
      </x:c>
      <x:c r="H11" s="8" t="str">
        <x:v>V7-Sd283c226c8</x:v>
      </x:c>
    </x:row>
    <x:row r="12" ht="33" customHeight="1">
      <x:c r="A12" s="8" t="str">
        <x:v>V7-follow-14</x:v>
      </x:c>
      <x:c r="B12" s="8" t="str">
        <x:v>Ассоциация Бизнес-тренеров</x:v>
      </x:c>
      <x:c r="C12" s="8" t="str">
        <x:v>Партнеры ассоциации бизнес-тренеров</x:v>
      </x:c>
      <x:c r="D12" s="8" t="str">
        <x:v>Прочитана часть</x:v>
      </x:c>
      <x:c r="E12" s="8" t="str">
        <x:v>https://qazcoach.com/partners</x:v>
      </x:c>
      <x:c r="F12" s="8" t="str">
        <x:v>partner_or_reference</x:v>
      </x:c>
      <x:c r="G12" s="8" t="str">
        <x:v>https://qazcoach.com/</x:v>
      </x:c>
      <x:c r="H12" s="8" t="str">
        <x:v>V7-Sbc2a52a665</x:v>
      </x:c>
    </x:row>
    <x:row r="13" ht="35.25" customHeight="1">
      <x:c r="A13" s="8" t="str">
        <x:v>V7-follow-15</x:v>
      </x:c>
      <x:c r="B13" s="8" t="str">
        <x:v>Вся творческая работа. Event hunter. Петербург – Telegram</x:v>
      </x:c>
      <x:c r="C13" s="8" t="str">
        <x:v>Чат Event hunter</x:v>
      </x:c>
      <x:c r="D13" s="8" t="str">
        <x:v>Только карточка</x:v>
      </x:c>
      <x:c r="E13" s="8" t="str">
        <x:v>https://t.me/spbeventjobtalk</x:v>
      </x:c>
      <x:c r="F13" s="8" t="str">
        <x:v>discussion</x:v>
      </x:c>
      <x:c r="G13" s="8" t="str">
        <x:v>https://t.me/s/spbeventjob?before=106617&amp;q=%23%D0%A1%D0%BF%D0%B8%D0%BA%D0%B5%D1%80</x:v>
      </x:c>
      <x:c r="H13" s="8" t="str">
        <x:v>V7-S681d2bb13f</x:v>
      </x:c>
    </x:row>
    <x:row r="14" ht="35.25" customHeight="1">
      <x:c r="A14" s="8" t="str">
        <x:v>V7-follow-16</x:v>
      </x:c>
      <x:c r="B14" s="8" t="str">
        <x:v>Вся творческая работа. Event hunter. Петербург – Telegram</x:v>
      </x:c>
      <x:c r="C14" s="8" t="str">
        <x:v>Event hunter Москва</x:v>
      </x:c>
      <x:c r="D14" s="8" t="str">
        <x:v>Только карточка</x:v>
      </x:c>
      <x:c r="E14" s="8" t="str">
        <x:v>https://t.me/mskeventjob</x:v>
      </x:c>
      <x:c r="F14" s="8" t="str">
        <x:v>partner_or_reference</x:v>
      </x:c>
      <x:c r="G14" s="8" t="str">
        <x:v>https://t.me/s/spbeventjob?before=106617&amp;q=%23%D0%A1%D0%BF%D0%B8%D0%BA%D0%B5%D1%80</x:v>
      </x:c>
      <x:c r="H14" s="8" t="str">
        <x:v>V7-S681d2bb13f</x:v>
      </x:c>
    </x:row>
    <x:row r="15" ht="35.25" customHeight="1">
      <x:c r="A15" s="8" t="str">
        <x:v>V7-follow-17</x:v>
      </x:c>
      <x:c r="B15" s="8" t="str">
        <x:v>Вся творческая работа. Event hunter. Петербург – Telegram</x:v>
      </x:c>
      <x:c r="C15" s="8" t="str">
        <x:v>Event hunter международный</x:v>
      </x:c>
      <x:c r="D15" s="8" t="str">
        <x:v>Только карточка</x:v>
      </x:c>
      <x:c r="E15" s="8" t="str">
        <x:v>https://t.me/worldeventjob</x:v>
      </x:c>
      <x:c r="F15" s="8" t="str">
        <x:v>partner_or_reference</x:v>
      </x:c>
      <x:c r="G15" s="8" t="str">
        <x:v>https://t.me/s/spbeventjob?before=106617&amp;q=%23%D0%A1%D0%BF%D0%B8%D0%BA%D0%B5%D1%80</x:v>
      </x:c>
      <x:c r="H15" s="8" t="str">
        <x:v>V7-S681d2bb13f</x:v>
      </x:c>
    </x:row>
    <x:row r="16" ht="35.25" customHeight="1">
      <x:c r="A16" s="8" t="str">
        <x:v>V7-follow-18</x:v>
      </x:c>
      <x:c r="B16" s="8" t="str">
        <x:v>Как стать спикером - Суровый Питерский Форум про маркетинг, SMM и бизнес</x:v>
      </x:c>
      <x:c r="C16" s="8" t="str">
        <x:v>Условия участия спикера</x:v>
      </x:c>
      <x:c r="D16" s="8" t="str">
        <x:v>Прочитана часть</x:v>
      </x:c>
      <x:c r="E16" s="8" t="str">
        <x:v>https://disk.yandex.ru/i/wj8Bq-yD2Zwbww</x:v>
      </x:c>
      <x:c r="F16" s="8" t="str">
        <x:v>attachment</x:v>
      </x:c>
      <x:c r="G16" s="8" t="str">
        <x:v>https://smmconfa.ru/become_speaker/</x:v>
      </x:c>
      <x:c r="H16" s="8" t="str">
        <x:v>V7-S42275a4852</x:v>
      </x:c>
    </x:row>
    <x:row r="17" ht="47.25" customHeight="1">
      <x:c r="A17" s="8" t="str">
        <x:v>V7-follow-19</x:v>
      </x:c>
      <x:c r="B17" s="8" t="str">
        <x:v>HoReCa</x:v>
      </x:c>
      <x:c r="C17" s="8" t="str">
        <x:v>Деловая программа HoReCa</x:v>
      </x:c>
      <x:c r="D17" s="8" t="str">
        <x:v>Прочитана часть</x:v>
      </x:c>
      <x:c r="E17" s="8" t="str">
        <x:v>https://horecaexpo.by/files/%D0%94%D0%95%D0%9B%D0%9E%D0%92%D0%90%D0%AF%20%D0%9F%D0%A0%D0%9E%D0%93%D0%A0%D0%90%D0%9C%D0%9C%D0%90_Expo%20HORECA%20Minsk-2026.pdf?v=1.1</x:v>
      </x:c>
      <x:c r="F17" s="8" t="str">
        <x:v>attachment</x:v>
      </x:c>
      <x:c r="G17" s="8" t="str">
        <x:v>https://horecaexpo.by/</x:v>
      </x:c>
      <x:c r="H17" s="8" t="str">
        <x:v>V7-S9a3b273a27</x:v>
      </x:c>
    </x:row>
    <x:row r="18" ht="33" customHeight="1">
      <x:c r="A18" s="8" t="str">
        <x:v>V7-follow-2</x:v>
      </x:c>
      <x:c r="B18" s="8" t="str">
        <x:v>ВРЕМЯ:HR</x:v>
      </x:c>
      <x:c r="C18" s="8" t="str">
        <x:v>MAX ВРЕМЯ:HR</x:v>
      </x:c>
      <x:c r="D18" s="8" t="str">
        <x:v>Ошибка доступа</x:v>
      </x:c>
      <x:c r="E18" s="8" t="str">
        <x:v>https://max.ru/join/Wk3yYghelr3E5ZGVdZ9p29juwaqhiODDtFEPsNvAz-0</x:v>
      </x:c>
      <x:c r="F18" s="8" t="str">
        <x:v>social</x:v>
      </x:c>
      <x:c r="G18" s="8" t="str">
        <x:v>https://hrtime-nn.ru/</x:v>
      </x:c>
      <x:c r="H18" s="8" t="str">
        <x:v>V7-Sfa3ab462bb</x:v>
      </x:c>
    </x:row>
    <x:row r="19" ht="35.25" customHeight="1">
      <x:c r="A19" s="8" t="str">
        <x:v>V7-follow-3</x:v>
      </x:c>
      <x:c r="B19" s="8" t="str">
        <x:v>Описание проекта | Клуб топ-менеджеров 4CIO</x:v>
      </x:c>
      <x:c r="C19" s="8" t="str">
        <x:v>Партнерам 4CIO</x:v>
      </x:c>
      <x:c r="D19" s="8" t="str">
        <x:v>Прочитана часть</x:v>
      </x:c>
      <x:c r="E19" s="8" t="str">
        <x:v>https://4cio.ru/pages/603/</x:v>
      </x:c>
      <x:c r="F19" s="8" t="str">
        <x:v>partner_or_reference</x:v>
      </x:c>
      <x:c r="G19" s="8" t="str">
        <x:v>https://4cio.ru/pages/677</x:v>
      </x:c>
      <x:c r="H19" s="8" t="str">
        <x:v>V7-S6033ef9a7e</x:v>
      </x:c>
    </x:row>
    <x:row r="20" ht="35.25" customHeight="1">
      <x:c r="A20" s="8" t="str">
        <x:v>V7-follow-4</x:v>
      </x:c>
      <x:c r="B20" s="8" t="str">
        <x:v>СТМЛК - сообщество топ-менеджеров логистических компаний</x:v>
      </x:c>
      <x:c r="C20" s="8" t="str">
        <x:v>VK сообщества логистов</x:v>
      </x:c>
      <x:c r="D20" s="8" t="str">
        <x:v>Ошибка доступа</x:v>
      </x:c>
      <x:c r="E20" s="8" t="str">
        <x:v>https://vk.com/logistictops</x:v>
      </x:c>
      <x:c r="F20" s="8" t="str">
        <x:v>social</x:v>
      </x:c>
      <x:c r="G20" s="8" t="str">
        <x:v>https://tmlc.ru/about</x:v>
      </x:c>
      <x:c r="H20" s="8" t="str">
        <x:v>V7-S931d7f18e4</x:v>
      </x:c>
    </x:row>
    <x:row r="21" ht="35.25" customHeight="1">
      <x:c r="A21" s="8" t="str">
        <x:v>V7-follow-5</x:v>
      </x:c>
      <x:c r="B21" s="8" t="str">
        <x:v>СТМЛК - сообщество топ-менеджеров логистических компаний</x:v>
      </x:c>
      <x:c r="C21" s="8" t="str">
        <x:v>Telegram сообщества логистов</x:v>
      </x:c>
      <x:c r="D21" s="8" t="str">
        <x:v>Только карточка</x:v>
      </x:c>
      <x:c r="E21" s="8" t="str">
        <x:v>https://t.me/Logistictops</x:v>
      </x:c>
      <x:c r="F21" s="8" t="str">
        <x:v>social</x:v>
      </x:c>
      <x:c r="G21" s="8" t="str">
        <x:v>https://tmlc.ru/about</x:v>
      </x:c>
      <x:c r="H21" s="8" t="str">
        <x:v>V7-S931d7f18e4</x:v>
      </x:c>
    </x:row>
    <x:row r="22" ht="33" customHeight="1">
      <x:c r="A22" s="8" t="str">
        <x:v>V7-follow-6</x:v>
      </x:c>
      <x:c r="B22" s="8" t="str">
        <x:v>Ассоциация загородных отелей России</x:v>
      </x:c>
      <x:c r="C22" s="8" t="str">
        <x:v>Партнерам Ассоциации загородных отелей</x:v>
      </x:c>
      <x:c r="D22" s="8" t="str">
        <x:v>Прочитана часть</x:v>
      </x:c>
      <x:c r="E22" s="8" t="str">
        <x:v>https://azo-hotels.com/partner</x:v>
      </x:c>
      <x:c r="F22" s="8" t="str">
        <x:v>partner_or_reference</x:v>
      </x:c>
      <x:c r="G22" s="8" t="str">
        <x:v>https://azo-hotels.com/</x:v>
      </x:c>
      <x:c r="H22" s="8" t="str">
        <x:v>V7-Sd345f458a2</x:v>
      </x:c>
    </x:row>
    <x:row r="23" ht="47.25" customHeight="1">
      <x:c r="A23" s="8" t="str">
        <x:v>V7-follow-7</x:v>
      </x:c>
      <x:c r="B23" s="8" t="str">
        <x:v>Разработка электронных курсов. Проектирование образовательного курса - Лабмедиа в Казахстане</x:v>
      </x:c>
      <x:c r="C23" s="8" t="str">
        <x:v>Партнерство Лабмедиа Казахстан</x:v>
      </x:c>
      <x:c r="D23" s="8" t="str">
        <x:v>Прочитана часть</x:v>
      </x:c>
      <x:c r="E23" s="8" t="str">
        <x:v>https://www.labmedia.kz/ru/partners</x:v>
      </x:c>
      <x:c r="F23" s="8" t="str">
        <x:v>partner_or_reference</x:v>
      </x:c>
      <x:c r="G23" s="8" t="str">
        <x:v>https://www.labmedia.kz/ru/e-learning</x:v>
      </x:c>
      <x:c r="H23" s="8" t="str">
        <x:v>V7-S5793ff89d0</x:v>
      </x:c>
    </x:row>
    <x:row r="24" ht="33" customHeight="1">
      <x:c r="A24" s="8" t="str">
        <x:v>V7-follow-8</x:v>
      </x:c>
      <x:c r="B24" s="8" t="str">
        <x:v>Разработка электронных курсов от WellDone</x:v>
      </x:c>
      <x:c r="C24" s="8" t="str">
        <x:v>Партнерам WellDone</x:v>
      </x:c>
      <x:c r="D24" s="8" t="str">
        <x:v>Прочитана часть</x:v>
      </x:c>
      <x:c r="E24" s="8" t="str">
        <x:v>https://well-done.kz/partners</x:v>
      </x:c>
      <x:c r="F24" s="8" t="str">
        <x:v>partner_or_reference</x:v>
      </x:c>
      <x:c r="G24" s="8" t="str">
        <x:v>https://well-done.kz/</x:v>
      </x:c>
      <x:c r="H24" s="8" t="str">
        <x:v>V7-Sad097f9a69</x:v>
      </x:c>
    </x:row>
    <x:row r="25" ht="47.25" customHeight="1">
      <x:c r="A25" s="8" t="str">
        <x:v>V7-follow-9</x:v>
      </x:c>
      <x:c r="B25" s="8" t="str">
        <x:v>Профпереподготовка и повышение квалификации | Дистанционное обучение в Оренбургской бизнес-школе - О бизнес-школе</x:v>
      </x:c>
      <x:c r="C25" s="8" t="str">
        <x:v>Сотрудничество Оренбургской бизнес-школы</x:v>
      </x:c>
      <x:c r="D25" s="8" t="str">
        <x:v>Прочитана часть</x:v>
      </x:c>
      <x:c r="E25" s="8" t="str">
        <x:v>https://orenbs.info/sotrudnic-v-region</x:v>
      </x:c>
      <x:c r="F25" s="8" t="str">
        <x:v>partner_or_reference</x:v>
      </x:c>
      <x:c r="G25" s="8" t="str">
        <x:v>https://orenbs.info/school</x:v>
      </x:c>
      <x:c r="H25" s="8" t="str">
        <x:v>V7-Se38c2001d4</x:v>
      </x:c>
    </x:row>
  </x:sheetData>
  <x:pageMargins left="0.7" right="0.7" top="0.75" bottom="0.75" header="0.3" footer="0.3"/>
  <x:tableParts count="1">
    <x:tablePart xmlns:r="http://schemas.openxmlformats.org/officeDocument/2006/relationships" r:id="R1d77a473e91441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.66999816894531" hidden="0" customWidth="1"/>
    <x:col min="2" max="2" width="17.219999313354492" hidden="0" customWidth="1"/>
    <x:col min="3" max="3" width="21.670000076293945" hidden="0" customWidth="1"/>
    <x:col min="4" max="4" width="21.110000610351562" hidden="0" customWidth="1"/>
    <x:col min="5" max="5" width="72.22000122070312" hidden="0" customWidth="1"/>
  </x:cols>
  <x:sheetData>
    <x:row r="1">
      <x:c r="A1" s="2"/>
      <x:c r="B1" s="2"/>
      <x:c r="C1" s="2"/>
      <x:c r="D1" s="2"/>
      <x:c r="E1" s="2"/>
    </x:row>
    <x:row r="2" ht="26.25" customHeight="1">
      <x:c r="A2" s="3" t="str">
        <x:v>Разнообразие источников и оставшиеся пробелы</x:v>
      </x:c>
      <x:c r="B2" s="2"/>
      <x:c r="C2" s="2"/>
      <x:c r="D2" s="2"/>
      <x:c r="E2" s="2"/>
    </x:row>
    <x:row r="3" ht="22.5" customHeight="1">
      <x:c r="A3" s="4" t="str">
        <x:v>Направление — исследовательская корзина. Количество не подтверждает тип каждой организации.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6" customHeight="1">
      <x:c r="A5" s="7" t="str">
        <x:v>Направление</x:v>
      </x:c>
      <x:c r="B5" s="7" t="str">
        <x:v>Исходная цель</x:v>
      </x:c>
      <x:c r="C5" s="7" t="str">
        <x:v>Найдено кандидатов</x:v>
      </x:c>
      <x:c r="D5" s="7" t="str">
        <x:v>Недобор к цели</x:v>
      </x:c>
      <x:c r="E5" s="7" t="str">
        <x:v>Что проверять дальше</x:v>
      </x:c>
    </x:row>
    <x:row r="6" ht="33" customHeight="1">
      <x:c r="A6" s="8" t="str">
        <x:v>Региональные HR-сообщества</x:v>
      </x:c>
      <x:c r="B6" s="8" t="n">
        <x:v>50</x:v>
      </x:c>
      <x:c r="C6" s="8" t="n">
        <x:v>58</x:v>
      </x:c>
      <x:c r="D6" s="8" t="n">
        <x:v>0</x:v>
      </x:c>
      <x:c r="E6" s="8" t="str">
        <x:v>Углубить комментарии, вложения, авторов и первоисточники; не прекращать разведку.</x:v>
      </x:c>
    </x:row>
    <x:row r="7" ht="33" customHeight="1">
      <x:c r="A7" s="8" t="str">
        <x:v>Руководители функций</x:v>
      </x:c>
      <x:c r="B7" s="8" t="n">
        <x:v>60</x:v>
      </x:c>
      <x:c r="C7" s="8" t="n">
        <x:v>59</x:v>
      </x:c>
      <x:c r="D7" s="8" t="n">
        <x:v>1</x:v>
      </x:c>
      <x:c r="E7" s="8" t="str">
        <x:v>Добрать направление; проверить роль организации, покупателей и точные социальные маршруты.</x:v>
      </x:c>
    </x:row>
    <x:row r="8" ht="33" customHeight="1">
      <x:c r="A8" s="8" t="str">
        <x:v>Отраслевые объединения</x:v>
      </x:c>
      <x:c r="B8" s="8" t="n">
        <x:v>40</x:v>
      </x:c>
      <x:c r="C8" s="8" t="n">
        <x:v>46</x:v>
      </x:c>
      <x:c r="D8" s="8" t="n">
        <x:v>0</x:v>
      </x:c>
      <x:c r="E8" s="8" t="str">
        <x:v>Углубить комментарии, вложения, авторов и первоисточники; не прекращать разведку.</x:v>
      </x:c>
    </x:row>
    <x:row r="9" ht="33" customHeight="1">
      <x:c r="A9" s="8" t="str">
        <x:v>Провайдеры и бизнес-школы</x:v>
      </x:c>
      <x:c r="B9" s="8" t="n">
        <x:v>50</x:v>
      </x:c>
      <x:c r="C9" s="8" t="n">
        <x:v>32</x:v>
      </x:c>
      <x:c r="D9" s="8" t="n">
        <x:v>18</x:v>
      </x:c>
      <x:c r="E9" s="8" t="str">
        <x:v>Добрать направление; проверить роль организации, покупателей и точные социальные маршруты.</x:v>
      </x:c>
    </x:row>
    <x:row r="10" ht="33" customHeight="1">
      <x:c r="A10" s="8" t="str">
        <x:v>LMS и студии курсов</x:v>
      </x:c>
      <x:c r="B10" s="8" t="n">
        <x:v>30</x:v>
      </x:c>
      <x:c r="C10" s="8" t="n">
        <x:v>21</x:v>
      </x:c>
      <x:c r="D10" s="8" t="n">
        <x:v>9</x:v>
      </x:c>
      <x:c r="E10" s="8" t="str">
        <x:v>Добрать направление; проверить роль организации, покупателей и точные социальные маршруты.</x:v>
      </x:c>
    </x:row>
    <x:row r="11" ht="33" customHeight="1">
      <x:c r="A11" s="8" t="str">
        <x:v>КУ и образовательные партнерства</x:v>
      </x:c>
      <x:c r="B11" s="8" t="n">
        <x:v>40</x:v>
      </x:c>
      <x:c r="C11" s="8" t="n">
        <x:v>24</x:v>
      </x:c>
      <x:c r="D11" s="8" t="n">
        <x:v>16</x:v>
      </x:c>
      <x:c r="E11" s="8" t="str">
        <x:v>Добрать направление; проверить роль организации, покупателей и точные социальные маршруты.</x:v>
      </x:c>
    </x:row>
    <x:row r="12" ht="33" customHeight="1">
      <x:c r="A12" s="8" t="str">
        <x:v>Организаторы деловых мероприятий</x:v>
      </x:c>
      <x:c r="B12" s="8" t="n">
        <x:v>30</x:v>
      </x:c>
      <x:c r="C12" s="8" t="n">
        <x:v>52</x:v>
      </x:c>
      <x:c r="D12" s="8" t="n">
        <x:v>0</x:v>
      </x:c>
      <x:c r="E12" s="8" t="str">
        <x:v>Углубить комментарии, вложения, авторов и первоисточники; не прекращать разведку.</x:v>
      </x:c>
    </x:row>
    <x:row r="13" ht="33" customHeight="1">
      <x:c r="A13" s="8" t="str">
        <x:v>Палаты и центры развития</x:v>
      </x:c>
      <x:c r="B13" s="8" t="n">
        <x:v>30</x:v>
      </x:c>
      <x:c r="C13" s="8" t="n">
        <x:v>40</x:v>
      </x:c>
      <x:c r="D13" s="8" t="n">
        <x:v>0</x:v>
      </x:c>
      <x:c r="E13" s="8" t="str">
        <x:v>Углубить комментарии, вложения, авторов и первоисточники; не прекращать разведку.</x:v>
      </x:c>
    </x:row>
    <x:row r="14" ht="33" customHeight="1">
      <x:c r="A14" s="8" t="str">
        <x:v>Бизнес-клубы и сети</x:v>
      </x:c>
      <x:c r="B14" s="8" t="n">
        <x:v>30</x:v>
      </x:c>
      <x:c r="C14" s="8" t="n">
        <x:v>47</x:v>
      </x:c>
      <x:c r="D14" s="8" t="n">
        <x:v>0</x:v>
      </x:c>
      <x:c r="E14" s="8" t="str">
        <x:v>Углубить комментарии, вложения, авторов и первоисточники; не прекращать разведку.</x:v>
      </x:c>
    </x:row>
    <x:row r="15" ht="33" customHeight="1">
      <x:c r="A15" s="8" t="str">
        <x:v>Проектная работа и эксперты</x:v>
      </x:c>
      <x:c r="B15" s="8" t="n">
        <x:v>40</x:v>
      </x:c>
      <x:c r="C15" s="8" t="n">
        <x:v>38</x:v>
      </x:c>
      <x:c r="D15" s="8" t="n">
        <x:v>2</x:v>
      </x:c>
      <x:c r="E15" s="8" t="str">
        <x:v>Добрать направление; проверить роль организации, покупателей и точные социальные маршруты.</x:v>
      </x:c>
    </x:row>
  </x:sheetData>
  <x:pageMargins left="0.7" right="0.7" top="0.75" bottom="0.75" header="0.3" footer="0.3"/>
  <x:tableParts count="1">
    <x:tablePart xmlns:r="http://schemas.openxmlformats.org/officeDocument/2006/relationships" r:id="Re1dee0ae0cea440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38.88999938964844" hidden="0" customWidth="1"/>
    <x:col min="3" max="3" width="25.559999465942383" hidden="0" customWidth="1"/>
    <x:col min="4" max="4" width="18.889999389648438" hidden="0" customWidth="1"/>
    <x:col min="5" max="5" width="24.440000534057617" hidden="0" customWidth="1"/>
    <x:col min="6" max="6" width="57.779998779296875" hidden="0" customWidth="1"/>
    <x:col min="7" max="7" width="2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6.25" customHeight="1">
      <x:c r="A2" s="3" t="str">
        <x:v>Стартовый план • 20 источников</x:v>
      </x:c>
      <x:c r="B2" s="2"/>
      <x:c r="C2" s="2"/>
      <x:c r="D2" s="2"/>
      <x:c r="E2" s="2"/>
      <x:c r="F2" s="2"/>
      <x:c r="G2" s="2"/>
    </x:row>
    <x:row r="3" ht="22.5" customHeight="1">
      <x:c r="A3" s="4" t="str">
        <x:v>16 проверенных + 4 разведочных. План не запускался; разные направления, доступность HTTP еще не установлена.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7" t="str">
        <x:v>Источник ID</x:v>
      </x:c>
      <x:c r="B5" s="7" t="str">
        <x:v>Название</x:v>
      </x:c>
      <x:c r="C5" s="7" t="str">
        <x:v>Направление</x:v>
      </x:c>
      <x:c r="D5" s="7" t="str">
        <x:v>Поток</x:v>
      </x:c>
      <x:c r="E5" s="7" t="str">
        <x:v>Ручной доступ</x:v>
      </x:c>
      <x:c r="F5" s="7" t="str">
        <x:v>URL</x:v>
      </x:c>
      <x:c r="G5" s="7" t="str">
        <x:v>Статус</x:v>
      </x:c>
    </x:row>
    <x:row r="6" ht="35.25" customHeight="1">
      <x:c r="A6" s="8" t="str">
        <x:v>V7-Sca3637f5e2</x:v>
      </x:c>
      <x:c r="B6" s="8" t="str">
        <x:v>Спикеры для бизнеса и лекции для предпринимателей – приглашенные эксперты</x:v>
      </x:c>
      <x:c r="C6" s="8" t="str">
        <x:v>business</x:v>
      </x:c>
      <x:c r="D6" s="8" t="str">
        <x:v>Приоритет</x:v>
      </x:c>
      <x:c r="E6" s="8" t="str">
        <x:v>Проверить HTTP</x:v>
      </x:c>
      <x:c r="F6" s="8" t="str">
        <x:v>https://probusinessclub.ru/speakers</x:v>
      </x:c>
      <x:c r="G6" s="8" t="str">
        <x:v>Запланирован — не запущен</x:v>
      </x:c>
    </x:row>
    <x:row r="7" ht="35.25" customHeight="1">
      <x:c r="A7" s="8" t="str">
        <x:v>V7-S2b1db7eaaa</x:v>
      </x:c>
      <x:c r="B7" s="8" t="str">
        <x:v>Корпоративные преподаватели Технического университета УГМК</x:v>
      </x:c>
      <x:c r="C7" s="8" t="str">
        <x:v>cu</x:v>
      </x:c>
      <x:c r="D7" s="8" t="str">
        <x:v>Приоритет</x:v>
      </x:c>
      <x:c r="E7" s="8" t="str">
        <x:v>Проверить HTTP</x:v>
      </x:c>
      <x:c r="F7" s="8" t="str">
        <x:v>https://korp.eduugmk.com/</x:v>
      </x:c>
      <x:c r="G7" s="8" t="str">
        <x:v>Запланирован — не запущен</x:v>
      </x:c>
    </x:row>
    <x:row r="8" ht="35.25" customHeight="1">
      <x:c r="A8" s="8" t="str">
        <x:v>V7-S5d2ad3bd5a</x:v>
      </x:c>
      <x:c r="B8" s="8" t="str">
        <x:v>Центр поддержки предпринимательства. Финансовая поддержка малого бизнеса ─ konsalt.by</x:v>
      </x:c>
      <x:c r="C8" s="8" t="str">
        <x:v>development</x:v>
      </x:c>
      <x:c r="D8" s="8" t="str">
        <x:v>Приоритет</x:v>
      </x:c>
      <x:c r="E8" s="8" t="str">
        <x:v>Проверить HTTP</x:v>
      </x:c>
      <x:c r="F8" s="8" t="str">
        <x:v>https://www.konsalt.by/uslugi/centr-podderzhki-predprinimatelya.html</x:v>
      </x:c>
      <x:c r="G8" s="8" t="str">
        <x:v>Запланирован — не запущен</x:v>
      </x:c>
    </x:row>
    <x:row r="9" ht="35.25" customHeight="1">
      <x:c r="A9" s="8" t="str">
        <x:v>V7-S42275a4852</x:v>
      </x:c>
      <x:c r="B9" s="8" t="str">
        <x:v>Как стать спикером - Суровый Питерский Форум про маркетинг, SMM и бизнес</x:v>
      </x:c>
      <x:c r="C9" s="8" t="str">
        <x:v>events</x:v>
      </x:c>
      <x:c r="D9" s="8" t="str">
        <x:v>Приоритет</x:v>
      </x:c>
      <x:c r="E9" s="8" t="str">
        <x:v>Проверить HTTP</x:v>
      </x:c>
      <x:c r="F9" s="8" t="str">
        <x:v>https://smmconfa.ru/become_speaker/</x:v>
      </x:c>
      <x:c r="G9" s="8" t="str">
        <x:v>Запланирован — не запущен</x:v>
      </x:c>
    </x:row>
    <x:row r="10" ht="35.25" customHeight="1">
      <x:c r="A10" s="8" t="str">
        <x:v>V7-S931d7f18e4</x:v>
      </x:c>
      <x:c r="B10" s="8" t="str">
        <x:v>СТМЛК - сообщество топ-менеджеров логистических компаний</x:v>
      </x:c>
      <x:c r="C10" s="8" t="str">
        <x:v>functional</x:v>
      </x:c>
      <x:c r="D10" s="8" t="str">
        <x:v>Приоритет</x:v>
      </x:c>
      <x:c r="E10" s="8" t="str">
        <x:v>Проверить HTTP</x:v>
      </x:c>
      <x:c r="F10" s="8" t="str">
        <x:v>https://tmlc.ru/about</x:v>
      </x:c>
      <x:c r="G10" s="8" t="str">
        <x:v>Запланирован — не запущен</x:v>
      </x:c>
    </x:row>
    <x:row r="11" ht="35.25" customHeight="1">
      <x:c r="A11" s="8" t="str">
        <x:v>V7-S43b1b3cd6f</x:v>
      </x:c>
      <x:c r="B11" s="8" t="str">
        <x:v>ACPA - Ассоциация сертифицированных профессиональных бухгалтеров</x:v>
      </x:c>
      <x:c r="C11" s="8" t="str">
        <x:v>industry</x:v>
      </x:c>
      <x:c r="D11" s="8" t="str">
        <x:v>Приоритет</x:v>
      </x:c>
      <x:c r="E11" s="8" t="str">
        <x:v>Проверить HTTP</x:v>
      </x:c>
      <x:c r="F11" s="8" t="str">
        <x:v>https://acpa.kz/</x:v>
      </x:c>
      <x:c r="G11" s="8" t="str">
        <x:v>Запланирован — не запущен</x:v>
      </x:c>
    </x:row>
    <x:row r="12" ht="47.25" customHeight="1">
      <x:c r="A12" s="8" t="str">
        <x:v>V7-Se18ccb41d5</x:v>
      </x:c>
      <x:c r="B12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12" s="8" t="str">
        <x:v>lms</x:v>
      </x:c>
      <x:c r="D12" s="8" t="str">
        <x:v>Приоритет</x:v>
      </x:c>
      <x:c r="E12" s="8" t="str">
        <x:v>Проверить HTTP</x:v>
      </x:c>
      <x:c r="F12" s="8" t="str">
        <x:v>https://opentechnology.ru/cooperation</x:v>
      </x:c>
      <x:c r="G12" s="8" t="str">
        <x:v>Запланирован — не запущен</x:v>
      </x:c>
    </x:row>
    <x:row r="13" ht="35.25" customHeight="1">
      <x:c r="A13" s="8" t="str">
        <x:v>V7-Scdfed7e877</x:v>
      </x:c>
      <x:c r="B13" s="8" t="str">
        <x:v>Мероприятия сообщества Business Lead Биржа бизнес-заказов | Business Lead</x:v>
      </x:c>
      <x:c r="C13" s="8" t="str">
        <x:v>projects</x:v>
      </x:c>
      <x:c r="D13" s="8" t="str">
        <x:v>Приоритет</x:v>
      </x:c>
      <x:c r="E13" s="8" t="str">
        <x:v>Проверить HTTP</x:v>
      </x:c>
      <x:c r="F13" s="8" t="str">
        <x:v>https://2lead.ru/blog/other/meropriyatiya-soobshchestva-business-lead</x:v>
      </x:c>
      <x:c r="G13" s="8" t="str">
        <x:v>Запланирован — не запущен</x:v>
      </x:c>
    </x:row>
    <x:row r="14" ht="47.25" customHeight="1">
      <x:c r="A14" s="8" t="str">
        <x:v>V7-Se38c2001d4</x:v>
      </x:c>
      <x:c r="B14" s="8" t="str">
        <x:v>Профпереподготовка и повышение квалификации | Дистанционное обучение в Оренбургской бизнес-школе - О бизнес-школе</x:v>
      </x:c>
      <x:c r="C14" s="8" t="str">
        <x:v>providers</x:v>
      </x:c>
      <x:c r="D14" s="8" t="str">
        <x:v>Приоритет</x:v>
      </x:c>
      <x:c r="E14" s="8" t="str">
        <x:v>Проверить HTTP</x:v>
      </x:c>
      <x:c r="F14" s="8" t="str">
        <x:v>https://orenbs.info/school</x:v>
      </x:c>
      <x:c r="G14" s="8" t="str">
        <x:v>Запланирован — не запущен</x:v>
      </x:c>
    </x:row>
    <x:row r="15" ht="35.25" customHeight="1">
      <x:c r="A15" s="8" t="str">
        <x:v>V7-S89a2f1541e</x:v>
      </x:c>
      <x:c r="B15" s="8" t="str">
        <x:v>МЕЖДУНАРОДНЫЙ HR-ФОРУМ 2026 В АЛМАТЫ 25-26 НОЯБРЯ</x:v>
      </x:c>
      <x:c r="C15" s="8" t="str">
        <x:v>regional_hr</x:v>
      </x:c>
      <x:c r="D15" s="8" t="str">
        <x:v>Приоритет</x:v>
      </x:c>
      <x:c r="E15" s="8" t="str">
        <x:v>Проверить HTTP</x:v>
      </x:c>
      <x:c r="F15" s="8" t="str">
        <x:v>https://www.hrforumasia.com/almaty</x:v>
      </x:c>
      <x:c r="G15" s="8" t="str">
        <x:v>Запланирован — не запущен</x:v>
      </x:c>
    </x:row>
    <x:row r="16" ht="33" customHeight="1">
      <x:c r="A16" s="8" t="str">
        <x:v>V7-S4e3c66d1d7</x:v>
      </x:c>
      <x:c r="B16" s="8" t="str">
        <x:v>club.startupbelarus.by</x:v>
      </x:c>
      <x:c r="C16" s="8" t="str">
        <x:v>business</x:v>
      </x:c>
      <x:c r="D16" s="8" t="str">
        <x:v>Приоритет</x:v>
      </x:c>
      <x:c r="E16" s="8" t="str">
        <x:v>Проверить HTTP</x:v>
      </x:c>
      <x:c r="F16" s="8" t="str">
        <x:v>https://club.startupbelarus.by/</x:v>
      </x:c>
      <x:c r="G16" s="8" t="str">
        <x:v>Запланирован — не запущен</x:v>
      </x:c>
    </x:row>
    <x:row r="17" ht="35.25" customHeight="1">
      <x:c r="A17" s="8" t="str">
        <x:v>V7-S3ac006e7ae</x:v>
      </x:c>
      <x:c r="B17" s="8" t="str">
        <x:v>Корпоративная Академия "эВ-групп" — обучение персонала</x:v>
      </x:c>
      <x:c r="C17" s="8" t="str">
        <x:v>cu</x:v>
      </x:c>
      <x:c r="D17" s="8" t="str">
        <x:v>Приоритет</x:v>
      </x:c>
      <x:c r="E17" s="8" t="str">
        <x:v>Проверить HTTP</x:v>
      </x:c>
      <x:c r="F17" s="8" t="str">
        <x:v>https://www.ev.group/academy/</x:v>
      </x:c>
      <x:c r="G17" s="8" t="str">
        <x:v>Запланирован — не запущен</x:v>
      </x:c>
    </x:row>
    <x:row r="18" ht="33" customHeight="1">
      <x:c r="A18" s="8" t="str">
        <x:v>V7-Sb5ab71bdd9</x:v>
      </x:c>
      <x:c r="B18" s="8" t="str">
        <x:v>Центр поддержки предпринимательства</x:v>
      </x:c>
      <x:c r="C18" s="8" t="str">
        <x:v>development</x:v>
      </x:c>
      <x:c r="D18" s="8" t="str">
        <x:v>Приоритет</x:v>
      </x:c>
      <x:c r="E18" s="8" t="str">
        <x:v>Проверить HTTP</x:v>
      </x:c>
      <x:c r="F18" s="8" t="str">
        <x:v>https://asbconsult.by/press-centr_nekz/</x:v>
      </x:c>
      <x:c r="G18" s="8" t="str">
        <x:v>Запланирован — не запущен</x:v>
      </x:c>
    </x:row>
    <x:row r="19" ht="33" customHeight="1">
      <x:c r="A19" s="8" t="str">
        <x:v>V7-Sc0fa290396</x:v>
      </x:c>
      <x:c r="B19" s="8" t="str">
        <x:v>HR-club</x:v>
      </x:c>
      <x:c r="C19" s="8" t="str">
        <x:v>events</x:v>
      </x:c>
      <x:c r="D19" s="8" t="str">
        <x:v>Приоритет</x:v>
      </x:c>
      <x:c r="E19" s="8" t="str">
        <x:v>Проверить HTTP</x:v>
      </x:c>
      <x:c r="F19" s="8" t="str">
        <x:v>https://hrclub-conf.ru/</x:v>
      </x:c>
      <x:c r="G19" s="8" t="str">
        <x:v>Запланирован — не запущен</x:v>
      </x:c>
    </x:row>
    <x:row r="20" ht="35.25" customHeight="1">
      <x:c r="A20" s="8" t="str">
        <x:v>V7-S5ef01ce831</x:v>
      </x:c>
      <x:c r="B20" s="8" t="str">
        <x:v>Союз Проектных Менеджеров Республики Казахстан - Партнеры СПМ РК</x:v>
      </x:c>
      <x:c r="C20" s="8" t="str">
        <x:v>functional</x:v>
      </x:c>
      <x:c r="D20" s="8" t="str">
        <x:v>Приоритет</x:v>
      </x:c>
      <x:c r="E20" s="8" t="str">
        <x:v>Проверить HTTP</x:v>
      </x:c>
      <x:c r="F20" s="8" t="str">
        <x:v>https://spmrk.kz/ru/news/item/682-konkurs-po-naboru-biznes-trenerov</x:v>
      </x:c>
      <x:c r="G20" s="8" t="str">
        <x:v>Запланирован — не запущен</x:v>
      </x:c>
    </x:row>
    <x:row r="21" ht="33" customHeight="1">
      <x:c r="A21" s="8" t="str">
        <x:v>V7-Sd6b0cd05ec</x:v>
      </x:c>
      <x:c r="B21" s="8" t="str">
        <x:v>Что дает членство в ААУ</x:v>
      </x:c>
      <x:c r="C21" s="8" t="str">
        <x:v>industry</x:v>
      </x:c>
      <x:c r="D21" s="8" t="str">
        <x:v>Приоритет</x:v>
      </x:c>
      <x:c r="E21" s="8" t="str">
        <x:v>Проверить HTTP</x:v>
      </x:c>
      <x:c r="F21" s="8" t="str">
        <x:v>https://www.sojuzpharma.ru/about/aau/</x:v>
      </x:c>
      <x:c r="G21" s="8" t="str">
        <x:v>Запланирован — не запущен</x:v>
      </x:c>
    </x:row>
    <x:row r="22" ht="35.25" customHeight="1">
      <x:c r="A22" s="8" t="str">
        <x:v>V7-S63c48d56f4</x:v>
      </x:c>
      <x:c r="B22" s="8" t="str">
        <x:v>Бизнес-клуб «Атланты» в Москве - сообщество предпринимателей и бизнесменов</x:v>
      </x:c>
      <x:c r="C22" s="8" t="str">
        <x:v>business</x:v>
      </x:c>
      <x:c r="D22" s="8" t="str">
        <x:v>Разведка</x:v>
      </x:c>
      <x:c r="E22" s="8" t="str">
        <x:v>Проверить HTTP</x:v>
      </x:c>
      <x:c r="F22" s="8" t="str">
        <x:v>https://atlanty.ru/</x:v>
      </x:c>
      <x:c r="G22" s="8" t="str">
        <x:v>Запланирован — не запущен</x:v>
      </x:c>
    </x:row>
    <x:row r="23" ht="47.25" customHeight="1">
      <x:c r="A23" s="8" t="str">
        <x:v>V7-S49ce379bfe</x:v>
      </x:c>
      <x:c r="B23" s="8" t="str">
        <x:v>КОРПУС Петербурга и СберУниверситет стали партнерами — «Корпоративный университет Санкт-Петербурга (КОРПУС)»</x:v>
      </x:c>
      <x:c r="C23" s="8" t="str">
        <x:v>cu</x:v>
      </x:c>
      <x:c r="D23" s="8" t="str">
        <x:v>Разведка</x:v>
      </x:c>
      <x:c r="E23" s="8" t="str">
        <x:v>Проверить HTTP</x:v>
      </x:c>
      <x:c r="F23" s="8" t="str">
        <x:v>https://www.corpusspb.ru/novosti/korpus-peterburga-i-sberuniversitet-stali-partnerami</x:v>
      </x:c>
      <x:c r="G23" s="8" t="str">
        <x:v>Запланирован — не запущен</x:v>
      </x:c>
    </x:row>
    <x:row r="24" ht="47.25" customHeight="1">
      <x:c r="A24" s="8" t="str">
        <x:v>V7-Sa592d7ee71</x:v>
      </x:c>
      <x:c r="B24" s="8" t="str">
        <x:v>19 июня, в пятницу, пройдёт мастер-класс «Как получить от государства 350 000 рублей на свое дело» - мероприятие Мой Бизнес</x:v>
      </x:c>
      <x:c r="C24" s="8" t="str">
        <x:v>development</x:v>
      </x:c>
      <x:c r="D24" s="8" t="str">
        <x:v>Разведка</x:v>
      </x:c>
      <x:c r="E24" s="8" t="str">
        <x:v>Проверить HTTP</x:v>
      </x:c>
      <x:c r="F24" s="8" t="str">
        <x:v>https://moibiz93.ru/events/meropriyatiya/19-iyunya-v-pyatnitsu-proydyet-master-klass-kak-poluchit-ot-gosudarstva-350-000-rubley-na-svoe-delo/</x:v>
      </x:c>
      <x:c r="G24" s="8" t="str">
        <x:v>Запланирован — не запущен</x:v>
      </x:c>
    </x:row>
    <x:row r="25" ht="35.25" customHeight="1">
      <x:c r="A25" s="8" t="str">
        <x:v>V7-Sd79ad6f233</x:v>
      </x:c>
      <x:c r="B25" s="8" t="str">
        <x:v>EDU АФИША | Предлагаем организаторам подбор спикеров для мероприятий | Афиша мероприятий</x:v>
      </x:c>
      <x:c r="C25" s="8" t="str">
        <x:v>events</x:v>
      </x:c>
      <x:c r="D25" s="8" t="str">
        <x:v>Разведка</x:v>
      </x:c>
      <x:c r="E25" s="8" t="str">
        <x:v>Проверить HTTP</x:v>
      </x:c>
      <x:c r="F25" s="8" t="str">
        <x:v>https://edu-afisha.ru/predlagaem-organizatoram-podbor-spikerov-dlya-meropriyatij/</x:v>
      </x:c>
      <x:c r="G25" s="8" t="str">
        <x:v>Запланирован — не запущен</x:v>
      </x:c>
    </x:row>
  </x:sheetData>
  <x:pageMargins left="0.7" right="0.7" top="0.75" bottom="0.75" header="0.3" footer="0.3"/>
  <x:tableParts count="1">
    <x:tablePart xmlns:r="http://schemas.openxmlformats.org/officeDocument/2006/relationships" r:id="Ra809fa3f61154cb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38.88999938964844" hidden="0" customWidth="1"/>
    <x:col min="3" max="3" width="25.559999465942383" hidden="0" customWidth="1"/>
    <x:col min="4" max="4" width="17.219999313354492" hidden="0" customWidth="1"/>
    <x:col min="5" max="5" width="21.110000610351562" hidden="0" customWidth="1"/>
    <x:col min="6" max="6" width="20" hidden="0" customWidth="1"/>
    <x:col min="7" max="7" width="21.110000610351562" hidden="0" customWidth="1"/>
    <x:col min="8" max="8" width="13.329999923706055" hidden="0" customWidth="1"/>
    <x:col min="9" max="9" width="15.5600004196167" hidden="0" customWidth="1"/>
    <x:col min="10" max="10" width="16.110000610351562" hidden="0" customWidth="1"/>
    <x:col min="11" max="11" width="22.780000686645508" hidden="0" customWidth="1"/>
    <x:col min="12" max="12" width="22.780000686645508" hidden="0" customWidth="1"/>
    <x:col min="13" max="13" width="17.780000686645508" hidden="0" customWidth="1"/>
    <x:col min="14" max="14" width="17.780000686645508" hidden="0" customWidth="1"/>
    <x:col min="15" max="15" width="47.77999877929687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6.25" customHeight="1">
      <x:c r="A2" s="3" t="str">
        <x:v>439 источников • будущие результаты пилота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.5" customHeight="1">
      <x:c r="A3" s="4" t="str">
        <x:v>Желтые поля — ручной ввод. Пусто означает неизвестно. Формулы считают стоимость только при известных данных.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6" customHeight="1">
      <x:c r="A5" s="7" t="str">
        <x:v>Источник ID</x:v>
      </x:c>
      <x:c r="B5" s="7" t="str">
        <x:v>Название</x:v>
      </x:c>
      <x:c r="C5" s="7" t="str">
        <x:v>Направление</x:v>
      </x:c>
      <x:c r="D5" s="7" t="str">
        <x:v>Наблюдений</x:v>
      </x:c>
      <x:c r="E5" s="7" t="str">
        <x:v>Уникальных возможностей</x:v>
      </x:c>
      <x:c r="F5" s="7" t="str">
        <x:v>Квалифицированных</x:v>
      </x:c>
      <x:c r="G5" s="7" t="str">
        <x:v>Покупатель подтвердил</x:v>
      </x:c>
      <x:c r="H5" s="7" t="str">
        <x:v>Заказов</x:v>
      </x:c>
      <x:c r="I5" s="7" t="str">
        <x:v>Расход, ₽</x:v>
      </x:c>
      <x:c r="J5" s="7" t="str">
        <x:v>Время, мин</x:v>
      </x:c>
      <x:c r="K5" s="7" t="str">
        <x:v>₽ / квалифицированную</x:v>
      </x:c>
      <x:c r="L5" s="7" t="str">
        <x:v>Мин / квалифицированную</x:v>
      </x:c>
      <x:c r="M5" s="7" t="str">
        <x:v>Начало периода</x:v>
      </x:c>
      <x:c r="N5" s="7" t="str">
        <x:v>Конец периода</x:v>
      </x:c>
      <x:c r="O5" s="7" t="str">
        <x:v>Следующий шаг</x:v>
      </x:c>
    </x:row>
    <x:row r="6" ht="33" customHeight="1">
      <x:c r="A6" s="8" t="str">
        <x:v>V7-Sfa01cd5acb</x:v>
      </x:c>
      <x:c r="B6" s="8" t="str">
        <x:v>E-Learning - Тема «Новости от группы НЭО»</x:v>
      </x:c>
      <x:c r="C6" s="8" t="str">
        <x:v>industry</x:v>
      </x:c>
      <x:c r="D6" s="9"/>
      <x:c r="E6" s="9"/>
      <x:c r="F6" s="9"/>
      <x:c r="G6" s="9"/>
      <x:c r="H6" s="9"/>
      <x:c r="I6" s="10"/>
      <x:c r="J6" s="10"/>
      <x:c r="K6" s="11" t="str">
        <x:f>IF(AND(ISNUMBER(I6),ISNUMBER(F6),F6&gt;0),I6/F6,"")</x:f>
      </x:c>
      <x:c r="L6" s="11" t="str">
        <x:f>IF(AND(ISNUMBER(J6),ISNUMBER(F6),F6&gt;0),J6/F6,"")</x:f>
      </x:c>
      <x:c r="M6" s="9"/>
      <x:c r="N6" s="9"/>
      <x:c r="O6" s="9"/>
    </x:row>
    <x:row r="7" ht="35.25" customHeight="1">
      <x:c r="A7" s="8" t="str">
        <x:v>V7-Scdfed7e877</x:v>
      </x:c>
      <x:c r="B7" s="8" t="str">
        <x:v>Мероприятия сообщества Business Lead Биржа бизнес-заказов | Business Lead</x:v>
      </x:c>
      <x:c r="C7" s="8" t="str">
        <x:v>projects</x:v>
      </x:c>
      <x:c r="D7" s="9"/>
      <x:c r="E7" s="9"/>
      <x:c r="F7" s="9"/>
      <x:c r="G7" s="9"/>
      <x:c r="H7" s="9"/>
      <x:c r="I7" s="10"/>
      <x:c r="J7" s="10"/>
      <x:c r="K7" s="11" t="str">
        <x:f>IF(AND(ISNUMBER(I7),ISNUMBER(F7),F7&gt;0),I7/F7,"")</x:f>
      </x:c>
      <x:c r="L7" s="11" t="str">
        <x:f>IF(AND(ISNUMBER(J7),ISNUMBER(F7),F7&gt;0),J7/F7,"")</x:f>
      </x:c>
      <x:c r="M7" s="9"/>
      <x:c r="N7" s="9"/>
      <x:c r="O7" s="9"/>
    </x:row>
    <x:row r="8" ht="33" customHeight="1">
      <x:c r="A8" s="8" t="str">
        <x:v>V7-S7c2b33350c</x:v>
      </x:c>
      <x:c r="B8" s="8" t="str">
        <x:v>Школа бизнес тренера Надежды Бондаренко</x:v>
      </x:c>
      <x:c r="C8" s="8" t="str">
        <x:v>projects</x:v>
      </x:c>
      <x:c r="D8" s="9"/>
      <x:c r="E8" s="9"/>
      <x:c r="F8" s="9"/>
      <x:c r="G8" s="9"/>
      <x:c r="H8" s="9"/>
      <x:c r="I8" s="10"/>
      <x:c r="J8" s="10"/>
      <x:c r="K8" s="11" t="str">
        <x:f>IF(AND(ISNUMBER(I8),ISNUMBER(F8),F8&gt;0),I8/F8,"")</x:f>
      </x:c>
      <x:c r="L8" s="11" t="str">
        <x:f>IF(AND(ISNUMBER(J8),ISNUMBER(F8),F8&gt;0),J8/F8,"")</x:f>
      </x:c>
      <x:c r="M8" s="9"/>
      <x:c r="N8" s="9"/>
      <x:c r="O8" s="9"/>
    </x:row>
    <x:row r="9" ht="35.25" customHeight="1">
      <x:c r="A9" s="8" t="str">
        <x:v>V7-S5286645120</x:v>
      </x:c>
      <x:c r="B9" s="8" t="str">
        <x:v>Бизнес-клуб NOVA — закрытый клуб собственников бизнеса, Москва</x:v>
      </x:c>
      <x:c r="C9" s="8" t="str">
        <x:v>business</x:v>
      </x:c>
      <x:c r="D9" s="9"/>
      <x:c r="E9" s="9"/>
      <x:c r="F9" s="9"/>
      <x:c r="G9" s="9"/>
      <x:c r="H9" s="9"/>
      <x:c r="I9" s="10"/>
      <x:c r="J9" s="10"/>
      <x:c r="K9" s="11" t="str">
        <x:f>IF(AND(ISNUMBER(I9),ISNUMBER(F9),F9&gt;0),I9/F9,"")</x:f>
      </x:c>
      <x:c r="L9" s="11" t="str">
        <x:f>IF(AND(ISNUMBER(J9),ISNUMBER(F9),F9&gt;0),J9/F9,"")</x:f>
      </x:c>
      <x:c r="M9" s="9"/>
      <x:c r="N9" s="9"/>
      <x:c r="O9" s="9"/>
    </x:row>
    <x:row r="10" ht="33" customHeight="1">
      <x:c r="A10" s="8" t="str">
        <x:v>V7-S483a0bbc8e</x:v>
      </x:c>
      <x:c r="B10" s="8" t="str">
        <x:v>Вступить в Клуб финансовых директоров</x:v>
      </x:c>
      <x:c r="C10" s="8" t="str">
        <x:v>functional</x:v>
      </x:c>
      <x:c r="D10" s="9"/>
      <x:c r="E10" s="9"/>
      <x:c r="F10" s="9"/>
      <x:c r="G10" s="9"/>
      <x:c r="H10" s="9"/>
      <x:c r="I10" s="10"/>
      <x:c r="J10" s="10"/>
      <x:c r="K10" s="11" t="str">
        <x:f>IF(AND(ISNUMBER(I10),ISNUMBER(F10),F10&gt;0),I10/F10,"")</x:f>
      </x:c>
      <x:c r="L10" s="11" t="str">
        <x:f>IF(AND(ISNUMBER(J10),ISNUMBER(F10),F10&gt;0),J10/F10,"")</x:f>
      </x:c>
      <x:c r="M10" s="9"/>
      <x:c r="N10" s="9"/>
      <x:c r="O10" s="9"/>
    </x:row>
    <x:row r="11" ht="35.25" customHeight="1">
      <x:c r="A11" s="8" t="str">
        <x:v>V7-S4afe400b6f</x:v>
      </x:c>
      <x:c r="B11" s="8" t="str">
        <x:v>Надежда Бондаренко — отзывы, биография, школа бизнес-тренеров 2026</x:v>
      </x:c>
      <x:c r="C11" s="8" t="str">
        <x:v>projects</x:v>
      </x:c>
      <x:c r="D11" s="9"/>
      <x:c r="E11" s="9"/>
      <x:c r="F11" s="9"/>
      <x:c r="G11" s="9"/>
      <x:c r="H11" s="9"/>
      <x:c r="I11" s="10"/>
      <x:c r="J11" s="10"/>
      <x:c r="K11" s="11" t="str">
        <x:f>IF(AND(ISNUMBER(I11),ISNUMBER(F11),F11&gt;0),I11/F11,"")</x:f>
      </x:c>
      <x:c r="L11" s="11" t="str">
        <x:f>IF(AND(ISNUMBER(J11),ISNUMBER(F11),F11&gt;0),J11/F11,"")</x:f>
      </x:c>
      <x:c r="M11" s="9"/>
      <x:c r="N11" s="9"/>
      <x:c r="O11" s="9"/>
    </x:row>
    <x:row r="12" ht="33" customHeight="1">
      <x:c r="A12" s="8" t="str">
        <x:v>V7-S7cf84ce65b</x:v>
      </x:c>
      <x:c r="B12" s="8" t="str">
        <x:v>Бизнес-клуб Раменки</x:v>
      </x:c>
      <x:c r="C12" s="8" t="str">
        <x:v>business</x:v>
      </x:c>
      <x:c r="D12" s="9"/>
      <x:c r="E12" s="9"/>
      <x:c r="F12" s="9"/>
      <x:c r="G12" s="9"/>
      <x:c r="H12" s="9"/>
      <x:c r="I12" s="10"/>
      <x:c r="J12" s="10"/>
      <x:c r="K12" s="11" t="str">
        <x:f>IF(AND(ISNUMBER(I12),ISNUMBER(F12),F12&gt;0),I12/F12,"")</x:f>
      </x:c>
      <x:c r="L12" s="11" t="str">
        <x:f>IF(AND(ISNUMBER(J12),ISNUMBER(F12),F12&gt;0),J12/F12,"")</x:f>
      </x:c>
      <x:c r="M12" s="9"/>
      <x:c r="N12" s="9"/>
      <x:c r="O12" s="9"/>
    </x:row>
    <x:row r="13" ht="47.25" customHeight="1">
      <x:c r="A13" s="8" t="str">
        <x:v>V7-Sfb2f3cb02d</x:v>
      </x:c>
      <x:c r="B13" s="8" t="str">
        <x:v>Центр «Мой Бизнес» — Центр «Мой бизнес» приглашает к сотрудничеству спикеров и лекторов - Центр мой бизнес Орёл</x:v>
      </x:c>
      <x:c r="C13" s="8" t="str">
        <x:v>development</x:v>
      </x:c>
      <x:c r="D13" s="9"/>
      <x:c r="E13" s="9"/>
      <x:c r="F13" s="9"/>
      <x:c r="G13" s="9"/>
      <x:c r="H13" s="9"/>
      <x:c r="I13" s="10"/>
      <x:c r="J13" s="10"/>
      <x:c r="K13" s="11" t="str">
        <x:f>IF(AND(ISNUMBER(I13),ISNUMBER(F13),F13&gt;0),I13/F13,"")</x:f>
      </x:c>
      <x:c r="L13" s="11" t="str">
        <x:f>IF(AND(ISNUMBER(J13),ISNUMBER(F13),F13&gt;0),J13/F13,"")</x:f>
      </x:c>
      <x:c r="M13" s="9"/>
      <x:c r="N13" s="9"/>
      <x:c r="O13" s="9"/>
    </x:row>
    <x:row r="14" ht="35.25" customHeight="1">
      <x:c r="A14" s="8" t="str">
        <x:v>V7-Sca3637f5e2</x:v>
      </x:c>
      <x:c r="B14" s="8" t="str">
        <x:v>Спикеры для бизнеса и лекции для предпринимателей – приглашенные эксперты</x:v>
      </x:c>
      <x:c r="C14" s="8" t="str">
        <x:v>business</x:v>
      </x:c>
      <x:c r="D14" s="9"/>
      <x:c r="E14" s="9"/>
      <x:c r="F14" s="9"/>
      <x:c r="G14" s="9"/>
      <x:c r="H14" s="9"/>
      <x:c r="I14" s="10"/>
      <x:c r="J14" s="10"/>
      <x:c r="K14" s="11" t="str">
        <x:f>IF(AND(ISNUMBER(I14),ISNUMBER(F14),F14&gt;0),I14/F14,"")</x:f>
      </x:c>
      <x:c r="L14" s="11" t="str">
        <x:f>IF(AND(ISNUMBER(J14),ISNUMBER(F14),F14&gt;0),J14/F14,"")</x:f>
      </x:c>
      <x:c r="M14" s="9"/>
      <x:c r="N14" s="9"/>
      <x:c r="O14" s="9"/>
    </x:row>
    <x:row r="15" ht="35.25" customHeight="1">
      <x:c r="A15" s="8" t="str">
        <x:v>V7-S5ef01ce831</x:v>
      </x:c>
      <x:c r="B15" s="8" t="str">
        <x:v>Союз Проектных Менеджеров Республики Казахстан - Партнеры СПМ РК</x:v>
      </x:c>
      <x:c r="C15" s="8" t="str">
        <x:v>functional</x:v>
      </x:c>
      <x:c r="D15" s="9"/>
      <x:c r="E15" s="9"/>
      <x:c r="F15" s="9"/>
      <x:c r="G15" s="9"/>
      <x:c r="H15" s="9"/>
      <x:c r="I15" s="10"/>
      <x:c r="J15" s="10"/>
      <x:c r="K15" s="11" t="str">
        <x:f>IF(AND(ISNUMBER(I15),ISNUMBER(F15),F15&gt;0),I15/F15,"")</x:f>
      </x:c>
      <x:c r="L15" s="11" t="str">
        <x:f>IF(AND(ISNUMBER(J15),ISNUMBER(F15),F15&gt;0),J15/F15,"")</x:f>
      </x:c>
      <x:c r="M15" s="9"/>
      <x:c r="N15" s="9"/>
      <x:c r="O15" s="9"/>
    </x:row>
    <x:row r="16" ht="35.25" customHeight="1">
      <x:c r="A16" s="8" t="str">
        <x:v>V7-S7c24f7b6d8</x:v>
      </x:c>
      <x:c r="B16" s="8" t="str">
        <x:v>Бизнес-клуб ТЕРРА-ЕКАТЕРИНБУРГ (@terraekb) — Telegram-чат</x:v>
      </x:c>
      <x:c r="C16" s="8" t="str">
        <x:v>regional_hr</x:v>
      </x:c>
      <x:c r="D16" s="9"/>
      <x:c r="E16" s="9"/>
      <x:c r="F16" s="9"/>
      <x:c r="G16" s="9"/>
      <x:c r="H16" s="9"/>
      <x:c r="I16" s="10"/>
      <x:c r="J16" s="10"/>
      <x:c r="K16" s="11" t="str">
        <x:f>IF(AND(ISNUMBER(I16),ISNUMBER(F16),F16&gt;0),I16/F16,"")</x:f>
      </x:c>
      <x:c r="L16" s="11" t="str">
        <x:f>IF(AND(ISNUMBER(J16),ISNUMBER(F16),F16&gt;0),J16/F16,"")</x:f>
      </x:c>
      <x:c r="M16" s="9"/>
      <x:c r="N16" s="9"/>
      <x:c r="O16" s="9"/>
    </x:row>
    <x:row r="17" ht="35.25" customHeight="1">
      <x:c r="A17" s="8" t="str">
        <x:v>V7-S533cf7fb14</x:v>
      </x:c>
      <x:c r="B17" s="8" t="str">
        <x:v>Национальная Ассоциация Комплаенс и ЛИЗИНГОВЫЙ СОЮЗ подписали соглашение о сотрудничестве</x:v>
      </x:c>
      <x:c r="C17" s="8" t="str">
        <x:v>functional</x:v>
      </x:c>
      <x:c r="D17" s="9"/>
      <x:c r="E17" s="9"/>
      <x:c r="F17" s="9"/>
      <x:c r="G17" s="9"/>
      <x:c r="H17" s="9"/>
      <x:c r="I17" s="10"/>
      <x:c r="J17" s="10"/>
      <x:c r="K17" s="11" t="str">
        <x:f>IF(AND(ISNUMBER(I17),ISNUMBER(F17),F17&gt;0),I17/F17,"")</x:f>
      </x:c>
      <x:c r="L17" s="11" t="str">
        <x:f>IF(AND(ISNUMBER(J17),ISNUMBER(F17),F17&gt;0),J17/F17,"")</x:f>
      </x:c>
      <x:c r="M17" s="9"/>
      <x:c r="N17" s="9"/>
      <x:c r="O17" s="9"/>
    </x:row>
    <x:row r="18" ht="35.25" customHeight="1">
      <x:c r="A18" s="8" t="str">
        <x:v>V7-S43b1b3cd6f</x:v>
      </x:c>
      <x:c r="B18" s="8" t="str">
        <x:v>ACPA - Ассоциация сертифицированных профессиональных бухгалтеров</x:v>
      </x:c>
      <x:c r="C18" s="8" t="str">
        <x:v>industry</x:v>
      </x:c>
      <x:c r="D18" s="9"/>
      <x:c r="E18" s="9"/>
      <x:c r="F18" s="9"/>
      <x:c r="G18" s="9"/>
      <x:c r="H18" s="9"/>
      <x:c r="I18" s="10"/>
      <x:c r="J18" s="10"/>
      <x:c r="K18" s="11" t="str">
        <x:f>IF(AND(ISNUMBER(I18),ISNUMBER(F18),F18&gt;0),I18/F18,"")</x:f>
      </x:c>
      <x:c r="L18" s="11" t="str">
        <x:f>IF(AND(ISNUMBER(J18),ISNUMBER(F18),F18&gt;0),J18/F18,"")</x:f>
      </x:c>
      <x:c r="M18" s="9"/>
      <x:c r="N18" s="9"/>
      <x:c r="O18" s="9"/>
    </x:row>
    <x:row r="19" ht="35.25" customHeight="1">
      <x:c r="A19" s="8" t="str">
        <x:v>V7-S63c48d56f4</x:v>
      </x:c>
      <x:c r="B19" s="8" t="str">
        <x:v>Бизнес-клуб «Атланты» в Москве - сообщество предпринимателей и бизнесменов</x:v>
      </x:c>
      <x:c r="C19" s="8" t="str">
        <x:v>business</x:v>
      </x:c>
      <x:c r="D19" s="9"/>
      <x:c r="E19" s="9"/>
      <x:c r="F19" s="9"/>
      <x:c r="G19" s="9"/>
      <x:c r="H19" s="9"/>
      <x:c r="I19" s="10"/>
      <x:c r="J19" s="10"/>
      <x:c r="K19" s="11" t="str">
        <x:f>IF(AND(ISNUMBER(I19),ISNUMBER(F19),F19&gt;0),I19/F19,"")</x:f>
      </x:c>
      <x:c r="L19" s="11" t="str">
        <x:f>IF(AND(ISNUMBER(J19),ISNUMBER(F19),F19&gt;0),J19/F19,"")</x:f>
      </x:c>
      <x:c r="M19" s="9"/>
      <x:c r="N19" s="9"/>
      <x:c r="O19" s="9"/>
    </x:row>
    <x:row r="20" ht="35.25" customHeight="1">
      <x:c r="A20" s="8" t="str">
        <x:v>V7-S3850aa63be</x:v>
      </x:c>
      <x:c r="B20" s="8" t="str">
        <x:v>Методологическое сопровождение - Ирина Аваряскина</x:v>
      </x:c>
      <x:c r="C20" s="8" t="str">
        <x:v>projects</x:v>
      </x:c>
      <x:c r="D20" s="9"/>
      <x:c r="E20" s="9"/>
      <x:c r="F20" s="9"/>
      <x:c r="G20" s="9"/>
      <x:c r="H20" s="9"/>
      <x:c r="I20" s="10"/>
      <x:c r="J20" s="10"/>
      <x:c r="K20" s="11" t="str">
        <x:f>IF(AND(ISNUMBER(I20),ISNUMBER(F20),F20&gt;0),I20/F20,"")</x:f>
      </x:c>
      <x:c r="L20" s="11" t="str">
        <x:f>IF(AND(ISNUMBER(J20),ISNUMBER(F20),F20&gt;0),J20/F20,"")</x:f>
      </x:c>
      <x:c r="M20" s="9"/>
      <x:c r="N20" s="9"/>
      <x:c r="O20" s="9"/>
    </x:row>
    <x:row r="21" ht="33" customHeight="1">
      <x:c r="A21" s="8" t="str">
        <x:v>V7-Sd345f458a2</x:v>
      </x:c>
      <x:c r="B21" s="8" t="str">
        <x:v>Ассоциация загородных отелей России</x:v>
      </x:c>
      <x:c r="C21" s="8" t="str">
        <x:v>industry</x:v>
      </x:c>
      <x:c r="D21" s="9"/>
      <x:c r="E21" s="9"/>
      <x:c r="F21" s="9"/>
      <x:c r="G21" s="9"/>
      <x:c r="H21" s="9"/>
      <x:c r="I21" s="10"/>
      <x:c r="J21" s="10"/>
      <x:c r="K21" s="11" t="str">
        <x:f>IF(AND(ISNUMBER(I21),ISNUMBER(F21),F21&gt;0),I21/F21,"")</x:f>
      </x:c>
      <x:c r="L21" s="11" t="str">
        <x:f>IF(AND(ISNUMBER(J21),ISNUMBER(F21),F21&gt;0),J21/F21,"")</x:f>
      </x:c>
      <x:c r="M21" s="9"/>
      <x:c r="N21" s="9"/>
      <x:c r="O21" s="9"/>
    </x:row>
    <x:row r="22" ht="35.25" customHeight="1">
      <x:c r="A22" s="8" t="str">
        <x:v>V7-S8c2fc2583d</x:v>
      </x:c>
      <x:c r="B22" s="8" t="str">
        <x:v>Покидько Татьяна - Наставники Академии - Бизнес Академия Ольги Стаценко - Владивосток</x:v>
      </x:c>
      <x:c r="C22" s="8" t="str">
        <x:v>regional_hr</x:v>
      </x:c>
      <x:c r="D22" s="9"/>
      <x:c r="E22" s="9"/>
      <x:c r="F22" s="9"/>
      <x:c r="G22" s="9"/>
      <x:c r="H22" s="9"/>
      <x:c r="I22" s="10"/>
      <x:c r="J22" s="10"/>
      <x:c r="K22" s="11" t="str">
        <x:f>IF(AND(ISNUMBER(I22),ISNUMBER(F22),F22&gt;0),I22/F22,"")</x:f>
      </x:c>
      <x:c r="L22" s="11" t="str">
        <x:f>IF(AND(ISNUMBER(J22),ISNUMBER(F22),F22&gt;0),J22/F22,"")</x:f>
      </x:c>
      <x:c r="M22" s="9"/>
      <x:c r="N22" s="9"/>
      <x:c r="O22" s="9"/>
    </x:row>
    <x:row r="23" ht="35.25" customHeight="1">
      <x:c r="A23" s="8" t="str">
        <x:v>V7-S7aca20cc74</x:v>
      </x:c>
      <x:c r="B23" s="8" t="str">
        <x:v>Бизнес-клуб BizPride в Алматы — открытое сообщество для МСБ</x:v>
      </x:c>
      <x:c r="C23" s="8" t="str">
        <x:v>business</x:v>
      </x:c>
      <x:c r="D23" s="9"/>
      <x:c r="E23" s="9"/>
      <x:c r="F23" s="9"/>
      <x:c r="G23" s="9"/>
      <x:c r="H23" s="9"/>
      <x:c r="I23" s="10"/>
      <x:c r="J23" s="10"/>
      <x:c r="K23" s="11" t="str">
        <x:f>IF(AND(ISNUMBER(I23),ISNUMBER(F23),F23&gt;0),I23/F23,"")</x:f>
      </x:c>
      <x:c r="L23" s="11" t="str">
        <x:f>IF(AND(ISNUMBER(J23),ISNUMBER(F23),F23&gt;0),J23/F23,"")</x:f>
      </x:c>
      <x:c r="M23" s="9"/>
      <x:c r="N23" s="9"/>
      <x:c r="O23" s="9"/>
    </x:row>
    <x:row r="24" ht="33" customHeight="1">
      <x:c r="A24" s="8" t="str">
        <x:v>V7-Sa5a9a116ab</x:v>
      </x:c>
      <x:c r="B24" s="8" t="str">
        <x:v>ПРИЛОЖЕНИЕ / ПРОГРАММА ФОРУМА</x:v>
      </x:c>
      <x:c r="C24" s="8" t="str">
        <x:v>providers</x:v>
      </x:c>
      <x:c r="D24" s="9"/>
      <x:c r="E24" s="9"/>
      <x:c r="F24" s="9"/>
      <x:c r="G24" s="9"/>
      <x:c r="H24" s="9"/>
      <x:c r="I24" s="10"/>
      <x:c r="J24" s="10"/>
      <x:c r="K24" s="11" t="str">
        <x:f>IF(AND(ISNUMBER(I24),ISNUMBER(F24),F24&gt;0),I24/F24,"")</x:f>
      </x:c>
      <x:c r="L24" s="11" t="str">
        <x:f>IF(AND(ISNUMBER(J24),ISNUMBER(F24),F24&gt;0),J24/F24,"")</x:f>
      </x:c>
      <x:c r="M24" s="9"/>
      <x:c r="N24" s="9"/>
      <x:c r="O24" s="9"/>
    </x:row>
    <x:row r="25" ht="33" customHeight="1">
      <x:c r="A25" s="8" t="str">
        <x:v>V7-S14e7579638</x:v>
      </x:c>
      <x:c r="B25" s="8" t="str">
        <x:v>Вступить в Клуб финансовых директоров</x:v>
      </x:c>
      <x:c r="C25" s="8" t="str">
        <x:v>functional</x:v>
      </x:c>
      <x:c r="D25" s="9"/>
      <x:c r="E25" s="9"/>
      <x:c r="F25" s="9"/>
      <x:c r="G25" s="9"/>
      <x:c r="H25" s="9"/>
      <x:c r="I25" s="10"/>
      <x:c r="J25" s="10"/>
      <x:c r="K25" s="11" t="str">
        <x:f>IF(AND(ISNUMBER(I25),ISNUMBER(F25),F25&gt;0),I25/F25,"")</x:f>
      </x:c>
      <x:c r="L25" s="11" t="str">
        <x:f>IF(AND(ISNUMBER(J25),ISNUMBER(F25),F25&gt;0),J25/F25,"")</x:f>
      </x:c>
      <x:c r="M25" s="9"/>
      <x:c r="N25" s="9"/>
      <x:c r="O25" s="9"/>
    </x:row>
    <x:row r="26" ht="47.25" customHeight="1">
      <x:c r="A26" s="8" t="str">
        <x:v>V7-S49ce379bfe</x:v>
      </x:c>
      <x:c r="B26" s="8" t="str">
        <x:v>КОРПУС Петербурга и СберУниверситет стали партнерами — «Корпоративный университет Санкт-Петербурга (КОРПУС)»</x:v>
      </x:c>
      <x:c r="C26" s="8" t="str">
        <x:v>cu</x:v>
      </x:c>
      <x:c r="D26" s="9"/>
      <x:c r="E26" s="9"/>
      <x:c r="F26" s="9"/>
      <x:c r="G26" s="9"/>
      <x:c r="H26" s="9"/>
      <x:c r="I26" s="10"/>
      <x:c r="J26" s="10"/>
      <x:c r="K26" s="11" t="str">
        <x:f>IF(AND(ISNUMBER(I26),ISNUMBER(F26),F26&gt;0),I26/F26,"")</x:f>
      </x:c>
      <x:c r="L26" s="11" t="str">
        <x:f>IF(AND(ISNUMBER(J26),ISNUMBER(F26),F26&gt;0),J26/F26,"")</x:f>
      </x:c>
      <x:c r="M26" s="9"/>
      <x:c r="N26" s="9"/>
      <x:c r="O26" s="9"/>
    </x:row>
    <x:row r="27" ht="35.25" customHeight="1">
      <x:c r="A27" s="8" t="str">
        <x:v>V7-S2bdb29ccb8</x:v>
      </x:c>
      <x:c r="B27" s="8" t="str">
        <x:v>Бизнес-сообщество предпринимателей - «Эквиум» Казахстан</x:v>
      </x:c>
      <x:c r="C27" s="8" t="str">
        <x:v>business</x:v>
      </x:c>
      <x:c r="D27" s="9"/>
      <x:c r="E27" s="9"/>
      <x:c r="F27" s="9"/>
      <x:c r="G27" s="9"/>
      <x:c r="H27" s="9"/>
      <x:c r="I27" s="10"/>
      <x:c r="J27" s="10"/>
      <x:c r="K27" s="11" t="str">
        <x:f>IF(AND(ISNUMBER(I27),ISNUMBER(F27),F27&gt;0),I27/F27,"")</x:f>
      </x:c>
      <x:c r="L27" s="11" t="str">
        <x:f>IF(AND(ISNUMBER(J27),ISNUMBER(F27),F27&gt;0),J27/F27,"")</x:f>
      </x:c>
      <x:c r="M27" s="9"/>
      <x:c r="N27" s="9"/>
      <x:c r="O27" s="9"/>
    </x:row>
    <x:row r="28" ht="33" customHeight="1">
      <x:c r="A28" s="8" t="str">
        <x:v>V7-S61d25a5a00</x:v>
      </x:c>
      <x:c r="B28" s="8" t="str">
        <x:v>№1 Бизнес сообщество в Казахстане</x:v>
      </x:c>
      <x:c r="C28" s="8" t="str">
        <x:v>business</x:v>
      </x:c>
      <x:c r="D28" s="9"/>
      <x:c r="E28" s="9"/>
      <x:c r="F28" s="9"/>
      <x:c r="G28" s="9"/>
      <x:c r="H28" s="9"/>
      <x:c r="I28" s="10"/>
      <x:c r="J28" s="10"/>
      <x:c r="K28" s="11" t="str">
        <x:f>IF(AND(ISNUMBER(I28),ISNUMBER(F28),F28&gt;0),I28/F28,"")</x:f>
      </x:c>
      <x:c r="L28" s="11" t="str">
        <x:f>IF(AND(ISNUMBER(J28),ISNUMBER(F28),F28&gt;0),J28/F28,"")</x:f>
      </x:c>
      <x:c r="M28" s="9"/>
      <x:c r="N28" s="9"/>
      <x:c r="O28" s="9"/>
    </x:row>
    <x:row r="29" ht="35.25" customHeight="1">
      <x:c r="A29" s="8" t="str">
        <x:v>V7-Sa4b316a10c</x:v>
      </x:c>
      <x:c r="B29" s="8" t="str">
        <x:v>Создан первый в России клуб ИТ-директоров в автобизнесе</x:v>
      </x:c>
      <x:c r="C29" s="8" t="str">
        <x:v>functional</x:v>
      </x:c>
      <x:c r="D29" s="9"/>
      <x:c r="E29" s="9"/>
      <x:c r="F29" s="9"/>
      <x:c r="G29" s="9"/>
      <x:c r="H29" s="9"/>
      <x:c r="I29" s="10"/>
      <x:c r="J29" s="10"/>
      <x:c r="K29" s="11" t="str">
        <x:f>IF(AND(ISNUMBER(I29),ISNUMBER(F29),F29&gt;0),I29/F29,"")</x:f>
      </x:c>
      <x:c r="L29" s="11" t="str">
        <x:f>IF(AND(ISNUMBER(J29),ISNUMBER(F29),F29&gt;0),J29/F29,"")</x:f>
      </x:c>
      <x:c r="M29" s="9"/>
      <x:c r="N29" s="9"/>
      <x:c r="O29" s="9"/>
    </x:row>
    <x:row r="30" ht="33" customHeight="1">
      <x:c r="A30" s="8" t="str">
        <x:v>V7-S4072063ba3</x:v>
      </x:c>
      <x:c r="B30" s="8" t="str">
        <x:v>Приглашение</x:v>
      </x:c>
      <x:c r="C30" s="8" t="str">
        <x:v>events</x:v>
      </x:c>
      <x:c r="D30" s="9"/>
      <x:c r="E30" s="9"/>
      <x:c r="F30" s="9"/>
      <x:c r="G30" s="9"/>
      <x:c r="H30" s="9"/>
      <x:c r="I30" s="10"/>
      <x:c r="J30" s="10"/>
      <x:c r="K30" s="11" t="str">
        <x:f>IF(AND(ISNUMBER(I30),ISNUMBER(F30),F30&gt;0),I30/F30,"")</x:f>
      </x:c>
      <x:c r="L30" s="11" t="str">
        <x:f>IF(AND(ISNUMBER(J30),ISNUMBER(F30),F30&gt;0),J30/F30,"")</x:f>
      </x:c>
      <x:c r="M30" s="9"/>
      <x:c r="N30" s="9"/>
      <x:c r="O30" s="9"/>
    </x:row>
    <x:row r="31" ht="35.25" customHeight="1">
      <x:c r="A31" s="8" t="str">
        <x:v>V7-S21866ea2a6</x:v>
      </x:c>
      <x:c r="B31" s="8" t="str">
        <x:v>Кайсар Макан — Эксперт по стратегическим сессиям, фасилитации и обучению руководителей | Астана</x:v>
      </x:c>
      <x:c r="C31" s="8" t="str">
        <x:v>providers</x:v>
      </x:c>
      <x:c r="D31" s="9"/>
      <x:c r="E31" s="9"/>
      <x:c r="F31" s="9"/>
      <x:c r="G31" s="9"/>
      <x:c r="H31" s="9"/>
      <x:c r="I31" s="10"/>
      <x:c r="J31" s="10"/>
      <x:c r="K31" s="11" t="str">
        <x:f>IF(AND(ISNUMBER(I31),ISNUMBER(F31),F31&gt;0),I31/F31,"")</x:f>
      </x:c>
      <x:c r="L31" s="11" t="str">
        <x:f>IF(AND(ISNUMBER(J31),ISNUMBER(F31),F31&gt;0),J31/F31,"")</x:f>
      </x:c>
      <x:c r="M31" s="9"/>
      <x:c r="N31" s="9"/>
      <x:c r="O31" s="9"/>
    </x:row>
    <x:row r="32" ht="35.25" customHeight="1">
      <x:c r="A32" s="8" t="str">
        <x:v>V7-Sa2b398a91e</x:v>
      </x:c>
      <x:c r="B32" s="8" t="str">
        <x:v>Как стать спикером центра «Мой бизнес» | АНО «Мой бизнес»</x:v>
      </x:c>
      <x:c r="C32" s="8" t="str">
        <x:v>development</x:v>
      </x:c>
      <x:c r="D32" s="9"/>
      <x:c r="E32" s="9"/>
      <x:c r="F32" s="9"/>
      <x:c r="G32" s="9"/>
      <x:c r="H32" s="9"/>
      <x:c r="I32" s="10"/>
      <x:c r="J32" s="10"/>
      <x:c r="K32" s="11" t="str">
        <x:f>IF(AND(ISNUMBER(I32),ISNUMBER(F32),F32&gt;0),I32/F32,"")</x:f>
      </x:c>
      <x:c r="L32" s="11" t="str">
        <x:f>IF(AND(ISNUMBER(J32),ISNUMBER(F32),F32&gt;0),J32/F32,"")</x:f>
      </x:c>
      <x:c r="M32" s="9"/>
      <x:c r="N32" s="9"/>
      <x:c r="O32" s="9"/>
    </x:row>
    <x:row r="33" ht="47.25" customHeight="1">
      <x:c r="A33" s="8" t="str">
        <x:v>V7-Sc02a38e132</x:v>
      </x:c>
      <x:c r="B33" s="8" t="str">
        <x:v>Конференция Ассоциации выпускников МГИМО в Казахстане «Диалог поколений и общее пространство знаний»</x:v>
      </x:c>
      <x:c r="C33" s="8" t="str">
        <x:v>providers</x:v>
      </x:c>
      <x:c r="D33" s="9"/>
      <x:c r="E33" s="9"/>
      <x:c r="F33" s="9"/>
      <x:c r="G33" s="9"/>
      <x:c r="H33" s="9"/>
      <x:c r="I33" s="10"/>
      <x:c r="J33" s="10"/>
      <x:c r="K33" s="11" t="str">
        <x:f>IF(AND(ISNUMBER(I33),ISNUMBER(F33),F33&gt;0),I33/F33,"")</x:f>
      </x:c>
      <x:c r="L33" s="11" t="str">
        <x:f>IF(AND(ISNUMBER(J33),ISNUMBER(F33),F33&gt;0),J33/F33,"")</x:f>
      </x:c>
      <x:c r="M33" s="9"/>
      <x:c r="N33" s="9"/>
      <x:c r="O33" s="9"/>
    </x:row>
    <x:row r="34" ht="35.25" customHeight="1">
      <x:c r="A34" s="8" t="str">
        <x:v>V7-S16219a0993</x:v>
      </x:c>
      <x:c r="B34" s="8" t="str">
        <x:v>Бизнес-сообщество «Основатели» | Бизнес-клуб для предпринимателей</x:v>
      </x:c>
      <x:c r="C34" s="8" t="str">
        <x:v>business</x:v>
      </x:c>
      <x:c r="D34" s="9"/>
      <x:c r="E34" s="9"/>
      <x:c r="F34" s="9"/>
      <x:c r="G34" s="9"/>
      <x:c r="H34" s="9"/>
      <x:c r="I34" s="10"/>
      <x:c r="J34" s="10"/>
      <x:c r="K34" s="11" t="str">
        <x:f>IF(AND(ISNUMBER(I34),ISNUMBER(F34),F34&gt;0),I34/F34,"")</x:f>
      </x:c>
      <x:c r="L34" s="11" t="str">
        <x:f>IF(AND(ISNUMBER(J34),ISNUMBER(F34),F34&gt;0),J34/F34,"")</x:f>
      </x:c>
      <x:c r="M34" s="9"/>
      <x:c r="N34" s="9"/>
      <x:c r="O34" s="9"/>
    </x:row>
    <x:row r="35" ht="35.25" customHeight="1">
      <x:c r="A35" s="8" t="str">
        <x:v>V7-Scb11e4689a</x:v>
      </x:c>
      <x:c r="B35" s="8" t="str">
        <x:v>Партнерская программа для тренинговых компаний и преподавателей</x:v>
      </x:c>
      <x:c r="C35" s="8" t="str">
        <x:v>providers</x:v>
      </x:c>
      <x:c r="D35" s="9"/>
      <x:c r="E35" s="9"/>
      <x:c r="F35" s="9"/>
      <x:c r="G35" s="9"/>
      <x:c r="H35" s="9"/>
      <x:c r="I35" s="10"/>
      <x:c r="J35" s="10"/>
      <x:c r="K35" s="11" t="str">
        <x:f>IF(AND(ISNUMBER(I35),ISNUMBER(F35),F35&gt;0),I35/F35,"")</x:f>
      </x:c>
      <x:c r="L35" s="11" t="str">
        <x:f>IF(AND(ISNUMBER(J35),ISNUMBER(F35),F35&gt;0),J35/F35,"")</x:f>
      </x:c>
      <x:c r="M35" s="9"/>
      <x:c r="N35" s="9"/>
      <x:c r="O35" s="9"/>
    </x:row>
    <x:row r="36" ht="33" customHeight="1">
      <x:c r="A36" s="8" t="str">
        <x:v>V7-S3f62f435c1</x:v>
      </x:c>
      <x:c r="B36" s="8" t="str">
        <x:v>Спикерам: как создавать курсы</x:v>
      </x:c>
      <x:c r="C36" s="8" t="str">
        <x:v>providers</x:v>
      </x:c>
      <x:c r="D36" s="9"/>
      <x:c r="E36" s="9"/>
      <x:c r="F36" s="9"/>
      <x:c r="G36" s="9"/>
      <x:c r="H36" s="9"/>
      <x:c r="I36" s="10"/>
      <x:c r="J36" s="10"/>
      <x:c r="K36" s="11" t="str">
        <x:f>IF(AND(ISNUMBER(I36),ISNUMBER(F36),F36&gt;0),I36/F36,"")</x:f>
      </x:c>
      <x:c r="L36" s="11" t="str">
        <x:f>IF(AND(ISNUMBER(J36),ISNUMBER(F36),F36&gt;0),J36/F36,"")</x:f>
      </x:c>
      <x:c r="M36" s="9"/>
      <x:c r="N36" s="9"/>
      <x:c r="O36" s="9"/>
    </x:row>
    <x:row r="37" ht="35.25" customHeight="1">
      <x:c r="A37" s="8" t="str">
        <x:v>V7-S42275a4852</x:v>
      </x:c>
      <x:c r="B37" s="8" t="str">
        <x:v>Как стать спикером - Суровый Питерский Форум про маркетинг, SMM и бизнес</x:v>
      </x:c>
      <x:c r="C37" s="8" t="str">
        <x:v>events</x:v>
      </x:c>
      <x:c r="D37" s="9"/>
      <x:c r="E37" s="9"/>
      <x:c r="F37" s="9"/>
      <x:c r="G37" s="9"/>
      <x:c r="H37" s="9"/>
      <x:c r="I37" s="10"/>
      <x:c r="J37" s="10"/>
      <x:c r="K37" s="11" t="str">
        <x:f>IF(AND(ISNUMBER(I37),ISNUMBER(F37),F37&gt;0),I37/F37,"")</x:f>
      </x:c>
      <x:c r="L37" s="11" t="str">
        <x:f>IF(AND(ISNUMBER(J37),ISNUMBER(F37),F37&gt;0),J37/F37,"")</x:f>
      </x:c>
      <x:c r="M37" s="9"/>
      <x:c r="N37" s="9"/>
      <x:c r="O37" s="9"/>
    </x:row>
    <x:row r="38" ht="35.25" customHeight="1">
      <x:c r="A38" s="8" t="str">
        <x:v>V7-S0da1acef28</x:v>
      </x:c>
      <x:c r="B38" s="8" t="str">
        <x:v>Ежегодный семинар «Станкостроение и металлообработка — 2026» – Союз Машиностроителей России</x:v>
      </x:c>
      <x:c r="C38" s="8" t="str">
        <x:v>industry</x:v>
      </x:c>
      <x:c r="D38" s="9"/>
      <x:c r="E38" s="9"/>
      <x:c r="F38" s="9"/>
      <x:c r="G38" s="9"/>
      <x:c r="H38" s="9"/>
      <x:c r="I38" s="10"/>
      <x:c r="J38" s="10"/>
      <x:c r="K38" s="11" t="str">
        <x:f>IF(AND(ISNUMBER(I38),ISNUMBER(F38),F38&gt;0),I38/F38,"")</x:f>
      </x:c>
      <x:c r="L38" s="11" t="str">
        <x:f>IF(AND(ISNUMBER(J38),ISNUMBER(F38),F38&gt;0),J38/F38,"")</x:f>
      </x:c>
      <x:c r="M38" s="9"/>
      <x:c r="N38" s="9"/>
      <x:c r="O38" s="9"/>
    </x:row>
    <x:row r="39" ht="35.25" customHeight="1">
      <x:c r="A39" s="8" t="str">
        <x:v>V7-S53bc7cc615</x:v>
      </x:c>
      <x:c r="B39" s="8" t="str">
        <x:v>Санкт-Петербургский клуб ИТ-директоров «SPb CIO Club</x:v>
      </x:c>
      <x:c r="C39" s="8" t="str">
        <x:v>functional</x:v>
      </x:c>
      <x:c r="D39" s="9"/>
      <x:c r="E39" s="9"/>
      <x:c r="F39" s="9"/>
      <x:c r="G39" s="9"/>
      <x:c r="H39" s="9"/>
      <x:c r="I39" s="10"/>
      <x:c r="J39" s="10"/>
      <x:c r="K39" s="11" t="str">
        <x:f>IF(AND(ISNUMBER(I39),ISNUMBER(F39),F39&gt;0),I39/F39,"")</x:f>
      </x:c>
      <x:c r="L39" s="11" t="str">
        <x:f>IF(AND(ISNUMBER(J39),ISNUMBER(F39),F39&gt;0),J39/F39,"")</x:f>
      </x:c>
      <x:c r="M39" s="9"/>
      <x:c r="N39" s="9"/>
      <x:c r="O39" s="9"/>
    </x:row>
    <x:row r="40" ht="33" customHeight="1">
      <x:c r="A40" s="8" t="str">
        <x:v>V7-Sdf357e18c6</x:v>
      </x:c>
      <x:c r="B40" s="8" t="str">
        <x:v>Союз закупщиков</x:v>
      </x:c>
      <x:c r="C40" s="8" t="str">
        <x:v>functional</x:v>
      </x:c>
      <x:c r="D40" s="9"/>
      <x:c r="E40" s="9"/>
      <x:c r="F40" s="9"/>
      <x:c r="G40" s="9"/>
      <x:c r="H40" s="9"/>
      <x:c r="I40" s="10"/>
      <x:c r="J40" s="10"/>
      <x:c r="K40" s="11" t="str">
        <x:f>IF(AND(ISNUMBER(I40),ISNUMBER(F40),F40&gt;0),I40/F40,"")</x:f>
      </x:c>
      <x:c r="L40" s="11" t="str">
        <x:f>IF(AND(ISNUMBER(J40),ISNUMBER(F40),F40&gt;0),J40/F40,"")</x:f>
      </x:c>
      <x:c r="M40" s="9"/>
      <x:c r="N40" s="9"/>
      <x:c r="O40" s="9"/>
    </x:row>
    <x:row r="41" ht="33" customHeight="1">
      <x:c r="A41" s="8" t="str">
        <x:v>V7-Scf5c3b44a5</x:v>
      </x:c>
      <x:c r="B41" s="8" t="str">
        <x:v>Корпоративная Академия Росатома – Telegram</x:v>
      </x:c>
      <x:c r="C41" s="8" t="str">
        <x:v>cu</x:v>
      </x:c>
      <x:c r="D41" s="9"/>
      <x:c r="E41" s="9"/>
      <x:c r="F41" s="9"/>
      <x:c r="G41" s="9"/>
      <x:c r="H41" s="9"/>
      <x:c r="I41" s="10"/>
      <x:c r="J41" s="10"/>
      <x:c r="K41" s="11" t="str">
        <x:f>IF(AND(ISNUMBER(I41),ISNUMBER(F41),F41&gt;0),I41/F41,"")</x:f>
      </x:c>
      <x:c r="L41" s="11" t="str">
        <x:f>IF(AND(ISNUMBER(J41),ISNUMBER(F41),F41&gt;0),J41/F41,"")</x:f>
      </x:c>
      <x:c r="M41" s="9"/>
      <x:c r="N41" s="9"/>
      <x:c r="O41" s="9"/>
    </x:row>
    <x:row r="42" ht="35.25" customHeight="1">
      <x:c r="A42" s="8" t="str">
        <x:v>V7-S32fa712ee0</x:v>
      </x:c>
      <x:c r="B42" s="8" t="str">
        <x:v>Экспертов сообщество чаты | В базе 119 чатов | Тг Каталог</x:v>
      </x:c>
      <x:c r="C42" s="8" t="str">
        <x:v>projects</x:v>
      </x:c>
      <x:c r="D42" s="9"/>
      <x:c r="E42" s="9"/>
      <x:c r="F42" s="9"/>
      <x:c r="G42" s="9"/>
      <x:c r="H42" s="9"/>
      <x:c r="I42" s="10"/>
      <x:c r="J42" s="10"/>
      <x:c r="K42" s="11" t="str">
        <x:f>IF(AND(ISNUMBER(I42),ISNUMBER(F42),F42&gt;0),I42/F42,"")</x:f>
      </x:c>
      <x:c r="L42" s="11" t="str">
        <x:f>IF(AND(ISNUMBER(J42),ISNUMBER(F42),F42&gt;0),J42/F42,"")</x:f>
      </x:c>
      <x:c r="M42" s="9"/>
      <x:c r="N42" s="9"/>
      <x:c r="O42" s="9"/>
    </x:row>
    <x:row r="43" ht="35.25" customHeight="1">
      <x:c r="A43" s="8" t="str">
        <x:v>V7-S931d7f18e4</x:v>
      </x:c>
      <x:c r="B43" s="8" t="str">
        <x:v>СТМЛК - сообщество топ-менеджеров логистических компаний</x:v>
      </x:c>
      <x:c r="C43" s="8" t="str">
        <x:v>functional</x:v>
      </x:c>
      <x:c r="D43" s="9"/>
      <x:c r="E43" s="9"/>
      <x:c r="F43" s="9"/>
      <x:c r="G43" s="9"/>
      <x:c r="H43" s="9"/>
      <x:c r="I43" s="10"/>
      <x:c r="J43" s="10"/>
      <x:c r="K43" s="11" t="str">
        <x:f>IF(AND(ISNUMBER(I43),ISNUMBER(F43),F43&gt;0),I43/F43,"")</x:f>
      </x:c>
      <x:c r="L43" s="11" t="str">
        <x:f>IF(AND(ISNUMBER(J43),ISNUMBER(F43),F43&gt;0),J43/F43,"")</x:f>
      </x:c>
      <x:c r="M43" s="9"/>
      <x:c r="N43" s="9"/>
      <x:c r="O43" s="9"/>
    </x:row>
    <x:row r="44" ht="35.25" customHeight="1">
      <x:c r="A44" s="8" t="str">
        <x:v>V7-Sdf3544e88a</x:v>
      </x:c>
      <x:c r="B44" s="8" t="str">
        <x:v>Хотите стать экспертом Центра «Мой бизнес» и заявить о себе?</x:v>
      </x:c>
      <x:c r="C44" s="8" t="str">
        <x:v>development</x:v>
      </x:c>
      <x:c r="D44" s="9"/>
      <x:c r="E44" s="9"/>
      <x:c r="F44" s="9"/>
      <x:c r="G44" s="9"/>
      <x:c r="H44" s="9"/>
      <x:c r="I44" s="10"/>
      <x:c r="J44" s="10"/>
      <x:c r="K44" s="11" t="str">
        <x:f>IF(AND(ISNUMBER(I44),ISNUMBER(F44),F44&gt;0),I44/F44,"")</x:f>
      </x:c>
      <x:c r="L44" s="11" t="str">
        <x:f>IF(AND(ISNUMBER(J44),ISNUMBER(F44),F44&gt;0),J44/F44,"")</x:f>
      </x:c>
      <x:c r="M44" s="9"/>
      <x:c r="N44" s="9"/>
      <x:c r="O44" s="9"/>
    </x:row>
    <x:row r="45" ht="35.25" customHeight="1">
      <x:c r="A45" s="8" t="str">
        <x:v>V7-Sf514969c9c</x:v>
      </x:c>
      <x:c r="B45" s="8" t="str">
        <x:v>Клуб директоров | Профессиональное сообщество руководителей образовательных организаций</x:v>
      </x:c>
      <x:c r="C45" s="8" t="str">
        <x:v>functional</x:v>
      </x:c>
      <x:c r="D45" s="9"/>
      <x:c r="E45" s="9"/>
      <x:c r="F45" s="9"/>
      <x:c r="G45" s="9"/>
      <x:c r="H45" s="9"/>
      <x:c r="I45" s="10"/>
      <x:c r="J45" s="10"/>
      <x:c r="K45" s="11" t="str">
        <x:f>IF(AND(ISNUMBER(I45),ISNUMBER(F45),F45&gt;0),I45/F45,"")</x:f>
      </x:c>
      <x:c r="L45" s="11" t="str">
        <x:f>IF(AND(ISNUMBER(J45),ISNUMBER(F45),F45&gt;0),J45/F45,"")</x:f>
      </x:c>
      <x:c r="M45" s="9"/>
      <x:c r="N45" s="9"/>
      <x:c r="O45" s="9"/>
    </x:row>
    <x:row r="46" ht="35.25" customHeight="1">
      <x:c r="A46" s="8" t="str">
        <x:v>V7-Se02dcdcdaf</x:v>
      </x:c>
      <x:c r="B46" s="8" t="str">
        <x:v>Бизнес-клубы Казахстана 2026: сообщества предпринимателей</x:v>
      </x:c>
      <x:c r="C46" s="8" t="str">
        <x:v>business</x:v>
      </x:c>
      <x:c r="D46" s="9"/>
      <x:c r="E46" s="9"/>
      <x:c r="F46" s="9"/>
      <x:c r="G46" s="9"/>
      <x:c r="H46" s="9"/>
      <x:c r="I46" s="10"/>
      <x:c r="J46" s="10"/>
      <x:c r="K46" s="11" t="str">
        <x:f>IF(AND(ISNUMBER(I46),ISNUMBER(F46),F46&gt;0),I46/F46,"")</x:f>
      </x:c>
      <x:c r="L46" s="11" t="str">
        <x:f>IF(AND(ISNUMBER(J46),ISNUMBER(F46),F46&gt;0),J46/F46,"")</x:f>
      </x:c>
      <x:c r="M46" s="9"/>
      <x:c r="N46" s="9"/>
      <x:c r="O46" s="9"/>
    </x:row>
    <x:row r="47" ht="35.25" customHeight="1">
      <x:c r="A47" s="8" t="str">
        <x:v>V7-S468cc38e30</x:v>
      </x:c>
      <x:c r="B47" s="8" t="str">
        <x:v>26 Business Club — Сообщество high-impact предпринимателей</x:v>
      </x:c>
      <x:c r="C47" s="8" t="str">
        <x:v>business</x:v>
      </x:c>
      <x:c r="D47" s="9"/>
      <x:c r="E47" s="9"/>
      <x:c r="F47" s="9"/>
      <x:c r="G47" s="9"/>
      <x:c r="H47" s="9"/>
      <x:c r="I47" s="10"/>
      <x:c r="J47" s="10"/>
      <x:c r="K47" s="11" t="str">
        <x:f>IF(AND(ISNUMBER(I47),ISNUMBER(F47),F47&gt;0),I47/F47,"")</x:f>
      </x:c>
      <x:c r="L47" s="11" t="str">
        <x:f>IF(AND(ISNUMBER(J47),ISNUMBER(F47),F47&gt;0),J47/F47,"")</x:f>
      </x:c>
      <x:c r="M47" s="9"/>
      <x:c r="N47" s="9"/>
      <x:c r="O47" s="9"/>
    </x:row>
    <x:row r="48" ht="33" customHeight="1">
      <x:c r="A48" s="8" t="str">
        <x:v>V7-S6033ef9a7e</x:v>
      </x:c>
      <x:c r="B48" s="8" t="str">
        <x:v>Описание проекта | Клуб топ-менеджеров 4CIO</x:v>
      </x:c>
      <x:c r="C48" s="8" t="str">
        <x:v>functional</x:v>
      </x:c>
      <x:c r="D48" s="9"/>
      <x:c r="E48" s="9"/>
      <x:c r="F48" s="9"/>
      <x:c r="G48" s="9"/>
      <x:c r="H48" s="9"/>
      <x:c r="I48" s="10"/>
      <x:c r="J48" s="10"/>
      <x:c r="K48" s="11" t="str">
        <x:f>IF(AND(ISNUMBER(I48),ISNUMBER(F48),F48&gt;0),I48/F48,"")</x:f>
      </x:c>
      <x:c r="L48" s="11" t="str">
        <x:f>IF(AND(ISNUMBER(J48),ISNUMBER(F48),F48&gt;0),J48/F48,"")</x:f>
      </x:c>
      <x:c r="M48" s="9"/>
      <x:c r="N48" s="9"/>
      <x:c r="O48" s="9"/>
    </x:row>
    <x:row r="49" ht="35.25" customHeight="1">
      <x:c r="A49" s="8" t="str">
        <x:v>V7-Sb1d33b490a</x:v>
      </x:c>
      <x:c r="B49" s="8" t="str">
        <x:v>Международная Академия Информатизации - Конкурс по набору бизнес-тренеров</x:v>
      </x:c>
      <x:c r="C49" s="8" t="str">
        <x:v>providers</x:v>
      </x:c>
      <x:c r="D49" s="9"/>
      <x:c r="E49" s="9"/>
      <x:c r="F49" s="9"/>
      <x:c r="G49" s="9"/>
      <x:c r="H49" s="9"/>
      <x:c r="I49" s="10"/>
      <x:c r="J49" s="10"/>
      <x:c r="K49" s="11" t="str">
        <x:f>IF(AND(ISNUMBER(I49),ISNUMBER(F49),F49&gt;0),I49/F49,"")</x:f>
      </x:c>
      <x:c r="L49" s="11" t="str">
        <x:f>IF(AND(ISNUMBER(J49),ISNUMBER(F49),F49&gt;0),J49/F49,"")</x:f>
      </x:c>
      <x:c r="M49" s="9"/>
      <x:c r="N49" s="9"/>
      <x:c r="O49" s="9"/>
    </x:row>
    <x:row r="50" ht="35.25" customHeight="1">
      <x:c r="A50" s="8" t="str">
        <x:v>V7-S85d9ad0352</x:v>
      </x:c>
      <x:c r="B50" s="8" t="str">
        <x:v>Ассоциация экспертов, спикеров, модераторов и продюсеров | Членство и деловой сезон 2026–2027</x:v>
      </x:c>
      <x:c r="C50" s="8" t="str">
        <x:v>industry</x:v>
      </x:c>
      <x:c r="D50" s="9"/>
      <x:c r="E50" s="9"/>
      <x:c r="F50" s="9"/>
      <x:c r="G50" s="9"/>
      <x:c r="H50" s="9"/>
      <x:c r="I50" s="10"/>
      <x:c r="J50" s="10"/>
      <x:c r="K50" s="11" t="str">
        <x:f>IF(AND(ISNUMBER(I50),ISNUMBER(F50),F50&gt;0),I50/F50,"")</x:f>
      </x:c>
      <x:c r="L50" s="11" t="str">
        <x:f>IF(AND(ISNUMBER(J50),ISNUMBER(F50),F50&gt;0),J50/F50,"")</x:f>
      </x:c>
      <x:c r="M50" s="9"/>
      <x:c r="N50" s="9"/>
      <x:c r="O50" s="9"/>
    </x:row>
    <x:row r="51" ht="35.25" customHeight="1">
      <x:c r="A51" s="8" t="str">
        <x:v>V7-S9526f21382</x:v>
      </x:c>
      <x:c r="B51" s="8" t="str">
        <x:v>Практикум 2.0 для предпринимателей - Бизнес клуб "Аномалия"</x:v>
      </x:c>
      <x:c r="C51" s="8" t="str">
        <x:v>business</x:v>
      </x:c>
      <x:c r="D51" s="9"/>
      <x:c r="E51" s="9"/>
      <x:c r="F51" s="9"/>
      <x:c r="G51" s="9"/>
      <x:c r="H51" s="9"/>
      <x:c r="I51" s="10"/>
      <x:c r="J51" s="10"/>
      <x:c r="K51" s="11" t="str">
        <x:f>IF(AND(ISNUMBER(I51),ISNUMBER(F51),F51&gt;0),I51/F51,"")</x:f>
      </x:c>
      <x:c r="L51" s="11" t="str">
        <x:f>IF(AND(ISNUMBER(J51),ISNUMBER(F51),F51&gt;0),J51/F51,"")</x:f>
      </x:c>
      <x:c r="M51" s="9"/>
      <x:c r="N51" s="9"/>
      <x:c r="O51" s="9"/>
    </x:row>
    <x:row r="52" ht="35.25" customHeight="1">
      <x:c r="A52" s="8" t="str">
        <x:v>V7-S479a96013c</x:v>
      </x:c>
      <x:c r="B52" s="8" t="str">
        <x:v>Ассоциация предприятий легкой промышленности Казахстана — Страница 2</x:v>
      </x:c>
      <x:c r="C52" s="8" t="str">
        <x:v>industry</x:v>
      </x:c>
      <x:c r="D52" s="9"/>
      <x:c r="E52" s="9"/>
      <x:c r="F52" s="9"/>
      <x:c r="G52" s="9"/>
      <x:c r="H52" s="9"/>
      <x:c r="I52" s="10"/>
      <x:c r="J52" s="10"/>
      <x:c r="K52" s="11" t="str">
        <x:f>IF(AND(ISNUMBER(I52),ISNUMBER(F52),F52&gt;0),I52/F52,"")</x:f>
      </x:c>
      <x:c r="L52" s="11" t="str">
        <x:f>IF(AND(ISNUMBER(J52),ISNUMBER(F52),F52&gt;0),J52/F52,"")</x:f>
      </x:c>
      <x:c r="M52" s="9"/>
      <x:c r="N52" s="9"/>
      <x:c r="O52" s="9"/>
    </x:row>
    <x:row r="53" ht="35.25" customHeight="1">
      <x:c r="A53" s="8" t="str">
        <x:v>V7-S5d282fb9fc</x:v>
      </x:c>
      <x:c r="B53" s="8" t="str">
        <x:v>Ассоциация российских разработчиков и производителей ...</x:v>
      </x:c>
      <x:c r="C53" s="8" t="str">
        <x:v>projects</x:v>
      </x:c>
      <x:c r="D53" s="9"/>
      <x:c r="E53" s="9"/>
      <x:c r="F53" s="9"/>
      <x:c r="G53" s="9"/>
      <x:c r="H53" s="9"/>
      <x:c r="I53" s="10"/>
      <x:c r="J53" s="10"/>
      <x:c r="K53" s="11" t="str">
        <x:f>IF(AND(ISNUMBER(I53),ISNUMBER(F53),F53&gt;0),I53/F53,"")</x:f>
      </x:c>
      <x:c r="L53" s="11" t="str">
        <x:f>IF(AND(ISNUMBER(J53),ISNUMBER(F53),F53&gt;0),J53/F53,"")</x:f>
      </x:c>
      <x:c r="M53" s="9"/>
      <x:c r="N53" s="9"/>
      <x:c r="O53" s="9"/>
    </x:row>
    <x:row r="54" ht="35.25" customHeight="1">
      <x:c r="A54" s="8" t="str">
        <x:v>V7-S7dda2a59e6</x:v>
      </x:c>
      <x:c r="B54" s="8" t="str">
        <x:v>Мероприятия для членов СРО | Ассоциация «СРО «АЛЬЯНС СТРОИТЕЛЕЙ»</x:v>
      </x:c>
      <x:c r="C54" s="8" t="str">
        <x:v>industry</x:v>
      </x:c>
      <x:c r="D54" s="9"/>
      <x:c r="E54" s="9"/>
      <x:c r="F54" s="9"/>
      <x:c r="G54" s="9"/>
      <x:c r="H54" s="9"/>
      <x:c r="I54" s="10"/>
      <x:c r="J54" s="10"/>
      <x:c r="K54" s="11" t="str">
        <x:f>IF(AND(ISNUMBER(I54),ISNUMBER(F54),F54&gt;0),I54/F54,"")</x:f>
      </x:c>
      <x:c r="L54" s="11" t="str">
        <x:f>IF(AND(ISNUMBER(J54),ISNUMBER(F54),F54&gt;0),J54/F54,"")</x:f>
      </x:c>
      <x:c r="M54" s="9"/>
      <x:c r="N54" s="9"/>
      <x:c r="O54" s="9"/>
    </x:row>
    <x:row r="55" ht="35.25" customHeight="1">
      <x:c r="A55" s="8" t="str">
        <x:v>V7-S705c8e091e</x:v>
      </x:c>
      <x:c r="B55" s="8" t="str">
        <x:v>Ассоциации России — каталог отраслевых союзов и объединений | Associum</x:v>
      </x:c>
      <x:c r="C55" s="8" t="str">
        <x:v>industry</x:v>
      </x:c>
      <x:c r="D55" s="9"/>
      <x:c r="E55" s="9"/>
      <x:c r="F55" s="9"/>
      <x:c r="G55" s="9"/>
      <x:c r="H55" s="9"/>
      <x:c r="I55" s="10"/>
      <x:c r="J55" s="10"/>
      <x:c r="K55" s="11" t="str">
        <x:f>IF(AND(ISNUMBER(I55),ISNUMBER(F55),F55&gt;0),I55/F55,"")</x:f>
      </x:c>
      <x:c r="L55" s="11" t="str">
        <x:f>IF(AND(ISNUMBER(J55),ISNUMBER(F55),F55&gt;0),J55/F55,"")</x:f>
      </x:c>
      <x:c r="M55" s="9"/>
      <x:c r="N55" s="9"/>
      <x:c r="O55" s="9"/>
    </x:row>
    <x:row r="56" ht="35.25" customHeight="1">
      <x:c r="A56" s="8" t="str">
        <x:v>V7-S866cedc6f4</x:v>
      </x:c>
      <x:c r="B56" s="8" t="str">
        <x:v>HR-клуб компании АСТ для нескучных профессионалов</x:v>
      </x:c>
      <x:c r="C56" s="8" t="str">
        <x:v>regional_hr</x:v>
      </x:c>
      <x:c r="D56" s="9"/>
      <x:c r="E56" s="9"/>
      <x:c r="F56" s="9"/>
      <x:c r="G56" s="9"/>
      <x:c r="H56" s="9"/>
      <x:c r="I56" s="10"/>
      <x:c r="J56" s="10"/>
      <x:c r="K56" s="11" t="str">
        <x:f>IF(AND(ISNUMBER(I56),ISNUMBER(F56),F56&gt;0),I56/F56,"")</x:f>
      </x:c>
      <x:c r="L56" s="11" t="str">
        <x:f>IF(AND(ISNUMBER(J56),ISNUMBER(F56),F56&gt;0),J56/F56,"")</x:f>
      </x:c>
      <x:c r="M56" s="9"/>
      <x:c r="N56" s="9"/>
      <x:c r="O56" s="9"/>
    </x:row>
    <x:row r="57" ht="35.25" customHeight="1">
      <x:c r="A57" s="8" t="str">
        <x:v>V7-S8b26d4bda0</x:v>
      </x:c>
      <x:c r="B57" s="8" t="str">
        <x:v>ФОРУМ - ГРУППА ДЛЯ СОБСТВЕННИКОВ БИЗНЕСА — 16 сен, Москва | АСУТ Лаб</x:v>
      </x:c>
      <x:c r="C57" s="8" t="str">
        <x:v>business</x:v>
      </x:c>
      <x:c r="D57" s="9"/>
      <x:c r="E57" s="9"/>
      <x:c r="F57" s="9"/>
      <x:c r="G57" s="9"/>
      <x:c r="H57" s="9"/>
      <x:c r="I57" s="10"/>
      <x:c r="J57" s="10"/>
      <x:c r="K57" s="11" t="str">
        <x:f>IF(AND(ISNUMBER(I57),ISNUMBER(F57),F57&gt;0),I57/F57,"")</x:f>
      </x:c>
      <x:c r="L57" s="11" t="str">
        <x:f>IF(AND(ISNUMBER(J57),ISNUMBER(F57),F57&gt;0),J57/F57,"")</x:f>
      </x:c>
      <x:c r="M57" s="9"/>
      <x:c r="N57" s="9"/>
      <x:c r="O57" s="9"/>
    </x:row>
    <x:row r="58" ht="35.25" customHeight="1">
      <x:c r="A58" s="8" t="str">
        <x:v>V7-S227ff48191</x:v>
      </x:c>
      <x:c r="B58" s="8" t="str">
        <x:v>Бизнес-клуб Атмосфера. Окружи себя предпринимателями, с которыми решаются личные и бизнес‑задачи</x:v>
      </x:c>
      <x:c r="C58" s="8" t="str">
        <x:v>business</x:v>
      </x:c>
      <x:c r="D58" s="9"/>
      <x:c r="E58" s="9"/>
      <x:c r="F58" s="9"/>
      <x:c r="G58" s="9"/>
      <x:c r="H58" s="9"/>
      <x:c r="I58" s="10"/>
      <x:c r="J58" s="10"/>
      <x:c r="K58" s="11" t="str">
        <x:f>IF(AND(ISNUMBER(I58),ISNUMBER(F58),F58&gt;0),I58/F58,"")</x:f>
      </x:c>
      <x:c r="L58" s="11" t="str">
        <x:f>IF(AND(ISNUMBER(J58),ISNUMBER(F58),F58&gt;0),J58/F58,"")</x:f>
      </x:c>
      <x:c r="M58" s="9"/>
      <x:c r="N58" s="9"/>
      <x:c r="O58" s="9"/>
    </x:row>
    <x:row r="59" ht="33" customHeight="1">
      <x:c r="A59" s="8" t="str">
        <x:v>V7-S4dff7119b0</x:v>
      </x:c>
      <x:c r="B59" s="8" t="str">
        <x:v>«B2B community» бизнес-клуб</x:v>
      </x:c>
      <x:c r="C59" s="8" t="str">
        <x:v>business</x:v>
      </x:c>
      <x:c r="D59" s="9"/>
      <x:c r="E59" s="9"/>
      <x:c r="F59" s="9"/>
      <x:c r="G59" s="9"/>
      <x:c r="H59" s="9"/>
      <x:c r="I59" s="10"/>
      <x:c r="J59" s="10"/>
      <x:c r="K59" s="11" t="str">
        <x:f>IF(AND(ISNUMBER(I59),ISNUMBER(F59),F59&gt;0),I59/F59,"")</x:f>
      </x:c>
      <x:c r="L59" s="11" t="str">
        <x:f>IF(AND(ISNUMBER(J59),ISNUMBER(F59),F59&gt;0),J59/F59,"")</x:f>
      </x:c>
      <x:c r="M59" s="9"/>
      <x:c r="N59" s="9"/>
      <x:c r="O59" s="9"/>
    </x:row>
    <x:row r="60" ht="35.25" customHeight="1">
      <x:c r="A60" s="8" t="str">
        <x:v>V7-Sacd0464d4f</x:v>
      </x:c>
      <x:c r="B60" s="8" t="str">
        <x:v>CFO Accelerator Program | Обучение финансовых директоров</x:v>
      </x:c>
      <x:c r="C60" s="8" t="str">
        <x:v>functional</x:v>
      </x:c>
      <x:c r="D60" s="9"/>
      <x:c r="E60" s="9"/>
      <x:c r="F60" s="9"/>
      <x:c r="G60" s="9"/>
      <x:c r="H60" s="9"/>
      <x:c r="I60" s="10"/>
      <x:c r="J60" s="10"/>
      <x:c r="K60" s="11" t="str">
        <x:f>IF(AND(ISNUMBER(I60),ISNUMBER(F60),F60&gt;0),I60/F60,"")</x:f>
      </x:c>
      <x:c r="L60" s="11" t="str">
        <x:f>IF(AND(ISNUMBER(J60),ISNUMBER(F60),F60&gt;0),J60/F60,"")</x:f>
      </x:c>
      <x:c r="M60" s="9"/>
      <x:c r="N60" s="9"/>
      <x:c r="O60" s="9"/>
    </x:row>
    <x:row r="61" ht="35.25" customHeight="1">
      <x:c r="A61" s="8" t="str">
        <x:v>V7-S8be40b09b3</x:v>
      </x:c>
      <x:c r="B61" s="8" t="str">
        <x:v>Корпоративный университет BAXI (БАКСИ) – обучение, партнерство, ценности БДР Термия Рус</x:v>
      </x:c>
      <x:c r="C61" s="8" t="str">
        <x:v>cu</x:v>
      </x:c>
      <x:c r="D61" s="9"/>
      <x:c r="E61" s="9"/>
      <x:c r="F61" s="9"/>
      <x:c r="G61" s="9"/>
      <x:c r="H61" s="9"/>
      <x:c r="I61" s="10"/>
      <x:c r="J61" s="10"/>
      <x:c r="K61" s="11" t="str">
        <x:f>IF(AND(ISNUMBER(I61),ISNUMBER(F61),F61&gt;0),I61/F61,"")</x:f>
      </x:c>
      <x:c r="L61" s="11" t="str">
        <x:f>IF(AND(ISNUMBER(J61),ISNUMBER(F61),F61&gt;0),J61/F61,"")</x:f>
      </x:c>
      <x:c r="M61" s="9"/>
      <x:c r="N61" s="9"/>
      <x:c r="O61" s="9"/>
    </x:row>
    <x:row r="62" ht="33" customHeight="1">
      <x:c r="A62" s="8" t="str">
        <x:v>V7-Sac4f4552dd</x:v>
      </x:c>
      <x:c r="B62" s="8" t="str">
        <x:v>Главная</x:v>
      </x:c>
      <x:c r="C62" s="8" t="str">
        <x:v>industry</x:v>
      </x:c>
      <x:c r="D62" s="9"/>
      <x:c r="E62" s="9"/>
      <x:c r="F62" s="9"/>
      <x:c r="G62" s="9"/>
      <x:c r="H62" s="9"/>
      <x:c r="I62" s="10"/>
      <x:c r="J62" s="10"/>
      <x:c r="K62" s="11" t="str">
        <x:f>IF(AND(ISNUMBER(I62),ISNUMBER(F62),F62&gt;0),I62/F62,"")</x:f>
      </x:c>
      <x:c r="L62" s="11" t="str">
        <x:f>IF(AND(ISNUMBER(J62),ISNUMBER(F62),F62&gt;0),J62/F62,"")</x:f>
      </x:c>
      <x:c r="M62" s="9"/>
      <x:c r="N62" s="9"/>
      <x:c r="O62" s="9"/>
    </x:row>
    <x:row r="63" ht="35.25" customHeight="1">
      <x:c r="A63" s="8" t="str">
        <x:v>V7-Sf38ececf82</x:v>
      </x:c>
      <x:c r="B63" s="8" t="str">
        <x:v>Мероприятия для членов СРО | Ассоциация «СРО «БЕЗОПАСНОСТЬ И КАЧЕСТВО»</x:v>
      </x:c>
      <x:c r="C63" s="8" t="str">
        <x:v>industry</x:v>
      </x:c>
      <x:c r="D63" s="9"/>
      <x:c r="E63" s="9"/>
      <x:c r="F63" s="9"/>
      <x:c r="G63" s="9"/>
      <x:c r="H63" s="9"/>
      <x:c r="I63" s="10"/>
      <x:c r="J63" s="10"/>
      <x:c r="K63" s="11" t="str">
        <x:f>IF(AND(ISNUMBER(I63),ISNUMBER(F63),F63&gt;0),I63/F63,"")</x:f>
      </x:c>
      <x:c r="L63" s="11" t="str">
        <x:f>IF(AND(ISNUMBER(J63),ISNUMBER(F63),F63&gt;0),J63/F63,"")</x:f>
      </x:c>
      <x:c r="M63" s="9"/>
      <x:c r="N63" s="9"/>
      <x:c r="O63" s="9"/>
    </x:row>
    <x:row r="64" ht="35.25" customHeight="1">
      <x:c r="A64" s="8" t="str">
        <x:v>V7-S563f083c46</x:v>
      </x:c>
      <x:c r="B64" s="8" t="str">
        <x:v>Вакансии / Об академии / БИЗНЕС АКАДЕМИЯ DKS - официальный сайт учебного центра</x:v>
      </x:c>
      <x:c r="C64" s="8" t="str">
        <x:v>providers</x:v>
      </x:c>
      <x:c r="D64" s="9"/>
      <x:c r="E64" s="9"/>
      <x:c r="F64" s="9"/>
      <x:c r="G64" s="9"/>
      <x:c r="H64" s="9"/>
      <x:c r="I64" s="10"/>
      <x:c r="J64" s="10"/>
      <x:c r="K64" s="11" t="str">
        <x:f>IF(AND(ISNUMBER(I64),ISNUMBER(F64),F64&gt;0),I64/F64,"")</x:f>
      </x:c>
      <x:c r="L64" s="11" t="str">
        <x:f>IF(AND(ISNUMBER(J64),ISNUMBER(F64),F64&gt;0),J64/F64,"")</x:f>
      </x:c>
      <x:c r="M64" s="9"/>
      <x:c r="N64" s="9"/>
      <x:c r="O64" s="9"/>
    </x:row>
    <x:row r="65" ht="35.25" customHeight="1">
      <x:c r="A65" s="8" t="str">
        <x:v>V7-S9dffdbe77b</x:v>
      </x:c>
      <x:c r="B65" s="8" t="str">
        <x:v>Приглашаем в Клуб бизнес-тренеров - БИЗНЕС-ТРЕНЕРЫ</x:v>
      </x:c>
      <x:c r="C65" s="8" t="str">
        <x:v>providers</x:v>
      </x:c>
      <x:c r="D65" s="9"/>
      <x:c r="E65" s="9"/>
      <x:c r="F65" s="9"/>
      <x:c r="G65" s="9"/>
      <x:c r="H65" s="9"/>
      <x:c r="I65" s="10"/>
      <x:c r="J65" s="10"/>
      <x:c r="K65" s="11" t="str">
        <x:f>IF(AND(ISNUMBER(I65),ISNUMBER(F65),F65&gt;0),I65/F65,"")</x:f>
      </x:c>
      <x:c r="L65" s="11" t="str">
        <x:f>IF(AND(ISNUMBER(J65),ISNUMBER(F65),F65&gt;0),J65/F65,"")</x:f>
      </x:c>
      <x:c r="M65" s="9"/>
      <x:c r="N65" s="9"/>
      <x:c r="O65" s="9"/>
    </x:row>
    <x:row r="66" ht="59.25" customHeight="1">
      <x:c r="A66" s="8" t="str">
        <x:v>V7-Se88ea1d46b</x:v>
      </x:c>
      <x:c r="B66" s="8" t="str">
        <x:v>Вакансия Преподаватель/ментор курсов направления Битрикс24 и 1С-Битрикс (администрирование/разработка) в Москве - работа в Центр компьютерного обучения СПЕЦИАЛИСТ при МГТУ им. Н.Э.Баумана</x:v>
      </x:c>
      <x:c r="C66" s="8" t="str">
        <x:v>providers</x:v>
      </x:c>
      <x:c r="D66" s="9"/>
      <x:c r="E66" s="9"/>
      <x:c r="F66" s="9"/>
      <x:c r="G66" s="9"/>
      <x:c r="H66" s="9"/>
      <x:c r="I66" s="10"/>
      <x:c r="J66" s="10"/>
      <x:c r="K66" s="11" t="str">
        <x:f>IF(AND(ISNUMBER(I66),ISNUMBER(F66),F66&gt;0),I66/F66,"")</x:f>
      </x:c>
      <x:c r="L66" s="11" t="str">
        <x:f>IF(AND(ISNUMBER(J66),ISNUMBER(F66),F66&gt;0),J66/F66,"")</x:f>
      </x:c>
      <x:c r="M66" s="9"/>
      <x:c r="N66" s="9"/>
      <x:c r="O66" s="9"/>
    </x:row>
    <x:row r="67" ht="33" customHeight="1">
      <x:c r="A67" s="8" t="str">
        <x:v>V7-S4e3c66d1d7</x:v>
      </x:c>
      <x:c r="B67" s="8" t="str">
        <x:v>club.startupbelarus.by</x:v>
      </x:c>
      <x:c r="C67" s="8" t="str">
        <x:v>business</x:v>
      </x:c>
      <x:c r="D67" s="9"/>
      <x:c r="E67" s="9"/>
      <x:c r="F67" s="9"/>
      <x:c r="G67" s="9"/>
      <x:c r="H67" s="9"/>
      <x:c r="I67" s="10"/>
      <x:c r="J67" s="10"/>
      <x:c r="K67" s="11" t="str">
        <x:f>IF(AND(ISNUMBER(I67),ISNUMBER(F67),F67&gt;0),I67/F67,"")</x:f>
      </x:c>
      <x:c r="L67" s="11" t="str">
        <x:f>IF(AND(ISNUMBER(J67),ISNUMBER(F67),F67&gt;0),J67/F67,"")</x:f>
      </x:c>
      <x:c r="M67" s="9"/>
      <x:c r="N67" s="9"/>
      <x:c r="O67" s="9"/>
    </x:row>
    <x:row r="68" ht="35.25" customHeight="1">
      <x:c r="A68" s="8" t="str">
        <x:v>V7-S435d490a4a</x:v>
      </x:c>
      <x:c r="B68" s="8" t="str">
        <x:v>CMO Club Russia - Ассоциация Директоров по маркетингу ...</x:v>
      </x:c>
      <x:c r="C68" s="8" t="str">
        <x:v>functional</x:v>
      </x:c>
      <x:c r="D68" s="9"/>
      <x:c r="E68" s="9"/>
      <x:c r="F68" s="9"/>
      <x:c r="G68" s="9"/>
      <x:c r="H68" s="9"/>
      <x:c r="I68" s="10"/>
      <x:c r="J68" s="10"/>
      <x:c r="K68" s="11" t="str">
        <x:f>IF(AND(ISNUMBER(I68),ISNUMBER(F68),F68&gt;0),I68/F68,"")</x:f>
      </x:c>
      <x:c r="L68" s="11" t="str">
        <x:f>IF(AND(ISNUMBER(J68),ISNUMBER(F68),F68&gt;0),J68/F68,"")</x:f>
      </x:c>
      <x:c r="M68" s="9"/>
      <x:c r="N68" s="9"/>
      <x:c r="O68" s="9"/>
    </x:row>
    <x:row r="69" ht="35.25" customHeight="1">
      <x:c r="A69" s="8" t="str">
        <x:v>V7-Sd1f1b039f4</x:v>
      </x:c>
      <x:c r="B69" s="8" t="str">
        <x:v>Заметка для HR. Управление внутренними коммуникациями, создаём комьюнити.</x:v>
      </x:c>
      <x:c r="C69" s="8" t="str">
        <x:v>regional_hr</x:v>
      </x:c>
      <x:c r="D69" s="9"/>
      <x:c r="E69" s="9"/>
      <x:c r="F69" s="9"/>
      <x:c r="G69" s="9"/>
      <x:c r="H69" s="9"/>
      <x:c r="I69" s="10"/>
      <x:c r="J69" s="10"/>
      <x:c r="K69" s="11" t="str">
        <x:f>IF(AND(ISNUMBER(I69),ISNUMBER(F69),F69&gt;0),I69/F69,"")</x:f>
      </x:c>
      <x:c r="L69" s="11" t="str">
        <x:f>IF(AND(ISNUMBER(J69),ISNUMBER(F69),F69&gt;0),J69/F69,"")</x:f>
      </x:c>
      <x:c r="M69" s="9"/>
      <x:c r="N69" s="9"/>
      <x:c r="O69" s="9"/>
    </x:row>
    <x:row r="70" ht="33" customHeight="1">
      <x:c r="A70" s="8" t="str">
        <x:v>V7-S5098741889</x:v>
      </x:c>
      <x:c r="B70" s="8" t="str">
        <x:v>Партнеры</x:v>
      </x:c>
      <x:c r="C70" s="8" t="str">
        <x:v>functional</x:v>
      </x:c>
      <x:c r="D70" s="9"/>
      <x:c r="E70" s="9"/>
      <x:c r="F70" s="9"/>
      <x:c r="G70" s="9"/>
      <x:c r="H70" s="9"/>
      <x:c r="I70" s="10"/>
      <x:c r="J70" s="10"/>
      <x:c r="K70" s="11" t="str">
        <x:f>IF(AND(ISNUMBER(I70),ISNUMBER(F70),F70&gt;0),I70/F70,"")</x:f>
      </x:c>
      <x:c r="L70" s="11" t="str">
        <x:f>IF(AND(ISNUMBER(J70),ISNUMBER(F70),F70&gt;0),J70/F70,"")</x:f>
      </x:c>
      <x:c r="M70" s="9"/>
      <x:c r="N70" s="9"/>
      <x:c r="O70" s="9"/>
    </x:row>
    <x:row r="71" ht="33" customHeight="1">
      <x:c r="A71" s="8" t="str">
        <x:v>V7-S701186cb9c</x:v>
      </x:c>
      <x:c r="B71" s="8" t="str">
        <x:v>Партнёрства | Coventry University in Kazakhstan</x:v>
      </x:c>
      <x:c r="C71" s="8" t="str">
        <x:v>cu</x:v>
      </x:c>
      <x:c r="D71" s="9"/>
      <x:c r="E71" s="9"/>
      <x:c r="F71" s="9"/>
      <x:c r="G71" s="9"/>
      <x:c r="H71" s="9"/>
      <x:c r="I71" s="10"/>
      <x:c r="J71" s="10"/>
      <x:c r="K71" s="11" t="str">
        <x:f>IF(AND(ISNUMBER(I71),ISNUMBER(F71),F71&gt;0),I71/F71,"")</x:f>
      </x:c>
      <x:c r="L71" s="11" t="str">
        <x:f>IF(AND(ISNUMBER(J71),ISNUMBER(F71),F71&gt;0),J71/F71,"")</x:f>
      </x:c>
      <x:c r="M71" s="9"/>
      <x:c r="N71" s="9"/>
      <x:c r="O71" s="9"/>
    </x:row>
    <x:row r="72" ht="33" customHeight="1">
      <x:c r="A72" s="8" t="str">
        <x:v>V7-S89e8056a8f</x:v>
      </x:c>
      <x:c r="B72" s="8" t="str">
        <x:v>Клуб предпринимателей Деловар</x:v>
      </x:c>
      <x:c r="C72" s="8" t="str">
        <x:v>business</x:v>
      </x:c>
      <x:c r="D72" s="9"/>
      <x:c r="E72" s="9"/>
      <x:c r="F72" s="9"/>
      <x:c r="G72" s="9"/>
      <x:c r="H72" s="9"/>
      <x:c r="I72" s="10"/>
      <x:c r="J72" s="10"/>
      <x:c r="K72" s="11" t="str">
        <x:f>IF(AND(ISNUMBER(I72),ISNUMBER(F72),F72&gt;0),I72/F72,"")</x:f>
      </x:c>
      <x:c r="L72" s="11" t="str">
        <x:f>IF(AND(ISNUMBER(J72),ISNUMBER(F72),F72&gt;0),J72/F72,"")</x:f>
      </x:c>
      <x:c r="M72" s="9"/>
      <x:c r="N72" s="9"/>
      <x:c r="O72" s="9"/>
    </x:row>
    <x:row r="73" ht="33" customHeight="1">
      <x:c r="A73" s="8" t="str">
        <x:v>V7-Sc099fbb697</x:v>
      </x:c>
      <x:c r="B73" s="8" t="str">
        <x:v>Клуб предпринимателей Деловар. Смоленск</x:v>
      </x:c>
      <x:c r="C73" s="8" t="str">
        <x:v>business</x:v>
      </x:c>
      <x:c r="D73" s="9"/>
      <x:c r="E73" s="9"/>
      <x:c r="F73" s="9"/>
      <x:c r="G73" s="9"/>
      <x:c r="H73" s="9"/>
      <x:c r="I73" s="10"/>
      <x:c r="J73" s="10"/>
      <x:c r="K73" s="11" t="str">
        <x:f>IF(AND(ISNUMBER(I73),ISNUMBER(F73),F73&gt;0),I73/F73,"")</x:f>
      </x:c>
      <x:c r="L73" s="11" t="str">
        <x:f>IF(AND(ISNUMBER(J73),ISNUMBER(F73),F73&gt;0),J73/F73,"")</x:f>
      </x:c>
      <x:c r="M73" s="9"/>
      <x:c r="N73" s="9"/>
      <x:c r="O73" s="9"/>
    </x:row>
    <x:row r="74" ht="33" customHeight="1">
      <x:c r="A74" s="8" t="str">
        <x:v>V7-S48ead27887</x:v>
      </x:c>
      <x:c r="B74" s="8" t="str">
        <x:v>Союз "Торгово-промышленная палата города Дубны"</x:v>
      </x:c>
      <x:c r="C74" s="8" t="str">
        <x:v>development</x:v>
      </x:c>
      <x:c r="D74" s="9"/>
      <x:c r="E74" s="9"/>
      <x:c r="F74" s="9"/>
      <x:c r="G74" s="9"/>
      <x:c r="H74" s="9"/>
      <x:c r="I74" s="10"/>
      <x:c r="J74" s="10"/>
      <x:c r="K74" s="11" t="str">
        <x:f>IF(AND(ISNUMBER(I74),ISNUMBER(F74),F74&gt;0),I74/F74,"")</x:f>
      </x:c>
      <x:c r="L74" s="11" t="str">
        <x:f>IF(AND(ISNUMBER(J74),ISNUMBER(F74),F74&gt;0),J74/F74,"")</x:f>
      </x:c>
      <x:c r="M74" s="9"/>
      <x:c r="N74" s="9"/>
      <x:c r="O74" s="9"/>
    </x:row>
    <x:row r="75" ht="35.25" customHeight="1">
      <x:c r="A75" s="8" t="str">
        <x:v>V7-Sd79ad6f233</x:v>
      </x:c>
      <x:c r="B75" s="8" t="str">
        <x:v>EDU АФИША | Предлагаем организаторам подбор спикеров для мероприятий | Афиша мероприятий</x:v>
      </x:c>
      <x:c r="C75" s="8" t="str">
        <x:v>events</x:v>
      </x:c>
      <x:c r="D75" s="9"/>
      <x:c r="E75" s="9"/>
      <x:c r="F75" s="9"/>
      <x:c r="G75" s="9"/>
      <x:c r="H75" s="9"/>
      <x:c r="I75" s="10"/>
      <x:c r="J75" s="10"/>
      <x:c r="K75" s="11" t="str">
        <x:f>IF(AND(ISNUMBER(I75),ISNUMBER(F75),F75&gt;0),I75/F75,"")</x:f>
      </x:c>
      <x:c r="L75" s="11" t="str">
        <x:f>IF(AND(ISNUMBER(J75),ISNUMBER(F75),F75&gt;0),J75/F75,"")</x:f>
      </x:c>
      <x:c r="M75" s="9"/>
      <x:c r="N75" s="9"/>
      <x:c r="O75" s="9"/>
    </x:row>
    <x:row r="76" ht="33" customHeight="1">
      <x:c r="A76" s="8" t="str">
        <x:v>V7-S84d382669b</x:v>
      </x:c>
      <x:c r="B76" s="8" t="str">
        <x:v>В начало | Smart LMS</x:v>
      </x:c>
      <x:c r="C76" s="8" t="str">
        <x:v>lms</x:v>
      </x:c>
      <x:c r="D76" s="9"/>
      <x:c r="E76" s="9"/>
      <x:c r="F76" s="9"/>
      <x:c r="G76" s="9"/>
      <x:c r="H76" s="9"/>
      <x:c r="I76" s="10"/>
      <x:c r="J76" s="10"/>
      <x:c r="K76" s="11" t="str">
        <x:f>IF(AND(ISNUMBER(I76),ISNUMBER(F76),F76&gt;0),I76/F76,"")</x:f>
      </x:c>
      <x:c r="L76" s="11" t="str">
        <x:f>IF(AND(ISNUMBER(J76),ISNUMBER(F76),F76&gt;0),J76/F76,"")</x:f>
      </x:c>
      <x:c r="M76" s="9"/>
      <x:c r="N76" s="9"/>
      <x:c r="O76" s="9"/>
    </x:row>
    <x:row r="77" ht="33" customHeight="1">
      <x:c r="A77" s="8" t="str">
        <x:v>V7-S1959fdb17e</x:v>
      </x:c>
      <x:c r="B77" s="8" t="str">
        <x:v>СоюзФарма</x:v>
      </x:c>
      <x:c r="C77" s="8" t="str">
        <x:v>industry</x:v>
      </x:c>
      <x:c r="D77" s="9"/>
      <x:c r="E77" s="9"/>
      <x:c r="F77" s="9"/>
      <x:c r="G77" s="9"/>
      <x:c r="H77" s="9"/>
      <x:c r="I77" s="10"/>
      <x:c r="J77" s="10"/>
      <x:c r="K77" s="11" t="str">
        <x:f>IF(AND(ISNUMBER(I77),ISNUMBER(F77),F77&gt;0),I77/F77,"")</x:f>
      </x:c>
      <x:c r="L77" s="11" t="str">
        <x:f>IF(AND(ISNUMBER(J77),ISNUMBER(F77),F77&gt;0),J77/F77,"")</x:f>
      </x:c>
      <x:c r="M77" s="9"/>
      <x:c r="N77" s="9"/>
      <x:c r="O77" s="9"/>
    </x:row>
    <x:row r="78" ht="35.25" customHeight="1">
      <x:c r="A78" s="8" t="str">
        <x:v>V7-Sef3df21344</x:v>
      </x:c>
      <x:c r="B78" s="8" t="str">
        <x:v>ПрофесCIOнал. Комплексная программа повышения квалификации ИТ-руководителей</x:v>
      </x:c>
      <x:c r="C78" s="8" t="str">
        <x:v>functional</x:v>
      </x:c>
      <x:c r="D78" s="9"/>
      <x:c r="E78" s="9"/>
      <x:c r="F78" s="9"/>
      <x:c r="G78" s="9"/>
      <x:c r="H78" s="9"/>
      <x:c r="I78" s="10"/>
      <x:c r="J78" s="10"/>
      <x:c r="K78" s="11" t="str">
        <x:f>IF(AND(ISNUMBER(I78),ISNUMBER(F78),F78&gt;0),I78/F78,"")</x:f>
      </x:c>
      <x:c r="L78" s="11" t="str">
        <x:f>IF(AND(ISNUMBER(J78),ISNUMBER(F78),F78&gt;0),J78/F78,"")</x:f>
      </x:c>
      <x:c r="M78" s="9"/>
      <x:c r="N78" s="9"/>
      <x:c r="O78" s="9"/>
    </x:row>
    <x:row r="79" ht="47.25" customHeight="1">
      <x:c r="A79" s="8" t="str">
        <x:v>V7-Seaa45a6e04</x:v>
      </x:c>
      <x:c r="B79" s="8" t="str">
        <x:v>Бизнес клуб в Москве, сообщество предпринимателей для успешного ведения своего бизнеса, мастермайнд группы|Клуб равных</x:v>
      </x:c>
      <x:c r="C79" s="8" t="str">
        <x:v>business</x:v>
      </x:c>
      <x:c r="D79" s="9"/>
      <x:c r="E79" s="9"/>
      <x:c r="F79" s="9"/>
      <x:c r="G79" s="9"/>
      <x:c r="H79" s="9"/>
      <x:c r="I79" s="10"/>
      <x:c r="J79" s="10"/>
      <x:c r="K79" s="11" t="str">
        <x:f>IF(AND(ISNUMBER(I79),ISNUMBER(F79),F79&gt;0),I79/F79,"")</x:f>
      </x:c>
      <x:c r="L79" s="11" t="str">
        <x:f>IF(AND(ISNUMBER(J79),ISNUMBER(F79),F79&gt;0),J79/F79,"")</x:f>
      </x:c>
      <x:c r="M79" s="9"/>
      <x:c r="N79" s="9"/>
      <x:c r="O79" s="9"/>
    </x:row>
    <x:row r="80" ht="33" customHeight="1">
      <x:c r="A80" s="8" t="str">
        <x:v>V7-Sc46f8e7016</x:v>
      </x:c>
      <x:c r="B80" s="8" t="str">
        <x:v>HR-Dive 2025</x:v>
      </x:c>
      <x:c r="C80" s="8" t="str">
        <x:v>regional_hr</x:v>
      </x:c>
      <x:c r="D80" s="9"/>
      <x:c r="E80" s="9"/>
      <x:c r="F80" s="9"/>
      <x:c r="G80" s="9"/>
      <x:c r="H80" s="9"/>
      <x:c r="I80" s="10"/>
      <x:c r="J80" s="10"/>
      <x:c r="K80" s="11" t="str">
        <x:f>IF(AND(ISNUMBER(I80),ISNUMBER(F80),F80&gt;0),I80/F80,"")</x:f>
      </x:c>
      <x:c r="L80" s="11" t="str">
        <x:f>IF(AND(ISNUMBER(J80),ISNUMBER(F80),F80&gt;0),J80/F80,"")</x:f>
      </x:c>
      <x:c r="M80" s="9"/>
      <x:c r="N80" s="9"/>
      <x:c r="O80" s="9"/>
    </x:row>
    <x:row r="81" ht="35.25" customHeight="1">
      <x:c r="A81" s="8" t="str">
        <x:v>V7-Sfd6127b918</x:v>
      </x:c>
      <x:c r="B81" s="8" t="str">
        <x:v>ЭВОЛЮТ — бизнес сообщество и клуб предпринимателей от 200 млн ₽</x:v>
      </x:c>
      <x:c r="C81" s="8" t="str">
        <x:v>business</x:v>
      </x:c>
      <x:c r="D81" s="9"/>
      <x:c r="E81" s="9"/>
      <x:c r="F81" s="9"/>
      <x:c r="G81" s="9"/>
      <x:c r="H81" s="9"/>
      <x:c r="I81" s="10"/>
      <x:c r="J81" s="10"/>
      <x:c r="K81" s="11" t="str">
        <x:f>IF(AND(ISNUMBER(I81),ISNUMBER(F81),F81&gt;0),I81/F81,"")</x:f>
      </x:c>
      <x:c r="L81" s="11" t="str">
        <x:f>IF(AND(ISNUMBER(J81),ISNUMBER(F81),F81&gt;0),J81/F81,"")</x:f>
      </x:c>
      <x:c r="M81" s="9"/>
      <x:c r="N81" s="9"/>
      <x:c r="O81" s="9"/>
    </x:row>
    <x:row r="82" ht="33" customHeight="1">
      <x:c r="A82" s="8" t="str">
        <x:v>V7-Sff951dc50e</x:v>
      </x:c>
      <x:c r="B82" s="8" t="str">
        <x:v>ЦПЭ - Центр поддержки экспорта | Тула</x:v>
      </x:c>
      <x:c r="C82" s="8" t="str">
        <x:v>development</x:v>
      </x:c>
      <x:c r="D82" s="9"/>
      <x:c r="E82" s="9"/>
      <x:c r="F82" s="9"/>
      <x:c r="G82" s="9"/>
      <x:c r="H82" s="9"/>
      <x:c r="I82" s="10"/>
      <x:c r="J82" s="10"/>
      <x:c r="K82" s="11" t="str">
        <x:f>IF(AND(ISNUMBER(I82),ISNUMBER(F82),F82&gt;0),I82/F82,"")</x:f>
      </x:c>
      <x:c r="L82" s="11" t="str">
        <x:f>IF(AND(ISNUMBER(J82),ISNUMBER(F82),F82&gt;0),J82/F82,"")</x:f>
      </x:c>
      <x:c r="M82" s="9"/>
      <x:c r="N82" s="9"/>
      <x:c r="O82" s="9"/>
    </x:row>
    <x:row r="83" ht="35.25" customHeight="1">
      <x:c r="A83" s="8" t="str">
        <x:v>V7-Sc848e540a7</x:v>
      </x:c>
      <x:c r="B83" s="8" t="str">
        <x:v>Как стать партнёрской образовательной организацией</x:v>
      </x:c>
      <x:c r="C83" s="8" t="str">
        <x:v>cu</x:v>
      </x:c>
      <x:c r="D83" s="9"/>
      <x:c r="E83" s="9"/>
      <x:c r="F83" s="9"/>
      <x:c r="G83" s="9"/>
      <x:c r="H83" s="9"/>
      <x:c r="I83" s="10"/>
      <x:c r="J83" s="10"/>
      <x:c r="K83" s="11" t="str">
        <x:f>IF(AND(ISNUMBER(I83),ISNUMBER(F83),F83&gt;0),I83/F83,"")</x:f>
      </x:c>
      <x:c r="L83" s="11" t="str">
        <x:f>IF(AND(ISNUMBER(J83),ISNUMBER(F83),F83&gt;0),J83/F83,"")</x:f>
      </x:c>
      <x:c r="M83" s="9"/>
      <x:c r="N83" s="9"/>
      <x:c r="O83" s="9"/>
    </x:row>
    <x:row r="84" ht="33" customHeight="1">
      <x:c r="A84" s="8" t="str">
        <x:v>V7-Sd3423809f1</x:v>
      </x:c>
      <x:c r="B84" s="8" t="str">
        <x:v>Клуб финансовых директоров: Главная</x:v>
      </x:c>
      <x:c r="C84" s="8" t="str">
        <x:v>functional</x:v>
      </x:c>
      <x:c r="D84" s="9"/>
      <x:c r="E84" s="9"/>
      <x:c r="F84" s="9"/>
      <x:c r="G84" s="9"/>
      <x:c r="H84" s="9"/>
      <x:c r="I84" s="10"/>
      <x:c r="J84" s="10"/>
      <x:c r="K84" s="11" t="str">
        <x:f>IF(AND(ISNUMBER(I84),ISNUMBER(F84),F84&gt;0),I84/F84,"")</x:f>
      </x:c>
      <x:c r="L84" s="11" t="str">
        <x:f>IF(AND(ISNUMBER(J84),ISNUMBER(F84),F84&gt;0),J84/F84,"")</x:f>
      </x:c>
      <x:c r="M84" s="9"/>
      <x:c r="N84" s="9"/>
      <x:c r="O84" s="9"/>
    </x:row>
    <x:row r="85" ht="35.25" customHeight="1">
      <x:c r="A85" s="8" t="str">
        <x:v>V7-S09f65327f7</x:v>
      </x:c>
      <x:c r="B85" s="8" t="str">
        <x:v>Финансовый директор — обучение и программы переподготовки · Высшая школа финансового директора</x:v>
      </x:c>
      <x:c r="C85" s="8" t="str">
        <x:v>functional</x:v>
      </x:c>
      <x:c r="D85" s="9"/>
      <x:c r="E85" s="9"/>
      <x:c r="F85" s="9"/>
      <x:c r="G85" s="9"/>
      <x:c r="H85" s="9"/>
      <x:c r="I85" s="10"/>
      <x:c r="J85" s="10"/>
      <x:c r="K85" s="11" t="str">
        <x:f>IF(AND(ISNUMBER(I85),ISNUMBER(F85),F85&gt;0),I85/F85,"")</x:f>
      </x:c>
      <x:c r="L85" s="11" t="str">
        <x:f>IF(AND(ISNUMBER(J85),ISNUMBER(F85),F85&gt;0),J85/F85,"")</x:f>
      </x:c>
      <x:c r="M85" s="9"/>
      <x:c r="N85" s="9"/>
      <x:c r="O85" s="9"/>
    </x:row>
    <x:row r="86" ht="33" customHeight="1">
      <x:c r="A86" s="8" t="str">
        <x:v>V7-S0efd1573e7</x:v>
      </x:c>
      <x:c r="B86" s="8" t="str">
        <x:v>Клуб ФинПро в Санкт-Петербурге</x:v>
      </x:c>
      <x:c r="C86" s="8" t="str">
        <x:v>functional</x:v>
      </x:c>
      <x:c r="D86" s="9"/>
      <x:c r="E86" s="9"/>
      <x:c r="F86" s="9"/>
      <x:c r="G86" s="9"/>
      <x:c r="H86" s="9"/>
      <x:c r="I86" s="10"/>
      <x:c r="J86" s="10"/>
      <x:c r="K86" s="11" t="str">
        <x:f>IF(AND(ISNUMBER(I86),ISNUMBER(F86),F86&gt;0),I86/F86,"")</x:f>
      </x:c>
      <x:c r="L86" s="11" t="str">
        <x:f>IF(AND(ISNUMBER(J86),ISNUMBER(F86),F86&gt;0),J86/F86,"")</x:f>
      </x:c>
      <x:c r="M86" s="9"/>
      <x:c r="N86" s="9"/>
      <x:c r="O86" s="9"/>
    </x:row>
    <x:row r="87" ht="47.25" customHeight="1">
      <x:c r="A87" s="8" t="str">
        <x:v>V7-S6f140482a7</x:v>
      </x:c>
      <x:c r="B87" s="8" t="str">
        <x:v>HR-сообщество в Новосибирске. Обсуждение собеседований, вопросов на них, помощь при трудоустройстве. Общение hr на форуме НГС Новосибирск</x:v>
      </x:c>
      <x:c r="C87" s="8" t="str">
        <x:v>regional_hr</x:v>
      </x:c>
      <x:c r="D87" s="9"/>
      <x:c r="E87" s="9"/>
      <x:c r="F87" s="9"/>
      <x:c r="G87" s="9"/>
      <x:c r="H87" s="9"/>
      <x:c r="I87" s="10"/>
      <x:c r="J87" s="10"/>
      <x:c r="K87" s="11" t="str">
        <x:f>IF(AND(ISNUMBER(I87),ISNUMBER(F87),F87&gt;0),I87/F87,"")</x:f>
      </x:c>
      <x:c r="L87" s="11" t="str">
        <x:f>IF(AND(ISNUMBER(J87),ISNUMBER(F87),F87&gt;0),J87/F87,"")</x:f>
      </x:c>
      <x:c r="M87" s="9"/>
      <x:c r="N87" s="9"/>
      <x:c r="O87" s="9"/>
    </x:row>
    <x:row r="88" ht="33" customHeight="1">
      <x:c r="A88" s="8" t="str">
        <x:v>V7-Se017f9b28e</x:v>
      </x:c>
      <x:c r="B88" s="8" t="str">
        <x:v>Форум «PR-среда» 2026</x:v>
      </x:c>
      <x:c r="C88" s="8" t="str">
        <x:v>regional_hr</x:v>
      </x:c>
      <x:c r="D88" s="9"/>
      <x:c r="E88" s="9"/>
      <x:c r="F88" s="9"/>
      <x:c r="G88" s="9"/>
      <x:c r="H88" s="9"/>
      <x:c r="I88" s="10"/>
      <x:c r="J88" s="10"/>
      <x:c r="K88" s="11" t="str">
        <x:f>IF(AND(ISNUMBER(I88),ISNUMBER(F88),F88&gt;0),I88/F88,"")</x:f>
      </x:c>
      <x:c r="L88" s="11" t="str">
        <x:f>IF(AND(ISNUMBER(J88),ISNUMBER(F88),F88&gt;0),J88/F88,"")</x:f>
      </x:c>
      <x:c r="M88" s="9"/>
      <x:c r="N88" s="9"/>
      <x:c r="O88" s="9"/>
    </x:row>
    <x:row r="89" ht="35.25" customHeight="1">
      <x:c r="A89" s="8" t="str">
        <x:v>V7-S04d4a79a44</x:v>
      </x:c>
      <x:c r="B89" s="8" t="str">
        <x:v>Стать спикером SOC Forum: подайте заявку до 11 сентября 2026</x:v>
      </x:c>
      <x:c r="C89" s="8" t="str">
        <x:v>events</x:v>
      </x:c>
      <x:c r="D89" s="9"/>
      <x:c r="E89" s="9"/>
      <x:c r="F89" s="9"/>
      <x:c r="G89" s="9"/>
      <x:c r="H89" s="9"/>
      <x:c r="I89" s="10"/>
      <x:c r="J89" s="10"/>
      <x:c r="K89" s="11" t="str">
        <x:f>IF(AND(ISNUMBER(I89),ISNUMBER(F89),F89&gt;0),I89/F89,"")</x:f>
      </x:c>
      <x:c r="L89" s="11" t="str">
        <x:f>IF(AND(ISNUMBER(J89),ISNUMBER(F89),F89&gt;0),J89/F89,"")</x:f>
      </x:c>
      <x:c r="M89" s="9"/>
      <x:c r="N89" s="9"/>
      <x:c r="O89" s="9"/>
    </x:row>
    <x:row r="90" ht="35.25" customHeight="1">
      <x:c r="A90" s="8" t="str">
        <x:v>V7-S7dc8744e09</x:v>
      </x:c>
      <x:c r="B90" s="8" t="str">
        <x:v>Упаковка бизнеса во франшизу под ключ — Franch Royalty Group</x:v>
      </x:c>
      <x:c r="C90" s="8" t="str">
        <x:v>business</x:v>
      </x:c>
      <x:c r="D90" s="9"/>
      <x:c r="E90" s="9"/>
      <x:c r="F90" s="9"/>
      <x:c r="G90" s="9"/>
      <x:c r="H90" s="9"/>
      <x:c r="I90" s="10"/>
      <x:c r="J90" s="10"/>
      <x:c r="K90" s="11" t="str">
        <x:f>IF(AND(ISNUMBER(I90),ISNUMBER(F90),F90&gt;0),I90/F90,"")</x:f>
      </x:c>
      <x:c r="L90" s="11" t="str">
        <x:f>IF(AND(ISNUMBER(J90),ISNUMBER(F90),F90&gt;0),J90/F90,"")</x:f>
      </x:c>
      <x:c r="M90" s="9"/>
      <x:c r="N90" s="9"/>
      <x:c r="O90" s="9"/>
    </x:row>
    <x:row r="91" ht="35.25" customHeight="1">
      <x:c r="A91" s="8" t="str">
        <x:v>V7-Sd283c226c8</x:v>
      </x:c>
      <x:c r="B91" s="8" t="str">
        <x:v>GlobalCIO | DigitalExperts - сообщество ИТ-руководителей и ...</x:v>
      </x:c>
      <x:c r="C91" s="8" t="str">
        <x:v>functional</x:v>
      </x:c>
      <x:c r="D91" s="9"/>
      <x:c r="E91" s="9"/>
      <x:c r="F91" s="9"/>
      <x:c r="G91" s="9"/>
      <x:c r="H91" s="9"/>
      <x:c r="I91" s="10"/>
      <x:c r="J91" s="10"/>
      <x:c r="K91" s="11" t="str">
        <x:f>IF(AND(ISNUMBER(I91),ISNUMBER(F91),F91&gt;0),I91/F91,"")</x:f>
      </x:c>
      <x:c r="L91" s="11" t="str">
        <x:f>IF(AND(ISNUMBER(J91),ISNUMBER(F91),F91&gt;0),J91/F91,"")</x:f>
      </x:c>
      <x:c r="M91" s="9"/>
      <x:c r="N91" s="9"/>
      <x:c r="O91" s="9"/>
    </x:row>
    <x:row r="92" ht="59.25" customHeight="1">
      <x:c r="A92" s="8" t="str">
        <x:v>V7-S555bad87a5</x:v>
      </x:c>
      <x:c r="B92" s="8" t="str">
        <x:v>Союз машиностроителей приглашает на курс повышения квалификации «Организация эффективной работы отдела технического контроля: практика передовых предприятий» - Россоюзхолодпром</x:v>
      </x:c>
      <x:c r="C92" s="8" t="str">
        <x:v>industry</x:v>
      </x:c>
      <x:c r="D92" s="9"/>
      <x:c r="E92" s="9"/>
      <x:c r="F92" s="9"/>
      <x:c r="G92" s="9"/>
      <x:c r="H92" s="9"/>
      <x:c r="I92" s="10"/>
      <x:c r="J92" s="10"/>
      <x:c r="K92" s="11" t="str">
        <x:f>IF(AND(ISNUMBER(I92),ISNUMBER(F92),F92&gt;0),I92/F92,"")</x:f>
      </x:c>
      <x:c r="L92" s="11" t="str">
        <x:f>IF(AND(ISNUMBER(J92),ISNUMBER(F92),F92&gt;0),J92/F92,"")</x:f>
      </x:c>
      <x:c r="M92" s="9"/>
      <x:c r="N92" s="9"/>
      <x:c r="O92" s="9"/>
    </x:row>
    <x:row r="93" ht="33" customHeight="1">
      <x:c r="A93" s="8" t="str">
        <x:v>V7-Sffb9ad3f04</x:v>
      </x:c>
      <x:c r="B93" s="8" t="str">
        <x:v>Как стать спикером конференции HR API?</x:v>
      </x:c>
      <x:c r="C93" s="8" t="str">
        <x:v>events</x:v>
      </x:c>
      <x:c r="D93" s="9"/>
      <x:c r="E93" s="9"/>
      <x:c r="F93" s="9"/>
      <x:c r="G93" s="9"/>
      <x:c r="H93" s="9"/>
      <x:c r="I93" s="10"/>
      <x:c r="J93" s="10"/>
      <x:c r="K93" s="11" t="str">
        <x:f>IF(AND(ISNUMBER(I93),ISNUMBER(F93),F93&gt;0),I93/F93,"")</x:f>
      </x:c>
      <x:c r="L93" s="11" t="str">
        <x:f>IF(AND(ISNUMBER(J93),ISNUMBER(F93),F93&gt;0),J93/F93,"")</x:f>
      </x:c>
      <x:c r="M93" s="9"/>
      <x:c r="N93" s="9"/>
      <x:c r="O93" s="9"/>
    </x:row>
    <x:row r="94" ht="33" customHeight="1">
      <x:c r="A94" s="8" t="str">
        <x:v>V7-Sc0fa290396</x:v>
      </x:c>
      <x:c r="B94" s="8" t="str">
        <x:v>HR-club</x:v>
      </x:c>
      <x:c r="C94" s="8" t="str">
        <x:v>events</x:v>
      </x:c>
      <x:c r="D94" s="9"/>
      <x:c r="E94" s="9"/>
      <x:c r="F94" s="9"/>
      <x:c r="G94" s="9"/>
      <x:c r="H94" s="9"/>
      <x:c r="I94" s="10"/>
      <x:c r="J94" s="10"/>
      <x:c r="K94" s="11" t="str">
        <x:f>IF(AND(ISNUMBER(I94),ISNUMBER(F94),F94&gt;0),I94/F94,"")</x:f>
      </x:c>
      <x:c r="L94" s="11" t="str">
        <x:f>IF(AND(ISNUMBER(J94),ISNUMBER(F94),F94&gt;0),J94/F94,"")</x:f>
      </x:c>
      <x:c r="M94" s="9"/>
      <x:c r="N94" s="9"/>
      <x:c r="O94" s="9"/>
    </x:row>
    <x:row r="95" ht="33" customHeight="1">
      <x:c r="A95" s="8" t="str">
        <x:v>V7-Se0f9bbc633</x:v>
      </x:c>
      <x:c r="B95" s="8" t="str">
        <x:v>Сообщество HR❤️DV! Присоединяйтесь</x:v>
      </x:c>
      <x:c r="C95" s="8" t="str">
        <x:v>regional_hr</x:v>
      </x:c>
      <x:c r="D95" s="9"/>
      <x:c r="E95" s="9"/>
      <x:c r="F95" s="9"/>
      <x:c r="G95" s="9"/>
      <x:c r="H95" s="9"/>
      <x:c r="I95" s="10"/>
      <x:c r="J95" s="10"/>
      <x:c r="K95" s="11" t="str">
        <x:f>IF(AND(ISNUMBER(I95),ISNUMBER(F95),F95&gt;0),I95/F95,"")</x:f>
      </x:c>
      <x:c r="L95" s="11" t="str">
        <x:f>IF(AND(ISNUMBER(J95),ISNUMBER(F95),F95&gt;0),J95/F95,"")</x:f>
      </x:c>
      <x:c r="M95" s="9"/>
      <x:c r="N95" s="9"/>
      <x:c r="O95" s="9"/>
    </x:row>
    <x:row r="96" ht="33" customHeight="1">
      <x:c r="A96" s="8" t="str">
        <x:v>V7-Sfa3ab462bb</x:v>
      </x:c>
      <x:c r="B96" s="8" t="str">
        <x:v>ВРЕМЯ:HR</x:v>
      </x:c>
      <x:c r="C96" s="8" t="str">
        <x:v>regional_hr</x:v>
      </x:c>
      <x:c r="D96" s="9"/>
      <x:c r="E96" s="9"/>
      <x:c r="F96" s="9"/>
      <x:c r="G96" s="9"/>
      <x:c r="H96" s="9"/>
      <x:c r="I96" s="10"/>
      <x:c r="J96" s="10"/>
      <x:c r="K96" s="11" t="str">
        <x:f>IF(AND(ISNUMBER(I96),ISNUMBER(F96),F96&gt;0),I96/F96,"")</x:f>
      </x:c>
      <x:c r="L96" s="11" t="str">
        <x:f>IF(AND(ISNUMBER(J96),ISNUMBER(F96),F96&gt;0),J96/F96,"")</x:f>
      </x:c>
      <x:c r="M96" s="9"/>
      <x:c r="N96" s="9"/>
      <x:c r="O96" s="9"/>
    </x:row>
    <x:row r="97" ht="35.25" customHeight="1">
      <x:c r="A97" s="8" t="str">
        <x:v>V7-S6af6c88340</x:v>
      </x:c>
      <x:c r="B97" s="8" t="str">
        <x:v>Ассоциация рекрутинговых агентств (АРА) / TimePad.ru</x:v>
      </x:c>
      <x:c r="C97" s="8" t="str">
        <x:v>industry</x:v>
      </x:c>
      <x:c r="D97" s="9"/>
      <x:c r="E97" s="9"/>
      <x:c r="F97" s="9"/>
      <x:c r="G97" s="9"/>
      <x:c r="H97" s="9"/>
      <x:c r="I97" s="10"/>
      <x:c r="J97" s="10"/>
      <x:c r="K97" s="11" t="str">
        <x:f>IF(AND(ISNUMBER(I97),ISNUMBER(F97),F97&gt;0),I97/F97,"")</x:f>
      </x:c>
      <x:c r="L97" s="11" t="str">
        <x:f>IF(AND(ISNUMBER(J97),ISNUMBER(F97),F97&gt;0),J97/F97,"")</x:f>
      </x:c>
      <x:c r="M97" s="9"/>
      <x:c r="N97" s="9"/>
      <x:c r="O97" s="9"/>
    </x:row>
    <x:row r="98" ht="35.25" customHeight="1">
      <x:c r="A98" s="8" t="str">
        <x:v>V7-Sc38b87bc48</x:v>
      </x:c>
      <x:c r="B98" s="8" t="str">
        <x:v>Inter Partner - Организатор международных бизнес-мероприятий</x:v>
      </x:c>
      <x:c r="C98" s="8" t="str">
        <x:v>providers</x:v>
      </x:c>
      <x:c r="D98" s="9"/>
      <x:c r="E98" s="9"/>
      <x:c r="F98" s="9"/>
      <x:c r="G98" s="9"/>
      <x:c r="H98" s="9"/>
      <x:c r="I98" s="10"/>
      <x:c r="J98" s="10"/>
      <x:c r="K98" s="11" t="str">
        <x:f>IF(AND(ISNUMBER(I98),ISNUMBER(F98),F98&gt;0),I98/F98,"")</x:f>
      </x:c>
      <x:c r="L98" s="11" t="str">
        <x:f>IF(AND(ISNUMBER(J98),ISNUMBER(F98),F98&gt;0),J98/F98,"")</x:f>
      </x:c>
      <x:c r="M98" s="9"/>
      <x:c r="N98" s="9"/>
      <x:c r="O98" s="9"/>
    </x:row>
    <x:row r="99" ht="33" customHeight="1">
      <x:c r="A99" s="8" t="str">
        <x:v>V7-Sb7968a5684</x:v>
      </x:c>
      <x:c r="B99" s="8" t="str">
        <x:v>irdclub.ru | Профессиональное сообщество R&amp;D ...</x:v>
      </x:c>
      <x:c r="C99" s="8" t="str">
        <x:v>functional</x:v>
      </x:c>
      <x:c r="D99" s="9"/>
      <x:c r="E99" s="9"/>
      <x:c r="F99" s="9"/>
      <x:c r="G99" s="9"/>
      <x:c r="H99" s="9"/>
      <x:c r="I99" s="10"/>
      <x:c r="J99" s="10"/>
      <x:c r="K99" s="11" t="str">
        <x:f>IF(AND(ISNUMBER(I99),ISNUMBER(F99),F99&gt;0),I99/F99,"")</x:f>
      </x:c>
      <x:c r="L99" s="11" t="str">
        <x:f>IF(AND(ISNUMBER(J99),ISNUMBER(F99),F99&gt;0),J99/F99,"")</x:f>
      </x:c>
      <x:c r="M99" s="9"/>
      <x:c r="N99" s="9"/>
      <x:c r="O99" s="9"/>
    </x:row>
    <x:row r="100" ht="35.25" customHeight="1">
      <x:c r="A100" s="8" t="str">
        <x:v>V7-Saca2f00fff</x:v>
      </x:c>
      <x:c r="B100" s="8" t="str">
        <x:v>Клуб ИТ-директоров Юга России | CIO Club South - IT-World.ru</x:v>
      </x:c>
      <x:c r="C100" s="8" t="str">
        <x:v>functional</x:v>
      </x:c>
      <x:c r="D100" s="9"/>
      <x:c r="E100" s="9"/>
      <x:c r="F100" s="9"/>
      <x:c r="G100" s="9"/>
      <x:c r="H100" s="9"/>
      <x:c r="I100" s="10"/>
      <x:c r="J100" s="10"/>
      <x:c r="K100" s="11" t="str">
        <x:f>IF(AND(ISNUMBER(I100),ISNUMBER(F100),F100&gt;0),I100/F100,"")</x:f>
      </x:c>
      <x:c r="L100" s="11" t="str">
        <x:f>IF(AND(ISNUMBER(J100),ISNUMBER(F100),F100&gt;0),J100/F100,"")</x:f>
      </x:c>
      <x:c r="M100" s="9"/>
      <x:c r="N100" s="9"/>
      <x:c r="O100" s="9"/>
    </x:row>
    <x:row r="101" ht="35.25" customHeight="1">
      <x:c r="A101" s="8" t="str">
        <x:v>V7-Se021002c87</x:v>
      </x:c>
      <x:c r="B101" s="8" t="str">
        <x:v>Корпоративный университет (КУ) / HR-WIKI КСК ЭКСПЕРТ</x:v>
      </x:c>
      <x:c r="C101" s="8" t="str">
        <x:v>cu</x:v>
      </x:c>
      <x:c r="D101" s="9"/>
      <x:c r="E101" s="9"/>
      <x:c r="F101" s="9"/>
      <x:c r="G101" s="9"/>
      <x:c r="H101" s="9"/>
      <x:c r="I101" s="10"/>
      <x:c r="J101" s="10"/>
      <x:c r="K101" s="11" t="str">
        <x:f>IF(AND(ISNUMBER(I101),ISNUMBER(F101),F101&gt;0),I101/F101,"")</x:f>
      </x:c>
      <x:c r="L101" s="11" t="str">
        <x:f>IF(AND(ISNUMBER(J101),ISNUMBER(F101),F101&gt;0),J101/F101,"")</x:f>
      </x:c>
      <x:c r="M101" s="9"/>
      <x:c r="N101" s="9"/>
      <x:c r="O101" s="9"/>
    </x:row>
    <x:row r="102" ht="33" customHeight="1">
      <x:c r="A102" s="8" t="str">
        <x:v>V7-S8330215cd0</x:v>
      </x:c>
      <x:c r="B102" s="8" t="str">
        <x:v>Преимущества членства - Ассоциация Kazdidac</x:v>
      </x:c>
      <x:c r="C102" s="8" t="str">
        <x:v>industry</x:v>
      </x:c>
      <x:c r="D102" s="9"/>
      <x:c r="E102" s="9"/>
      <x:c r="F102" s="9"/>
      <x:c r="G102" s="9"/>
      <x:c r="H102" s="9"/>
      <x:c r="I102" s="10"/>
      <x:c r="J102" s="10"/>
      <x:c r="K102" s="11" t="str">
        <x:f>IF(AND(ISNUMBER(I102),ISNUMBER(F102),F102&gt;0),I102/F102,"")</x:f>
      </x:c>
      <x:c r="L102" s="11" t="str">
        <x:f>IF(AND(ISNUMBER(J102),ISNUMBER(F102),F102&gt;0),J102/F102,"")</x:f>
      </x:c>
      <x:c r="M102" s="9"/>
      <x:c r="N102" s="9"/>
      <x:c r="O102" s="9"/>
    </x:row>
    <x:row r="103" ht="33" customHeight="1">
      <x:c r="A103" s="8" t="str">
        <x:v>V7-S686682a6aa</x:v>
      </x:c>
      <x:c r="B103" s="8" t="str">
        <x:v>Клуб директоров</x:v>
      </x:c>
      <x:c r="C103" s="8" t="str">
        <x:v>functional</x:v>
      </x:c>
      <x:c r="D103" s="9"/>
      <x:c r="E103" s="9"/>
      <x:c r="F103" s="9"/>
      <x:c r="G103" s="9"/>
      <x:c r="H103" s="9"/>
      <x:c r="I103" s="10"/>
      <x:c r="J103" s="10"/>
      <x:c r="K103" s="11" t="str">
        <x:f>IF(AND(ISNUMBER(I103),ISNUMBER(F103),F103&gt;0),I103/F103,"")</x:f>
      </x:c>
      <x:c r="L103" s="11" t="str">
        <x:f>IF(AND(ISNUMBER(J103),ISNUMBER(F103),F103&gt;0),J103/F103,"")</x:f>
      </x:c>
      <x:c r="M103" s="9"/>
      <x:c r="N103" s="9"/>
      <x:c r="O103" s="9"/>
    </x:row>
    <x:row r="104" ht="71.25" customHeight="1">
      <x:c r="A104" s="8" t="str">
        <x:v>V7-S74904a5a7b</x:v>
      </x:c>
      <x:c r="B104" s="8" t="str">
        <x:v>В качестве преподавателей и бизнес-тренеров будут приглашаться к сотрудничеству успешные руководители предприятий, бизнес-тренеры г. Комсомольска-на-Амуре, а также психологи и успешные работники местных организаций.</x:v>
      </x:c>
      <x:c r="C104" s="8" t="str">
        <x:v>providers</x:v>
      </x:c>
      <x:c r="D104" s="9"/>
      <x:c r="E104" s="9"/>
      <x:c r="F104" s="9"/>
      <x:c r="G104" s="9"/>
      <x:c r="H104" s="9"/>
      <x:c r="I104" s="10"/>
      <x:c r="J104" s="10"/>
      <x:c r="K104" s="11" t="str">
        <x:f>IF(AND(ISNUMBER(I104),ISNUMBER(F104),F104&gt;0),I104/F104,"")</x:f>
      </x:c>
      <x:c r="L104" s="11" t="str">
        <x:f>IF(AND(ISNUMBER(J104),ISNUMBER(F104),F104&gt;0),J104/F104,"")</x:f>
      </x:c>
      <x:c r="M104" s="9"/>
      <x:c r="N104" s="9"/>
      <x:c r="O104" s="9"/>
    </x:row>
    <x:row r="105" ht="35.25" customHeight="1">
      <x:c r="A105" s="8" t="str">
        <x:v>V7-S2b1db7eaaa</x:v>
      </x:c>
      <x:c r="B105" s="8" t="str">
        <x:v>Корпоративные преподаватели Технического университета УГМК</x:v>
      </x:c>
      <x:c r="C105" s="8" t="str">
        <x:v>cu</x:v>
      </x:c>
      <x:c r="D105" s="9"/>
      <x:c r="E105" s="9"/>
      <x:c r="F105" s="9"/>
      <x:c r="G105" s="9"/>
      <x:c r="H105" s="9"/>
      <x:c r="I105" s="10"/>
      <x:c r="J105" s="10"/>
      <x:c r="K105" s="11" t="str">
        <x:f>IF(AND(ISNUMBER(I105),ISNUMBER(F105),F105&gt;0),I105/F105,"")</x:f>
      </x:c>
      <x:c r="L105" s="11" t="str">
        <x:f>IF(AND(ISNUMBER(J105),ISNUMBER(F105),F105&gt;0),J105/F105,"")</x:f>
      </x:c>
      <x:c r="M105" s="9"/>
      <x:c r="N105" s="9"/>
      <x:c r="O105" s="9"/>
    </x:row>
    <x:row r="106" ht="33" customHeight="1">
      <x:c r="A106" s="8" t="str">
        <x:v>V7-Sbb3bf1a453</x:v>
      </x:c>
      <x:c r="B106" s="8" t="str">
        <x:v>О компании</x:v>
      </x:c>
      <x:c r="C106" s="8" t="str">
        <x:v>functional</x:v>
      </x:c>
      <x:c r="D106" s="9"/>
      <x:c r="E106" s="9"/>
      <x:c r="F106" s="9"/>
      <x:c r="G106" s="9"/>
      <x:c r="H106" s="9"/>
      <x:c r="I106" s="10"/>
      <x:c r="J106" s="10"/>
      <x:c r="K106" s="11" t="str">
        <x:f>IF(AND(ISNUMBER(I106),ISNUMBER(F106),F106&gt;0),I106/F106,"")</x:f>
      </x:c>
      <x:c r="L106" s="11" t="str">
        <x:f>IF(AND(ISNUMBER(J106),ISNUMBER(F106),F106&gt;0),J106/F106,"")</x:f>
      </x:c>
      <x:c r="M106" s="9"/>
      <x:c r="N106" s="9"/>
      <x:c r="O106" s="9"/>
    </x:row>
    <x:row r="107" ht="47.25" customHeight="1">
      <x:c r="A107" s="8" t="str">
        <x:v>V7-Saab4e5dafc</x:v>
      </x:c>
      <x:c r="B107" s="8" t="str">
        <x:v>«Hurma» станет площадкой для общения HR-специалистов «большой Сибири» | Деловой квартал DK.RU — новости Красноярска</x:v>
      </x:c>
      <x:c r="C107" s="8" t="str">
        <x:v>regional_hr</x:v>
      </x:c>
      <x:c r="D107" s="9"/>
      <x:c r="E107" s="9"/>
      <x:c r="F107" s="9"/>
      <x:c r="G107" s="9"/>
      <x:c r="H107" s="9"/>
      <x:c r="I107" s="10"/>
      <x:c r="J107" s="10"/>
      <x:c r="K107" s="11" t="str">
        <x:f>IF(AND(ISNUMBER(I107),ISNUMBER(F107),F107&gt;0),I107/F107,"")</x:f>
      </x:c>
      <x:c r="L107" s="11" t="str">
        <x:f>IF(AND(ISNUMBER(J107),ISNUMBER(F107),F107&gt;0),J107/F107,"")</x:f>
      </x:c>
      <x:c r="M107" s="9"/>
      <x:c r="N107" s="9"/>
      <x:c r="O107" s="9"/>
    </x:row>
    <x:row r="108" ht="35.25" customHeight="1">
      <x:c r="A108" s="8" t="str">
        <x:v>V7-S3d0e0d6d2f</x:v>
      </x:c>
      <x:c r="B108" s="8" t="str">
        <x:v>Работа hr менеджером в предпринимательское сообщество в Красноярске, без опыта — поиск вакансий</x:v>
      </x:c>
      <x:c r="C108" s="8" t="str">
        <x:v>regional_hr</x:v>
      </x:c>
      <x:c r="D108" s="9"/>
      <x:c r="E108" s="9"/>
      <x:c r="F108" s="9"/>
      <x:c r="G108" s="9"/>
      <x:c r="H108" s="9"/>
      <x:c r="I108" s="10"/>
      <x:c r="J108" s="10"/>
      <x:c r="K108" s="11" t="str">
        <x:f>IF(AND(ISNUMBER(I108),ISNUMBER(F108),F108&gt;0),I108/F108,"")</x:f>
      </x:c>
      <x:c r="L108" s="11" t="str">
        <x:f>IF(AND(ISNUMBER(J108),ISNUMBER(F108),F108&gt;0),J108/F108,"")</x:f>
      </x:c>
      <x:c r="M108" s="9"/>
      <x:c r="N108" s="9"/>
      <x:c r="O108" s="9"/>
    </x:row>
    <x:row r="109" ht="33" customHeight="1">
      <x:c r="A109" s="8" t="str">
        <x:v>V7-Sd51036b56e</x:v>
      </x:c>
      <x:c r="B109" s="8" t="str">
        <x:v>Союз "ТПП Краснодарского края"</x:v>
      </x:c>
      <x:c r="C109" s="8" t="str">
        <x:v>development</x:v>
      </x:c>
      <x:c r="D109" s="9"/>
      <x:c r="E109" s="9"/>
      <x:c r="F109" s="9"/>
      <x:c r="G109" s="9"/>
      <x:c r="H109" s="9"/>
      <x:c r="I109" s="10"/>
      <x:c r="J109" s="10"/>
      <x:c r="K109" s="11" t="str">
        <x:f>IF(AND(ISNUMBER(I109),ISNUMBER(F109),F109&gt;0),I109/F109,"")</x:f>
      </x:c>
      <x:c r="L109" s="11" t="str">
        <x:f>IF(AND(ISNUMBER(J109),ISNUMBER(F109),F109&gt;0),J109/F109,"")</x:f>
      </x:c>
      <x:c r="M109" s="9"/>
      <x:c r="N109" s="9"/>
      <x:c r="O109" s="9"/>
    </x:row>
    <x:row r="110" ht="33" customHeight="1">
      <x:c r="A110" s="8" t="str">
        <x:v>V7-S3df9ddbe61</x:v>
      </x:c>
      <x:c r="B110" s="8" t="str">
        <x:v>Организации и ассоциации стран Таможенного союза</x:v>
      </x:c>
      <x:c r="C110" s="8" t="str">
        <x:v>functional</x:v>
      </x:c>
      <x:c r="D110" s="9"/>
      <x:c r="E110" s="9"/>
      <x:c r="F110" s="9"/>
      <x:c r="G110" s="9"/>
      <x:c r="H110" s="9"/>
      <x:c r="I110" s="10"/>
      <x:c r="J110" s="10"/>
      <x:c r="K110" s="11" t="str">
        <x:f>IF(AND(ISNUMBER(I110),ISNUMBER(F110),F110&gt;0),I110/F110,"")</x:f>
      </x:c>
      <x:c r="L110" s="11" t="str">
        <x:f>IF(AND(ISNUMBER(J110),ISNUMBER(F110),F110&gt;0),J110/F110,"")</x:f>
      </x:c>
      <x:c r="M110" s="9"/>
      <x:c r="N110" s="9"/>
      <x:c r="O110" s="9"/>
    </x:row>
    <x:row r="111" ht="35.25" customHeight="1">
      <x:c r="A111" s="8" t="str">
        <x:v>V7-Sc0b7a7a652</x:v>
      </x:c>
      <x:c r="B111" s="8" t="str">
        <x:v>Казначей года 2025 | Ассоциация корпоративных казначеев</x:v>
      </x:c>
      <x:c r="C111" s="8" t="str">
        <x:v>functional</x:v>
      </x:c>
      <x:c r="D111" s="9"/>
      <x:c r="E111" s="9"/>
      <x:c r="F111" s="9"/>
      <x:c r="G111" s="9"/>
      <x:c r="H111" s="9"/>
      <x:c r="I111" s="10"/>
      <x:c r="J111" s="10"/>
      <x:c r="K111" s="11" t="str">
        <x:f>IF(AND(ISNUMBER(I111),ISNUMBER(F111),F111&gt;0),I111/F111,"")</x:f>
      </x:c>
      <x:c r="L111" s="11" t="str">
        <x:f>IF(AND(ISNUMBER(J111),ISNUMBER(F111),F111&gt;0),J111/F111,"")</x:f>
      </x:c>
      <x:c r="M111" s="9"/>
      <x:c r="N111" s="9"/>
      <x:c r="O111" s="9"/>
    </x:row>
    <x:row r="112" ht="71.25" customHeight="1">
      <x:c r="A112" s="8" t="str">
        <x:v>V7-S02db5f4aad</x:v>
      </x:c>
      <x:c r="B112" s="8" t="str">
        <x:v>Корпоративный университет ERG Corporate University провел первый в Казахстане международный форум корпоративных университетов   Форум стал площадкой для профессионального обмена опытом между… | Valentina Satarova</x:v>
      </x:c>
      <x:c r="C112" s="8" t="str">
        <x:v>cu</x:v>
      </x:c>
      <x:c r="D112" s="9"/>
      <x:c r="E112" s="9"/>
      <x:c r="F112" s="9"/>
      <x:c r="G112" s="9"/>
      <x:c r="H112" s="9"/>
      <x:c r="I112" s="10"/>
      <x:c r="J112" s="10"/>
      <x:c r="K112" s="11" t="str">
        <x:f>IF(AND(ISNUMBER(I112),ISNUMBER(F112),F112&gt;0),I112/F112,"")</x:f>
      </x:c>
      <x:c r="L112" s="11" t="str">
        <x:f>IF(AND(ISNUMBER(J112),ISNUMBER(F112),F112&gt;0),J112/F112,"")</x:f>
      </x:c>
      <x:c r="M112" s="9"/>
      <x:c r="N112" s="9"/>
      <x:c r="O112" s="9"/>
    </x:row>
    <x:row r="113" ht="35.25" customHeight="1">
      <x:c r="A113" s="8" t="str">
        <x:v>V7-S6ed1806d71</x:v>
      </x:c>
      <x:c r="B113" s="8" t="str">
        <x:v>Телеграмм канал @CHAT_CLUBTK | Чат кадровиков от Clubtk.ru</x:v>
      </x:c>
      <x:c r="C113" s="8" t="str">
        <x:v>regional_hr</x:v>
      </x:c>
      <x:c r="D113" s="9"/>
      <x:c r="E113" s="9"/>
      <x:c r="F113" s="9"/>
      <x:c r="G113" s="9"/>
      <x:c r="H113" s="9"/>
      <x:c r="I113" s="10"/>
      <x:c r="J113" s="10"/>
      <x:c r="K113" s="11" t="str">
        <x:f>IF(AND(ISNUMBER(I113),ISNUMBER(F113),F113&gt;0),I113/F113,"")</x:f>
      </x:c>
      <x:c r="L113" s="11" t="str">
        <x:f>IF(AND(ISNUMBER(J113),ISNUMBER(F113),F113&gt;0),J113/F113,"")</x:f>
      </x:c>
      <x:c r="M113" s="9"/>
      <x:c r="N113" s="9"/>
      <x:c r="O113" s="9"/>
    </x:row>
    <x:row r="114" ht="35.25" customHeight="1">
      <x:c r="A114" s="8" t="str">
        <x:v>V7-Sa405979309</x:v>
      </x:c>
      <x:c r="B114" s="8" t="str">
        <x:v>МАИ и Академия «Роскосмоса» начнут сотрудничать в подготовке кадров</x:v>
      </x:c>
      <x:c r="C114" s="8" t="str">
        <x:v>cu</x:v>
      </x:c>
      <x:c r="D114" s="9"/>
      <x:c r="E114" s="9"/>
      <x:c r="F114" s="9"/>
      <x:c r="G114" s="9"/>
      <x:c r="H114" s="9"/>
      <x:c r="I114" s="10"/>
      <x:c r="J114" s="10"/>
      <x:c r="K114" s="11" t="str">
        <x:f>IF(AND(ISNUMBER(I114),ISNUMBER(F114),F114&gt;0),I114/F114,"")</x:f>
      </x:c>
      <x:c r="L114" s="11" t="str">
        <x:f>IF(AND(ISNUMBER(J114),ISNUMBER(F114),F114&gt;0),J114/F114,"")</x:f>
      </x:c>
      <x:c r="M114" s="9"/>
      <x:c r="N114" s="9"/>
      <x:c r="O114" s="9"/>
    </x:row>
    <x:row r="115" ht="47.25" customHeight="1">
      <x:c r="A115" s="8" t="str">
        <x:v>V7-Sead0f48e42</x:v>
      </x:c>
      <x:c r="B115" s="8" t="str">
        <x:v>Мастер-класс для социальных предпринимателей, руководителей и преподавателей языковых студий - Мой Бизнес Пенза</x:v>
      </x:c>
      <x:c r="C115" s="8" t="str">
        <x:v>providers</x:v>
      </x:c>
      <x:c r="D115" s="9"/>
      <x:c r="E115" s="9"/>
      <x:c r="F115" s="9"/>
      <x:c r="G115" s="9"/>
      <x:c r="H115" s="9"/>
      <x:c r="I115" s="10"/>
      <x:c r="J115" s="10"/>
      <x:c r="K115" s="11" t="str">
        <x:f>IF(AND(ISNUMBER(I115),ISNUMBER(F115),F115&gt;0),I115/F115,"")</x:f>
      </x:c>
      <x:c r="L115" s="11" t="str">
        <x:f>IF(AND(ISNUMBER(J115),ISNUMBER(F115),F115&gt;0),J115/F115,"")</x:f>
      </x:c>
      <x:c r="M115" s="9"/>
      <x:c r="N115" s="9"/>
      <x:c r="O115" s="9"/>
    </x:row>
    <x:row r="116" ht="35.25" customHeight="1">
      <x:c r="A116" s="8" t="str">
        <x:v>V7-Sbe4b5964c6</x:v>
      </x:c>
      <x:c r="B116" s="8" t="str">
        <x:v>Mentor Club. Среда — сообщество предпринимателей — Клуб менторов</x:v>
      </x:c>
      <x:c r="C116" s="8" t="str">
        <x:v>business</x:v>
      </x:c>
      <x:c r="D116" s="9"/>
      <x:c r="E116" s="9"/>
      <x:c r="F116" s="9"/>
      <x:c r="G116" s="9"/>
      <x:c r="H116" s="9"/>
      <x:c r="I116" s="10"/>
      <x:c r="J116" s="10"/>
      <x:c r="K116" s="11" t="str">
        <x:f>IF(AND(ISNUMBER(I116),ISNUMBER(F116),F116&gt;0),I116/F116,"")</x:f>
      </x:c>
      <x:c r="L116" s="11" t="str">
        <x:f>IF(AND(ISNUMBER(J116),ISNUMBER(F116),F116&gt;0),J116/F116,"")</x:f>
      </x:c>
      <x:c r="M116" s="9"/>
      <x:c r="N116" s="9"/>
      <x:c r="O116" s="9"/>
    </x:row>
    <x:row r="117" ht="47.25" customHeight="1">
      <x:c r="A117" s="8" t="str">
        <x:v>V7-Sa592d7ee71</x:v>
      </x:c>
      <x:c r="B117" s="8" t="str">
        <x:v>19 июня, в пятницу, пройдёт мастер-класс «Как получить от государства 350 000 рублей на свое дело» - мероприятие Мой Бизнес</x:v>
      </x:c>
      <x:c r="C117" s="8" t="str">
        <x:v>development</x:v>
      </x:c>
      <x:c r="D117" s="9"/>
      <x:c r="E117" s="9"/>
      <x:c r="F117" s="9"/>
      <x:c r="G117" s="9"/>
      <x:c r="H117" s="9"/>
      <x:c r="I117" s="10"/>
      <x:c r="J117" s="10"/>
      <x:c r="K117" s="11" t="str">
        <x:f>IF(AND(ISNUMBER(I117),ISNUMBER(F117),F117&gt;0),I117/F117,"")</x:f>
      </x:c>
      <x:c r="L117" s="11" t="str">
        <x:f>IF(AND(ISNUMBER(J117),ISNUMBER(F117),F117&gt;0),J117/F117,"")</x:f>
      </x:c>
      <x:c r="M117" s="9"/>
      <x:c r="N117" s="9"/>
      <x:c r="O117" s="9"/>
    </x:row>
    <x:row r="118" ht="47.25" customHeight="1">
      <x:c r="A118" s="8" t="str">
        <x:v>V7-Sbe85ad700b</x:v>
      </x:c>
      <x:c r="B118" s="8" t="str">
        <x:v>Работа Преподаватель английского языка общий бизнес английский в Москве, частичная занятость — поиск вакансий</x:v>
      </x:c>
      <x:c r="C118" s="8" t="str">
        <x:v>providers</x:v>
      </x:c>
      <x:c r="D118" s="9"/>
      <x:c r="E118" s="9"/>
      <x:c r="F118" s="9"/>
      <x:c r="G118" s="9"/>
      <x:c r="H118" s="9"/>
      <x:c r="I118" s="10"/>
      <x:c r="J118" s="10"/>
      <x:c r="K118" s="11" t="str">
        <x:f>IF(AND(ISNUMBER(I118),ISNUMBER(F118),F118&gt;0),I118/F118,"")</x:f>
      </x:c>
      <x:c r="L118" s="11" t="str">
        <x:f>IF(AND(ISNUMBER(J118),ISNUMBER(F118),F118&gt;0),J118/F118,"")</x:f>
      </x:c>
      <x:c r="M118" s="9"/>
      <x:c r="N118" s="9"/>
      <x:c r="O118" s="9"/>
    </x:row>
    <x:row r="119" ht="35.25" customHeight="1">
      <x:c r="A119" s="8" t="str">
        <x:v>V7-S1ed6f667e6</x:v>
      </x:c>
      <x:c r="B119" s="8" t="str">
        <x:v>Бизнес-клуб МОСТ в Ростове-на-Дону и онлайн — клуб собственников</x:v>
      </x:c>
      <x:c r="C119" s="8" t="str">
        <x:v>business</x:v>
      </x:c>
      <x:c r="D119" s="9"/>
      <x:c r="E119" s="9"/>
      <x:c r="F119" s="9"/>
      <x:c r="G119" s="9"/>
      <x:c r="H119" s="9"/>
      <x:c r="I119" s="10"/>
      <x:c r="J119" s="10"/>
      <x:c r="K119" s="11" t="str">
        <x:f>IF(AND(ISNUMBER(I119),ISNUMBER(F119),F119&gt;0),I119/F119,"")</x:f>
      </x:c>
      <x:c r="L119" s="11" t="str">
        <x:f>IF(AND(ISNUMBER(J119),ISNUMBER(F119),F119&gt;0),J119/F119,"")</x:f>
      </x:c>
      <x:c r="M119" s="9"/>
      <x:c r="N119" s="9"/>
      <x:c r="O119" s="9"/>
    </x:row>
    <x:row r="120" ht="47.25" customHeight="1">
      <x:c r="A120" s="8" t="str">
        <x:v>V7-S5f78107769</x:v>
      </x:c>
      <x:c r="B120" s="8" t="str">
        <x:v>Курс для самозанятых «Как стать спикером» | Развитие малого и среднего предпринимательства | Национальный проект | mybiz63 / майбиз63</x:v>
      </x:c>
      <x:c r="C120" s="8" t="str">
        <x:v>development</x:v>
      </x:c>
      <x:c r="D120" s="9"/>
      <x:c r="E120" s="9"/>
      <x:c r="F120" s="9"/>
      <x:c r="G120" s="9"/>
      <x:c r="H120" s="9"/>
      <x:c r="I120" s="10"/>
      <x:c r="J120" s="10"/>
      <x:c r="K120" s="11" t="str">
        <x:f>IF(AND(ISNUMBER(I120),ISNUMBER(F120),F120&gt;0),I120/F120,"")</x:f>
      </x:c>
      <x:c r="L120" s="11" t="str">
        <x:f>IF(AND(ISNUMBER(J120),ISNUMBER(F120),F120&gt;0),J120/F120,"")</x:f>
      </x:c>
      <x:c r="M120" s="9"/>
      <x:c r="N120" s="9"/>
      <x:c r="O120" s="9"/>
    </x:row>
    <x:row r="121" ht="35.25" customHeight="1">
      <x:c r="A121" s="8" t="str">
        <x:v>V7-Sb0487f4809</x:v>
      </x:c>
      <x:c r="B121" s="8" t="str">
        <x:v>Как стать спикером центра «Мой бизнес» | Lifestyle | Селдон Новости</x:v>
      </x:c>
      <x:c r="C121" s="8" t="str">
        <x:v>development</x:v>
      </x:c>
      <x:c r="D121" s="9"/>
      <x:c r="E121" s="9"/>
      <x:c r="F121" s="9"/>
      <x:c r="G121" s="9"/>
      <x:c r="H121" s="9"/>
      <x:c r="I121" s="10"/>
      <x:c r="J121" s="10"/>
      <x:c r="K121" s="11" t="str">
        <x:f>IF(AND(ISNUMBER(I121),ISNUMBER(F121),F121&gt;0),I121/F121,"")</x:f>
      </x:c>
      <x:c r="L121" s="11" t="str">
        <x:f>IF(AND(ISNUMBER(J121),ISNUMBER(F121),F121&gt;0),J121/F121,"")</x:f>
      </x:c>
      <x:c r="M121" s="9"/>
      <x:c r="N121" s="9"/>
      <x:c r="O121" s="9"/>
    </x:row>
    <x:row r="122" ht="33" customHeight="1">
      <x:c r="A122" s="8" t="str">
        <x:v>V7-S3ca664c605</x:v>
      </x:c>
      <x:c r="B122" s="8" t="str">
        <x:v>Слет предпринимателей в Нидерландах</x:v>
      </x:c>
      <x:c r="C122" s="8" t="str">
        <x:v>business</x:v>
      </x:c>
      <x:c r="D122" s="9"/>
      <x:c r="E122" s="9"/>
      <x:c r="F122" s="9"/>
      <x:c r="G122" s="9"/>
      <x:c r="H122" s="9"/>
      <x:c r="I122" s="10"/>
      <x:c r="J122" s="10"/>
      <x:c r="K122" s="11" t="str">
        <x:f>IF(AND(ISNUMBER(I122),ISNUMBER(F122),F122&gt;0),I122/F122,"")</x:f>
      </x:c>
      <x:c r="L122" s="11" t="str">
        <x:f>IF(AND(ISNUMBER(J122),ISNUMBER(F122),F122&gt;0),J122/F122,"")</x:f>
      </x:c>
      <x:c r="M122" s="9"/>
      <x:c r="N122" s="9"/>
      <x:c r="O122" s="9"/>
    </x:row>
    <x:row r="123" ht="35.25" customHeight="1">
      <x:c r="A123" s="8" t="str">
        <x:v>V7-Sb717213c03</x:v>
      </x:c>
      <x:c r="B123" s="8" t="str">
        <x:v>ПАО ПКО «Теплообменник» принимает «Клуб директоров предприятий по качеству» - НИЦ КД</x:v>
      </x:c>
      <x:c r="C123" s="8" t="str">
        <x:v>functional</x:v>
      </x:c>
      <x:c r="D123" s="9"/>
      <x:c r="E123" s="9"/>
      <x:c r="F123" s="9"/>
      <x:c r="G123" s="9"/>
      <x:c r="H123" s="9"/>
      <x:c r="I123" s="10"/>
      <x:c r="J123" s="10"/>
      <x:c r="K123" s="11" t="str">
        <x:f>IF(AND(ISNUMBER(I123),ISNUMBER(F123),F123&gt;0),I123/F123,"")</x:f>
      </x:c>
      <x:c r="L123" s="11" t="str">
        <x:f>IF(AND(ISNUMBER(J123),ISNUMBER(F123),F123&gt;0),J123/F123,"")</x:f>
      </x:c>
      <x:c r="M123" s="9"/>
      <x:c r="N123" s="9"/>
      <x:c r="O123" s="9"/>
    </x:row>
    <x:row r="124" ht="35.25" customHeight="1">
      <x:c r="A124" s="8" t="str">
        <x:v>V7-Sf4625e08dd</x:v>
      </x:c>
      <x:c r="B124" s="8" t="str">
        <x:v>НАУЧНО-ПРАКТИЧЕСКАЯ КОНФЕРЕНЦИЯ «РОССИЯ — БЕЛАРУСЬ:»</x:v>
      </x:c>
      <x:c r="C124" s="8" t="str">
        <x:v>industry</x:v>
      </x:c>
      <x:c r="D124" s="9"/>
      <x:c r="E124" s="9"/>
      <x:c r="F124" s="9"/>
      <x:c r="G124" s="9"/>
      <x:c r="H124" s="9"/>
      <x:c r="I124" s="10"/>
      <x:c r="J124" s="10"/>
      <x:c r="K124" s="11" t="str">
        <x:f>IF(AND(ISNUMBER(I124),ISNUMBER(F124),F124&gt;0),I124/F124,"")</x:f>
      </x:c>
      <x:c r="L124" s="11" t="str">
        <x:f>IF(AND(ISNUMBER(J124),ISNUMBER(F124),F124&gt;0),J124/F124,"")</x:f>
      </x:c>
      <x:c r="M124" s="9"/>
      <x:c r="N124" s="9"/>
      <x:c r="O124" s="9"/>
    </x:row>
    <x:row r="125" ht="33" customHeight="1">
      <x:c r="A125" s="8" t="str">
        <x:v>V7-S75ffc1f195</x:v>
      </x:c>
      <x:c r="B125" s="8" t="str">
        <x:v>Бизнес</x:v>
      </x:c>
      <x:c r="C125" s="8" t="str">
        <x:v>business</x:v>
      </x:c>
      <x:c r="D125" s="9"/>
      <x:c r="E125" s="9"/>
      <x:c r="F125" s="9"/>
      <x:c r="G125" s="9"/>
      <x:c r="H125" s="9"/>
      <x:c r="I125" s="10"/>
      <x:c r="J125" s="10"/>
      <x:c r="K125" s="11" t="str">
        <x:f>IF(AND(ISNUMBER(I125),ISNUMBER(F125),F125&gt;0),I125/F125,"")</x:f>
      </x:c>
      <x:c r="L125" s="11" t="str">
        <x:f>IF(AND(ISNUMBER(J125),ISNUMBER(F125),F125&gt;0),J125/F125,"")</x:f>
      </x:c>
      <x:c r="M125" s="9"/>
      <x:c r="N125" s="9"/>
      <x:c r="O125" s="9"/>
    </x:row>
    <x:row r="126" ht="33" customHeight="1">
      <x:c r="A126" s="8" t="str">
        <x:v>V7-S0b81b8c8aa</x:v>
      </x:c>
      <x:c r="B126" s="8" t="str">
        <x:v>Сотрудничество с организациями и предприятиями</x:v>
      </x:c>
      <x:c r="C126" s="8" t="str">
        <x:v>providers</x:v>
      </x:c>
      <x:c r="D126" s="9"/>
      <x:c r="E126" s="9"/>
      <x:c r="F126" s="9"/>
      <x:c r="G126" s="9"/>
      <x:c r="H126" s="9"/>
      <x:c r="I126" s="10"/>
      <x:c r="J126" s="10"/>
      <x:c r="K126" s="11" t="str">
        <x:f>IF(AND(ISNUMBER(I126),ISNUMBER(F126),F126&gt;0),I126/F126,"")</x:f>
      </x:c>
      <x:c r="L126" s="11" t="str">
        <x:f>IF(AND(ISNUMBER(J126),ISNUMBER(F126),F126&gt;0),J126/F126,"")</x:f>
      </x:c>
      <x:c r="M126" s="9"/>
      <x:c r="N126" s="9"/>
      <x:c r="O126" s="9"/>
    </x:row>
    <x:row r="127" ht="35.25" customHeight="1">
      <x:c r="A127" s="8" t="str">
        <x:v>V7-S978b4732e2</x:v>
      </x:c>
      <x:c r="B127" s="8" t="str">
        <x:v>Конференции «Human» и «Поток»: Lindaily делится лучшими HR-практиками - Новосибирск</x:v>
      </x:c>
      <x:c r="C127" s="8" t="str">
        <x:v>regional_hr</x:v>
      </x:c>
      <x:c r="D127" s="9"/>
      <x:c r="E127" s="9"/>
      <x:c r="F127" s="9"/>
      <x:c r="G127" s="9"/>
      <x:c r="H127" s="9"/>
      <x:c r="I127" s="10"/>
      <x:c r="J127" s="10"/>
      <x:c r="K127" s="11" t="str">
        <x:f>IF(AND(ISNUMBER(I127),ISNUMBER(F127),F127&gt;0),I127/F127,"")</x:f>
      </x:c>
      <x:c r="L127" s="11" t="str">
        <x:f>IF(AND(ISNUMBER(J127),ISNUMBER(F127),F127&gt;0),J127/F127,"")</x:f>
      </x:c>
      <x:c r="M127" s="9"/>
      <x:c r="N127" s="9"/>
      <x:c r="O127" s="9"/>
    </x:row>
    <x:row r="128" ht="47.25" customHeight="1">
      <x:c r="A128" s="8" t="str">
        <x:v>V7-Se18ccb41d5</x:v>
      </x:c>
      <x:c r="B128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128" s="8" t="str">
        <x:v>lms</x:v>
      </x:c>
      <x:c r="D128" s="9"/>
      <x:c r="E128" s="9"/>
      <x:c r="F128" s="9"/>
      <x:c r="G128" s="9"/>
      <x:c r="H128" s="9"/>
      <x:c r="I128" s="10"/>
      <x:c r="J128" s="10"/>
      <x:c r="K128" s="11" t="str">
        <x:f>IF(AND(ISNUMBER(I128),ISNUMBER(F128),F128&gt;0),I128/F128,"")</x:f>
      </x:c>
      <x:c r="L128" s="11" t="str">
        <x:f>IF(AND(ISNUMBER(J128),ISNUMBER(F128),F128&gt;0),J128/F128,"")</x:f>
      </x:c>
      <x:c r="M128" s="9"/>
      <x:c r="N128" s="9"/>
      <x:c r="O128" s="9"/>
    </x:row>
    <x:row r="129" ht="47.25" customHeight="1">
      <x:c r="A129" s="8" t="str">
        <x:v>V7-Se38c2001d4</x:v>
      </x:c>
      <x:c r="B129" s="8" t="str">
        <x:v>Профпереподготовка и повышение квалификации | Дистанционное обучение в Оренбургской бизнес-школе - О бизнес-школе</x:v>
      </x:c>
      <x:c r="C129" s="8" t="str">
        <x:v>providers</x:v>
      </x:c>
      <x:c r="D129" s="9"/>
      <x:c r="E129" s="9"/>
      <x:c r="F129" s="9"/>
      <x:c r="G129" s="9"/>
      <x:c r="H129" s="9"/>
      <x:c r="I129" s="10"/>
      <x:c r="J129" s="10"/>
      <x:c r="K129" s="11" t="str">
        <x:f>IF(AND(ISNUMBER(I129),ISNUMBER(F129),F129&gt;0),I129/F129,"")</x:f>
      </x:c>
      <x:c r="L129" s="11" t="str">
        <x:f>IF(AND(ISNUMBER(J129),ISNUMBER(F129),F129&gt;0),J129/F129,"")</x:f>
      </x:c>
      <x:c r="M129" s="9"/>
      <x:c r="N129" s="9"/>
      <x:c r="O129" s="9"/>
    </x:row>
    <x:row r="130" ht="33" customHeight="1">
      <x:c r="A130" s="8" t="str">
        <x:v>V7-S47b6bd6cc3</x:v>
      </x:c>
      <x:c r="B130" s="8" t="str">
        <x:v>HR-Экспедиция: САХАЛИН</x:v>
      </x:c>
      <x:c r="C130" s="8" t="str">
        <x:v>regional_hr</x:v>
      </x:c>
      <x:c r="D130" s="9"/>
      <x:c r="E130" s="9"/>
      <x:c r="F130" s="9"/>
      <x:c r="G130" s="9"/>
      <x:c r="H130" s="9"/>
      <x:c r="I130" s="10"/>
      <x:c r="J130" s="10"/>
      <x:c r="K130" s="11" t="str">
        <x:f>IF(AND(ISNUMBER(I130),ISNUMBER(F130),F130&gt;0),I130/F130,"")</x:f>
      </x:c>
      <x:c r="L130" s="11" t="str">
        <x:f>IF(AND(ISNUMBER(J130),ISNUMBER(F130),F130&gt;0),J130/F130,"")</x:f>
      </x:c>
      <x:c r="M130" s="9"/>
      <x:c r="N130" s="9"/>
      <x:c r="O130" s="9"/>
    </x:row>
    <x:row r="131" ht="35.25" customHeight="1">
      <x:c r="A131" s="8" t="str">
        <x:v>V7-S0b63e0ce00</x:v>
      </x:c>
      <x:c r="B131" s="8" t="str">
        <x:v>Бизнес-клуб для предпринимателей "Однаволна" | Бизнес-сообщество в Москве</x:v>
      </x:c>
      <x:c r="C131" s="8" t="str">
        <x:v>business</x:v>
      </x:c>
      <x:c r="D131" s="9"/>
      <x:c r="E131" s="9"/>
      <x:c r="F131" s="9"/>
      <x:c r="G131" s="9"/>
      <x:c r="H131" s="9"/>
      <x:c r="I131" s="10"/>
      <x:c r="J131" s="10"/>
      <x:c r="K131" s="11" t="str">
        <x:f>IF(AND(ISNUMBER(I131),ISNUMBER(F131),F131&gt;0),I131/F131,"")</x:f>
      </x:c>
      <x:c r="L131" s="11" t="str">
        <x:f>IF(AND(ISNUMBER(J131),ISNUMBER(F131),F131&gt;0),J131/F131,"")</x:f>
      </x:c>
      <x:c r="M131" s="9"/>
      <x:c r="N131" s="9"/>
      <x:c r="O131" s="9"/>
    </x:row>
    <x:row r="132" ht="33" customHeight="1">
      <x:c r="A132" s="8" t="str">
        <x:v>V7-S1b80b7cbbe</x:v>
      </x:c>
      <x:c r="B132" s="8" t="str">
        <x:v>Конференция ПОТОК: Большой HR-день</x:v>
      </x:c>
      <x:c r="C132" s="8" t="str">
        <x:v>events</x:v>
      </x:c>
      <x:c r="D132" s="9"/>
      <x:c r="E132" s="9"/>
      <x:c r="F132" s="9"/>
      <x:c r="G132" s="9"/>
      <x:c r="H132" s="9"/>
      <x:c r="I132" s="10"/>
      <x:c r="J132" s="10"/>
      <x:c r="K132" s="11" t="str">
        <x:f>IF(AND(ISNUMBER(I132),ISNUMBER(F132),F132&gt;0),I132/F132,"")</x:f>
      </x:c>
      <x:c r="L132" s="11" t="str">
        <x:f>IF(AND(ISNUMBER(J132),ISNUMBER(F132),F132&gt;0),J132/F132,"")</x:f>
      </x:c>
      <x:c r="M132" s="9"/>
      <x:c r="N132" s="9"/>
      <x:c r="O132" s="9"/>
    </x:row>
    <x:row r="133" ht="47.25" customHeight="1">
      <x:c r="A133" s="8" t="str">
        <x:v>V7-S9fe9a3a3e0</x:v>
      </x:c>
      <x:c r="B133" s="8" t="str">
        <x:v>Заседание «Клуба директоров по качеству» состоялось в Нижегородской области | Нижегородская правда</x:v>
      </x:c>
      <x:c r="C133" s="8" t="str">
        <x:v>functional</x:v>
      </x:c>
      <x:c r="D133" s="9"/>
      <x:c r="E133" s="9"/>
      <x:c r="F133" s="9"/>
      <x:c r="G133" s="9"/>
      <x:c r="H133" s="9"/>
      <x:c r="I133" s="10"/>
      <x:c r="J133" s="10"/>
      <x:c r="K133" s="11" t="str">
        <x:f>IF(AND(ISNUMBER(I133),ISNUMBER(F133),F133&gt;0),I133/F133,"")</x:f>
      </x:c>
      <x:c r="L133" s="11" t="str">
        <x:f>IF(AND(ISNUMBER(J133),ISNUMBER(F133),F133&gt;0),J133/F133,"")</x:f>
      </x:c>
      <x:c r="M133" s="9"/>
      <x:c r="N133" s="9"/>
      <x:c r="O133" s="9"/>
    </x:row>
    <x:row r="134" ht="35.25" customHeight="1">
      <x:c r="A134" s="8" t="str">
        <x:v>V7-S7490381f9b</x:v>
      </x:c>
      <x:c r="B134" s="8" t="str">
        <x:v>Proaction и «Нефтьмагистраль»: запускаем формат живых встреч для распределенного бизнеса</x:v>
      </x:c>
      <x:c r="C134" s="8" t="str">
        <x:v>cu</x:v>
      </x:c>
      <x:c r="D134" s="9"/>
      <x:c r="E134" s="9"/>
      <x:c r="F134" s="9"/>
      <x:c r="G134" s="9"/>
      <x:c r="H134" s="9"/>
      <x:c r="I134" s="10"/>
      <x:c r="J134" s="10"/>
      <x:c r="K134" s="11" t="str">
        <x:f>IF(AND(ISNUMBER(I134),ISNUMBER(F134),F134&gt;0),I134/F134,"")</x:f>
      </x:c>
      <x:c r="L134" s="11" t="str">
        <x:f>IF(AND(ISNUMBER(J134),ISNUMBER(F134),F134&gt;0),J134/F134,"")</x:f>
      </x:c>
      <x:c r="M134" s="9"/>
      <x:c r="N134" s="9"/>
      <x:c r="O134" s="9"/>
    </x:row>
    <x:row r="135" ht="35.25" customHeight="1">
      <x:c r="A135" s="8" t="str">
        <x:v>V7-S76ad158468</x:v>
      </x:c>
      <x:c r="B135" s="8" t="str">
        <x:v>Профессиональный Союз Участников рынка франчайзинга</x:v>
      </x:c>
      <x:c r="C135" s="8" t="str">
        <x:v>business</x:v>
      </x:c>
      <x:c r="D135" s="9"/>
      <x:c r="E135" s="9"/>
      <x:c r="F135" s="9"/>
      <x:c r="G135" s="9"/>
      <x:c r="H135" s="9"/>
      <x:c r="I135" s="10"/>
      <x:c r="J135" s="10"/>
      <x:c r="K135" s="11" t="str">
        <x:f>IF(AND(ISNUMBER(I135),ISNUMBER(F135),F135&gt;0),I135/F135,"")</x:f>
      </x:c>
      <x:c r="L135" s="11" t="str">
        <x:f>IF(AND(ISNUMBER(J135),ISNUMBER(F135),F135&gt;0),J135/F135,"")</x:f>
      </x:c>
      <x:c r="M135" s="9"/>
      <x:c r="N135" s="9"/>
      <x:c r="O135" s="9"/>
    </x:row>
    <x:row r="136" ht="35.25" customHeight="1">
      <x:c r="A136" s="8" t="str">
        <x:v>V7-S1aeca578dc</x:v>
      </x:c>
      <x:c r="B136" s="8" t="str">
        <x:v>Ассоциация директоров по коммуникациям и корпоративным медиа России на PublisherNews.Ru</x:v>
      </x:c>
      <x:c r="C136" s="8" t="str">
        <x:v>industry</x:v>
      </x:c>
      <x:c r="D136" s="9"/>
      <x:c r="E136" s="9"/>
      <x:c r="F136" s="9"/>
      <x:c r="G136" s="9"/>
      <x:c r="H136" s="9"/>
      <x:c r="I136" s="10"/>
      <x:c r="J136" s="10"/>
      <x:c r="K136" s="11" t="str">
        <x:f>IF(AND(ISNUMBER(I136),ISNUMBER(F136),F136&gt;0),I136/F136,"")</x:f>
      </x:c>
      <x:c r="L136" s="11" t="str">
        <x:f>IF(AND(ISNUMBER(J136),ISNUMBER(F136),F136&gt;0),J136/F136,"")</x:f>
      </x:c>
      <x:c r="M136" s="9"/>
      <x:c r="N136" s="9"/>
      <x:c r="O136" s="9"/>
    </x:row>
    <x:row r="137" ht="35.25" customHeight="1">
      <x:c r="A137" s="8" t="str">
        <x:v>V7-Sc719bf7c5a</x:v>
      </x:c>
      <x:c r="B137" s="8" t="str">
        <x:v>Работа корпоративным тренером в Белгороде, свежие вакансии Корпоративный тренер на Rabota1000</x:v>
      </x:c>
      <x:c r="C137" s="8" t="str">
        <x:v>projects</x:v>
      </x:c>
      <x:c r="D137" s="9"/>
      <x:c r="E137" s="9"/>
      <x:c r="F137" s="9"/>
      <x:c r="G137" s="9"/>
      <x:c r="H137" s="9"/>
      <x:c r="I137" s="10"/>
      <x:c r="J137" s="10"/>
      <x:c r="K137" s="11" t="str">
        <x:f>IF(AND(ISNUMBER(I137),ISNUMBER(F137),F137&gt;0),I137/F137,"")</x:f>
      </x:c>
      <x:c r="L137" s="11" t="str">
        <x:f>IF(AND(ISNUMBER(J137),ISNUMBER(F137),F137&gt;0),J137/F137,"")</x:f>
      </x:c>
      <x:c r="M137" s="9"/>
      <x:c r="N137" s="9"/>
      <x:c r="O137" s="9"/>
    </x:row>
    <x:row r="138" ht="35.25" customHeight="1">
      <x:c r="A138" s="8" t="str">
        <x:v>V7-Sfcf78bd49e</x:v>
      </x:c>
      <x:c r="B138" s="8" t="str">
        <x:v>Клуб финансовых директоров Президентской академии</x:v>
      </x:c>
      <x:c r="C138" s="8" t="str">
        <x:v>functional</x:v>
      </x:c>
      <x:c r="D138" s="9"/>
      <x:c r="E138" s="9"/>
      <x:c r="F138" s="9"/>
      <x:c r="G138" s="9"/>
      <x:c r="H138" s="9"/>
      <x:c r="I138" s="10"/>
      <x:c r="J138" s="10"/>
      <x:c r="K138" s="11" t="str">
        <x:f>IF(AND(ISNUMBER(I138),ISNUMBER(F138),F138&gt;0),I138/F138,"")</x:f>
      </x:c>
      <x:c r="L138" s="11" t="str">
        <x:f>IF(AND(ISNUMBER(J138),ISNUMBER(F138),F138&gt;0),J138/F138,"")</x:f>
      </x:c>
      <x:c r="M138" s="9"/>
      <x:c r="N138" s="9"/>
      <x:c r="O138" s="9"/>
    </x:row>
    <x:row r="139" ht="47.25" customHeight="1">
      <x:c r="A139" s="8" t="str">
        <x:v>V7-Sd1bc080a0b</x:v>
      </x:c>
      <x:c r="B139" s="8" t="str">
        <x:v>Пост-релиз xxii ассамблеи деловых кругов республики беларусь | официальный сайт СЮЛ "Республиканская конфедерация предпринимательства"</x:v>
      </x:c>
      <x:c r="C139" s="8" t="str">
        <x:v>business</x:v>
      </x:c>
      <x:c r="D139" s="9"/>
      <x:c r="E139" s="9"/>
      <x:c r="F139" s="9"/>
      <x:c r="G139" s="9"/>
      <x:c r="H139" s="9"/>
      <x:c r="I139" s="10"/>
      <x:c r="J139" s="10"/>
      <x:c r="K139" s="11" t="str">
        <x:f>IF(AND(ISNUMBER(I139),ISNUMBER(F139),F139&gt;0),I139/F139,"")</x:f>
      </x:c>
      <x:c r="L139" s="11" t="str">
        <x:f>IF(AND(ISNUMBER(J139),ISNUMBER(F139),F139&gt;0),J139/F139,"")</x:f>
      </x:c>
      <x:c r="M139" s="9"/>
      <x:c r="N139" s="9"/>
      <x:c r="O139" s="9"/>
    </x:row>
    <x:row r="140" ht="35.25" customHeight="1">
      <x:c r="A140" s="8" t="str">
        <x:v>V7-Sc8e71c29fa</x:v>
      </x:c>
      <x:c r="B140" s="8" t="str">
        <x:v>Copy of Бизнес-клуб Reforma. Сообщество предпринимателей и управленцев</x:v>
      </x:c>
      <x:c r="C140" s="8" t="str">
        <x:v>business</x:v>
      </x:c>
      <x:c r="D140" s="9"/>
      <x:c r="E140" s="9"/>
      <x:c r="F140" s="9"/>
      <x:c r="G140" s="9"/>
      <x:c r="H140" s="9"/>
      <x:c r="I140" s="10"/>
      <x:c r="J140" s="10"/>
      <x:c r="K140" s="11" t="str">
        <x:f>IF(AND(ISNUMBER(I140),ISNUMBER(F140),F140&gt;0),I140/F140,"")</x:f>
      </x:c>
      <x:c r="L140" s="11" t="str">
        <x:f>IF(AND(ISNUMBER(J140),ISNUMBER(F140),F140&gt;0),J140/F140,"")</x:f>
      </x:c>
      <x:c r="M140" s="9"/>
      <x:c r="N140" s="9"/>
      <x:c r="O140" s="9"/>
    </x:row>
    <x:row r="141" ht="35.25" customHeight="1">
      <x:c r="A141" s="8" t="str">
        <x:v>V7-S2489ce796c</x:v>
      </x:c>
      <x:c r="B141" s="8" t="str">
        <x:v>Ежегодная международная отраслевая онлайн конференция «ФАРМАСТРИМ 2026» | Remedium.ru</x:v>
      </x:c>
      <x:c r="C141" s="8" t="str">
        <x:v>events</x:v>
      </x:c>
      <x:c r="D141" s="9"/>
      <x:c r="E141" s="9"/>
      <x:c r="F141" s="9"/>
      <x:c r="G141" s="9"/>
      <x:c r="H141" s="9"/>
      <x:c r="I141" s="10"/>
      <x:c r="J141" s="10"/>
      <x:c r="K141" s="11" t="str">
        <x:f>IF(AND(ISNUMBER(I141),ISNUMBER(F141),F141&gt;0),I141/F141,"")</x:f>
      </x:c>
      <x:c r="L141" s="11" t="str">
        <x:f>IF(AND(ISNUMBER(J141),ISNUMBER(F141),F141&gt;0),J141/F141,"")</x:f>
      </x:c>
      <x:c r="M141" s="9"/>
      <x:c r="N141" s="9"/>
      <x:c r="O141" s="9"/>
    </x:row>
    <x:row r="142" ht="35.25" customHeight="1">
      <x:c r="A142" s="8" t="str">
        <x:v>V7-S880c634507</x:v>
      </x:c>
      <x:c r="B142" s="8" t="str">
        <x:v>Международный клуб рестораторов — сообщество владельцев horeca-бизнеса | RestaurantWeek</x:v>
      </x:c>
      <x:c r="C142" s="8" t="str">
        <x:v>business</x:v>
      </x:c>
      <x:c r="D142" s="9"/>
      <x:c r="E142" s="9"/>
      <x:c r="F142" s="9"/>
      <x:c r="G142" s="9"/>
      <x:c r="H142" s="9"/>
      <x:c r="I142" s="10"/>
      <x:c r="J142" s="10"/>
      <x:c r="K142" s="11" t="str">
        <x:f>IF(AND(ISNUMBER(I142),ISNUMBER(F142),F142&gt;0),I142/F142,"")</x:f>
      </x:c>
      <x:c r="L142" s="11" t="str">
        <x:f>IF(AND(ISNUMBER(J142),ISNUMBER(F142),F142&gt;0),J142/F142,"")</x:f>
      </x:c>
      <x:c r="M142" s="9"/>
      <x:c r="N142" s="9"/>
      <x:c r="O142" s="9"/>
    </x:row>
    <x:row r="143" ht="35.25" customHeight="1">
      <x:c r="A143" s="8" t="str">
        <x:v>V7-Sd3a273314d</x:v>
      </x:c>
      <x:c r="B143" s="8" t="str">
        <x:v>Курсы для сотрудников Корпоративной Академии Росатома</x:v>
      </x:c>
      <x:c r="C143" s="8" t="str">
        <x:v>cu</x:v>
      </x:c>
      <x:c r="D143" s="9"/>
      <x:c r="E143" s="9"/>
      <x:c r="F143" s="9"/>
      <x:c r="G143" s="9"/>
      <x:c r="H143" s="9"/>
      <x:c r="I143" s="10"/>
      <x:c r="J143" s="10"/>
      <x:c r="K143" s="11" t="str">
        <x:f>IF(AND(ISNUMBER(I143),ISNUMBER(F143),F143&gt;0),I143/F143,"")</x:f>
      </x:c>
      <x:c r="L143" s="11" t="str">
        <x:f>IF(AND(ISNUMBER(J143),ISNUMBER(F143),F143&gt;0),J143/F143,"")</x:f>
      </x:c>
      <x:c r="M143" s="9"/>
      <x:c r="N143" s="9"/>
      <x:c r="O143" s="9"/>
    </x:row>
    <x:row r="144" ht="35.25" customHeight="1">
      <x:c r="A144" s="8" t="str">
        <x:v>V7-S10edf40315</x:v>
      </x:c>
      <x:c r="B144" s="8" t="str">
        <x:v>Восточный цифровой форум Russky MeetUP / 2024 / Владивосток</x:v>
      </x:c>
      <x:c r="C144" s="8" t="str">
        <x:v>regional_hr</x:v>
      </x:c>
      <x:c r="D144" s="9"/>
      <x:c r="E144" s="9"/>
      <x:c r="F144" s="9"/>
      <x:c r="G144" s="9"/>
      <x:c r="H144" s="9"/>
      <x:c r="I144" s="10"/>
      <x:c r="J144" s="10"/>
      <x:c r="K144" s="11" t="str">
        <x:f>IF(AND(ISNUMBER(I144),ISNUMBER(F144),F144&gt;0),I144/F144,"")</x:f>
      </x:c>
      <x:c r="L144" s="11" t="str">
        <x:f>IF(AND(ISNUMBER(J144),ISNUMBER(F144),F144&gt;0),J144/F144,"")</x:f>
      </x:c>
      <x:c r="M144" s="9"/>
      <x:c r="N144" s="9"/>
      <x:c r="O144" s="9"/>
    </x:row>
    <x:row r="145" ht="35.25" customHeight="1">
      <x:c r="A145" s="8" t="str">
        <x:v>V7-S9e304ba0cf</x:v>
      </x:c>
      <x:c r="B145" s="8" t="str">
        <x:v>Курс «Маркетинг и продажи в загородных отелях» - Ассоциация загородных отелей</x:v>
      </x:c>
      <x:c r="C145" s="8" t="str">
        <x:v>industry</x:v>
      </x:c>
      <x:c r="D145" s="9"/>
      <x:c r="E145" s="9"/>
      <x:c r="F145" s="9"/>
      <x:c r="G145" s="9"/>
      <x:c r="H145" s="9"/>
      <x:c r="I145" s="10"/>
      <x:c r="J145" s="10"/>
      <x:c r="K145" s="11" t="str">
        <x:f>IF(AND(ISNUMBER(I145),ISNUMBER(F145),F145&gt;0),I145/F145,"")</x:f>
      </x:c>
      <x:c r="L145" s="11" t="str">
        <x:f>IF(AND(ISNUMBER(J145),ISNUMBER(F145),F145&gt;0),J145/F145,"")</x:f>
      </x:c>
      <x:c r="M145" s="9"/>
      <x:c r="N145" s="9"/>
      <x:c r="O145" s="9"/>
    </x:row>
    <x:row r="146" ht="35.25" customHeight="1">
      <x:c r="A146" s="8" t="str">
        <x:v>V7-Sfcb57dbf3c</x:v>
      </x:c>
      <x:c r="B146" s="8" t="str">
        <x:v>[PDF] Ассоциация транспортно-логистических компаний Казахстана</x:v>
      </x:c>
      <x:c r="C146" s="8" t="str">
        <x:v>functional</x:v>
      </x:c>
      <x:c r="D146" s="9"/>
      <x:c r="E146" s="9"/>
      <x:c r="F146" s="9"/>
      <x:c r="G146" s="9"/>
      <x:c r="H146" s="9"/>
      <x:c r="I146" s="10"/>
      <x:c r="J146" s="10"/>
      <x:c r="K146" s="11" t="str">
        <x:f>IF(AND(ISNUMBER(I146),ISNUMBER(F146),F146&gt;0),I146/F146,"")</x:f>
      </x:c>
      <x:c r="L146" s="11" t="str">
        <x:f>IF(AND(ISNUMBER(J146),ISNUMBER(F146),F146&gt;0),J146/F146,"")</x:f>
      </x:c>
      <x:c r="M146" s="9"/>
      <x:c r="N146" s="9"/>
      <x:c r="O146" s="9"/>
    </x:row>
    <x:row r="147" ht="33" customHeight="1">
      <x:c r="A147" s="8" t="str">
        <x:v>V7-Scd3a9920b2</x:v>
      </x:c>
      <x:c r="B147" s="8" t="str">
        <x:v>О нас — Клуб независимых директоров</x:v>
      </x:c>
      <x:c r="C147" s="8" t="str">
        <x:v>functional</x:v>
      </x:c>
      <x:c r="D147" s="9"/>
      <x:c r="E147" s="9"/>
      <x:c r="F147" s="9"/>
      <x:c r="G147" s="9"/>
      <x:c r="H147" s="9"/>
      <x:c r="I147" s="10"/>
      <x:c r="J147" s="10"/>
      <x:c r="K147" s="11" t="str">
        <x:f>IF(AND(ISNUMBER(I147),ISNUMBER(F147),F147&gt;0),I147/F147,"")</x:f>
      </x:c>
      <x:c r="L147" s="11" t="str">
        <x:f>IF(AND(ISNUMBER(J147),ISNUMBER(F147),F147&gt;0),J147/F147,"")</x:f>
      </x:c>
      <x:c r="M147" s="9"/>
      <x:c r="N147" s="9"/>
      <x:c r="O147" s="9"/>
    </x:row>
    <x:row r="148" ht="33" customHeight="1">
      <x:c r="A148" s="8" t="str">
        <x:v>V7-Sd6b0cd05ec</x:v>
      </x:c>
      <x:c r="B148" s="8" t="str">
        <x:v>Что дает членство в ААУ</x:v>
      </x:c>
      <x:c r="C148" s="8" t="str">
        <x:v>industry</x:v>
      </x:c>
      <x:c r="D148" s="9"/>
      <x:c r="E148" s="9"/>
      <x:c r="F148" s="9"/>
      <x:c r="G148" s="9"/>
      <x:c r="H148" s="9"/>
      <x:c r="I148" s="10"/>
      <x:c r="J148" s="10"/>
      <x:c r="K148" s="11" t="str">
        <x:f>IF(AND(ISNUMBER(I148),ISNUMBER(F148),F148&gt;0),I148/F148,"")</x:f>
      </x:c>
      <x:c r="L148" s="11" t="str">
        <x:f>IF(AND(ISNUMBER(J148),ISNUMBER(F148),F148&gt;0),J148/F148,"")</x:f>
      </x:c>
      <x:c r="M148" s="9"/>
      <x:c r="N148" s="9"/>
      <x:c r="O148" s="9"/>
    </x:row>
    <x:row r="149" ht="35.25" customHeight="1">
      <x:c r="A149" s="8" t="str">
        <x:v>V7-S8b640021a1</x:v>
      </x:c>
      <x:c r="B149" s="8" t="str">
        <x:v>Клуб ПИПЛ — бизнес-сообщество предпринимателей и экспертов</x:v>
      </x:c>
      <x:c r="C149" s="8" t="str">
        <x:v>business</x:v>
      </x:c>
      <x:c r="D149" s="9"/>
      <x:c r="E149" s="9"/>
      <x:c r="F149" s="9"/>
      <x:c r="G149" s="9"/>
      <x:c r="H149" s="9"/>
      <x:c r="I149" s="10"/>
      <x:c r="J149" s="10"/>
      <x:c r="K149" s="11" t="str">
        <x:f>IF(AND(ISNUMBER(I149),ISNUMBER(F149),F149&gt;0),I149/F149,"")</x:f>
      </x:c>
      <x:c r="L149" s="11" t="str">
        <x:f>IF(AND(ISNUMBER(J149),ISNUMBER(F149),F149&gt;0),J149/F149,"")</x:f>
      </x:c>
      <x:c r="M149" s="9"/>
      <x:c r="N149" s="9"/>
      <x:c r="O149" s="9"/>
    </x:row>
    <x:row r="150" ht="35.25" customHeight="1">
      <x:c r="A150" s="8" t="str">
        <x:v>V7-Sad37182e5b</x:v>
      </x:c>
      <x:c r="B150" s="8" t="str">
        <x:v>О Центре поддержки предпринимательства «Стартап технологии» - Startup Weekend Belarus</x:v>
      </x:c>
      <x:c r="C150" s="8" t="str">
        <x:v>development</x:v>
      </x:c>
      <x:c r="D150" s="9"/>
      <x:c r="E150" s="9"/>
      <x:c r="F150" s="9"/>
      <x:c r="G150" s="9"/>
      <x:c r="H150" s="9"/>
      <x:c r="I150" s="10"/>
      <x:c r="J150" s="10"/>
      <x:c r="K150" s="11" t="str">
        <x:f>IF(AND(ISNUMBER(I150),ISNUMBER(F150),F150&gt;0),I150/F150,"")</x:f>
      </x:c>
      <x:c r="L150" s="11" t="str">
        <x:f>IF(AND(ISNUMBER(J150),ISNUMBER(F150),F150&gt;0),J150/F150,"")</x:f>
      </x:c>
      <x:c r="M150" s="9"/>
      <x:c r="N150" s="9"/>
      <x:c r="O150" s="9"/>
    </x:row>
    <x:row r="151" ht="33" customHeight="1">
      <x:c r="A151" s="8" t="str">
        <x:v>V7-Sbb2bd4e26c</x:v>
      </x:c>
      <x:c r="B151" s="8" t="str">
        <x:v>B-FORUMS | Конференции для бизнеса – Telegram</x:v>
      </x:c>
      <x:c r="C151" s="8" t="str">
        <x:v>events</x:v>
      </x:c>
      <x:c r="D151" s="9"/>
      <x:c r="E151" s="9"/>
      <x:c r="F151" s="9"/>
      <x:c r="G151" s="9"/>
      <x:c r="H151" s="9"/>
      <x:c r="I151" s="10"/>
      <x:c r="J151" s="10"/>
      <x:c r="K151" s="11" t="str">
        <x:f>IF(AND(ISNUMBER(I151),ISNUMBER(F151),F151&gt;0),I151/F151,"")</x:f>
      </x:c>
      <x:c r="L151" s="11" t="str">
        <x:f>IF(AND(ISNUMBER(J151),ISNUMBER(F151),F151&gt;0),J151/F151,"")</x:f>
      </x:c>
      <x:c r="M151" s="9"/>
      <x:c r="N151" s="9"/>
      <x:c r="O151" s="9"/>
    </x:row>
    <x:row r="152" ht="33" customHeight="1">
      <x:c r="A152" s="8" t="str">
        <x:v>V7-Sc83c2c8841</x:v>
      </x:c>
      <x:c r="B152" s="8" t="str">
        <x:v>Telegram: View @hr_only</x:v>
      </x:c>
      <x:c r="C152" s="8" t="str">
        <x:v>regional_hr</x:v>
      </x:c>
      <x:c r="D152" s="9"/>
      <x:c r="E152" s="9"/>
      <x:c r="F152" s="9"/>
      <x:c r="G152" s="9"/>
      <x:c r="H152" s="9"/>
      <x:c r="I152" s="10"/>
      <x:c r="J152" s="10"/>
      <x:c r="K152" s="11" t="str">
        <x:f>IF(AND(ISNUMBER(I152),ISNUMBER(F152),F152&gt;0),I152/F152,"")</x:f>
      </x:c>
      <x:c r="L152" s="11" t="str">
        <x:f>IF(AND(ISNUMBER(J152),ISNUMBER(F152),F152&gt;0),J152/F152,"")</x:f>
      </x:c>
      <x:c r="M152" s="9"/>
      <x:c r="N152" s="9"/>
      <x:c r="O152" s="9"/>
    </x:row>
    <x:row r="153" ht="47.25" customHeight="1">
      <x:c r="A153" s="8" t="str">
        <x:v>V7-S3b30c35e66</x:v>
      </x:c>
      <x:c r="B153" s="8" t="str">
        <x:v>Ищем методолога образовательных курсов Нужен человек, который умеет… — SMMLANCER - работа в соц.сетях! — TG.ME</x:v>
      </x:c>
      <x:c r="C153" s="8" t="str">
        <x:v>projects</x:v>
      </x:c>
      <x:c r="D153" s="9"/>
      <x:c r="E153" s="9"/>
      <x:c r="F153" s="9"/>
      <x:c r="G153" s="9"/>
      <x:c r="H153" s="9"/>
      <x:c r="I153" s="10"/>
      <x:c r="J153" s="10"/>
      <x:c r="K153" s="11" t="str">
        <x:f>IF(AND(ISNUMBER(I153),ISNUMBER(F153),F153&gt;0),I153/F153,"")</x:f>
      </x:c>
      <x:c r="L153" s="11" t="str">
        <x:f>IF(AND(ISNUMBER(J153),ISNUMBER(F153),F153&gt;0),J153/F153,"")</x:f>
      </x:c>
      <x:c r="M153" s="9"/>
      <x:c r="N153" s="9"/>
      <x:c r="O153" s="9"/>
    </x:row>
    <x:row r="154" ht="35.25" customHeight="1">
      <x:c r="A154" s="8" t="str">
        <x:v>V7-S681d2bb13f</x:v>
      </x:c>
      <x:c r="B154" s="8" t="str">
        <x:v>Вся творческая работа. Event hunter. Петербург – Telegram</x:v>
      </x:c>
      <x:c r="C154" s="8" t="str">
        <x:v>projects</x:v>
      </x:c>
      <x:c r="D154" s="9"/>
      <x:c r="E154" s="9"/>
      <x:c r="F154" s="9"/>
      <x:c r="G154" s="9"/>
      <x:c r="H154" s="9"/>
      <x:c r="I154" s="10"/>
      <x:c r="J154" s="10"/>
      <x:c r="K154" s="11" t="str">
        <x:f>IF(AND(ISNUMBER(I154),ISNUMBER(F154),F154&gt;0),I154/F154,"")</x:f>
      </x:c>
      <x:c r="L154" s="11" t="str">
        <x:f>IF(AND(ISNUMBER(J154),ISNUMBER(F154),F154&gt;0),J154/F154,"")</x:f>
      </x:c>
      <x:c r="M154" s="9"/>
      <x:c r="N154" s="9"/>
      <x:c r="O154" s="9"/>
    </x:row>
    <x:row r="155" ht="33" customHeight="1">
      <x:c r="A155" s="8" t="str">
        <x:v>V7-S3b48ee274d</x:v>
      </x:c>
      <x:c r="B155" s="8" t="str">
        <x:v>UCHET.KZ: БУХГАЛТЕРУ И БИЗНЕСМЕНУ – Telegram</x:v>
      </x:c>
      <x:c r="C155" s="8" t="str">
        <x:v>regional_hr</x:v>
      </x:c>
      <x:c r="D155" s="9"/>
      <x:c r="E155" s="9"/>
      <x:c r="F155" s="9"/>
      <x:c r="G155" s="9"/>
      <x:c r="H155" s="9"/>
      <x:c r="I155" s="10"/>
      <x:c r="J155" s="10"/>
      <x:c r="K155" s="11" t="str">
        <x:f>IF(AND(ISNUMBER(I155),ISNUMBER(F155),F155&gt;0),I155/F155,"")</x:f>
      </x:c>
      <x:c r="L155" s="11" t="str">
        <x:f>IF(AND(ISNUMBER(J155),ISNUMBER(F155),F155&gt;0),J155/F155,"")</x:f>
      </x:c>
      <x:c r="M155" s="9"/>
      <x:c r="N155" s="9"/>
      <x:c r="O155" s="9"/>
    </x:row>
    <x:row r="156" ht="35.25" customHeight="1">
      <x:c r="A156" s="8" t="str">
        <x:v>V7-S64b48bb8de</x:v>
      </x:c>
      <x:c r="B156" s="8" t="str">
        <x:v>Союз "Торгово-промышленная палата Республики Татарстан"</x:v>
      </x:c>
      <x:c r="C156" s="8" t="str">
        <x:v>development</x:v>
      </x:c>
      <x:c r="D156" s="9"/>
      <x:c r="E156" s="9"/>
      <x:c r="F156" s="9"/>
      <x:c r="G156" s="9"/>
      <x:c r="H156" s="9"/>
      <x:c r="I156" s="10"/>
      <x:c r="J156" s="10"/>
      <x:c r="K156" s="11" t="str">
        <x:f>IF(AND(ISNUMBER(I156),ISNUMBER(F156),F156&gt;0),I156/F156,"")</x:f>
      </x:c>
      <x:c r="L156" s="11" t="str">
        <x:f>IF(AND(ISNUMBER(J156),ISNUMBER(F156),F156&gt;0),J156/F156,"")</x:f>
      </x:c>
      <x:c r="M156" s="9"/>
      <x:c r="N156" s="9"/>
      <x:c r="O156" s="9"/>
    </x:row>
    <x:row r="157" ht="35.25" customHeight="1">
      <x:c r="A157" s="8" t="str">
        <x:v>V7-S1fbfe60a5f</x:v>
      </x:c>
      <x:c r="B157" s="8" t="str">
        <x:v>Бизнес-клуб TERRA Sochi - бесплатное обучение и наставничество предпренимателей в Сочи</x:v>
      </x:c>
      <x:c r="C157" s="8" t="str">
        <x:v>business</x:v>
      </x:c>
      <x:c r="D157" s="9"/>
      <x:c r="E157" s="9"/>
      <x:c r="F157" s="9"/>
      <x:c r="G157" s="9"/>
      <x:c r="H157" s="9"/>
      <x:c r="I157" s="10"/>
      <x:c r="J157" s="10"/>
      <x:c r="K157" s="11" t="str">
        <x:f>IF(AND(ISNUMBER(I157),ISNUMBER(F157),F157&gt;0),I157/F157,"")</x:f>
      </x:c>
      <x:c r="L157" s="11" t="str">
        <x:f>IF(AND(ISNUMBER(J157),ISNUMBER(F157),F157&gt;0),J157/F157,"")</x:f>
      </x:c>
      <x:c r="M157" s="9"/>
      <x:c r="N157" s="9"/>
      <x:c r="O157" s="9"/>
    </x:row>
    <x:row r="158" ht="47.25" customHeight="1">
      <x:c r="A158" s="8" t="str">
        <x:v>V7-Se01aa4cefa</x:v>
      </x:c>
      <x:c r="B158" s="8" t="str">
        <x:v>Телеграмм канал «Чат кадровиков от Clubtk.ru». Поиск по Telegram каналам. Каталог телеграм каналов.</x:v>
      </x:c>
      <x:c r="C158" s="8" t="str">
        <x:v>regional_hr</x:v>
      </x:c>
      <x:c r="D158" s="9"/>
      <x:c r="E158" s="9"/>
      <x:c r="F158" s="9"/>
      <x:c r="G158" s="9"/>
      <x:c r="H158" s="9"/>
      <x:c r="I158" s="10"/>
      <x:c r="J158" s="10"/>
      <x:c r="K158" s="11" t="str">
        <x:f>IF(AND(ISNUMBER(I158),ISNUMBER(F158),F158&gt;0),I158/F158,"")</x:f>
      </x:c>
      <x:c r="L158" s="11" t="str">
        <x:f>IF(AND(ISNUMBER(J158),ISNUMBER(F158),F158&gt;0),J158/F158,"")</x:f>
      </x:c>
      <x:c r="M158" s="9"/>
      <x:c r="N158" s="9"/>
      <x:c r="O158" s="9"/>
    </x:row>
    <x:row r="159" ht="33" customHeight="1">
      <x:c r="A159" s="8" t="str">
        <x:v>V7-S44b279e640</x:v>
      </x:c>
      <x:c r="B159" s="8" t="str">
        <x:v>_Форум-выставка Отдых 2025</x:v>
      </x:c>
      <x:c r="C159" s="8" t="str">
        <x:v>projects</x:v>
      </x:c>
      <x:c r="D159" s="9"/>
      <x:c r="E159" s="9"/>
      <x:c r="F159" s="9"/>
      <x:c r="G159" s="9"/>
      <x:c r="H159" s="9"/>
      <x:c r="I159" s="10"/>
      <x:c r="J159" s="10"/>
      <x:c r="K159" s="11" t="str">
        <x:f>IF(AND(ISNUMBER(I159),ISNUMBER(F159),F159&gt;0),I159/F159,"")</x:f>
      </x:c>
      <x:c r="L159" s="11" t="str">
        <x:f>IF(AND(ISNUMBER(J159),ISNUMBER(F159),F159&gt;0),J159/F159,"")</x:f>
      </x:c>
      <x:c r="M159" s="9"/>
      <x:c r="N159" s="9"/>
      <x:c r="O159" s="9"/>
    </x:row>
    <x:row r="160" ht="35.25" customHeight="1">
      <x:c r="A160" s="8" t="str">
        <x:v>V7-S922d3bccf5</x:v>
      </x:c>
      <x:c r="B160" s="8" t="str">
        <x:v>Работа тренером в Новосибирске: Октябрь 2026 — 220 вакансий / JobVK</x:v>
      </x:c>
      <x:c r="C160" s="8" t="str">
        <x:v>projects</x:v>
      </x:c>
      <x:c r="D160" s="9"/>
      <x:c r="E160" s="9"/>
      <x:c r="F160" s="9"/>
      <x:c r="G160" s="9"/>
      <x:c r="H160" s="9"/>
      <x:c r="I160" s="10"/>
      <x:c r="J160" s="10"/>
      <x:c r="K160" s="11" t="str">
        <x:f>IF(AND(ISNUMBER(I160),ISNUMBER(F160),F160&gt;0),I160/F160,"")</x:f>
      </x:c>
      <x:c r="L160" s="11" t="str">
        <x:f>IF(AND(ISNUMBER(J160),ISNUMBER(F160),F160&gt;0),J160/F160,"")</x:f>
      </x:c>
      <x:c r="M160" s="9"/>
      <x:c r="N160" s="9"/>
      <x:c r="O160" s="9"/>
    </x:row>
    <x:row r="161" ht="35.25" customHeight="1">
      <x:c r="A161" s="8" t="str">
        <x:v>V7-S6f27de0c33</x:v>
      </x:c>
      <x:c r="B161" s="8" t="str">
        <x:v>Союз «Торгово-промышленная палата Республики Башкортостан»</x:v>
      </x:c>
      <x:c r="C161" s="8" t="str">
        <x:v>development</x:v>
      </x:c>
      <x:c r="D161" s="9"/>
      <x:c r="E161" s="9"/>
      <x:c r="F161" s="9"/>
      <x:c r="G161" s="9"/>
      <x:c r="H161" s="9"/>
      <x:c r="I161" s="10"/>
      <x:c r="J161" s="10"/>
      <x:c r="K161" s="11" t="str">
        <x:f>IF(AND(ISNUMBER(I161),ISNUMBER(F161),F161&gt;0),I161/F161,"")</x:f>
      </x:c>
      <x:c r="L161" s="11" t="str">
        <x:f>IF(AND(ISNUMBER(J161),ISNUMBER(F161),F161&gt;0),J161/F161,"")</x:f>
      </x:c>
      <x:c r="M161" s="9"/>
      <x:c r="N161" s="9"/>
      <x:c r="O161" s="9"/>
    </x:row>
    <x:row r="162" ht="33" customHeight="1">
      <x:c r="A162" s="8" t="str">
        <x:v>V7-Sdf1fafe87f</x:v>
      </x:c>
      <x:c r="B162" s="8" t="str">
        <x:v>Университеты-партнеры - СПбГЭУ</x:v>
      </x:c>
      <x:c r="C162" s="8" t="str">
        <x:v>cu</x:v>
      </x:c>
      <x:c r="D162" s="9"/>
      <x:c r="E162" s="9"/>
      <x:c r="F162" s="9"/>
      <x:c r="G162" s="9"/>
      <x:c r="H162" s="9"/>
      <x:c r="I162" s="10"/>
      <x:c r="J162" s="10"/>
      <x:c r="K162" s="11" t="str">
        <x:f>IF(AND(ISNUMBER(I162),ISNUMBER(F162),F162&gt;0),I162/F162,"")</x:f>
      </x:c>
      <x:c r="L162" s="11" t="str">
        <x:f>IF(AND(ISNUMBER(J162),ISNUMBER(F162),F162&gt;0),J162/F162,"")</x:f>
      </x:c>
      <x:c r="M162" s="9"/>
      <x:c r="N162" s="9"/>
      <x:c r="O162" s="9"/>
    </x:row>
    <x:row r="163" ht="47.25" customHeight="1">
      <x:c r="A163" s="8" t="str">
        <x:v>V7-Sf2033eb71b</x:v>
      </x:c>
      <x:c r="B163" s="8" t="str">
        <x:v>Hr консультация для собственников и руководителей в Екатеринбурге: 78 исполнителей с отзывами и ценами на Яндекс Услугах.</x:v>
      </x:c>
      <x:c r="C163" s="8" t="str">
        <x:v>regional_hr</x:v>
      </x:c>
      <x:c r="D163" s="9"/>
      <x:c r="E163" s="9"/>
      <x:c r="F163" s="9"/>
      <x:c r="G163" s="9"/>
      <x:c r="H163" s="9"/>
      <x:c r="I163" s="10"/>
      <x:c r="J163" s="10"/>
      <x:c r="K163" s="11" t="str">
        <x:f>IF(AND(ISNUMBER(I163),ISNUMBER(F163),F163&gt;0),I163/F163,"")</x:f>
      </x:c>
      <x:c r="L163" s="11" t="str">
        <x:f>IF(AND(ISNUMBER(J163),ISNUMBER(F163),F163&gt;0),J163/F163,"")</x:f>
      </x:c>
      <x:c r="M163" s="9"/>
      <x:c r="N163" s="9"/>
      <x:c r="O163" s="9"/>
    </x:row>
    <x:row r="164" ht="35.25" customHeight="1">
      <x:c r="A164" s="8" t="str">
        <x:v>V7-S96ec5939e6</x:v>
      </x:c>
      <x:c r="B164" s="8" t="str">
        <x:v>VI Межрегиональный форум по управлению персоналом «HR-Платформа 2026»</x:v>
      </x:c>
      <x:c r="C164" s="8" t="str">
        <x:v>regional_hr</x:v>
      </x:c>
      <x:c r="D164" s="9"/>
      <x:c r="E164" s="9"/>
      <x:c r="F164" s="9"/>
      <x:c r="G164" s="9"/>
      <x:c r="H164" s="9"/>
      <x:c r="I164" s="10"/>
      <x:c r="J164" s="10"/>
      <x:c r="K164" s="11" t="str">
        <x:f>IF(AND(ISNUMBER(I164),ISNUMBER(F164),F164&gt;0),I164/F164,"")</x:f>
      </x:c>
      <x:c r="L164" s="11" t="str">
        <x:f>IF(AND(ISNUMBER(J164),ISNUMBER(F164),F164&gt;0),J164/F164,"")</x:f>
      </x:c>
      <x:c r="M164" s="9"/>
      <x:c r="N164" s="9"/>
      <x:c r="O164" s="9"/>
    </x:row>
    <x:row r="165" ht="59.25" customHeight="1">
      <x:c r="A165" s="8" t="str">
        <x:v>V7-Se180d661e3</x:v>
      </x:c>
      <x:c r="B165" s="8" t="str">
        <x:v>Мастер-классы «HR будущего: люди, обучение, нейросети». Серия семинаров с Юлией Гордеевой (г. Москва) во Владивостоке - 11 февраля, Ensola Space | Афиша VL.ru</x:v>
      </x:c>
      <x:c r="C165" s="8" t="str">
        <x:v>regional_hr</x:v>
      </x:c>
      <x:c r="D165" s="9"/>
      <x:c r="E165" s="9"/>
      <x:c r="F165" s="9"/>
      <x:c r="G165" s="9"/>
      <x:c r="H165" s="9"/>
      <x:c r="I165" s="10"/>
      <x:c r="J165" s="10"/>
      <x:c r="K165" s="11" t="str">
        <x:f>IF(AND(ISNUMBER(I165),ISNUMBER(F165),F165&gt;0),I165/F165,"")</x:f>
      </x:c>
      <x:c r="L165" s="11" t="str">
        <x:f>IF(AND(ISNUMBER(J165),ISNUMBER(F165),F165&gt;0),J165/F165,"")</x:f>
      </x:c>
      <x:c r="M165" s="9"/>
      <x:c r="N165" s="9"/>
      <x:c r="O165" s="9"/>
    </x:row>
    <x:row r="166" ht="35.25" customHeight="1">
      <x:c r="A166" s="8" t="str">
        <x:v>V7-S55dfd2087d</x:v>
      </x:c>
      <x:c r="B166" s="8" t="str">
        <x:v>В Самаре пройдет HR-Форум "Человек - формула будущего" - Волга Ньюс</x:v>
      </x:c>
      <x:c r="C166" s="8" t="str">
        <x:v>regional_hr</x:v>
      </x:c>
      <x:c r="D166" s="9"/>
      <x:c r="E166" s="9"/>
      <x:c r="F166" s="9"/>
      <x:c r="G166" s="9"/>
      <x:c r="H166" s="9"/>
      <x:c r="I166" s="10"/>
      <x:c r="J166" s="10"/>
      <x:c r="K166" s="11" t="str">
        <x:f>IF(AND(ISNUMBER(I166),ISNUMBER(F166),F166&gt;0),I166/F166,"")</x:f>
      </x:c>
      <x:c r="L166" s="11" t="str">
        <x:f>IF(AND(ISNUMBER(J166),ISNUMBER(F166),F166&gt;0),J166/F166,"")</x:f>
      </x:c>
      <x:c r="M166" s="9"/>
      <x:c r="N166" s="9"/>
      <x:c r="O166" s="9"/>
    </x:row>
    <x:row r="167" ht="47.25" customHeight="1">
      <x:c r="A167" s="8" t="str">
        <x:v>V7-Sbf10ecac86</x:v>
      </x:c>
      <x:c r="B167" s="8" t="str">
        <x:v>Академия развития профессиональных компетенций HR UP SKILL при участии консалтинговой компании ТОО «Контрольно-аналитическая служба РЕВИЗОР»</x:v>
      </x:c>
      <x:c r="C167" s="8" t="str">
        <x:v>regional_hr</x:v>
      </x:c>
      <x:c r="D167" s="9"/>
      <x:c r="E167" s="9"/>
      <x:c r="F167" s="9"/>
      <x:c r="G167" s="9"/>
      <x:c r="H167" s="9"/>
      <x:c r="I167" s="10"/>
      <x:c r="J167" s="10"/>
      <x:c r="K167" s="11" t="str">
        <x:f>IF(AND(ISNUMBER(I167),ISNUMBER(F167),F167&gt;0),I167/F167,"")</x:f>
      </x:c>
      <x:c r="L167" s="11" t="str">
        <x:f>IF(AND(ISNUMBER(J167),ISNUMBER(F167),F167&gt;0),J167/F167,"")</x:f>
      </x:c>
      <x:c r="M167" s="9"/>
      <x:c r="N167" s="9"/>
      <x:c r="O167" s="9"/>
    </x:row>
    <x:row r="168" ht="33" customHeight="1">
      <x:c r="A168" s="8" t="str">
        <x:v>V7-S30376605f8</x:v>
      </x:c>
      <x:c r="B168" s="8" t="str">
        <x:v>Женщины в бизнесе</x:v>
      </x:c>
      <x:c r="C168" s="8" t="str">
        <x:v>regional_hr</x:v>
      </x:c>
      <x:c r="D168" s="9"/>
      <x:c r="E168" s="9"/>
      <x:c r="F168" s="9"/>
      <x:c r="G168" s="9"/>
      <x:c r="H168" s="9"/>
      <x:c r="I168" s="10"/>
      <x:c r="J168" s="10"/>
      <x:c r="K168" s="11" t="str">
        <x:f>IF(AND(ISNUMBER(I168),ISNUMBER(F168),F168&gt;0),I168/F168,"")</x:f>
      </x:c>
      <x:c r="L168" s="11" t="str">
        <x:f>IF(AND(ISNUMBER(J168),ISNUMBER(F168),F168&gt;0),J168/F168,"")</x:f>
      </x:c>
      <x:c r="M168" s="9"/>
      <x:c r="N168" s="9"/>
      <x:c r="O168" s="9"/>
    </x:row>
    <x:row r="169" ht="33" customHeight="1">
      <x:c r="A169" s="8" t="str">
        <x:v>V7-S30623002aa</x:v>
      </x:c>
      <x:c r="B169" s="8" t="str">
        <x:v>Национальная ассоциация финансовых директоров</x:v>
      </x:c>
      <x:c r="C169" s="8" t="str">
        <x:v>functional</x:v>
      </x:c>
      <x:c r="D169" s="9"/>
      <x:c r="E169" s="9"/>
      <x:c r="F169" s="9"/>
      <x:c r="G169" s="9"/>
      <x:c r="H169" s="9"/>
      <x:c r="I169" s="10"/>
      <x:c r="J169" s="10"/>
      <x:c r="K169" s="11" t="str">
        <x:f>IF(AND(ISNUMBER(I169),ISNUMBER(F169),F169&gt;0),I169/F169,"")</x:f>
      </x:c>
      <x:c r="L169" s="11" t="str">
        <x:f>IF(AND(ISNUMBER(J169),ISNUMBER(F169),F169&gt;0),J169/F169,"")</x:f>
      </x:c>
      <x:c r="M169" s="9"/>
      <x:c r="N169" s="9"/>
      <x:c r="O169" s="9"/>
    </x:row>
    <x:row r="170" ht="33" customHeight="1">
      <x:c r="A170" s="8" t="str">
        <x:v>V7-Se51a1e6fde</x:v>
      </x:c>
      <x:c r="B170" s="8" t="str">
        <x:v>КУРСОМАНИЯ</x:v>
      </x:c>
      <x:c r="C170" s="8" t="str">
        <x:v>projects</x:v>
      </x:c>
      <x:c r="D170" s="9"/>
      <x:c r="E170" s="9"/>
      <x:c r="F170" s="9"/>
      <x:c r="G170" s="9"/>
      <x:c r="H170" s="9"/>
      <x:c r="I170" s="10"/>
      <x:c r="J170" s="10"/>
      <x:c r="K170" s="11" t="str">
        <x:f>IF(AND(ISNUMBER(I170),ISNUMBER(F170),F170&gt;0),I170/F170,"")</x:f>
      </x:c>
      <x:c r="L170" s="11" t="str">
        <x:f>IF(AND(ISNUMBER(J170),ISNUMBER(F170),F170&gt;0),J170/F170,"")</x:f>
      </x:c>
      <x:c r="M170" s="9"/>
      <x:c r="N170" s="9"/>
      <x:c r="O170" s="9"/>
    </x:row>
    <x:row r="171" ht="35.25" customHeight="1">
      <x:c r="A171" s="8" t="str">
        <x:v>V7-S53ddc491e5</x:v>
      </x:c>
      <x:c r="B171" s="8" t="str">
        <x:v>В Центре «Мой бизнес» подскажут, как привлечь финансы для бизнеса и найти помещение — ЯСИА</x:v>
      </x:c>
      <x:c r="C171" s="8" t="str">
        <x:v>development</x:v>
      </x:c>
      <x:c r="D171" s="9"/>
      <x:c r="E171" s="9"/>
      <x:c r="F171" s="9"/>
      <x:c r="G171" s="9"/>
      <x:c r="H171" s="9"/>
      <x:c r="I171" s="10"/>
      <x:c r="J171" s="10"/>
      <x:c r="K171" s="11" t="str">
        <x:f>IF(AND(ISNUMBER(I171),ISNUMBER(F171),F171&gt;0),I171/F171,"")</x:f>
      </x:c>
      <x:c r="L171" s="11" t="str">
        <x:f>IF(AND(ISNUMBER(J171),ISNUMBER(F171),F171&gt;0),J171/F171,"")</x:f>
      </x:c>
      <x:c r="M171" s="9"/>
      <x:c r="N171" s="9"/>
      <x:c r="O171" s="9"/>
    </x:row>
    <x:row r="172" ht="33" customHeight="1">
      <x:c r="A172" s="8" t="str">
        <x:v>V7-S819b1005ce</x:v>
      </x:c>
      <x:c r="B172" s="8" t="str">
        <x:v>Партнерам</x:v>
      </x:c>
      <x:c r="C172" s="8" t="str">
        <x:v>providers</x:v>
      </x:c>
      <x:c r="D172" s="9"/>
      <x:c r="E172" s="9"/>
      <x:c r="F172" s="9"/>
      <x:c r="G172" s="9"/>
      <x:c r="H172" s="9"/>
      <x:c r="I172" s="10"/>
      <x:c r="J172" s="10"/>
      <x:c r="K172" s="11" t="str">
        <x:f>IF(AND(ISNUMBER(I172),ISNUMBER(F172),F172&gt;0),I172/F172,"")</x:f>
      </x:c>
      <x:c r="L172" s="11" t="str">
        <x:f>IF(AND(ISNUMBER(J172),ISNUMBER(F172),F172&gt;0),J172/F172,"")</x:f>
      </x:c>
      <x:c r="M172" s="9"/>
      <x:c r="N172" s="9"/>
      <x:c r="O172" s="9"/>
    </x:row>
    <x:row r="173" ht="35.25" customHeight="1">
      <x:c r="A173" s="8" t="str">
        <x:v>V7-S744a59ce08</x:v>
      </x:c>
      <x:c r="B173" s="8" t="str">
        <x:v>Abadan &amp; Co. — Корпоративное обучение и бизнес-тренинги в Казахстане</x:v>
      </x:c>
      <x:c r="C173" s="8" t="str">
        <x:v>providers</x:v>
      </x:c>
      <x:c r="D173" s="9"/>
      <x:c r="E173" s="9"/>
      <x:c r="F173" s="9"/>
      <x:c r="G173" s="9"/>
      <x:c r="H173" s="9"/>
      <x:c r="I173" s="10"/>
      <x:c r="J173" s="10"/>
      <x:c r="K173" s="11" t="str">
        <x:f>IF(AND(ISNUMBER(I173),ISNUMBER(F173),F173&gt;0),I173/F173,"")</x:f>
      </x:c>
      <x:c r="L173" s="11" t="str">
        <x:f>IF(AND(ISNUMBER(J173),ISNUMBER(F173),F173&gt;0),J173/F173,"")</x:f>
      </x:c>
      <x:c r="M173" s="9"/>
      <x:c r="N173" s="9"/>
      <x:c r="O173" s="9"/>
    </x:row>
    <x:row r="174" ht="47.25" customHeight="1">
      <x:c r="A174" s="8" t="str">
        <x:v>V7-Sc7fbb00808</x:v>
      </x:c>
      <x:c r="B174" s="8" t="str">
        <x:v>Программное обеспечение LMS для обучения партнеров: Расширение возможностей обучения партнеров по сбыту с помощью AcademyOcean</x:v>
      </x:c>
      <x:c r="C174" s="8" t="str">
        <x:v>lms</x:v>
      </x:c>
      <x:c r="D174" s="9"/>
      <x:c r="E174" s="9"/>
      <x:c r="F174" s="9"/>
      <x:c r="G174" s="9"/>
      <x:c r="H174" s="9"/>
      <x:c r="I174" s="10"/>
      <x:c r="J174" s="10"/>
      <x:c r="K174" s="11" t="str">
        <x:f>IF(AND(ISNUMBER(I174),ISNUMBER(F174),F174&gt;0),I174/F174,"")</x:f>
      </x:c>
      <x:c r="L174" s="11" t="str">
        <x:f>IF(AND(ISNUMBER(J174),ISNUMBER(F174),F174&gt;0),J174/F174,"")</x:f>
      </x:c>
      <x:c r="M174" s="9"/>
      <x:c r="N174" s="9"/>
      <x:c r="O174" s="9"/>
    </x:row>
    <x:row r="175" ht="35.25" customHeight="1">
      <x:c r="A175" s="8" t="str">
        <x:v>V7-S88b817f2b6</x:v>
      </x:c>
      <x:c r="B175" s="8" t="str">
        <x:v>Стать бизнес-тренером AGP — 250 ₽ за каждую регистрацию</x:v>
      </x:c>
      <x:c r="C175" s="8" t="str">
        <x:v>providers</x:v>
      </x:c>
      <x:c r="D175" s="9"/>
      <x:c r="E175" s="9"/>
      <x:c r="F175" s="9"/>
      <x:c r="G175" s="9"/>
      <x:c r="H175" s="9"/>
      <x:c r="I175" s="10"/>
      <x:c r="J175" s="10"/>
      <x:c r="K175" s="11" t="str">
        <x:f>IF(AND(ISNUMBER(I175),ISNUMBER(F175),F175&gt;0),I175/F175,"")</x:f>
      </x:c>
      <x:c r="L175" s="11" t="str">
        <x:f>IF(AND(ISNUMBER(J175),ISNUMBER(F175),F175&gt;0),J175/F175,"")</x:f>
      </x:c>
      <x:c r="M175" s="9"/>
      <x:c r="N175" s="9"/>
      <x:c r="O175" s="9"/>
    </x:row>
    <x:row r="176" ht="33" customHeight="1">
      <x:c r="A176" s="8" t="str">
        <x:v>V7-S13a4fa0580</x:v>
      </x:c>
      <x:c r="B176" s="8" t="str">
        <x:v>Школа директоров</x:v>
      </x:c>
      <x:c r="C176" s="8" t="str">
        <x:v>functional</x:v>
      </x:c>
      <x:c r="D176" s="9"/>
      <x:c r="E176" s="9"/>
      <x:c r="F176" s="9"/>
      <x:c r="G176" s="9"/>
      <x:c r="H176" s="9"/>
      <x:c r="I176" s="10"/>
      <x:c r="J176" s="10"/>
      <x:c r="K176" s="11" t="str">
        <x:f>IF(AND(ISNUMBER(I176),ISNUMBER(F176),F176&gt;0),I176/F176,"")</x:f>
      </x:c>
      <x:c r="L176" s="11" t="str">
        <x:f>IF(AND(ISNUMBER(J176),ISNUMBER(F176),F176&gt;0),J176/F176,"")</x:f>
      </x:c>
      <x:c r="M176" s="9"/>
      <x:c r="N176" s="9"/>
      <x:c r="O176" s="9"/>
    </x:row>
    <x:row r="177" ht="35.25" customHeight="1">
      <x:c r="A177" s="8" t="str">
        <x:v>V7-S512e3ca668</x:v>
      </x:c>
      <x:c r="B177" s="8" t="str">
        <x:v>Миссия АКАБ - Ассоциация автомобильного бизнеса Казахстана</x:v>
      </x:c>
      <x:c r="C177" s="8" t="str">
        <x:v>industry</x:v>
      </x:c>
      <x:c r="D177" s="9"/>
      <x:c r="E177" s="9"/>
      <x:c r="F177" s="9"/>
      <x:c r="G177" s="9"/>
      <x:c r="H177" s="9"/>
      <x:c r="I177" s="10"/>
      <x:c r="J177" s="10"/>
      <x:c r="K177" s="11" t="str">
        <x:f>IF(AND(ISNUMBER(I177),ISNUMBER(F177),F177&gt;0),I177/F177,"")</x:f>
      </x:c>
      <x:c r="L177" s="11" t="str">
        <x:f>IF(AND(ISNUMBER(J177),ISNUMBER(F177),F177&gt;0),J177/F177,"")</x:f>
      </x:c>
      <x:c r="M177" s="9"/>
      <x:c r="N177" s="9"/>
      <x:c r="O177" s="9"/>
    </x:row>
    <x:row r="178" ht="33" customHeight="1">
      <x:c r="A178" s="8" t="str">
        <x:v>V7-S2b2f6de8f5</x:v>
      </x:c>
      <x:c r="B178" s="8" t="str">
        <x:v>Обучение и развитие персонала</x:v>
      </x:c>
      <x:c r="C178" s="8" t="str">
        <x:v>cu</x:v>
      </x:c>
      <x:c r="D178" s="9"/>
      <x:c r="E178" s="9"/>
      <x:c r="F178" s="9"/>
      <x:c r="G178" s="9"/>
      <x:c r="H178" s="9"/>
      <x:c r="I178" s="10"/>
      <x:c r="J178" s="10"/>
      <x:c r="K178" s="11" t="str">
        <x:f>IF(AND(ISNUMBER(I178),ISNUMBER(F178),F178&gt;0),I178/F178,"")</x:f>
      </x:c>
      <x:c r="L178" s="11" t="str">
        <x:f>IF(AND(ISNUMBER(J178),ISNUMBER(F178),F178&gt;0),J178/F178,"")</x:f>
      </x:c>
      <x:c r="M178" s="9"/>
      <x:c r="N178" s="9"/>
      <x:c r="O178" s="9"/>
    </x:row>
    <x:row r="179" ht="33" customHeight="1">
      <x:c r="A179" s="8" t="str">
        <x:v>V7-S914ac3281e</x:v>
      </x:c>
      <x:c r="B179" s="8" t="str">
        <x:v>Ассоциация KazGrow</x:v>
      </x:c>
      <x:c r="C179" s="8" t="str">
        <x:v>industry</x:v>
      </x:c>
      <x:c r="D179" s="9"/>
      <x:c r="E179" s="9"/>
      <x:c r="F179" s="9"/>
      <x:c r="G179" s="9"/>
      <x:c r="H179" s="9"/>
      <x:c r="I179" s="10"/>
      <x:c r="J179" s="10"/>
      <x:c r="K179" s="11" t="str">
        <x:f>IF(AND(ISNUMBER(I179),ISNUMBER(F179),F179&gt;0),I179/F179,"")</x:f>
      </x:c>
      <x:c r="L179" s="11" t="str">
        <x:f>IF(AND(ISNUMBER(J179),ISNUMBER(F179),F179&gt;0),J179/F179,"")</x:f>
      </x:c>
      <x:c r="M179" s="9"/>
      <x:c r="N179" s="9"/>
      <x:c r="O179" s="9"/>
    </x:row>
    <x:row r="180" ht="47.25" customHeight="1">
      <x:c r="A180" s="8" t="str">
        <x:v>V7-S04859f0a72</x:v>
      </x:c>
      <x:c r="B180" s="8" t="str">
        <x:v>АФАП - Саморегулируемая организация Ассоциация Фармацевтических и Аптечных Предприятий Российской Федерации</x:v>
      </x:c>
      <x:c r="C180" s="8" t="str">
        <x:v>industry</x:v>
      </x:c>
      <x:c r="D180" s="9"/>
      <x:c r="E180" s="9"/>
      <x:c r="F180" s="9"/>
      <x:c r="G180" s="9"/>
      <x:c r="H180" s="9"/>
      <x:c r="I180" s="10"/>
      <x:c r="J180" s="10"/>
      <x:c r="K180" s="11" t="str">
        <x:f>IF(AND(ISNUMBER(I180),ISNUMBER(F180),F180&gt;0),I180/F180,"")</x:f>
      </x:c>
      <x:c r="L180" s="11" t="str">
        <x:f>IF(AND(ISNUMBER(J180),ISNUMBER(F180),F180&gt;0),J180/F180,"")</x:f>
      </x:c>
      <x:c r="M180" s="9"/>
      <x:c r="N180" s="9"/>
      <x:c r="O180" s="9"/>
    </x:row>
    <x:row r="181" ht="33" customHeight="1">
      <x:c r="A181" s="8" t="str">
        <x:v>V7-S08fffd16dc</x:v>
      </x:c>
      <x:c r="B181" s="8" t="str">
        <x:v>Ассоциация «ШАРАПАТ»</x:v>
      </x:c>
      <x:c r="C181" s="8" t="str">
        <x:v>industry</x:v>
      </x:c>
      <x:c r="D181" s="9"/>
      <x:c r="E181" s="9"/>
      <x:c r="F181" s="9"/>
      <x:c r="G181" s="9"/>
      <x:c r="H181" s="9"/>
      <x:c r="I181" s="10"/>
      <x:c r="J181" s="10"/>
      <x:c r="K181" s="11" t="str">
        <x:f>IF(AND(ISNUMBER(I181),ISNUMBER(F181),F181&gt;0),I181/F181,"")</x:f>
      </x:c>
      <x:c r="L181" s="11" t="str">
        <x:f>IF(AND(ISNUMBER(J181),ISNUMBER(F181),F181&gt;0),J181/F181,"")</x:f>
      </x:c>
      <x:c r="M181" s="9"/>
      <x:c r="N181" s="9"/>
      <x:c r="O181" s="9"/>
    </x:row>
    <x:row r="182" ht="35.25" customHeight="1">
      <x:c r="A182" s="8" t="str">
        <x:v>V7-Sc2ad09db7e</x:v>
      </x:c>
      <x:c r="B182" s="8" t="str">
        <x:v>Общее собрание членов - СРО строителей АСО АСС в Москве, ассоциация строительных организаций</x:v>
      </x:c>
      <x:c r="C182" s="8" t="str">
        <x:v>industry</x:v>
      </x:c>
      <x:c r="D182" s="9"/>
      <x:c r="E182" s="9"/>
      <x:c r="F182" s="9"/>
      <x:c r="G182" s="9"/>
      <x:c r="H182" s="9"/>
      <x:c r="I182" s="10"/>
      <x:c r="J182" s="10"/>
      <x:c r="K182" s="11" t="str">
        <x:f>IF(AND(ISNUMBER(I182),ISNUMBER(F182),F182&gt;0),I182/F182,"")</x:f>
      </x:c>
      <x:c r="L182" s="11" t="str">
        <x:f>IF(AND(ISNUMBER(J182),ISNUMBER(F182),F182&gt;0),J182/F182,"")</x:f>
      </x:c>
      <x:c r="M182" s="9"/>
      <x:c r="N182" s="9"/>
      <x:c r="O182" s="9"/>
    </x:row>
    <x:row r="183" ht="33" customHeight="1">
      <x:c r="A183" s="8" t="str">
        <x:v>V7-Sf9dee745f9</x:v>
      </x:c>
      <x:c r="B183" s="8" t="str">
        <x:v>Семинары и конференции</x:v>
      </x:c>
      <x:c r="C183" s="8" t="str">
        <x:v>industry</x:v>
      </x:c>
      <x:c r="D183" s="9"/>
      <x:c r="E183" s="9"/>
      <x:c r="F183" s="9"/>
      <x:c r="G183" s="9"/>
      <x:c r="H183" s="9"/>
      <x:c r="I183" s="10"/>
      <x:c r="J183" s="10"/>
      <x:c r="K183" s="11" t="str">
        <x:f>IF(AND(ISNUMBER(I183),ISNUMBER(F183),F183&gt;0),I183/F183,"")</x:f>
      </x:c>
      <x:c r="L183" s="11" t="str">
        <x:f>IF(AND(ISNUMBER(J183),ISNUMBER(F183),F183&gt;0),J183/F183,"")</x:f>
      </x:c>
      <x:c r="M183" s="9"/>
      <x:c r="N183" s="9"/>
      <x:c r="O183" s="9"/>
    </x:row>
    <x:row r="184" ht="35.25" customHeight="1">
      <x:c r="A184" s="8" t="str">
        <x:v>V7-S84bf7972ef</x:v>
      </x:c>
      <x:c r="B184" s="8" t="str">
        <x:v>Ассоциация Международных Экспедиторов и Логистики ...</x:v>
      </x:c>
      <x:c r="C184" s="8" t="str">
        <x:v>functional</x:v>
      </x:c>
      <x:c r="D184" s="9"/>
      <x:c r="E184" s="9"/>
      <x:c r="F184" s="9"/>
      <x:c r="G184" s="9"/>
      <x:c r="H184" s="9"/>
      <x:c r="I184" s="10"/>
      <x:c r="J184" s="10"/>
      <x:c r="K184" s="11" t="str">
        <x:f>IF(AND(ISNUMBER(I184),ISNUMBER(F184),F184&gt;0),I184/F184,"")</x:f>
      </x:c>
      <x:c r="L184" s="11" t="str">
        <x:f>IF(AND(ISNUMBER(J184),ISNUMBER(F184),F184&gt;0),J184/F184,"")</x:f>
      </x:c>
      <x:c r="M184" s="9"/>
      <x:c r="N184" s="9"/>
      <x:c r="O184" s="9"/>
    </x:row>
    <x:row r="185" ht="33" customHeight="1">
      <x:c r="A185" s="8" t="str">
        <x:v>V7-S2dece3b001</x:v>
      </x:c>
      <x:c r="B185" s="8" t="str">
        <x:v>Корпоративное обучение для вашей команды</x:v>
      </x:c>
      <x:c r="C185" s="8" t="str">
        <x:v>providers</x:v>
      </x:c>
      <x:c r="D185" s="9"/>
      <x:c r="E185" s="9"/>
      <x:c r="F185" s="9"/>
      <x:c r="G185" s="9"/>
      <x:c r="H185" s="9"/>
      <x:c r="I185" s="10"/>
      <x:c r="J185" s="10"/>
      <x:c r="K185" s="11" t="str">
        <x:f>IF(AND(ISNUMBER(I185),ISNUMBER(F185),F185&gt;0),I185/F185,"")</x:f>
      </x:c>
      <x:c r="L185" s="11" t="str">
        <x:f>IF(AND(ISNUMBER(J185),ISNUMBER(F185),F185&gt;0),J185/F185,"")</x:f>
      </x:c>
      <x:c r="M185" s="9"/>
      <x:c r="N185" s="9"/>
      <x:c r="O185" s="9"/>
    </x:row>
    <x:row r="186" ht="33" customHeight="1">
      <x:c r="A186" s="8" t="str">
        <x:v>V7-Sb8546dc224</x:v>
      </x:c>
      <x:c r="B186" s="8" t="str">
        <x:v>Статьи журнала "Клуб Директоров" №58</x:v>
      </x:c>
      <x:c r="C186" s="8" t="str">
        <x:v>functional</x:v>
      </x:c>
      <x:c r="D186" s="9"/>
      <x:c r="E186" s="9"/>
      <x:c r="F186" s="9"/>
      <x:c r="G186" s="9"/>
      <x:c r="H186" s="9"/>
      <x:c r="I186" s="10"/>
      <x:c r="J186" s="10"/>
      <x:c r="K186" s="11" t="str">
        <x:f>IF(AND(ISNUMBER(I186),ISNUMBER(F186),F186&gt;0),I186/F186,"")</x:f>
      </x:c>
      <x:c r="L186" s="11" t="str">
        <x:f>IF(AND(ISNUMBER(J186),ISNUMBER(F186),F186&gt;0),J186/F186,"")</x:f>
      </x:c>
      <x:c r="M186" s="9"/>
      <x:c r="N186" s="9"/>
      <x:c r="O186" s="9"/>
    </x:row>
    <x:row r="187" ht="35.25" customHeight="1">
      <x:c r="A187" s="8" t="str">
        <x:v>V7-S135c92cec6</x:v>
      </x:c>
      <x:c r="B187" s="8" t="str">
        <x:v>БелАИК – Белорусская ассоциация инженеров-консультантов</x:v>
      </x:c>
      <x:c r="C187" s="8" t="str">
        <x:v>industry</x:v>
      </x:c>
      <x:c r="D187" s="9"/>
      <x:c r="E187" s="9"/>
      <x:c r="F187" s="9"/>
      <x:c r="G187" s="9"/>
      <x:c r="H187" s="9"/>
      <x:c r="I187" s="10"/>
      <x:c r="J187" s="10"/>
      <x:c r="K187" s="11" t="str">
        <x:f>IF(AND(ISNUMBER(I187),ISNUMBER(F187),F187&gt;0),I187/F187,"")</x:f>
      </x:c>
      <x:c r="L187" s="11" t="str">
        <x:f>IF(AND(ISNUMBER(J187),ISNUMBER(F187),F187&gt;0),J187/F187,"")</x:f>
      </x:c>
      <x:c r="M187" s="9"/>
      <x:c r="N187" s="9"/>
      <x:c r="O187" s="9"/>
    </x:row>
    <x:row r="188" ht="33" customHeight="1">
      <x:c r="A188" s="8" t="str">
        <x:v>V7-S376ad4d603</x:v>
      </x:c>
      <x:c r="B188" s="8" t="str">
        <x:v>Стать партнером выставки ИННОПРОМ. Беларусь</x:v>
      </x:c>
      <x:c r="C188" s="8" t="str">
        <x:v>events</x:v>
      </x:c>
      <x:c r="D188" s="9"/>
      <x:c r="E188" s="9"/>
      <x:c r="F188" s="9"/>
      <x:c r="G188" s="9"/>
      <x:c r="H188" s="9"/>
      <x:c r="I188" s="10"/>
      <x:c r="J188" s="10"/>
      <x:c r="K188" s="11" t="str">
        <x:f>IF(AND(ISNUMBER(I188),ISNUMBER(F188),F188&gt;0),I188/F188,"")</x:f>
      </x:c>
      <x:c r="L188" s="11" t="str">
        <x:f>IF(AND(ISNUMBER(J188),ISNUMBER(F188),F188&gt;0),J188/F188,"")</x:f>
      </x:c>
      <x:c r="M188" s="9"/>
      <x:c r="N188" s="9"/>
      <x:c r="O188" s="9"/>
    </x:row>
    <x:row r="189" ht="35.25" customHeight="1">
      <x:c r="A189" s="8" t="str">
        <x:v>V7-Se4d4700d96</x:v>
      </x:c>
      <x:c r="B189" s="8" t="str">
        <x:v>Ассоциация Франчайзеров и Франчайзи "Белфранчайзинг"</x:v>
      </x:c>
      <x:c r="C189" s="8" t="str">
        <x:v>industry</x:v>
      </x:c>
      <x:c r="D189" s="9"/>
      <x:c r="E189" s="9"/>
      <x:c r="F189" s="9"/>
      <x:c r="G189" s="9"/>
      <x:c r="H189" s="9"/>
      <x:c r="I189" s="10"/>
      <x:c r="J189" s="10"/>
      <x:c r="K189" s="11" t="str">
        <x:f>IF(AND(ISNUMBER(I189),ISNUMBER(F189),F189&gt;0),I189/F189,"")</x:f>
      </x:c>
      <x:c r="L189" s="11" t="str">
        <x:f>IF(AND(ISNUMBER(J189),ISNUMBER(F189),F189&gt;0),J189/F189,"")</x:f>
      </x:c>
      <x:c r="M189" s="9"/>
      <x:c r="N189" s="9"/>
      <x:c r="O189" s="9"/>
    </x:row>
    <x:row r="190" ht="33" customHeight="1">
      <x:c r="A190" s="8" t="str">
        <x:v>V7-S5851f9379c</x:v>
      </x:c>
      <x:c r="B190" s="8" t="str">
        <x:v>ООО «Тренинговая компания «Бизнес Партнер»</x:v>
      </x:c>
      <x:c r="C190" s="8" t="str">
        <x:v>providers</x:v>
      </x:c>
      <x:c r="D190" s="9"/>
      <x:c r="E190" s="9"/>
      <x:c r="F190" s="9"/>
      <x:c r="G190" s="9"/>
      <x:c r="H190" s="9"/>
      <x:c r="I190" s="10"/>
      <x:c r="J190" s="10"/>
      <x:c r="K190" s="11" t="str">
        <x:f>IF(AND(ISNUMBER(I190),ISNUMBER(F190),F190&gt;0),I190/F190,"")</x:f>
      </x:c>
      <x:c r="L190" s="11" t="str">
        <x:f>IF(AND(ISNUMBER(J190),ISNUMBER(F190),F190&gt;0),J190/F190,"")</x:f>
      </x:c>
      <x:c r="M190" s="9"/>
      <x:c r="N190" s="9"/>
      <x:c r="O190" s="9"/>
    </x:row>
    <x:row r="191" ht="47.25" customHeight="1">
      <x:c r="A191" s="8" t="str">
        <x:v>V7-Scd7b4ae32a</x:v>
      </x:c>
      <x:c r="B191" s="8" t="str">
        <x:v>Коллеги, мы начали набор участников групп на финал VIII Всероссийского конкурса Мастер бизнес тренинга 2024 | Москва и Московская область</x:v>
      </x:c>
      <x:c r="C191" s="8" t="str">
        <x:v>projects</x:v>
      </x:c>
      <x:c r="D191" s="9"/>
      <x:c r="E191" s="9"/>
      <x:c r="F191" s="9"/>
      <x:c r="G191" s="9"/>
      <x:c r="H191" s="9"/>
      <x:c r="I191" s="10"/>
      <x:c r="J191" s="10"/>
      <x:c r="K191" s="11" t="str">
        <x:f>IF(AND(ISNUMBER(I191),ISNUMBER(F191),F191&gt;0),I191/F191,"")</x:f>
      </x:c>
      <x:c r="L191" s="11" t="str">
        <x:f>IF(AND(ISNUMBER(J191),ISNUMBER(F191),F191&gt;0),J191/F191,"")</x:f>
      </x:c>
      <x:c r="M191" s="9"/>
      <x:c r="N191" s="9"/>
      <x:c r="O191" s="9"/>
    </x:row>
    <x:row r="192" ht="35.25" customHeight="1">
      <x:c r="A192" s="8" t="str">
        <x:v>V7-S28de0e780c</x:v>
      </x:c>
      <x:c r="B192" s="8" t="str">
        <x:v>Как стать спикером на конференции и как найти конференции | Поиск конференций</x:v>
      </x:c>
      <x:c r="C192" s="8" t="str">
        <x:v>events</x:v>
      </x:c>
      <x:c r="D192" s="9"/>
      <x:c r="E192" s="9"/>
      <x:c r="F192" s="9"/>
      <x:c r="G192" s="9"/>
      <x:c r="H192" s="9"/>
      <x:c r="I192" s="10"/>
      <x:c r="J192" s="10"/>
      <x:c r="K192" s="11" t="str">
        <x:f>IF(AND(ISNUMBER(I192),ISNUMBER(F192),F192&gt;0),I192/F192,"")</x:f>
      </x:c>
      <x:c r="L192" s="11" t="str">
        <x:f>IF(AND(ISNUMBER(J192),ISNUMBER(F192),F192&gt;0),J192/F192,"")</x:f>
      </x:c>
      <x:c r="M192" s="9"/>
      <x:c r="N192" s="9"/>
      <x:c r="O192" s="9"/>
    </x:row>
    <x:row r="193" ht="35.25" customHeight="1">
      <x:c r="A193" s="8" t="str">
        <x:v>V7-S355d116108</x:v>
      </x:c>
      <x:c r="B193" s="8" t="str">
        <x:v>Как корпоративному университету стать партнером для бизнеса</x:v>
      </x:c>
      <x:c r="C193" s="8" t="str">
        <x:v>cu</x:v>
      </x:c>
      <x:c r="D193" s="9"/>
      <x:c r="E193" s="9"/>
      <x:c r="F193" s="9"/>
      <x:c r="G193" s="9"/>
      <x:c r="H193" s="9"/>
      <x:c r="I193" s="10"/>
      <x:c r="J193" s="10"/>
      <x:c r="K193" s="11" t="str">
        <x:f>IF(AND(ISNUMBER(I193),ISNUMBER(F193),F193&gt;0),I193/F193,"")</x:f>
      </x:c>
      <x:c r="L193" s="11" t="str">
        <x:f>IF(AND(ISNUMBER(J193),ISNUMBER(F193),F193&gt;0),J193/F193,"")</x:f>
      </x:c>
      <x:c r="M193" s="9"/>
      <x:c r="N193" s="9"/>
      <x:c r="O193" s="9"/>
    </x:row>
    <x:row r="194" ht="33" customHeight="1">
      <x:c r="A194" s="8" t="str">
        <x:v>V7-S1f8ee1938e</x:v>
      </x:c>
      <x:c r="B194" s="8" t="str">
        <x:v>Газета Союза юридических лиц</x:v>
      </x:c>
      <x:c r="C194" s="8" t="str">
        <x:v>industry</x:v>
      </x:c>
      <x:c r="D194" s="9"/>
      <x:c r="E194" s="9"/>
      <x:c r="F194" s="9"/>
      <x:c r="G194" s="9"/>
      <x:c r="H194" s="9"/>
      <x:c r="I194" s="10"/>
      <x:c r="J194" s="10"/>
      <x:c r="K194" s="11" t="str">
        <x:f>IF(AND(ISNUMBER(I194),ISNUMBER(F194),F194&gt;0),I194/F194,"")</x:f>
      </x:c>
      <x:c r="L194" s="11" t="str">
        <x:f>IF(AND(ISNUMBER(J194),ISNUMBER(F194),F194&gt;0),J194/F194,"")</x:f>
      </x:c>
      <x:c r="M194" s="9"/>
      <x:c r="N194" s="9"/>
      <x:c r="O194" s="9"/>
    </x:row>
    <x:row r="195" ht="35.25" customHeight="1">
      <x:c r="A195" s="8" t="str">
        <x:v>V7-Sb767614f9c</x:v>
      </x:c>
      <x:c r="B195" s="8" t="str">
        <x:v>Интеграция 1С:ЗУП КОРП с мессенджером Telegram упростил жизнь кадровиков компании «Велесстрой»</x:v>
      </x:c>
      <x:c r="C195" s="8" t="str">
        <x:v>regional_hr</x:v>
      </x:c>
      <x:c r="D195" s="9"/>
      <x:c r="E195" s="9"/>
      <x:c r="F195" s="9"/>
      <x:c r="G195" s="9"/>
      <x:c r="H195" s="9"/>
      <x:c r="I195" s="10"/>
      <x:c r="J195" s="10"/>
      <x:c r="K195" s="11" t="str">
        <x:f>IF(AND(ISNUMBER(I195),ISNUMBER(F195),F195&gt;0),I195/F195,"")</x:f>
      </x:c>
      <x:c r="L195" s="11" t="str">
        <x:f>IF(AND(ISNUMBER(J195),ISNUMBER(F195),F195&gt;0),J195/F195,"")</x:f>
      </x:c>
      <x:c r="M195" s="9"/>
      <x:c r="N195" s="9"/>
      <x:c r="O195" s="9"/>
    </x:row>
    <x:row r="196" ht="33" customHeight="1">
      <x:c r="A196" s="8" t="str">
        <x:v>V7-Sd64e325143</x:v>
      </x:c>
      <x:c r="B196" s="8" t="str">
        <x:v>5 способов монетизации для e-learning-студии</x:v>
      </x:c>
      <x:c r="C196" s="8" t="str">
        <x:v>lms</x:v>
      </x:c>
      <x:c r="D196" s="9"/>
      <x:c r="E196" s="9"/>
      <x:c r="F196" s="9"/>
      <x:c r="G196" s="9"/>
      <x:c r="H196" s="9"/>
      <x:c r="I196" s="10"/>
      <x:c r="J196" s="10"/>
      <x:c r="K196" s="11" t="str">
        <x:f>IF(AND(ISNUMBER(I196),ISNUMBER(F196),F196&gt;0),I196/F196,"")</x:f>
      </x:c>
      <x:c r="L196" s="11" t="str">
        <x:f>IF(AND(ISNUMBER(J196),ISNUMBER(F196),F196&gt;0),J196/F196,"")</x:f>
      </x:c>
      <x:c r="M196" s="9"/>
      <x:c r="N196" s="9"/>
      <x:c r="O196" s="9"/>
    </x:row>
    <x:row r="197" ht="33" customHeight="1">
      <x:c r="A197" s="8" t="str">
        <x:v>V7-S23982d8d80</x:v>
      </x:c>
      <x:c r="B197" s="8" t="str">
        <x:v>Программа конференции</x:v>
      </x:c>
      <x:c r="C197" s="8" t="str">
        <x:v>events</x:v>
      </x:c>
      <x:c r="D197" s="9"/>
      <x:c r="E197" s="9"/>
      <x:c r="F197" s="9"/>
      <x:c r="G197" s="9"/>
      <x:c r="H197" s="9"/>
      <x:c r="I197" s="10"/>
      <x:c r="J197" s="10"/>
      <x:c r="K197" s="11" t="str">
        <x:f>IF(AND(ISNUMBER(I197),ISNUMBER(F197),F197&gt;0),I197/F197,"")</x:f>
      </x:c>
      <x:c r="L197" s="11" t="str">
        <x:f>IF(AND(ISNUMBER(J197),ISNUMBER(F197),F197&gt;0),J197/F197,"")</x:f>
      </x:c>
      <x:c r="M197" s="9"/>
      <x:c r="N197" s="9"/>
      <x:c r="O197" s="9"/>
    </x:row>
    <x:row r="198" ht="35.25" customHeight="1">
      <x:c r="A198" s="8" t="str">
        <x:v>V7-Sc9fe82088c</x:v>
      </x:c>
      <x:c r="B198" s="8" t="str">
        <x:v>Центр «Мой бизнес» запускает медиашколу | Портал МСП Республики Крым</x:v>
      </x:c>
      <x:c r="C198" s="8" t="str">
        <x:v>development</x:v>
      </x:c>
      <x:c r="D198" s="9"/>
      <x:c r="E198" s="9"/>
      <x:c r="F198" s="9"/>
      <x:c r="G198" s="9"/>
      <x:c r="H198" s="9"/>
      <x:c r="I198" s="10"/>
      <x:c r="J198" s="10"/>
      <x:c r="K198" s="11" t="str">
        <x:f>IF(AND(ISNUMBER(I198),ISNUMBER(F198),F198&gt;0),I198/F198,"")</x:f>
      </x:c>
      <x:c r="L198" s="11" t="str">
        <x:f>IF(AND(ISNUMBER(J198),ISNUMBER(F198),F198&gt;0),J198/F198,"")</x:f>
      </x:c>
      <x:c r="M198" s="9"/>
      <x:c r="N198" s="9"/>
      <x:c r="O198" s="9"/>
    </x:row>
    <x:row r="199" ht="33" customHeight="1">
      <x:c r="A199" s="8" t="str">
        <x:v>V7-Se60426344c</x:v>
      </x:c>
      <x:c r="B199" s="8" t="str">
        <x:v>Корпоративный портал компании HR-эксперт</x:v>
      </x:c>
      <x:c r="C199" s="8" t="str">
        <x:v>regional_hr</x:v>
      </x:c>
      <x:c r="D199" s="9"/>
      <x:c r="E199" s="9"/>
      <x:c r="F199" s="9"/>
      <x:c r="G199" s="9"/>
      <x:c r="H199" s="9"/>
      <x:c r="I199" s="10"/>
      <x:c r="J199" s="10"/>
      <x:c r="K199" s="11" t="str">
        <x:f>IF(AND(ISNUMBER(I199),ISNUMBER(F199),F199&gt;0),I199/F199,"")</x:f>
      </x:c>
      <x:c r="L199" s="11" t="str">
        <x:f>IF(AND(ISNUMBER(J199),ISNUMBER(F199),F199&gt;0),J199/F199,"")</x:f>
      </x:c>
      <x:c r="M199" s="9"/>
      <x:c r="N199" s="9"/>
      <x:c r="O199" s="9"/>
    </x:row>
    <x:row r="200" ht="35.25" customHeight="1">
      <x:c r="A200" s="8" t="str">
        <x:v>V7-S5c96bb0c88</x:v>
      </x:c>
      <x:c r="B200" s="8" t="str">
        <x:v>Coca-Cola Belesteri – поддержка предпринимательства в Казахстане</x:v>
      </x:c>
      <x:c r="C200" s="8" t="str">
        <x:v>business</x:v>
      </x:c>
      <x:c r="D200" s="9"/>
      <x:c r="E200" s="9"/>
      <x:c r="F200" s="9"/>
      <x:c r="G200" s="9"/>
      <x:c r="H200" s="9"/>
      <x:c r="I200" s="10"/>
      <x:c r="J200" s="10"/>
      <x:c r="K200" s="11" t="str">
        <x:f>IF(AND(ISNUMBER(I200),ISNUMBER(F200),F200&gt;0),I200/F200,"")</x:f>
      </x:c>
      <x:c r="L200" s="11" t="str">
        <x:f>IF(AND(ISNUMBER(J200),ISNUMBER(F200),F200&gt;0),J200/F200,"")</x:f>
      </x:c>
      <x:c r="M200" s="9"/>
      <x:c r="N200" s="9"/>
      <x:c r="O200" s="9"/>
    </x:row>
    <x:row r="201" ht="33" customHeight="1">
      <x:c r="A201" s="8" t="str">
        <x:v>V7-Sd618dcc2c1</x:v>
      </x:c>
      <x:c r="B201" s="8" t="str">
        <x:v>Программа Форума</x:v>
      </x:c>
      <x:c r="C201" s="8" t="str">
        <x:v>industry</x:v>
      </x:c>
      <x:c r="D201" s="9"/>
      <x:c r="E201" s="9"/>
      <x:c r="F201" s="9"/>
      <x:c r="G201" s="9"/>
      <x:c r="H201" s="9"/>
      <x:c r="I201" s="10"/>
      <x:c r="J201" s="10"/>
      <x:c r="K201" s="11" t="str">
        <x:f>IF(AND(ISNUMBER(I201),ISNUMBER(F201),F201&gt;0),I201/F201,"")</x:f>
      </x:c>
      <x:c r="L201" s="11" t="str">
        <x:f>IF(AND(ISNUMBER(J201),ISNUMBER(F201),F201&gt;0),J201/F201,"")</x:f>
      </x:c>
      <x:c r="M201" s="9"/>
      <x:c r="N201" s="9"/>
      <x:c r="O201" s="9"/>
    </x:row>
    <x:row r="202" ht="33" customHeight="1">
      <x:c r="A202" s="8" t="str">
        <x:v>V7-S0fe3c203e9</x:v>
      </x:c>
      <x:c r="B202" s="8" t="str">
        <x:v>ВЫСШИЕ КУРСЫ ИТ-ДИРЕКТОРОВ</x:v>
      </x:c>
      <x:c r="C202" s="8" t="str">
        <x:v>functional</x:v>
      </x:c>
      <x:c r="D202" s="9"/>
      <x:c r="E202" s="9"/>
      <x:c r="F202" s="9"/>
      <x:c r="G202" s="9"/>
      <x:c r="H202" s="9"/>
      <x:c r="I202" s="10"/>
      <x:c r="J202" s="10"/>
      <x:c r="K202" s="11" t="str">
        <x:f>IF(AND(ISNUMBER(I202),ISNUMBER(F202),F202&gt;0),I202/F202,"")</x:f>
      </x:c>
      <x:c r="L202" s="11" t="str">
        <x:f>IF(AND(ISNUMBER(J202),ISNUMBER(F202),F202&gt;0),J202/F202,"")</x:f>
      </x:c>
      <x:c r="M202" s="9"/>
      <x:c r="N202" s="9"/>
      <x:c r="O202" s="9"/>
    </x:row>
    <x:row r="203" ht="35.25" customHeight="1">
      <x:c r="A203" s="8" t="str">
        <x:v>V7-Sb111311d1e</x:v>
      </x:c>
      <x:c r="B203" s="8" t="str">
        <x:v>Уважаемые предприниматели! – Центр поддержки экспорта</x:v>
      </x:c>
      <x:c r="C203" s="8" t="str">
        <x:v>development</x:v>
      </x:c>
      <x:c r="D203" s="9"/>
      <x:c r="E203" s="9"/>
      <x:c r="F203" s="9"/>
      <x:c r="G203" s="9"/>
      <x:c r="H203" s="9"/>
      <x:c r="I203" s="10"/>
      <x:c r="J203" s="10"/>
      <x:c r="K203" s="11" t="str">
        <x:f>IF(AND(ISNUMBER(I203),ISNUMBER(F203),F203&gt;0),I203/F203,"")</x:f>
      </x:c>
      <x:c r="L203" s="11" t="str">
        <x:f>IF(AND(ISNUMBER(J203),ISNUMBER(F203),F203&gt;0),J203/F203,"")</x:f>
      </x:c>
      <x:c r="M203" s="9"/>
      <x:c r="N203" s="9"/>
      <x:c r="O203" s="9"/>
    </x:row>
    <x:row r="204" ht="47.25" customHeight="1">
      <x:c r="A204" s="8" t="str">
        <x:v>V7-S78788e6b1e</x:v>
      </x:c>
      <x:c r="B204" s="8" t="str">
        <x:v>Автономная некоммерческая организация дополнительного профессионального образования «Региональный учебный центр» - Главная</x:v>
      </x:c>
      <x:c r="C204" s="8" t="str">
        <x:v>providers</x:v>
      </x:c>
      <x:c r="D204" s="9"/>
      <x:c r="E204" s="9"/>
      <x:c r="F204" s="9"/>
      <x:c r="G204" s="9"/>
      <x:c r="H204" s="9"/>
      <x:c r="I204" s="10"/>
      <x:c r="J204" s="10"/>
      <x:c r="K204" s="11" t="str">
        <x:f>IF(AND(ISNUMBER(I204),ISNUMBER(F204),F204&gt;0),I204/F204,"")</x:f>
      </x:c>
      <x:c r="L204" s="11" t="str">
        <x:f>IF(AND(ISNUMBER(J204),ISNUMBER(F204),F204&gt;0),J204/F204,"")</x:f>
      </x:c>
      <x:c r="M204" s="9"/>
      <x:c r="N204" s="9"/>
      <x:c r="O204" s="9"/>
    </x:row>
    <x:row r="205" ht="33" customHeight="1">
      <x:c r="A205" s="8" t="str">
        <x:v>V7-S6edfaa3336</x:v>
      </x:c>
      <x:c r="B205" s="8" t="str">
        <x:v>Клуб финансовых директоров</x:v>
      </x:c>
      <x:c r="C205" s="8" t="str">
        <x:v>functional</x:v>
      </x:c>
      <x:c r="D205" s="9"/>
      <x:c r="E205" s="9"/>
      <x:c r="F205" s="9"/>
      <x:c r="G205" s="9"/>
      <x:c r="H205" s="9"/>
      <x:c r="I205" s="10"/>
      <x:c r="J205" s="10"/>
      <x:c r="K205" s="11" t="str">
        <x:f>IF(AND(ISNUMBER(I205),ISNUMBER(F205),F205&gt;0),I205/F205,"")</x:f>
      </x:c>
      <x:c r="L205" s="11" t="str">
        <x:f>IF(AND(ISNUMBER(J205),ISNUMBER(F205),F205&gt;0),J205/F205,"")</x:f>
      </x:c>
      <x:c r="M205" s="9"/>
      <x:c r="N205" s="9"/>
      <x:c r="O205" s="9"/>
    </x:row>
    <x:row r="206" ht="33" customHeight="1">
      <x:c r="A206" s="8" t="str">
        <x:v>V7-S79238cd903</x:v>
      </x:c>
      <x:c r="B206" s="8" t="str">
        <x:v>Ассоциация директоров по развитию</x:v>
      </x:c>
      <x:c r="C206" s="8" t="str">
        <x:v>functional</x:v>
      </x:c>
      <x:c r="D206" s="9"/>
      <x:c r="E206" s="9"/>
      <x:c r="F206" s="9"/>
      <x:c r="G206" s="9"/>
      <x:c r="H206" s="9"/>
      <x:c r="I206" s="10"/>
      <x:c r="J206" s="10"/>
      <x:c r="K206" s="11" t="str">
        <x:f>IF(AND(ISNUMBER(I206),ISNUMBER(F206),F206&gt;0),I206/F206,"")</x:f>
      </x:c>
      <x:c r="L206" s="11" t="str">
        <x:f>IF(AND(ISNUMBER(J206),ISNUMBER(F206),F206&gt;0),J206/F206,"")</x:f>
      </x:c>
      <x:c r="M206" s="9"/>
      <x:c r="N206" s="9"/>
      <x:c r="O206" s="9"/>
    </x:row>
    <x:row r="207" ht="35.25" customHeight="1">
      <x:c r="A207" s="8" t="str">
        <x:v>V7-S9b0de58087</x:v>
      </x:c>
      <x:c r="B207" s="8" t="str">
        <x:v>ПрофесCIOнал: образовательная программа для ИТ-директоров | CIO-NAVIGATOR</x:v>
      </x:c>
      <x:c r="C207" s="8" t="str">
        <x:v>functional</x:v>
      </x:c>
      <x:c r="D207" s="9"/>
      <x:c r="E207" s="9"/>
      <x:c r="F207" s="9"/>
      <x:c r="G207" s="9"/>
      <x:c r="H207" s="9"/>
      <x:c r="I207" s="10"/>
      <x:c r="J207" s="10"/>
      <x:c r="K207" s="11" t="str">
        <x:f>IF(AND(ISNUMBER(I207),ISNUMBER(F207),F207&gt;0),I207/F207,"")</x:f>
      </x:c>
      <x:c r="L207" s="11" t="str">
        <x:f>IF(AND(ISNUMBER(J207),ISNUMBER(F207),F207&gt;0),J207/F207,"")</x:f>
      </x:c>
      <x:c r="M207" s="9"/>
      <x:c r="N207" s="9"/>
      <x:c r="O207" s="9"/>
    </x:row>
    <x:row r="208" ht="35.25" customHeight="1">
      <x:c r="A208" s="8" t="str">
        <x:v>V7-Sd36ea82e6e</x:v>
      </x:c>
      <x:c r="B208" s="8" t="str">
        <x:v>«Пермский CIO-Клуб» - клуб руководителей ИТ Пермского ...</x:v>
      </x:c>
      <x:c r="C208" s="8" t="str">
        <x:v>functional</x:v>
      </x:c>
      <x:c r="D208" s="9"/>
      <x:c r="E208" s="9"/>
      <x:c r="F208" s="9"/>
      <x:c r="G208" s="9"/>
      <x:c r="H208" s="9"/>
      <x:c r="I208" s="10"/>
      <x:c r="J208" s="10"/>
      <x:c r="K208" s="11" t="str">
        <x:f>IF(AND(ISNUMBER(I208),ISNUMBER(F208),F208&gt;0),I208/F208,"")</x:f>
      </x:c>
      <x:c r="L208" s="11" t="str">
        <x:f>IF(AND(ISNUMBER(J208),ISNUMBER(F208),F208&gt;0),J208/F208,"")</x:f>
      </x:c>
      <x:c r="M208" s="9"/>
      <x:c r="N208" s="9"/>
      <x:c r="O208" s="9"/>
    </x:row>
    <x:row r="209" ht="35.25" customHeight="1">
      <x:c r="A209" s="8" t="str">
        <x:v>V7-S47fd7bc9c9</x:v>
      </x:c>
      <x:c r="B209" s="8" t="str">
        <x:v>Крупнейшее в России Сообщество цифровых управленцев ...</x:v>
      </x:c>
      <x:c r="C209" s="8" t="str">
        <x:v>functional</x:v>
      </x:c>
      <x:c r="D209" s="9"/>
      <x:c r="E209" s="9"/>
      <x:c r="F209" s="9"/>
      <x:c r="G209" s="9"/>
      <x:c r="H209" s="9"/>
      <x:c r="I209" s="10"/>
      <x:c r="J209" s="10"/>
      <x:c r="K209" s="11" t="str">
        <x:f>IF(AND(ISNUMBER(I209),ISNUMBER(F209),F209&gt;0),I209/F209,"")</x:f>
      </x:c>
      <x:c r="L209" s="11" t="str">
        <x:f>IF(AND(ISNUMBER(J209),ISNUMBER(F209),F209&gt;0),J209/F209,"")</x:f>
      </x:c>
      <x:c r="M209" s="9"/>
      <x:c r="N209" s="9"/>
      <x:c r="O209" s="9"/>
    </x:row>
    <x:row r="210" ht="35.25" customHeight="1">
      <x:c r="A210" s="8" t="str">
        <x:v>V7-S939b42ed74</x:v>
      </x:c>
      <x:c r="B210" s="8" t="str">
        <x:v>Клуб финансовых директоров. - Официальный Сайт Клуб ...</x:v>
      </x:c>
      <x:c r="C210" s="8" t="str">
        <x:v>functional</x:v>
      </x:c>
      <x:c r="D210" s="9"/>
      <x:c r="E210" s="9"/>
      <x:c r="F210" s="9"/>
      <x:c r="G210" s="9"/>
      <x:c r="H210" s="9"/>
      <x:c r="I210" s="10"/>
      <x:c r="J210" s="10"/>
      <x:c r="K210" s="11" t="str">
        <x:f>IF(AND(ISNUMBER(I210),ISNUMBER(F210),F210&gt;0),I210/F210,"")</x:f>
      </x:c>
      <x:c r="L210" s="11" t="str">
        <x:f>IF(AND(ISNUMBER(J210),ISNUMBER(F210),F210&gt;0),J210/F210,"")</x:f>
      </x:c>
      <x:c r="M210" s="9"/>
      <x:c r="N210" s="9"/>
      <x:c r="O210" s="9"/>
    </x:row>
    <x:row r="211" ht="33" customHeight="1">
      <x:c r="A211" s="8" t="str">
        <x:v>V7-Sea4a402d58</x:v>
      </x:c>
      <x:c r="B211" s="8" t="str">
        <x:v>Главная » Клуб Директоров</x:v>
      </x:c>
      <x:c r="C211" s="8" t="str">
        <x:v>functional</x:v>
      </x:c>
      <x:c r="D211" s="9"/>
      <x:c r="E211" s="9"/>
      <x:c r="F211" s="9"/>
      <x:c r="G211" s="9"/>
      <x:c r="H211" s="9"/>
      <x:c r="I211" s="10"/>
      <x:c r="J211" s="10"/>
      <x:c r="K211" s="11" t="str">
        <x:f>IF(AND(ISNUMBER(I211),ISNUMBER(F211),F211&gt;0),I211/F211,"")</x:f>
      </x:c>
      <x:c r="L211" s="11" t="str">
        <x:f>IF(AND(ISNUMBER(J211),ISNUMBER(F211),F211&gt;0),J211/F211,"")</x:f>
      </x:c>
      <x:c r="M211" s="9"/>
      <x:c r="N211" s="9"/>
      <x:c r="O211" s="9"/>
    </x:row>
    <x:row r="212" ht="35.25" customHeight="1">
      <x:c r="A212" s="8" t="str">
        <x:v>V7-Sbee5971a09</x:v>
      </x:c>
      <x:c r="B212" s="8" t="str">
        <x:v>Как стать спикером конференций издательского дома "Имидж-Медиа"</x:v>
      </x:c>
      <x:c r="C212" s="8" t="str">
        <x:v>events</x:v>
      </x:c>
      <x:c r="D212" s="9"/>
      <x:c r="E212" s="9"/>
      <x:c r="F212" s="9"/>
      <x:c r="G212" s="9"/>
      <x:c r="H212" s="9"/>
      <x:c r="I212" s="10"/>
      <x:c r="J212" s="10"/>
      <x:c r="K212" s="11" t="str">
        <x:f>IF(AND(ISNUMBER(I212),ISNUMBER(F212),F212&gt;0),I212/F212,"")</x:f>
      </x:c>
      <x:c r="L212" s="11" t="str">
        <x:f>IF(AND(ISNUMBER(J212),ISNUMBER(F212),F212&gt;0),J212/F212,"")</x:f>
      </x:c>
      <x:c r="M212" s="9"/>
      <x:c r="N212" s="9"/>
      <x:c r="O212" s="9"/>
    </x:row>
    <x:row r="213" ht="33" customHeight="1">
      <x:c r="A213" s="8" t="str">
        <x:v>V7-S1964d659d4</x:v>
      </x:c>
      <x:c r="B213" s="8" t="str">
        <x:v>Ценности НАКД — Основная миссия нашей ассоциации</x:v>
      </x:c>
      <x:c r="C213" s="8" t="str">
        <x:v>functional</x:v>
      </x:c>
      <x:c r="D213" s="9"/>
      <x:c r="E213" s="9"/>
      <x:c r="F213" s="9"/>
      <x:c r="G213" s="9"/>
      <x:c r="H213" s="9"/>
      <x:c r="I213" s="10"/>
      <x:c r="J213" s="10"/>
      <x:c r="K213" s="11" t="str">
        <x:f>IF(AND(ISNUMBER(I213),ISNUMBER(F213),F213&gt;0),I213/F213,"")</x:f>
      </x:c>
      <x:c r="L213" s="11" t="str">
        <x:f>IF(AND(ISNUMBER(J213),ISNUMBER(F213),F213&gt;0),J213/F213,"")</x:f>
      </x:c>
      <x:c r="M213" s="9"/>
      <x:c r="N213" s="9"/>
      <x:c r="O213" s="9"/>
    </x:row>
    <x:row r="214" ht="33" customHeight="1">
      <x:c r="A214" s="8" t="str">
        <x:v>V7-S94124e5252</x:v>
      </x:c>
      <x:c r="B214" s="8" t="str">
        <x:v>Как стать спикером деловых мероприятий · Форум</x:v>
      </x:c>
      <x:c r="C214" s="8" t="str">
        <x:v>events</x:v>
      </x:c>
      <x:c r="D214" s="9"/>
      <x:c r="E214" s="9"/>
      <x:c r="F214" s="9"/>
      <x:c r="G214" s="9"/>
      <x:c r="H214" s="9"/>
      <x:c r="I214" s="10"/>
      <x:c r="J214" s="10"/>
      <x:c r="K214" s="11" t="str">
        <x:f>IF(AND(ISNUMBER(I214),ISNUMBER(F214),F214&gt;0),I214/F214,"")</x:f>
      </x:c>
      <x:c r="L214" s="11" t="str">
        <x:f>IF(AND(ISNUMBER(J214),ISNUMBER(F214),F214&gt;0),J214/F214,"")</x:f>
      </x:c>
      <x:c r="M214" s="9"/>
      <x:c r="N214" s="9"/>
      <x:c r="O214" s="9"/>
    </x:row>
    <x:row r="215" ht="33" customHeight="1">
      <x:c r="A215" s="8" t="str">
        <x:v>V7-S8a9c608d36</x:v>
      </x:c>
      <x:c r="B215" s="8" t="str">
        <x:v>Цифровые Лидеры Бизнеса | Клуб профессионалов</x:v>
      </x:c>
      <x:c r="C215" s="8" t="str">
        <x:v>functional</x:v>
      </x:c>
      <x:c r="D215" s="9"/>
      <x:c r="E215" s="9"/>
      <x:c r="F215" s="9"/>
      <x:c r="G215" s="9"/>
      <x:c r="H215" s="9"/>
      <x:c r="I215" s="10"/>
      <x:c r="J215" s="10"/>
      <x:c r="K215" s="11" t="str">
        <x:f>IF(AND(ISNUMBER(I215),ISNUMBER(F215),F215&gt;0),I215/F215,"")</x:f>
      </x:c>
      <x:c r="L215" s="11" t="str">
        <x:f>IF(AND(ISNUMBER(J215),ISNUMBER(F215),F215&gt;0),J215/F215,"")</x:f>
      </x:c>
      <x:c r="M215" s="9"/>
      <x:c r="N215" s="9"/>
      <x:c r="O215" s="9"/>
    </x:row>
    <x:row r="216" ht="35.25" customHeight="1">
      <x:c r="A216" s="8" t="str">
        <x:v>V7-Sccabaaf823</x:v>
      </x:c>
      <x:c r="B216" s="8" t="str">
        <x:v>Бизнес-клуб для предпринимателей в Москве — DOM Club</x:v>
      </x:c>
      <x:c r="C216" s="8" t="str">
        <x:v>business</x:v>
      </x:c>
      <x:c r="D216" s="9"/>
      <x:c r="E216" s="9"/>
      <x:c r="F216" s="9"/>
      <x:c r="G216" s="9"/>
      <x:c r="H216" s="9"/>
      <x:c r="I216" s="10"/>
      <x:c r="J216" s="10"/>
      <x:c r="K216" s="11" t="str">
        <x:f>IF(AND(ISNUMBER(I216),ISNUMBER(F216),F216&gt;0),I216/F216,"")</x:f>
      </x:c>
      <x:c r="L216" s="11" t="str">
        <x:f>IF(AND(ISNUMBER(J216),ISNUMBER(F216),F216&gt;0),J216/F216,"")</x:f>
      </x:c>
      <x:c r="M216" s="9"/>
      <x:c r="N216" s="9"/>
      <x:c r="O216" s="9"/>
    </x:row>
    <x:row r="217" ht="35.25" customHeight="1">
      <x:c r="A217" s="8" t="str">
        <x:v>V7-Se72a062d2f</x:v>
      </x:c>
      <x:c r="B217" s="8" t="str">
        <x:v>Корпоративное обучение персонала и сотрудников. Курсы, тренинги, семинары для компаний.</x:v>
      </x:c>
      <x:c r="C217" s="8" t="str">
        <x:v>providers</x:v>
      </x:c>
      <x:c r="D217" s="9"/>
      <x:c r="E217" s="9"/>
      <x:c r="F217" s="9"/>
      <x:c r="G217" s="9"/>
      <x:c r="H217" s="9"/>
      <x:c r="I217" s="10"/>
      <x:c r="J217" s="10"/>
      <x:c r="K217" s="11" t="str">
        <x:f>IF(AND(ISNUMBER(I217),ISNUMBER(F217),F217&gt;0),I217/F217,"")</x:f>
      </x:c>
      <x:c r="L217" s="11" t="str">
        <x:f>IF(AND(ISNUMBER(J217),ISNUMBER(F217),F217&gt;0),J217/F217,"")</x:f>
      </x:c>
      <x:c r="M217" s="9"/>
      <x:c r="N217" s="9"/>
      <x:c r="O217" s="9"/>
    </x:row>
    <x:row r="218" ht="33" customHeight="1">
      <x:c r="A218" s="8" t="str">
        <x:v>V7-S127368893b</x:v>
      </x:c>
      <x:c r="B218" s="8" t="str">
        <x:v>О форуме недвижимости «Движение»</x:v>
      </x:c>
      <x:c r="C218" s="8" t="str">
        <x:v>events</x:v>
      </x:c>
      <x:c r="D218" s="9"/>
      <x:c r="E218" s="9"/>
      <x:c r="F218" s="9"/>
      <x:c r="G218" s="9"/>
      <x:c r="H218" s="9"/>
      <x:c r="I218" s="10"/>
      <x:c r="J218" s="10"/>
      <x:c r="K218" s="11" t="str">
        <x:f>IF(AND(ISNUMBER(I218),ISNUMBER(F218),F218&gt;0),I218/F218,"")</x:f>
      </x:c>
      <x:c r="L218" s="11" t="str">
        <x:f>IF(AND(ISNUMBER(J218),ISNUMBER(F218),F218&gt;0),J218/F218,"")</x:f>
      </x:c>
      <x:c r="M218" s="9"/>
      <x:c r="N218" s="9"/>
      <x:c r="O218" s="9"/>
    </x:row>
    <x:row r="219" ht="47.25" customHeight="1">
      <x:c r="A219" s="8" t="str">
        <x:v>V7-Sfba8fccd2c</x:v>
      </x:c>
      <x:c r="B219" s="8" t="str">
        <x:v>Блог сообщества e-Learning PRO: Возможности Телеграм для разработчиков курсов, преподавателей и профессиональных сообществ</x:v>
      </x:c>
      <x:c r="C219" s="8" t="str">
        <x:v>projects</x:v>
      </x:c>
      <x:c r="D219" s="9"/>
      <x:c r="E219" s="9"/>
      <x:c r="F219" s="9"/>
      <x:c r="G219" s="9"/>
      <x:c r="H219" s="9"/>
      <x:c r="I219" s="10"/>
      <x:c r="J219" s="10"/>
      <x:c r="K219" s="11" t="str">
        <x:f>IF(AND(ISNUMBER(I219),ISNUMBER(F219),F219&gt;0),I219/F219,"")</x:f>
      </x:c>
      <x:c r="L219" s="11" t="str">
        <x:f>IF(AND(ISNUMBER(J219),ISNUMBER(F219),F219&gt;0),J219/F219,"")</x:f>
      </x:c>
      <x:c r="M219" s="9"/>
      <x:c r="N219" s="9"/>
      <x:c r="O219" s="9"/>
    </x:row>
    <x:row r="220" ht="33" customHeight="1">
      <x:c r="A220" s="8" t="str">
        <x:v>V7-Se16e197ebc</x:v>
      </x:c>
      <x:c r="B220" s="8" t="str">
        <x:v>Разработчик онлайн курсов</x:v>
      </x:c>
      <x:c r="C220" s="8" t="str">
        <x:v>lms</x:v>
      </x:c>
      <x:c r="D220" s="9"/>
      <x:c r="E220" s="9"/>
      <x:c r="F220" s="9"/>
      <x:c r="G220" s="9"/>
      <x:c r="H220" s="9"/>
      <x:c r="I220" s="10"/>
      <x:c r="J220" s="10"/>
      <x:c r="K220" s="11" t="str">
        <x:f>IF(AND(ISNUMBER(I220),ISNUMBER(F220),F220&gt;0),I220/F220,"")</x:f>
      </x:c>
      <x:c r="L220" s="11" t="str">
        <x:f>IF(AND(ISNUMBER(J220),ISNUMBER(F220),F220&gt;0),J220/F220,"")</x:f>
      </x:c>
      <x:c r="M220" s="9"/>
      <x:c r="N220" s="9"/>
      <x:c r="O220" s="9"/>
    </x:row>
    <x:row r="221" ht="35.25" customHeight="1">
      <x:c r="A221" s="8" t="str">
        <x:v>V7-S1cbe2e8a40</x:v>
      </x:c>
      <x:c r="B221" s="8" t="str">
        <x:v>Мероприятия для членов Ассоциации в 2025 году | Ассоциация «СРО «ЭНЕРГОАУДИТ»</x:v>
      </x:c>
      <x:c r="C221" s="8" t="str">
        <x:v>industry</x:v>
      </x:c>
      <x:c r="D221" s="9"/>
      <x:c r="E221" s="9"/>
      <x:c r="F221" s="9"/>
      <x:c r="G221" s="9"/>
      <x:c r="H221" s="9"/>
      <x:c r="I221" s="10"/>
      <x:c r="J221" s="10"/>
      <x:c r="K221" s="11" t="str">
        <x:f>IF(AND(ISNUMBER(I221),ISNUMBER(F221),F221&gt;0),I221/F221,"")</x:f>
      </x:c>
      <x:c r="L221" s="11" t="str">
        <x:f>IF(AND(ISNUMBER(J221),ISNUMBER(F221),F221&gt;0),J221/F221,"")</x:f>
      </x:c>
      <x:c r="M221" s="9"/>
      <x:c r="N221" s="9"/>
      <x:c r="O221" s="9"/>
    </x:row>
    <x:row r="222" ht="71.25" customHeight="1">
      <x:c r="A222" s="8" t="str">
        <x:v>V7-Seb1f7f906e</x:v>
      </x:c>
      <x:c r="B222" s="8" t="str">
        <x:v>ДВУХДНЕВНЫЙ СЕМИНАР-ПРАКТИКУМ | Гаращенко Ольга ECCON GROUP Бровкина Наталья ECCON GROUP | --- | --- | --- | Гаращенко Ольга ECCON GROUP Бровкина Наталья ECCON GROUP МОСКВА |ДЛЯ ФИНАНСОВЫХ ДИРЕКТОРОВ И ГЛАВНЫХ БУХГАЛТЕРОВ</x:v>
      </x:c>
      <x:c r="C222" s="8" t="str">
        <x:v>functional</x:v>
      </x:c>
      <x:c r="D222" s="9"/>
      <x:c r="E222" s="9"/>
      <x:c r="F222" s="9"/>
      <x:c r="G222" s="9"/>
      <x:c r="H222" s="9"/>
      <x:c r="I222" s="10"/>
      <x:c r="J222" s="10"/>
      <x:c r="K222" s="11" t="str">
        <x:f>IF(AND(ISNUMBER(I222),ISNUMBER(F222),F222&gt;0),I222/F222,"")</x:f>
      </x:c>
      <x:c r="L222" s="11" t="str">
        <x:f>IF(AND(ISNUMBER(J222),ISNUMBER(F222),F222&gt;0),J222/F222,"")</x:f>
      </x:c>
      <x:c r="M222" s="9"/>
      <x:c r="N222" s="9"/>
      <x:c r="O222" s="9"/>
    </x:row>
    <x:row r="223" ht="33" customHeight="1">
      <x:c r="A223" s="8" t="str">
        <x:v>V7-S5c4da160f0</x:v>
      </x:c>
      <x:c r="B223" s="8" t="str">
        <x:v>eDISCUS: Разработка электронных курсов для LMS</x:v>
      </x:c>
      <x:c r="C223" s="8" t="str">
        <x:v>lms</x:v>
      </x:c>
      <x:c r="D223" s="9"/>
      <x:c r="E223" s="9"/>
      <x:c r="F223" s="9"/>
      <x:c r="G223" s="9"/>
      <x:c r="H223" s="9"/>
      <x:c r="I223" s="10"/>
      <x:c r="J223" s="10"/>
      <x:c r="K223" s="11" t="str">
        <x:f>IF(AND(ISNUMBER(I223),ISNUMBER(F223),F223&gt;0),I223/F223,"")</x:f>
      </x:c>
      <x:c r="L223" s="11" t="str">
        <x:f>IF(AND(ISNUMBER(J223),ISNUMBER(F223),F223&gt;0),J223/F223,"")</x:f>
      </x:c>
      <x:c r="M223" s="9"/>
      <x:c r="N223" s="9"/>
      <x:c r="O223" s="9"/>
    </x:row>
    <x:row r="224" ht="33" customHeight="1">
      <x:c r="A224" s="8" t="str">
        <x:v>V7-S04e715bfd7</x:v>
      </x:c>
      <x:c r="B224" s="8" t="str">
        <x:v>Станьте спикером конференции</x:v>
      </x:c>
      <x:c r="C224" s="8" t="str">
        <x:v>events</x:v>
      </x:c>
      <x:c r="D224" s="9"/>
      <x:c r="E224" s="9"/>
      <x:c r="F224" s="9"/>
      <x:c r="G224" s="9"/>
      <x:c r="H224" s="9"/>
      <x:c r="I224" s="10"/>
      <x:c r="J224" s="10"/>
      <x:c r="K224" s="11" t="str">
        <x:f>IF(AND(ISNUMBER(I224),ISNUMBER(F224),F224&gt;0),I224/F224,"")</x:f>
      </x:c>
      <x:c r="L224" s="11" t="str">
        <x:f>IF(AND(ISNUMBER(J224),ISNUMBER(F224),F224&gt;0),J224/F224,"")</x:f>
      </x:c>
      <x:c r="M224" s="9"/>
      <x:c r="N224" s="9"/>
      <x:c r="O224" s="9"/>
    </x:row>
    <x:row r="225" ht="35.25" customHeight="1">
      <x:c r="A225" s="8" t="str">
        <x:v>V7-S64698d259e</x:v>
      </x:c>
      <x:c r="B225" s="8" t="str">
        <x:v>Дополнительное профессиональное образование — Образовательный центр «Альтернатива»</x:v>
      </x:c>
      <x:c r="C225" s="8" t="str">
        <x:v>providers</x:v>
      </x:c>
      <x:c r="D225" s="9"/>
      <x:c r="E225" s="9"/>
      <x:c r="F225" s="9"/>
      <x:c r="G225" s="9"/>
      <x:c r="H225" s="9"/>
      <x:c r="I225" s="10"/>
      <x:c r="J225" s="10"/>
      <x:c r="K225" s="11" t="str">
        <x:f>IF(AND(ISNUMBER(I225),ISNUMBER(F225),F225&gt;0),I225/F225,"")</x:f>
      </x:c>
      <x:c r="L225" s="11" t="str">
        <x:f>IF(AND(ISNUMBER(J225),ISNUMBER(F225),F225&gt;0),J225/F225,"")</x:f>
      </x:c>
      <x:c r="M225" s="9"/>
      <x:c r="N225" s="9"/>
      <x:c r="O225" s="9"/>
    </x:row>
    <x:row r="226" ht="35.25" customHeight="1">
      <x:c r="A226" s="8" t="str">
        <x:v>V7-Sed01d45ce5</x:v>
      </x:c>
      <x:c r="B226" s="8" t="str">
        <x:v>Обучение франчайзи: как передать стандарты сети и проверить их — Блог Edumotion</x:v>
      </x:c>
      <x:c r="C226" s="8" t="str">
        <x:v>business</x:v>
      </x:c>
      <x:c r="D226" s="9"/>
      <x:c r="E226" s="9"/>
      <x:c r="F226" s="9"/>
      <x:c r="G226" s="9"/>
      <x:c r="H226" s="9"/>
      <x:c r="I226" s="10"/>
      <x:c r="J226" s="10"/>
      <x:c r="K226" s="11" t="str">
        <x:f>IF(AND(ISNUMBER(I226),ISNUMBER(F226),F226&gt;0),I226/F226,"")</x:f>
      </x:c>
      <x:c r="L226" s="11" t="str">
        <x:f>IF(AND(ISNUMBER(J226),ISNUMBER(F226),F226&gt;0),J226/F226,"")</x:f>
      </x:c>
      <x:c r="M226" s="9"/>
      <x:c r="N226" s="9"/>
      <x:c r="O226" s="9"/>
    </x:row>
    <x:row r="227" ht="33" customHeight="1">
      <x:c r="A227" s="8" t="str">
        <x:v>V7-S8f415bfe42</x:v>
      </x:c>
      <x:c r="B227" s="8" t="str">
        <x:v>Спикеры издательства ЭКСМО</x:v>
      </x:c>
      <x:c r="C227" s="8" t="str">
        <x:v>events</x:v>
      </x:c>
      <x:c r="D227" s="9"/>
      <x:c r="E227" s="9"/>
      <x:c r="F227" s="9"/>
      <x:c r="G227" s="9"/>
      <x:c r="H227" s="9"/>
      <x:c r="I227" s="10"/>
      <x:c r="J227" s="10"/>
      <x:c r="K227" s="11" t="str">
        <x:f>IF(AND(ISNUMBER(I227),ISNUMBER(F227),F227&gt;0),I227/F227,"")</x:f>
      </x:c>
      <x:c r="L227" s="11" t="str">
        <x:f>IF(AND(ISNUMBER(J227),ISNUMBER(F227),F227&gt;0),J227/F227,"")</x:f>
      </x:c>
      <x:c r="M227" s="9"/>
      <x:c r="N227" s="9"/>
      <x:c r="O227" s="9"/>
    </x:row>
    <x:row r="228" ht="35.25" customHeight="1">
      <x:c r="A228" s="8" t="str">
        <x:v>V7-S7bed540412</x:v>
      </x:c>
      <x:c r="B228" s="8" t="str">
        <x:v>Методист онлайн-обучения (педагогический дизайнер) в IT — Твой центр карьеры онлайн</x:v>
      </x:c>
      <x:c r="C228" s="8" t="str">
        <x:v>projects</x:v>
      </x:c>
      <x:c r="D228" s="9"/>
      <x:c r="E228" s="9"/>
      <x:c r="F228" s="9"/>
      <x:c r="G228" s="9"/>
      <x:c r="H228" s="9"/>
      <x:c r="I228" s="10"/>
      <x:c r="J228" s="10"/>
      <x:c r="K228" s="11" t="str">
        <x:f>IF(AND(ISNUMBER(I228),ISNUMBER(F228),F228&gt;0),I228/F228,"")</x:f>
      </x:c>
      <x:c r="L228" s="11" t="str">
        <x:f>IF(AND(ISNUMBER(J228),ISNUMBER(F228),F228&gt;0),J228/F228,"")</x:f>
      </x:c>
      <x:c r="M228" s="9"/>
      <x:c r="N228" s="9"/>
      <x:c r="O228" s="9"/>
    </x:row>
    <x:row r="229" ht="35.25" customHeight="1">
      <x:c r="A229" s="8" t="str">
        <x:v>V7-S4c7755e308</x:v>
      </x:c>
      <x:c r="B229" s="8" t="str">
        <x:v>Тренинг: HR-TOUR: лучшие управленческие решения в бизнесе | Учебный центр Шифт</x:v>
      </x:c>
      <x:c r="C229" s="8" t="str">
        <x:v>regional_hr</x:v>
      </x:c>
      <x:c r="D229" s="9"/>
      <x:c r="E229" s="9"/>
      <x:c r="F229" s="9"/>
      <x:c r="G229" s="9"/>
      <x:c r="H229" s="9"/>
      <x:c r="I229" s="10"/>
      <x:c r="J229" s="10"/>
      <x:c r="K229" s="11" t="str">
        <x:f>IF(AND(ISNUMBER(I229),ISNUMBER(F229),F229&gt;0),I229/F229,"")</x:f>
      </x:c>
      <x:c r="L229" s="11" t="str">
        <x:f>IF(AND(ISNUMBER(J229),ISNUMBER(F229),F229&gt;0),J229/F229,"")</x:f>
      </x:c>
      <x:c r="M229" s="9"/>
      <x:c r="N229" s="9"/>
      <x:c r="O229" s="9"/>
    </x:row>
    <x:row r="230" ht="33" customHeight="1">
      <x:c r="A230" s="8" t="str">
        <x:v>V7-Se592f892e6</x:v>
      </x:c>
      <x:c r="B230" s="8" t="str">
        <x:v>Евразийский антимонопольный форум</x:v>
      </x:c>
      <x:c r="C230" s="8" t="str">
        <x:v>events</x:v>
      </x:c>
      <x:c r="D230" s="9"/>
      <x:c r="E230" s="9"/>
      <x:c r="F230" s="9"/>
      <x:c r="G230" s="9"/>
      <x:c r="H230" s="9"/>
      <x:c r="I230" s="10"/>
      <x:c r="J230" s="10"/>
      <x:c r="K230" s="11" t="str">
        <x:f>IF(AND(ISNUMBER(I230),ISNUMBER(F230),F230&gt;0),I230/F230,"")</x:f>
      </x:c>
      <x:c r="L230" s="11" t="str">
        <x:f>IF(AND(ISNUMBER(J230),ISNUMBER(F230),F230&gt;0),J230/F230,"")</x:f>
      </x:c>
      <x:c r="M230" s="9"/>
      <x:c r="N230" s="9"/>
      <x:c r="O230" s="9"/>
    </x:row>
    <x:row r="231" ht="35.25" customHeight="1">
      <x:c r="A231" s="8" t="str">
        <x:v>V7-S28e5153674</x:v>
      </x:c>
      <x:c r="B231" s="8" t="str">
        <x:v>«ПрофесCIOнал»: старт нового потока программы для ИТ-директоров | MyAIde Events</x:v>
      </x:c>
      <x:c r="C231" s="8" t="str">
        <x:v>functional</x:v>
      </x:c>
      <x:c r="D231" s="9"/>
      <x:c r="E231" s="9"/>
      <x:c r="F231" s="9"/>
      <x:c r="G231" s="9"/>
      <x:c r="H231" s="9"/>
      <x:c r="I231" s="10"/>
      <x:c r="J231" s="10"/>
      <x:c r="K231" s="11" t="str">
        <x:f>IF(AND(ISNUMBER(I231),ISNUMBER(F231),F231&gt;0),I231/F231,"")</x:f>
      </x:c>
      <x:c r="L231" s="11" t="str">
        <x:f>IF(AND(ISNUMBER(J231),ISNUMBER(F231),F231&gt;0),J231/F231,"")</x:f>
      </x:c>
      <x:c r="M231" s="9"/>
      <x:c r="N231" s="9"/>
      <x:c r="O231" s="9"/>
    </x:row>
    <x:row r="232" ht="35.25" customHeight="1">
      <x:c r="A232" s="8" t="str">
        <x:v>V7-S763a55838c</x:v>
      </x:c>
      <x:c r="B232" s="8" t="str">
        <x:v>Обучающие программы и практические семинары ТЭК-Торг на 2026 год</x:v>
      </x:c>
      <x:c r="C232" s="8" t="str">
        <x:v>functional</x:v>
      </x:c>
      <x:c r="D232" s="9"/>
      <x:c r="E232" s="9"/>
      <x:c r="F232" s="9"/>
      <x:c r="G232" s="9"/>
      <x:c r="H232" s="9"/>
      <x:c r="I232" s="10"/>
      <x:c r="J232" s="10"/>
      <x:c r="K232" s="11" t="str">
        <x:f>IF(AND(ISNUMBER(I232),ISNUMBER(F232),F232&gt;0),I232/F232,"")</x:f>
      </x:c>
      <x:c r="L232" s="11" t="str">
        <x:f>IF(AND(ISNUMBER(J232),ISNUMBER(F232),F232&gt;0),J232/F232,"")</x:f>
      </x:c>
      <x:c r="M232" s="9"/>
      <x:c r="N232" s="9"/>
      <x:c r="O232" s="9"/>
    </x:row>
    <x:row r="233" ht="33" customHeight="1">
      <x:c r="A233" s="8" t="str">
        <x:v>V7-S8897fba786</x:v>
      </x:c>
      <x:c r="B233" s="8" t="str">
        <x:v>Обучение | СРО СВЗ</x:v>
      </x:c>
      <x:c r="C233" s="8" t="str">
        <x:v>industry</x:v>
      </x:c>
      <x:c r="D233" s="9"/>
      <x:c r="E233" s="9"/>
      <x:c r="F233" s="9"/>
      <x:c r="G233" s="9"/>
      <x:c r="H233" s="9"/>
      <x:c r="I233" s="10"/>
      <x:c r="J233" s="10"/>
      <x:c r="K233" s="11" t="str">
        <x:f>IF(AND(ISNUMBER(I233),ISNUMBER(F233),F233&gt;0),I233/F233,"")</x:f>
      </x:c>
      <x:c r="L233" s="11" t="str">
        <x:f>IF(AND(ISNUMBER(J233),ISNUMBER(F233),F233&gt;0),J233/F233,"")</x:f>
      </x:c>
      <x:c r="M233" s="9"/>
      <x:c r="N233" s="9"/>
      <x:c r="O233" s="9"/>
    </x:row>
    <x:row r="234" ht="33" customHeight="1">
      <x:c r="A234" s="8" t="str">
        <x:v>V7-S6368a636f3</x:v>
      </x:c>
      <x:c r="B234" s="8" t="str">
        <x:v>Главная - Центр поддержки экспорта</x:v>
      </x:c>
      <x:c r="C234" s="8" t="str">
        <x:v>development</x:v>
      </x:c>
      <x:c r="D234" s="9"/>
      <x:c r="E234" s="9"/>
      <x:c r="F234" s="9"/>
      <x:c r="G234" s="9"/>
      <x:c r="H234" s="9"/>
      <x:c r="I234" s="10"/>
      <x:c r="J234" s="10"/>
      <x:c r="K234" s="11" t="str">
        <x:f>IF(AND(ISNUMBER(I234),ISNUMBER(F234),F234&gt;0),I234/F234,"")</x:f>
      </x:c>
      <x:c r="L234" s="11" t="str">
        <x:f>IF(AND(ISNUMBER(J234),ISNUMBER(F234),F234&gt;0),J234/F234,"")</x:f>
      </x:c>
      <x:c r="M234" s="9"/>
      <x:c r="N234" s="9"/>
      <x:c r="O234" s="9"/>
    </x:row>
    <x:row r="235" ht="47.25" customHeight="1">
      <x:c r="A235" s="8" t="str">
        <x:v>V7-S456bc0ae5b</x:v>
      </x:c>
      <x:c r="B235" s="8" t="str">
        <x:v>Открывается набор участников на акселерационную программу «Экспортный форсаж» - «Центр поддержки экспорта Мурманской области&amp;raquo</x:v>
      </x:c>
      <x:c r="C235" s="8" t="str">
        <x:v>development</x:v>
      </x:c>
      <x:c r="D235" s="9"/>
      <x:c r="E235" s="9"/>
      <x:c r="F235" s="9"/>
      <x:c r="G235" s="9"/>
      <x:c r="H235" s="9"/>
      <x:c r="I235" s="10"/>
      <x:c r="J235" s="10"/>
      <x:c r="K235" s="11" t="str">
        <x:f>IF(AND(ISNUMBER(I235),ISNUMBER(F235),F235&gt;0),I235/F235,"")</x:f>
      </x:c>
      <x:c r="L235" s="11" t="str">
        <x:f>IF(AND(ISNUMBER(J235),ISNUMBER(F235),F235&gt;0),J235/F235,"")</x:f>
      </x:c>
      <x:c r="M235" s="9"/>
      <x:c r="N235" s="9"/>
      <x:c r="O235" s="9"/>
    </x:row>
    <x:row r="236" ht="33" customHeight="1">
      <x:c r="A236" s="8" t="str">
        <x:v>V7-Sebea45008b</x:v>
      </x:c>
      <x:c r="B236" s="8" t="str">
        <x:v>Центр поддержки экспорта Смоленской области</x:v>
      </x:c>
      <x:c r="C236" s="8" t="str">
        <x:v>development</x:v>
      </x:c>
      <x:c r="D236" s="9"/>
      <x:c r="E236" s="9"/>
      <x:c r="F236" s="9"/>
      <x:c r="G236" s="9"/>
      <x:c r="H236" s="9"/>
      <x:c r="I236" s="10"/>
      <x:c r="J236" s="10"/>
      <x:c r="K236" s="11" t="str">
        <x:f>IF(AND(ISNUMBER(I236),ISNUMBER(F236),F236&gt;0),I236/F236,"")</x:f>
      </x:c>
      <x:c r="L236" s="11" t="str">
        <x:f>IF(AND(ISNUMBER(J236),ISNUMBER(F236),F236&gt;0),J236/F236,"")</x:f>
      </x:c>
      <x:c r="M236" s="9"/>
      <x:c r="N236" s="9"/>
      <x:c r="O236" s="9"/>
    </x:row>
    <x:row r="237" ht="33" customHeight="1">
      <x:c r="A237" s="8" t="str">
        <x:v>V7-S7ac6b59ced</x:v>
      </x:c>
      <x:c r="B237" s="8" t="str">
        <x:v>Фабрика бизнеса - Деловой клуб</x:v>
      </x:c>
      <x:c r="C237" s="8" t="str">
        <x:v>business</x:v>
      </x:c>
      <x:c r="D237" s="9"/>
      <x:c r="E237" s="9"/>
      <x:c r="F237" s="9"/>
      <x:c r="G237" s="9"/>
      <x:c r="H237" s="9"/>
      <x:c r="I237" s="10"/>
      <x:c r="J237" s="10"/>
      <x:c r="K237" s="11" t="str">
        <x:f>IF(AND(ISNUMBER(I237),ISNUMBER(F237),F237&gt;0),I237/F237,"")</x:f>
      </x:c>
      <x:c r="L237" s="11" t="str">
        <x:f>IF(AND(ISNUMBER(J237),ISNUMBER(F237),F237&gt;0),J237/F237,"")</x:f>
      </x:c>
      <x:c r="M237" s="9"/>
      <x:c r="N237" s="9"/>
      <x:c r="O237" s="9"/>
    </x:row>
    <x:row r="238" ht="35.25" customHeight="1">
      <x:c r="A238" s="8" t="str">
        <x:v>V7-S59f5e56219</x:v>
      </x:c>
      <x:c r="B238" s="8" t="str">
        <x:v>Директор проектов Академии кибербезопасности в СберУниверситет (корпоративный университет Сбера)</x:v>
      </x:c>
      <x:c r="C238" s="8" t="str">
        <x:v>cu</x:v>
      </x:c>
      <x:c r="D238" s="9"/>
      <x:c r="E238" s="9"/>
      <x:c r="F238" s="9"/>
      <x:c r="G238" s="9"/>
      <x:c r="H238" s="9"/>
      <x:c r="I238" s="10"/>
      <x:c r="J238" s="10"/>
      <x:c r="K238" s="11" t="str">
        <x:f>IF(AND(ISNUMBER(I238),ISNUMBER(F238),F238&gt;0),I238/F238,"")</x:f>
      </x:c>
      <x:c r="L238" s="11" t="str">
        <x:f>IF(AND(ISNUMBER(J238),ISNUMBER(F238),F238&gt;0),J238/F238,"")</x:f>
      </x:c>
      <x:c r="M238" s="9"/>
      <x:c r="N238" s="9"/>
      <x:c r="O238" s="9"/>
    </x:row>
    <x:row r="239" ht="35.25" customHeight="1">
      <x:c r="A239" s="8" t="str">
        <x:v>V7-S4ab967c00a</x:v>
      </x:c>
      <x:c r="B239" s="8" t="str">
        <x:v>Промышленный кластер ФОРУМ — сообщество руководителей производств</x:v>
      </x:c>
      <x:c r="C239" s="8" t="str">
        <x:v>events</x:v>
      </x:c>
      <x:c r="D239" s="9"/>
      <x:c r="E239" s="9"/>
      <x:c r="F239" s="9"/>
      <x:c r="G239" s="9"/>
      <x:c r="H239" s="9"/>
      <x:c r="I239" s="10"/>
      <x:c r="J239" s="10"/>
      <x:c r="K239" s="11" t="str">
        <x:f>IF(AND(ISNUMBER(I239),ISNUMBER(F239),F239&gt;0),I239/F239,"")</x:f>
      </x:c>
      <x:c r="L239" s="11" t="str">
        <x:f>IF(AND(ISNUMBER(J239),ISNUMBER(F239),F239&gt;0),J239/F239,"")</x:f>
      </x:c>
      <x:c r="M239" s="9"/>
      <x:c r="N239" s="9"/>
      <x:c r="O239" s="9"/>
    </x:row>
    <x:row r="240" ht="35.25" customHeight="1">
      <x:c r="A240" s="8" t="str">
        <x:v>V7-S97c151cc5c</x:v>
      </x:c>
      <x:c r="B240" s="8" t="str">
        <x:v>Как выглядит обучение персонала в сфере HoReCa - ФРиО - Федерация Рестораторов и Отельеров</x:v>
      </x:c>
      <x:c r="C240" s="8" t="str">
        <x:v>industry</x:v>
      </x:c>
      <x:c r="D240" s="9"/>
      <x:c r="E240" s="9"/>
      <x:c r="F240" s="9"/>
      <x:c r="G240" s="9"/>
      <x:c r="H240" s="9"/>
      <x:c r="I240" s="10"/>
      <x:c r="J240" s="10"/>
      <x:c r="K240" s="11" t="str">
        <x:f>IF(AND(ISNUMBER(I240),ISNUMBER(F240),F240&gt;0),I240/F240,"")</x:f>
      </x:c>
      <x:c r="L240" s="11" t="str">
        <x:f>IF(AND(ISNUMBER(J240),ISNUMBER(F240),F240&gt;0),J240/F240,"")</x:f>
      </x:c>
      <x:c r="M240" s="9"/>
      <x:c r="N240" s="9"/>
      <x:c r="O240" s="9"/>
    </x:row>
    <x:row r="241" ht="35.25" customHeight="1">
      <x:c r="A241" s="8" t="str">
        <x:v>V7-S27ea8ce566</x:v>
      </x:c>
      <x:c r="B241" s="8" t="str">
        <x:v>Рынок корпоративного образования для топ-менеджеров: спрос растет, общий язык еще создается</x:v>
      </x:c>
      <x:c r="C241" s="8" t="str">
        <x:v>projects</x:v>
      </x:c>
      <x:c r="D241" s="9"/>
      <x:c r="E241" s="9"/>
      <x:c r="F241" s="9"/>
      <x:c r="G241" s="9"/>
      <x:c r="H241" s="9"/>
      <x:c r="I241" s="10"/>
      <x:c r="J241" s="10"/>
      <x:c r="K241" s="11" t="str">
        <x:f>IF(AND(ISNUMBER(I241),ISNUMBER(F241),F241&gt;0),I241/F241,"")</x:f>
      </x:c>
      <x:c r="L241" s="11" t="str">
        <x:f>IF(AND(ISNUMBER(J241),ISNUMBER(F241),F241&gt;0),J241/F241,"")</x:f>
      </x:c>
      <x:c r="M241" s="9"/>
      <x:c r="N241" s="9"/>
      <x:c r="O241" s="9"/>
    </x:row>
    <x:row r="242" ht="33" customHeight="1">
      <x:c r="A242" s="8" t="str">
        <x:v>V7-S209ff33879</x:v>
      </x:c>
      <x:c r="B242" s="8" t="str">
        <x:v>Курс по систематизации бизнеса</x:v>
      </x:c>
      <x:c r="C242" s="8" t="str">
        <x:v>projects</x:v>
      </x:c>
      <x:c r="D242" s="9"/>
      <x:c r="E242" s="9"/>
      <x:c r="F242" s="9"/>
      <x:c r="G242" s="9"/>
      <x:c r="H242" s="9"/>
      <x:c r="I242" s="10"/>
      <x:c r="J242" s="10"/>
      <x:c r="K242" s="11" t="str">
        <x:f>IF(AND(ISNUMBER(I242),ISNUMBER(F242),F242&gt;0),I242/F242,"")</x:f>
      </x:c>
      <x:c r="L242" s="11" t="str">
        <x:f>IF(AND(ISNUMBER(J242),ISNUMBER(F242),F242&gt;0),J242/F242,"")</x:f>
      </x:c>
      <x:c r="M242" s="9"/>
      <x:c r="N242" s="9"/>
      <x:c r="O242" s="9"/>
    </x:row>
    <x:row r="243" ht="59.25" customHeight="1">
      <x:c r="A243" s="8" t="str">
        <x:v>V7-Sbcb39c2697</x:v>
      </x:c>
      <x:c r="B243" s="8" t="str">
        <x:v>Семинар: Выход на рынки ЕАЭС, преференции в госзакупках в Республике Беларусь — Выход на рынки ЕАЭС, преференции в госзакупках в Республике Беларусь</x:v>
      </x:c>
      <x:c r="C243" s="8" t="str">
        <x:v>development</x:v>
      </x:c>
      <x:c r="D243" s="9"/>
      <x:c r="E243" s="9"/>
      <x:c r="F243" s="9"/>
      <x:c r="G243" s="9"/>
      <x:c r="H243" s="9"/>
      <x:c r="I243" s="10"/>
      <x:c r="J243" s="10"/>
      <x:c r="K243" s="11" t="str">
        <x:f>IF(AND(ISNUMBER(I243),ISNUMBER(F243),F243&gt;0),I243/F243,"")</x:f>
      </x:c>
      <x:c r="L243" s="11" t="str">
        <x:f>IF(AND(ISNUMBER(J243),ISNUMBER(F243),F243&gt;0),J243/F243,"")</x:f>
      </x:c>
      <x:c r="M243" s="9"/>
      <x:c r="N243" s="9"/>
      <x:c r="O243" s="9"/>
    </x:row>
    <x:row r="244" ht="33" customHeight="1">
      <x:c r="A244" s="8" t="str">
        <x:v>V7-S0837ef43f9</x:v>
      </x:c>
      <x:c r="B244" s="8" t="str">
        <x:v>Преподаватели - Высшая Школа Бизнеса AlmaU</x:v>
      </x:c>
      <x:c r="C244" s="8" t="str">
        <x:v>providers</x:v>
      </x:c>
      <x:c r="D244" s="9"/>
      <x:c r="E244" s="9"/>
      <x:c r="F244" s="9"/>
      <x:c r="G244" s="9"/>
      <x:c r="H244" s="9"/>
      <x:c r="I244" s="10"/>
      <x:c r="J244" s="10"/>
      <x:c r="K244" s="11" t="str">
        <x:f>IF(AND(ISNUMBER(I244),ISNUMBER(F244),F244&gt;0),I244/F244,"")</x:f>
      </x:c>
      <x:c r="L244" s="11" t="str">
        <x:f>IF(AND(ISNUMBER(J244),ISNUMBER(F244),F244&gt;0),J244/F244,"")</x:f>
      </x:c>
      <x:c r="M244" s="9"/>
      <x:c r="N244" s="9"/>
      <x:c r="O244" s="9"/>
    </x:row>
    <x:row r="245" ht="35.25" customHeight="1">
      <x:c r="A245" s="8" t="str">
        <x:v>V7-Sc8c7003a64</x:v>
      </x:c>
      <x:c r="B245" s="8" t="str">
        <x:v>Повышение квалификации - Ассоциация профессионалов индустрии гостеприимства - официальный сайт</x:v>
      </x:c>
      <x:c r="C245" s="8" t="str">
        <x:v>industry</x:v>
      </x:c>
      <x:c r="D245" s="9"/>
      <x:c r="E245" s="9"/>
      <x:c r="F245" s="9"/>
      <x:c r="G245" s="9"/>
      <x:c r="H245" s="9"/>
      <x:c r="I245" s="10"/>
      <x:c r="J245" s="10"/>
      <x:c r="K245" s="11" t="str">
        <x:f>IF(AND(ISNUMBER(I245),ISNUMBER(F245),F245&gt;0),I245/F245,"")</x:f>
      </x:c>
      <x:c r="L245" s="11" t="str">
        <x:f>IF(AND(ISNUMBER(J245),ISNUMBER(F245),F245&gt;0),J245/F245,"")</x:f>
      </x:c>
      <x:c r="M245" s="9"/>
      <x:c r="N245" s="9"/>
      <x:c r="O245" s="9"/>
    </x:row>
    <x:row r="246" ht="35.25" customHeight="1">
      <x:c r="A246" s="8" t="str">
        <x:v>V7-S6f9ddb405e</x:v>
      </x:c>
      <x:c r="B246" s="8" t="str">
        <x:v>HR Форум 2015 в Уфе: Человеческий капитал. Повышение эффективности в новых условиях.</x:v>
      </x:c>
      <x:c r="C246" s="8" t="str">
        <x:v>regional_hr</x:v>
      </x:c>
      <x:c r="D246" s="9"/>
      <x:c r="E246" s="9"/>
      <x:c r="F246" s="9"/>
      <x:c r="G246" s="9"/>
      <x:c r="H246" s="9"/>
      <x:c r="I246" s="10"/>
      <x:c r="J246" s="10"/>
      <x:c r="K246" s="11" t="str">
        <x:f>IF(AND(ISNUMBER(I246),ISNUMBER(F246),F246&gt;0),I246/F246,"")</x:f>
      </x:c>
      <x:c r="L246" s="11" t="str">
        <x:f>IF(AND(ISNUMBER(J246),ISNUMBER(F246),F246&gt;0),J246/F246,"")</x:f>
      </x:c>
      <x:c r="M246" s="9"/>
      <x:c r="N246" s="9"/>
      <x:c r="O246" s="9"/>
    </x:row>
    <x:row r="247" ht="33" customHeight="1">
      <x:c r="A247" s="8" t="str">
        <x:v>V7-S5c08f98a09</x:v>
      </x:c>
      <x:c r="B247" s="8" t="str">
        <x:v>Корпоративный портал - цены и внедрение | HRBOX</x:v>
      </x:c>
      <x:c r="C247" s="8" t="str">
        <x:v>regional_hr</x:v>
      </x:c>
      <x:c r="D247" s="9"/>
      <x:c r="E247" s="9"/>
      <x:c r="F247" s="9"/>
      <x:c r="G247" s="9"/>
      <x:c r="H247" s="9"/>
      <x:c r="I247" s="10"/>
      <x:c r="J247" s="10"/>
      <x:c r="K247" s="11" t="str">
        <x:f>IF(AND(ISNUMBER(I247),ISNUMBER(F247),F247&gt;0),I247/F247,"")</x:f>
      </x:c>
      <x:c r="L247" s="11" t="str">
        <x:f>IF(AND(ISNUMBER(J247),ISNUMBER(F247),F247&gt;0),J247/F247,"")</x:f>
      </x:c>
      <x:c r="M247" s="9"/>
      <x:c r="N247" s="9"/>
      <x:c r="O247" s="9"/>
    </x:row>
    <x:row r="248" ht="35.25" customHeight="1">
      <x:c r="A248" s="8" t="str">
        <x:v>V7-Sc847c37214</x:v>
      </x:c>
      <x:c r="B248" s="8" t="str">
        <x:v>Города HR Choice — работа и вакансии в городах России | HR Choice Russia</x:v>
      </x:c>
      <x:c r="C248" s="8" t="str">
        <x:v>regional_hr</x:v>
      </x:c>
      <x:c r="D248" s="9"/>
      <x:c r="E248" s="9"/>
      <x:c r="F248" s="9"/>
      <x:c r="G248" s="9"/>
      <x:c r="H248" s="9"/>
      <x:c r="I248" s="10"/>
      <x:c r="J248" s="10"/>
      <x:c r="K248" s="11" t="str">
        <x:f>IF(AND(ISNUMBER(I248),ISNUMBER(F248),F248&gt;0),I248/F248,"")</x:f>
      </x:c>
      <x:c r="L248" s="11" t="str">
        <x:f>IF(AND(ISNUMBER(J248),ISNUMBER(F248),F248&gt;0),J248/F248,"")</x:f>
      </x:c>
      <x:c r="M248" s="9"/>
      <x:c r="N248" s="9"/>
      <x:c r="O248" s="9"/>
    </x:row>
    <x:row r="249" ht="35.25" customHeight="1">
      <x:c r="A249" s="8" t="str">
        <x:v>V7-Sc588bfda22</x:v>
      </x:c>
      <x:c r="B249" s="8" t="str">
        <x:v>Омниканальный мессенджер для рекрутинга: WhatsApp + AI-скрининг | HRStream</x:v>
      </x:c>
      <x:c r="C249" s="8" t="str">
        <x:v>regional_hr</x:v>
      </x:c>
      <x:c r="D249" s="9"/>
      <x:c r="E249" s="9"/>
      <x:c r="F249" s="9"/>
      <x:c r="G249" s="9"/>
      <x:c r="H249" s="9"/>
      <x:c r="I249" s="10"/>
      <x:c r="J249" s="10"/>
      <x:c r="K249" s="11" t="str">
        <x:f>IF(AND(ISNUMBER(I249),ISNUMBER(F249),F249&gt;0),I249/F249,"")</x:f>
      </x:c>
      <x:c r="L249" s="11" t="str">
        <x:f>IF(AND(ISNUMBER(J249),ISNUMBER(F249),F249&gt;0),J249/F249,"")</x:f>
      </x:c>
      <x:c r="M249" s="9"/>
      <x:c r="N249" s="9"/>
      <x:c r="O249" s="9"/>
    </x:row>
    <x:row r="250" ht="33" customHeight="1">
      <x:c r="A250" s="8" t="str">
        <x:v>V7-Sbea8686089</x:v>
      </x:c>
      <x:c r="B250" s="8" t="str">
        <x:v>Чат-бот Teams для HR - отдела кадров</x:v>
      </x:c>
      <x:c r="C250" s="8" t="str">
        <x:v>regional_hr</x:v>
      </x:c>
      <x:c r="D250" s="9"/>
      <x:c r="E250" s="9"/>
      <x:c r="F250" s="9"/>
      <x:c r="G250" s="9"/>
      <x:c r="H250" s="9"/>
      <x:c r="I250" s="10"/>
      <x:c r="J250" s="10"/>
      <x:c r="K250" s="11" t="str">
        <x:f>IF(AND(ISNUMBER(I250),ISNUMBER(F250),F250&gt;0),I250/F250,"")</x:f>
      </x:c>
      <x:c r="L250" s="11" t="str">
        <x:f>IF(AND(ISNUMBER(J250),ISNUMBER(F250),F250&gt;0),J250/F250,"")</x:f>
      </x:c>
      <x:c r="M250" s="9"/>
      <x:c r="N250" s="9"/>
      <x:c r="O250" s="9"/>
    </x:row>
    <x:row r="251" ht="35.25" customHeight="1">
      <x:c r="A251" s="8" t="str">
        <x:v>V7-S54be7cbf01</x:v>
      </x:c>
      <x:c r="B251" s="8" t="str">
        <x:v>Бизнес-премия "Персонал. Импульс. Дальний Восток"</x:v>
      </x:c>
      <x:c r="C251" s="8" t="str">
        <x:v>regional_hr</x:v>
      </x:c>
      <x:c r="D251" s="9"/>
      <x:c r="E251" s="9"/>
      <x:c r="F251" s="9"/>
      <x:c r="G251" s="9"/>
      <x:c r="H251" s="9"/>
      <x:c r="I251" s="10"/>
      <x:c r="J251" s="10"/>
      <x:c r="K251" s="11" t="str">
        <x:f>IF(AND(ISNUMBER(I251),ISNUMBER(F251),F251&gt;0),I251/F251,"")</x:f>
      </x:c>
      <x:c r="L251" s="11" t="str">
        <x:f>IF(AND(ISNUMBER(J251),ISNUMBER(F251),F251&gt;0),J251/F251,"")</x:f>
      </x:c>
      <x:c r="M251" s="9"/>
      <x:c r="N251" s="9"/>
      <x:c r="O251" s="9"/>
    </x:row>
    <x:row r="252" ht="33" customHeight="1">
      <x:c r="A252" s="8" t="str">
        <x:v>V7-Sf82388bd8c</x:v>
      </x:c>
      <x:c r="B252" s="8" t="str">
        <x:v>Спикеры и эксперты</x:v>
      </x:c>
      <x:c r="C252" s="8" t="str">
        <x:v>events</x:v>
      </x:c>
      <x:c r="D252" s="9"/>
      <x:c r="E252" s="9"/>
      <x:c r="F252" s="9"/>
      <x:c r="G252" s="9"/>
      <x:c r="H252" s="9"/>
      <x:c r="I252" s="10"/>
      <x:c r="J252" s="10"/>
      <x:c r="K252" s="11" t="str">
        <x:f>IF(AND(ISNUMBER(I252),ISNUMBER(F252),F252&gt;0),I252/F252,"")</x:f>
      </x:c>
      <x:c r="L252" s="11" t="str">
        <x:f>IF(AND(ISNUMBER(J252),ISNUMBER(F252),F252&gt;0),J252/F252,"")</x:f>
      </x:c>
      <x:c r="M252" s="9"/>
      <x:c r="N252" s="9"/>
      <x:c r="O252" s="9"/>
    </x:row>
    <x:row r="253" ht="35.25" customHeight="1">
      <x:c r="A253" s="8" t="str">
        <x:v>V7-S8de13be900</x:v>
      </x:c>
      <x:c r="B253" s="8" t="str">
        <x:v>Стать спикером ИТ-конференции Синтез| Merge 2027 в Иннополисе</x:v>
      </x:c>
      <x:c r="C253" s="8" t="str">
        <x:v>events</x:v>
      </x:c>
      <x:c r="D253" s="9"/>
      <x:c r="E253" s="9"/>
      <x:c r="F253" s="9"/>
      <x:c r="G253" s="9"/>
      <x:c r="H253" s="9"/>
      <x:c r="I253" s="10"/>
      <x:c r="J253" s="10"/>
      <x:c r="K253" s="11" t="str">
        <x:f>IF(AND(ISNUMBER(I253),ISNUMBER(F253),F253&gt;0),I253/F253,"")</x:f>
      </x:c>
      <x:c r="L253" s="11" t="str">
        <x:f>IF(AND(ISNUMBER(J253),ISNUMBER(F253),F253&gt;0),J253/F253,"")</x:f>
      </x:c>
      <x:c r="M253" s="9"/>
      <x:c r="N253" s="9"/>
      <x:c r="O253" s="9"/>
    </x:row>
    <x:row r="254" ht="33" customHeight="1">
      <x:c r="A254" s="8" t="str">
        <x:v>V7-S2f94d29a9b</x:v>
      </x:c>
      <x:c r="B254" s="8" t="str">
        <x:v>СИПБИЗНЕС-К</x:v>
      </x:c>
      <x:c r="C254" s="8" t="str">
        <x:v>industry</x:v>
      </x:c>
      <x:c r="D254" s="9"/>
      <x:c r="E254" s="9"/>
      <x:c r="F254" s="9"/>
      <x:c r="G254" s="9"/>
      <x:c r="H254" s="9"/>
      <x:c r="I254" s="10"/>
      <x:c r="J254" s="10"/>
      <x:c r="K254" s="11" t="str">
        <x:f>IF(AND(ISNUMBER(I254),ISNUMBER(F254),F254&gt;0),I254/F254,"")</x:f>
      </x:c>
      <x:c r="L254" s="11" t="str">
        <x:f>IF(AND(ISNUMBER(J254),ISNUMBER(F254),F254&gt;0),J254/F254,"")</x:f>
      </x:c>
      <x:c r="M254" s="9"/>
      <x:c r="N254" s="9"/>
      <x:c r="O254" s="9"/>
    </x:row>
    <x:row r="255" ht="33" customHeight="1">
      <x:c r="A255" s="8" t="str">
        <x:v>V7-S7d50b6cc50</x:v>
      </x:c>
      <x:c r="B255" s="8" t="str">
        <x:v>Стать спикером</x:v>
      </x:c>
      <x:c r="C255" s="8" t="str">
        <x:v>events</x:v>
      </x:c>
      <x:c r="D255" s="9"/>
      <x:c r="E255" s="9"/>
      <x:c r="F255" s="9"/>
      <x:c r="G255" s="9"/>
      <x:c r="H255" s="9"/>
      <x:c r="I255" s="10"/>
      <x:c r="J255" s="10"/>
      <x:c r="K255" s="11" t="str">
        <x:f>IF(AND(ISNUMBER(I255),ISNUMBER(F255),F255&gt;0),I255/F255,"")</x:f>
      </x:c>
      <x:c r="L255" s="11" t="str">
        <x:f>IF(AND(ISNUMBER(J255),ISNUMBER(F255),F255&gt;0),J255/F255,"")</x:f>
      </x:c>
      <x:c r="M255" s="9"/>
      <x:c r="N255" s="9"/>
      <x:c r="O255" s="9"/>
    </x:row>
    <x:row r="256" ht="33" customHeight="1">
      <x:c r="A256" s="8" t="str">
        <x:v>V7-S638033473a</x:v>
      </x:c>
      <x:c r="B256" s="8" t="str">
        <x:v>Новости - Центр поддержки экспорта ЕАО</x:v>
      </x:c>
      <x:c r="C256" s="8" t="str">
        <x:v>development</x:v>
      </x:c>
      <x:c r="D256" s="9"/>
      <x:c r="E256" s="9"/>
      <x:c r="F256" s="9"/>
      <x:c r="G256" s="9"/>
      <x:c r="H256" s="9"/>
      <x:c r="I256" s="10"/>
      <x:c r="J256" s="10"/>
      <x:c r="K256" s="11" t="str">
        <x:f>IF(AND(ISNUMBER(I256),ISNUMBER(F256),F256&gt;0),I256/F256,"")</x:f>
      </x:c>
      <x:c r="L256" s="11" t="str">
        <x:f>IF(AND(ISNUMBER(J256),ISNUMBER(F256),F256&gt;0),J256/F256,"")</x:f>
      </x:c>
      <x:c r="M256" s="9"/>
      <x:c r="N256" s="9"/>
      <x:c r="O256" s="9"/>
    </x:row>
    <x:row r="257" ht="47.25" customHeight="1">
      <x:c r="A257" s="8" t="str">
        <x:v>V7-Sa816b828e1</x:v>
      </x:c>
      <x:c r="B257" s="8" t="str">
        <x:v>Направление 2. Сотрудничество бизнеса и вузов: лучшие европейские практики. Российский и Казахский</x:v>
      </x:c>
      <x:c r="C257" s="8" t="str">
        <x:v>cu</x:v>
      </x:c>
      <x:c r="D257" s="9"/>
      <x:c r="E257" s="9"/>
      <x:c r="F257" s="9"/>
      <x:c r="G257" s="9"/>
      <x:c r="H257" s="9"/>
      <x:c r="I257" s="10"/>
      <x:c r="J257" s="10"/>
      <x:c r="K257" s="11" t="str">
        <x:f>IF(AND(ISNUMBER(I257),ISNUMBER(F257),F257&gt;0),I257/F257,"")</x:f>
      </x:c>
      <x:c r="L257" s="11" t="str">
        <x:f>IF(AND(ISNUMBER(J257),ISNUMBER(F257),F257&gt;0),J257/F257,"")</x:f>
      </x:c>
      <x:c r="M257" s="9"/>
      <x:c r="N257" s="9"/>
      <x:c r="O257" s="9"/>
    </x:row>
    <x:row r="258" ht="35.25" customHeight="1">
      <x:c r="A258" s="8" t="str">
        <x:v>V7-S8d6217d5c1</x:v>
      </x:c>
      <x:c r="B258" s="8" t="str">
        <x:v>Международную транспортно-логистическую ассоциацию ...</x:v>
      </x:c>
      <x:c r="C258" s="8" t="str">
        <x:v>functional</x:v>
      </x:c>
      <x:c r="D258" s="9"/>
      <x:c r="E258" s="9"/>
      <x:c r="F258" s="9"/>
      <x:c r="G258" s="9"/>
      <x:c r="H258" s="9"/>
      <x:c r="I258" s="10"/>
      <x:c r="J258" s="10"/>
      <x:c r="K258" s="11" t="str">
        <x:f>IF(AND(ISNUMBER(I258),ISNUMBER(F258),F258&gt;0),I258/F258,"")</x:f>
      </x:c>
      <x:c r="L258" s="11" t="str">
        <x:f>IF(AND(ISNUMBER(J258),ISNUMBER(F258),F258&gt;0),J258/F258,"")</x:f>
      </x:c>
      <x:c r="M258" s="9"/>
      <x:c r="N258" s="9"/>
      <x:c r="O258" s="9"/>
    </x:row>
    <x:row r="259" ht="33" customHeight="1">
      <x:c r="A259" s="8" t="str">
        <x:v>V7-Sb0e6e708e8</x:v>
      </x:c>
      <x:c r="B259" s="8" t="str">
        <x:v>Обучающие семинары и курсы</x:v>
      </x:c>
      <x:c r="C259" s="8" t="str">
        <x:v>industry</x:v>
      </x:c>
      <x:c r="D259" s="9"/>
      <x:c r="E259" s="9"/>
      <x:c r="F259" s="9"/>
      <x:c r="G259" s="9"/>
      <x:c r="H259" s="9"/>
      <x:c r="I259" s="10"/>
      <x:c r="J259" s="10"/>
      <x:c r="K259" s="11" t="str">
        <x:f>IF(AND(ISNUMBER(I259),ISNUMBER(F259),F259&gt;0),I259/F259,"")</x:f>
      </x:c>
      <x:c r="L259" s="11" t="str">
        <x:f>IF(AND(ISNUMBER(J259),ISNUMBER(F259),F259&gt;0),J259/F259,"")</x:f>
      </x:c>
      <x:c r="M259" s="9"/>
      <x:c r="N259" s="9"/>
      <x:c r="O259" s="9"/>
    </x:row>
    <x:row r="260" ht="35.25" customHeight="1">
      <x:c r="A260" s="8" t="str">
        <x:v>V7-S1739e15b2e</x:v>
      </x:c>
      <x:c r="B260" s="8" t="str">
        <x:v>Награды 2024 года - HR-награды МТС - Красноярский край — Красноярск</x:v>
      </x:c>
      <x:c r="C260" s="8" t="str">
        <x:v>regional_hr</x:v>
      </x:c>
      <x:c r="D260" s="9"/>
      <x:c r="E260" s="9"/>
      <x:c r="F260" s="9"/>
      <x:c r="G260" s="9"/>
      <x:c r="H260" s="9"/>
      <x:c r="I260" s="10"/>
      <x:c r="J260" s="10"/>
      <x:c r="K260" s="11" t="str">
        <x:f>IF(AND(ISNUMBER(I260),ISNUMBER(F260),F260&gt;0),I260/F260,"")</x:f>
      </x:c>
      <x:c r="L260" s="11" t="str">
        <x:f>IF(AND(ISNUMBER(J260),ISNUMBER(F260),F260&gt;0),J260/F260,"")</x:f>
      </x:c>
      <x:c r="M260" s="9"/>
      <x:c r="N260" s="9"/>
      <x:c r="O260" s="9"/>
    </x:row>
    <x:row r="261" ht="33" customHeight="1">
      <x:c r="A261" s="8" t="str">
        <x:v>V7-S68c0e462d3</x:v>
      </x:c>
      <x:c r="B261" s="8" t="str">
        <x:v>Центр развития предпринимательства и инноваций</x:v>
      </x:c>
      <x:c r="C261" s="8" t="str">
        <x:v>business</x:v>
      </x:c>
      <x:c r="D261" s="9"/>
      <x:c r="E261" s="9"/>
      <x:c r="F261" s="9"/>
      <x:c r="G261" s="9"/>
      <x:c r="H261" s="9"/>
      <x:c r="I261" s="10"/>
      <x:c r="J261" s="10"/>
      <x:c r="K261" s="11" t="str">
        <x:f>IF(AND(ISNUMBER(I261),ISNUMBER(F261),F261&gt;0),I261/F261,"")</x:f>
      </x:c>
      <x:c r="L261" s="11" t="str">
        <x:f>IF(AND(ISNUMBER(J261),ISNUMBER(F261),F261&gt;0),J261/F261,"")</x:f>
      </x:c>
      <x:c r="M261" s="9"/>
      <x:c r="N261" s="9"/>
      <x:c r="O261" s="9"/>
    </x:row>
    <x:row r="262" ht="35.25" customHeight="1">
      <x:c r="A262" s="8" t="str">
        <x:v>V7-S5411233558</x:v>
      </x:c>
      <x:c r="B262" s="8" t="str">
        <x:v>Бизнес-тренер — ПРОГРЕСС&amp;CO — Актау · Гибрид · Частичная — Finder.work</x:v>
      </x:c>
      <x:c r="C262" s="8" t="str">
        <x:v>projects</x:v>
      </x:c>
      <x:c r="D262" s="9"/>
      <x:c r="E262" s="9"/>
      <x:c r="F262" s="9"/>
      <x:c r="G262" s="9"/>
      <x:c r="H262" s="9"/>
      <x:c r="I262" s="10"/>
      <x:c r="J262" s="10"/>
      <x:c r="K262" s="11" t="str">
        <x:f>IF(AND(ISNUMBER(I262),ISNUMBER(F262),F262&gt;0),I262/F262,"")</x:f>
      </x:c>
      <x:c r="L262" s="11" t="str">
        <x:f>IF(AND(ISNUMBER(J262),ISNUMBER(F262),F262&gt;0),J262/F262,"")</x:f>
      </x:c>
      <x:c r="M262" s="9"/>
      <x:c r="N262" s="9"/>
      <x:c r="O262" s="9"/>
    </x:row>
    <x:row r="263" ht="33" customHeight="1">
      <x:c r="A263" s="8" t="str">
        <x:v>V7-Sa42a343cfe</x:v>
      </x:c>
      <x:c r="B263" s="8" t="str">
        <x:v>HR Messenger | LinkedIn</x:v>
      </x:c>
      <x:c r="C263" s="8" t="str">
        <x:v>regional_hr</x:v>
      </x:c>
      <x:c r="D263" s="9"/>
      <x:c r="E263" s="9"/>
      <x:c r="F263" s="9"/>
      <x:c r="G263" s="9"/>
      <x:c r="H263" s="9"/>
      <x:c r="I263" s="10"/>
      <x:c r="J263" s="10"/>
      <x:c r="K263" s="11" t="str">
        <x:f>IF(AND(ISNUMBER(I263),ISNUMBER(F263),F263&gt;0),I263/F263,"")</x:f>
      </x:c>
      <x:c r="L263" s="11" t="str">
        <x:f>IF(AND(ISNUMBER(J263),ISNUMBER(F263),F263&gt;0),J263/F263,"")</x:f>
      </x:c>
      <x:c r="M263" s="9"/>
      <x:c r="N263" s="9"/>
      <x:c r="O263" s="9"/>
    </x:row>
    <x:row r="264" ht="35.25" customHeight="1">
      <x:c r="A264" s="8" t="str">
        <x:v>V7-Sb730054b0a</x:v>
      </x:c>
      <x:c r="B264" s="8" t="str">
        <x:v>Клуб ИТ руководителей России "ИТ-Диалог" | LinkedIn</x:v>
      </x:c>
      <x:c r="C264" s="8" t="str">
        <x:v>functional</x:v>
      </x:c>
      <x:c r="D264" s="9"/>
      <x:c r="E264" s="9"/>
      <x:c r="F264" s="9"/>
      <x:c r="G264" s="9"/>
      <x:c r="H264" s="9"/>
      <x:c r="I264" s="10"/>
      <x:c r="J264" s="10"/>
      <x:c r="K264" s="11" t="str">
        <x:f>IF(AND(ISNUMBER(I264),ISNUMBER(F264),F264&gt;0),I264/F264,"")</x:f>
      </x:c>
      <x:c r="L264" s="11" t="str">
        <x:f>IF(AND(ISNUMBER(J264),ISNUMBER(F264),F264&gt;0),J264/F264,"")</x:f>
      </x:c>
      <x:c r="M264" s="9"/>
      <x:c r="N264" s="9"/>
      <x:c r="O264" s="9"/>
    </x:row>
    <x:row r="265" ht="35.25" customHeight="1">
      <x:c r="A265" s="8" t="str">
        <x:v>V7-S60187d6ef2</x:v>
      </x:c>
      <x:c r="B265" s="8" t="str">
        <x:v>#hr #events #almaty #astana #hr4people | Marat Nurgaliyev | 15 комментариев</x:v>
      </x:c>
      <x:c r="C265" s="8" t="str">
        <x:v>regional_hr</x:v>
      </x:c>
      <x:c r="D265" s="9"/>
      <x:c r="E265" s="9"/>
      <x:c r="F265" s="9"/>
      <x:c r="G265" s="9"/>
      <x:c r="H265" s="9"/>
      <x:c r="I265" s="10"/>
      <x:c r="J265" s="10"/>
      <x:c r="K265" s="11" t="str">
        <x:f>IF(AND(ISNUMBER(I265),ISNUMBER(F265),F265&gt;0),I265/F265,"")</x:f>
      </x:c>
      <x:c r="L265" s="11" t="str">
        <x:f>IF(AND(ISNUMBER(J265),ISNUMBER(F265),F265&gt;0),J265/F265,"")</x:f>
      </x:c>
      <x:c r="M265" s="9"/>
      <x:c r="N265" s="9"/>
      <x:c r="O265" s="9"/>
    </x:row>
    <x:row r="266" ht="35.25" customHeight="1">
      <x:c r="A266" s="8" t="str">
        <x:v>V7-See64215a8b</x:v>
      </x:c>
      <x:c r="B266" s="8" t="str">
        <x:v>HR сообщество - HR хаб - в Фейсбуке. Добро пожаловать</x:v>
      </x:c>
      <x:c r="C266" s="8" t="str">
        <x:v>regional_hr</x:v>
      </x:c>
      <x:c r="D266" s="9"/>
      <x:c r="E266" s="9"/>
      <x:c r="F266" s="9"/>
      <x:c r="G266" s="9"/>
      <x:c r="H266" s="9"/>
      <x:c r="I266" s="10"/>
      <x:c r="J266" s="10"/>
      <x:c r="K266" s="11" t="str">
        <x:f>IF(AND(ISNUMBER(I266),ISNUMBER(F266),F266&gt;0),I266/F266,"")</x:f>
      </x:c>
      <x:c r="L266" s="11" t="str">
        <x:f>IF(AND(ISNUMBER(J266),ISNUMBER(F266),F266&gt;0),J266/F266,"")</x:f>
      </x:c>
      <x:c r="M266" s="9"/>
      <x:c r="N266" s="9"/>
      <x:c r="O266" s="9"/>
    </x:row>
    <x:row r="267" ht="33" customHeight="1">
      <x:c r="A267" s="8" t="str">
        <x:v>V7-S2730f27585</x:v>
      </x:c>
      <x:c r="B267" s="8" t="str">
        <x:v>О Союзе</x:v>
      </x:c>
      <x:c r="C267" s="8" t="str">
        <x:v>industry</x:v>
      </x:c>
      <x:c r="D267" s="9"/>
      <x:c r="E267" s="9"/>
      <x:c r="F267" s="9"/>
      <x:c r="G267" s="9"/>
      <x:c r="H267" s="9"/>
      <x:c r="I267" s="10"/>
      <x:c r="J267" s="10"/>
      <x:c r="K267" s="11" t="str">
        <x:f>IF(AND(ISNUMBER(I267),ISNUMBER(F267),F267&gt;0),I267/F267,"")</x:f>
      </x:c>
      <x:c r="L267" s="11" t="str">
        <x:f>IF(AND(ISNUMBER(J267),ISNUMBER(F267),F267&gt;0),J267/F267,"")</x:f>
      </x:c>
      <x:c r="M267" s="9"/>
      <x:c r="N267" s="9"/>
      <x:c r="O267" s="9"/>
    </x:row>
    <x:row r="268" ht="33" customHeight="1">
      <x:c r="A268" s="8" t="str">
        <x:v>V7-S1ee8273a71</x:v>
      </x:c>
      <x:c r="B268" s="8" t="str">
        <x:v>Мой бизнес</x:v>
      </x:c>
      <x:c r="C268" s="8" t="str">
        <x:v>development</x:v>
      </x:c>
      <x:c r="D268" s="9"/>
      <x:c r="E268" s="9"/>
      <x:c r="F268" s="9"/>
      <x:c r="G268" s="9"/>
      <x:c r="H268" s="9"/>
      <x:c r="I268" s="10"/>
      <x:c r="J268" s="10"/>
      <x:c r="K268" s="11" t="str">
        <x:f>IF(AND(ISNUMBER(I268),ISNUMBER(F268),F268&gt;0),I268/F268,"")</x:f>
      </x:c>
      <x:c r="L268" s="11" t="str">
        <x:f>IF(AND(ISNUMBER(J268),ISNUMBER(F268),F268&gt;0),J268/F268,"")</x:f>
      </x:c>
      <x:c r="M268" s="9"/>
      <x:c r="N268" s="9"/>
      <x:c r="O268" s="9"/>
    </x:row>
    <x:row r="269" ht="35.25" customHeight="1">
      <x:c r="A269" s="8" t="str">
        <x:v>V7-S67a95a1d43</x:v>
      </x:c>
      <x:c r="B269" s="8" t="str">
        <x:v>Центр развития и поддержки предпринимательства в НСО | Центр Мой Бизнес</x:v>
      </x:c>
      <x:c r="C269" s="8" t="str">
        <x:v>development</x:v>
      </x:c>
      <x:c r="D269" s="9"/>
      <x:c r="E269" s="9"/>
      <x:c r="F269" s="9"/>
      <x:c r="G269" s="9"/>
      <x:c r="H269" s="9"/>
      <x:c r="I269" s="10"/>
      <x:c r="J269" s="10"/>
      <x:c r="K269" s="11" t="str">
        <x:f>IF(AND(ISNUMBER(I269),ISNUMBER(F269),F269&gt;0),I269/F269,"")</x:f>
      </x:c>
      <x:c r="L269" s="11" t="str">
        <x:f>IF(AND(ISNUMBER(J269),ISNUMBER(F269),F269&gt;0),J269/F269,"")</x:f>
      </x:c>
      <x:c r="M269" s="9"/>
      <x:c r="N269" s="9"/>
      <x:c r="O269" s="9"/>
    </x:row>
    <x:row r="270" ht="33" customHeight="1">
      <x:c r="A270" s="8" t="str">
        <x:v>V7-S74f5c652a4</x:v>
      </x:c>
      <x:c r="B270" s="8" t="str">
        <x:v>Учись учить — тренинг тренеров. Коучинг</x:v>
      </x:c>
      <x:c r="C270" s="8" t="str">
        <x:v>projects</x:v>
      </x:c>
      <x:c r="D270" s="9"/>
      <x:c r="E270" s="9"/>
      <x:c r="F270" s="9"/>
      <x:c r="G270" s="9"/>
      <x:c r="H270" s="9"/>
      <x:c r="I270" s="10"/>
      <x:c r="J270" s="10"/>
      <x:c r="K270" s="11" t="str">
        <x:f>IF(AND(ISNUMBER(I270),ISNUMBER(F270),F270&gt;0),I270/F270,"")</x:f>
      </x:c>
      <x:c r="L270" s="11" t="str">
        <x:f>IF(AND(ISNUMBER(J270),ISNUMBER(F270),F270&gt;0),J270/F270,"")</x:f>
      </x:c>
      <x:c r="M270" s="9"/>
      <x:c r="N270" s="9"/>
      <x:c r="O270" s="9"/>
    </x:row>
    <x:row r="271" ht="33" customHeight="1">
      <x:c r="A271" s="8" t="str">
        <x:v>V7-Sb545c8f7ea</x:v>
      </x:c>
      <x:c r="B271" s="8" t="str">
        <x:v>Программа обучения</x:v>
      </x:c>
      <x:c r="C271" s="8" t="str">
        <x:v>events</x:v>
      </x:c>
      <x:c r="D271" s="9"/>
      <x:c r="E271" s="9"/>
      <x:c r="F271" s="9"/>
      <x:c r="G271" s="9"/>
      <x:c r="H271" s="9"/>
      <x:c r="I271" s="10"/>
      <x:c r="J271" s="10"/>
      <x:c r="K271" s="11" t="str">
        <x:f>IF(AND(ISNUMBER(I271),ISNUMBER(F271),F271&gt;0),I271/F271,"")</x:f>
      </x:c>
      <x:c r="L271" s="11" t="str">
        <x:f>IF(AND(ISNUMBER(J271),ISNUMBER(F271),F271&gt;0),J271/F271,"")</x:f>
      </x:c>
      <x:c r="M271" s="9"/>
      <x:c r="N271" s="9"/>
      <x:c r="O271" s="9"/>
    </x:row>
    <x:row r="272" ht="33" customHeight="1">
      <x:c r="A272" s="8" t="str">
        <x:v>V7-Sc5bb1eab04</x:v>
      </x:c>
      <x:c r="B272" s="8" t="str">
        <x:v>MESFORUM.ru • Просмотр форума - Основные форумы</x:v>
      </x:c>
      <x:c r="C272" s="8" t="str">
        <x:v>events</x:v>
      </x:c>
      <x:c r="D272" s="9"/>
      <x:c r="E272" s="9"/>
      <x:c r="F272" s="9"/>
      <x:c r="G272" s="9"/>
      <x:c r="H272" s="9"/>
      <x:c r="I272" s="10"/>
      <x:c r="J272" s="10"/>
      <x:c r="K272" s="11" t="str">
        <x:f>IF(AND(ISNUMBER(I272),ISNUMBER(F272),F272&gt;0),I272/F272,"")</x:f>
      </x:c>
      <x:c r="L272" s="11" t="str">
        <x:f>IF(AND(ISNUMBER(J272),ISNUMBER(F272),F272&gt;0),J272/F272,"")</x:f>
      </x:c>
      <x:c r="M272" s="9"/>
      <x:c r="N272" s="9"/>
      <x:c r="O272" s="9"/>
    </x:row>
    <x:row r="273" ht="33" customHeight="1">
      <x:c r="A273" s="8" t="str">
        <x:v>V7-Sc34c1dcfba</x:v>
      </x:c>
      <x:c r="B273" s="8" t="str">
        <x:v>Курсы логистики • mezhdunarodnik.by</x:v>
      </x:c>
      <x:c r="C273" s="8" t="str">
        <x:v>functional</x:v>
      </x:c>
      <x:c r="D273" s="9"/>
      <x:c r="E273" s="9"/>
      <x:c r="F273" s="9"/>
      <x:c r="G273" s="9"/>
      <x:c r="H273" s="9"/>
      <x:c r="I273" s="10"/>
      <x:c r="J273" s="10"/>
      <x:c r="K273" s="11" t="str">
        <x:f>IF(AND(ISNUMBER(I273),ISNUMBER(F273),F273&gt;0),I273/F273,"")</x:f>
      </x:c>
      <x:c r="L273" s="11" t="str">
        <x:f>IF(AND(ISNUMBER(J273),ISNUMBER(F273),F273&gt;0),J273/F273,"")</x:f>
      </x:c>
      <x:c r="M273" s="9"/>
      <x:c r="N273" s="9"/>
      <x:c r="O273" s="9"/>
    </x:row>
    <x:row r="274" ht="35.25" customHeight="1">
      <x:c r="A274" s="8" t="str">
        <x:v>V7-Sca62599881</x:v>
      </x:c>
      <x:c r="B274" s="8" t="str">
        <x:v>Минский экономический форум международного сотрудничества</x:v>
      </x:c>
      <x:c r="C274" s="8" t="str">
        <x:v>events</x:v>
      </x:c>
      <x:c r="D274" s="9"/>
      <x:c r="E274" s="9"/>
      <x:c r="F274" s="9"/>
      <x:c r="G274" s="9"/>
      <x:c r="H274" s="9"/>
      <x:c r="I274" s="10"/>
      <x:c r="J274" s="10"/>
      <x:c r="K274" s="11" t="str">
        <x:f>IF(AND(ISNUMBER(I274),ISNUMBER(F274),F274&gt;0),I274/F274,"")</x:f>
      </x:c>
      <x:c r="L274" s="11" t="str">
        <x:f>IF(AND(ISNUMBER(J274),ISNUMBER(F274),F274&gt;0),J274/F274,"")</x:f>
      </x:c>
      <x:c r="M274" s="9"/>
      <x:c r="N274" s="9"/>
      <x:c r="O274" s="9"/>
    </x:row>
    <x:row r="275" ht="35.25" customHeight="1">
      <x:c r="A275" s="8" t="str">
        <x:v>V7-S9191a483e7</x:v>
      </x:c>
      <x:c r="B275" s="8" t="str">
        <x:v>Стать спикером IT-конференции Merge 2026 в Москве</x:v>
      </x:c>
      <x:c r="C275" s="8" t="str">
        <x:v>events</x:v>
      </x:c>
      <x:c r="D275" s="9"/>
      <x:c r="E275" s="9"/>
      <x:c r="F275" s="9"/>
      <x:c r="G275" s="9"/>
      <x:c r="H275" s="9"/>
      <x:c r="I275" s="10"/>
      <x:c r="J275" s="10"/>
      <x:c r="K275" s="11" t="str">
        <x:f>IF(AND(ISNUMBER(I275),ISNUMBER(F275),F275&gt;0),I275/F275,"")</x:f>
      </x:c>
      <x:c r="L275" s="11" t="str">
        <x:f>IF(AND(ISNUMBER(J275),ISNUMBER(F275),F275&gt;0),J275/F275,"")</x:f>
      </x:c>
      <x:c r="M275" s="9"/>
      <x:c r="N275" s="9"/>
      <x:c r="O275" s="9"/>
    </x:row>
    <x:row r="276" ht="33" customHeight="1">
      <x:c r="A276" s="8" t="str">
        <x:v>V7-Sfedeac71b0</x:v>
      </x:c>
      <x:c r="B276" s="8" t="str">
        <x:v>Стать тренером</x:v>
      </x:c>
      <x:c r="C276" s="8" t="str">
        <x:v>providers</x:v>
      </x:c>
      <x:c r="D276" s="9"/>
      <x:c r="E276" s="9"/>
      <x:c r="F276" s="9"/>
      <x:c r="G276" s="9"/>
      <x:c r="H276" s="9"/>
      <x:c r="I276" s="10"/>
      <x:c r="J276" s="10"/>
      <x:c r="K276" s="11" t="str">
        <x:f>IF(AND(ISNUMBER(I276),ISNUMBER(F276),F276&gt;0),I276/F276,"")</x:f>
      </x:c>
      <x:c r="L276" s="11" t="str">
        <x:f>IF(AND(ISNUMBER(J276),ISNUMBER(F276),F276&gt;0),J276/F276,"")</x:f>
      </x:c>
      <x:c r="M276" s="9"/>
      <x:c r="N276" s="9"/>
      <x:c r="O276" s="9"/>
    </x:row>
    <x:row r="277" ht="47.25" customHeight="1">
      <x:c r="A277" s="8" t="str">
        <x:v>V7-Sf914644fbe</x:v>
      </x:c>
      <x:c r="B277" s="8" t="str">
        <x:v>Подготовка к экзаменам квалификации НАФД для финансовых директоров, финансистов, бухгалтеров от аккредитованного учебного центра Актион Финансы</x:v>
      </x:c>
      <x:c r="C277" s="8" t="str">
        <x:v>functional</x:v>
      </x:c>
      <x:c r="D277" s="9"/>
      <x:c r="E277" s="9"/>
      <x:c r="F277" s="9"/>
      <x:c r="G277" s="9"/>
      <x:c r="H277" s="9"/>
      <x:c r="I277" s="10"/>
      <x:c r="J277" s="10"/>
      <x:c r="K277" s="11" t="str">
        <x:f>IF(AND(ISNUMBER(I277),ISNUMBER(F277),F277&gt;0),I277/F277,"")</x:f>
      </x:c>
      <x:c r="L277" s="11" t="str">
        <x:f>IF(AND(ISNUMBER(J277),ISNUMBER(F277),F277&gt;0),J277/F277,"")</x:f>
      </x:c>
      <x:c r="M277" s="9"/>
      <x:c r="N277" s="9"/>
      <x:c r="O277" s="9"/>
    </x:row>
    <x:row r="278" ht="33" customHeight="1">
      <x:c r="A278" s="8" t="str">
        <x:v>V7-S771b90110f</x:v>
      </x:c>
      <x:c r="B278" s="8" t="str">
        <x:v>АНД для советов директоров</x:v>
      </x:c>
      <x:c r="C278" s="8" t="str">
        <x:v>functional</x:v>
      </x:c>
      <x:c r="D278" s="9"/>
      <x:c r="E278" s="9"/>
      <x:c r="F278" s="9"/>
      <x:c r="G278" s="9"/>
      <x:c r="H278" s="9"/>
      <x:c r="I278" s="10"/>
      <x:c r="J278" s="10"/>
      <x:c r="K278" s="11" t="str">
        <x:f>IF(AND(ISNUMBER(I278),ISNUMBER(F278),F278&gt;0),I278/F278,"")</x:f>
      </x:c>
      <x:c r="L278" s="11" t="str">
        <x:f>IF(AND(ISNUMBER(J278),ISNUMBER(F278),F278&gt;0),J278/F278,"")</x:f>
      </x:c>
      <x:c r="M278" s="9"/>
      <x:c r="N278" s="9"/>
      <x:c r="O278" s="9"/>
    </x:row>
    <x:row r="279" ht="35.25" customHeight="1">
      <x:c r="A279" s="8" t="str">
        <x:v>V7-S1a6ca8356a</x:v>
      </x:c>
      <x:c r="B279" s="8" t="str">
        <x:v>Корпоративный тренер — вакансия в Сбер | naraboty</x:v>
      </x:c>
      <x:c r="C279" s="8" t="str">
        <x:v>projects</x:v>
      </x:c>
      <x:c r="D279" s="9"/>
      <x:c r="E279" s="9"/>
      <x:c r="F279" s="9"/>
      <x:c r="G279" s="9"/>
      <x:c r="H279" s="9"/>
      <x:c r="I279" s="10"/>
      <x:c r="J279" s="10"/>
      <x:c r="K279" s="11" t="str">
        <x:f>IF(AND(ISNUMBER(I279),ISNUMBER(F279),F279&gt;0),I279/F279,"")</x:f>
      </x:c>
      <x:c r="L279" s="11" t="str">
        <x:f>IF(AND(ISNUMBER(J279),ISNUMBER(F279),F279&gt;0),J279/F279,"")</x:f>
      </x:c>
      <x:c r="M279" s="9"/>
      <x:c r="N279" s="9"/>
      <x:c r="O279" s="9"/>
    </x:row>
    <x:row r="280" ht="35.25" customHeight="1">
      <x:c r="A280" s="8" t="str">
        <x:v>V7-Sbd87c1c8a1</x:v>
      </x:c>
      <x:c r="B280" s="8" t="str">
        <x:v>Союз машиностроителей России :: Национальная научно-техническая конференция</x:v>
      </x:c>
      <x:c r="C280" s="8" t="str">
        <x:v>industry</x:v>
      </x:c>
      <x:c r="D280" s="9"/>
      <x:c r="E280" s="9"/>
      <x:c r="F280" s="9"/>
      <x:c r="G280" s="9"/>
      <x:c r="H280" s="9"/>
      <x:c r="I280" s="10"/>
      <x:c r="J280" s="10"/>
      <x:c r="K280" s="11" t="str">
        <x:f>IF(AND(ISNUMBER(I280),ISNUMBER(F280),F280&gt;0),I280/F280,"")</x:f>
      </x:c>
      <x:c r="L280" s="11" t="str">
        <x:f>IF(AND(ISNUMBER(J280),ISNUMBER(F280),F280&gt;0),J280/F280,"")</x:f>
      </x:c>
      <x:c r="M280" s="9"/>
      <x:c r="N280" s="9"/>
      <x:c r="O280" s="9"/>
    </x:row>
    <x:row r="281" ht="35.25" customHeight="1">
      <x:c r="A281" s="8" t="str">
        <x:v>V7-S07e6358af2</x:v>
      </x:c>
      <x:c r="B281" s="8" t="str">
        <x:v>Вселенная ИИ - ИИ-решения для роста бизнеса в Екатеринбурге | NOAPELSIN</x:v>
      </x:c>
      <x:c r="C281" s="8" t="str">
        <x:v>regional_hr</x:v>
      </x:c>
      <x:c r="D281" s="9"/>
      <x:c r="E281" s="9"/>
      <x:c r="F281" s="9"/>
      <x:c r="G281" s="9"/>
      <x:c r="H281" s="9"/>
      <x:c r="I281" s="10"/>
      <x:c r="J281" s="10"/>
      <x:c r="K281" s="11" t="str">
        <x:f>IF(AND(ISNUMBER(I281),ISNUMBER(F281),F281&gt;0),I281/F281,"")</x:f>
      </x:c>
      <x:c r="L281" s="11" t="str">
        <x:f>IF(AND(ISNUMBER(J281),ISNUMBER(F281),F281&gt;0),J281/F281,"")</x:f>
      </x:c>
      <x:c r="M281" s="9"/>
      <x:c r="N281" s="9"/>
      <x:c r="O281" s="9"/>
    </x:row>
    <x:row r="282" ht="35.25" customHeight="1">
      <x:c r="A282" s="8" t="str">
        <x:v>V7-Sf21bded13d</x:v>
      </x:c>
      <x:c r="B282" s="8" t="str">
        <x:v>Лучшие работодатели Новосибирской области – 2026: итоги конкурса в НГУЭУ</x:v>
      </x:c>
      <x:c r="C282" s="8" t="str">
        <x:v>regional_hr</x:v>
      </x:c>
      <x:c r="D282" s="9"/>
      <x:c r="E282" s="9"/>
      <x:c r="F282" s="9"/>
      <x:c r="G282" s="9"/>
      <x:c r="H282" s="9"/>
      <x:c r="I282" s="10"/>
      <x:c r="J282" s="10"/>
      <x:c r="K282" s="11" t="str">
        <x:f>IF(AND(ISNUMBER(I282),ISNUMBER(F282),F282&gt;0),I282/F282,"")</x:f>
      </x:c>
      <x:c r="L282" s="11" t="str">
        <x:f>IF(AND(ISNUMBER(J282),ISNUMBER(F282),F282&gt;0),J282/F282,"")</x:f>
      </x:c>
      <x:c r="M282" s="9"/>
      <x:c r="N282" s="9"/>
      <x:c r="O282" s="9"/>
    </x:row>
    <x:row r="283" ht="59.25" customHeight="1">
      <x:c r="A283" s="8" t="str">
        <x:v>V7-Sd31e5939e6</x:v>
      </x:c>
      <x:c r="B283" s="8" t="str">
        <x:v>Разработка программ обучения оффлайн и онлайн. Практикум по созданию курсов. Повышение квалификации - онлайн-курс от Moscow Business School в Беларуси</x:v>
      </x:c>
      <x:c r="C283" s="8" t="str">
        <x:v>projects</x:v>
      </x:c>
      <x:c r="D283" s="9"/>
      <x:c r="E283" s="9"/>
      <x:c r="F283" s="9"/>
      <x:c r="G283" s="9"/>
      <x:c r="H283" s="9"/>
      <x:c r="I283" s="10"/>
      <x:c r="J283" s="10"/>
      <x:c r="K283" s="11" t="str">
        <x:f>IF(AND(ISNUMBER(I283),ISNUMBER(F283),F283&gt;0),I283/F283,"")</x:f>
      </x:c>
      <x:c r="L283" s="11" t="str">
        <x:f>IF(AND(ISNUMBER(J283),ISNUMBER(F283),F283&gt;0),J283/F283,"")</x:f>
      </x:c>
      <x:c r="M283" s="9"/>
      <x:c r="N283" s="9"/>
      <x:c r="O283" s="9"/>
    </x:row>
    <x:row r="284" ht="33" customHeight="1">
      <x:c r="A284" s="8" t="str">
        <x:v>V7-Se5ba71a4fb</x:v>
      </x:c>
      <x:c r="B284" s="8" t="str">
        <x:v>Стать спикером</x:v>
      </x:c>
      <x:c r="C284" s="8" t="str">
        <x:v>events</x:v>
      </x:c>
      <x:c r="D284" s="9"/>
      <x:c r="E284" s="9"/>
      <x:c r="F284" s="9"/>
      <x:c r="G284" s="9"/>
      <x:c r="H284" s="9"/>
      <x:c r="I284" s="10"/>
      <x:c r="J284" s="10"/>
      <x:c r="K284" s="11" t="str">
        <x:f>IF(AND(ISNUMBER(I284),ISNUMBER(F284),F284&gt;0),I284/F284,"")</x:f>
      </x:c>
      <x:c r="L284" s="11" t="str">
        <x:f>IF(AND(ISNUMBER(J284),ISNUMBER(F284),F284&gt;0),J284/F284,"")</x:f>
      </x:c>
      <x:c r="M284" s="9"/>
      <x:c r="N284" s="9"/>
      <x:c r="O284" s="9"/>
    </x:row>
    <x:row r="285" ht="33" customHeight="1">
      <x:c r="A285" s="8" t="str">
        <x:v>V7-S13c5cba03d</x:v>
      </x:c>
      <x:c r="B285" s="8" t="str">
        <x:v>Стать спикером</x:v>
      </x:c>
      <x:c r="C285" s="8" t="str">
        <x:v>events</x:v>
      </x:c>
      <x:c r="D285" s="9"/>
      <x:c r="E285" s="9"/>
      <x:c r="F285" s="9"/>
      <x:c r="G285" s="9"/>
      <x:c r="H285" s="9"/>
      <x:c r="I285" s="10"/>
      <x:c r="J285" s="10"/>
      <x:c r="K285" s="11" t="str">
        <x:f>IF(AND(ISNUMBER(I285),ISNUMBER(F285),F285&gt;0),I285/F285,"")</x:f>
      </x:c>
      <x:c r="L285" s="11" t="str">
        <x:f>IF(AND(ISNUMBER(J285),ISNUMBER(F285),F285&gt;0),J285/F285,"")</x:f>
      </x:c>
      <x:c r="M285" s="9"/>
      <x:c r="N285" s="9"/>
      <x:c r="O285" s="9"/>
    </x:row>
    <x:row r="286" ht="35.25" customHeight="1">
      <x:c r="A286" s="8" t="str">
        <x:v>V7-Sbac7981195</x:v>
      </x:c>
      <x:c r="B286" s="8" t="str">
        <x:v>Клуб работающих директоров | Директор информационной службы | Издательство «Открытые системы»</x:v>
      </x:c>
      <x:c r="C286" s="8" t="str">
        <x:v>functional</x:v>
      </x:c>
      <x:c r="D286" s="9"/>
      <x:c r="E286" s="9"/>
      <x:c r="F286" s="9"/>
      <x:c r="G286" s="9"/>
      <x:c r="H286" s="9"/>
      <x:c r="I286" s="10"/>
      <x:c r="J286" s="10"/>
      <x:c r="K286" s="11" t="str">
        <x:f>IF(AND(ISNUMBER(I286),ISNUMBER(F286),F286&gt;0),I286/F286,"")</x:f>
      </x:c>
      <x:c r="L286" s="11" t="str">
        <x:f>IF(AND(ISNUMBER(J286),ISNUMBER(F286),F286&gt;0),J286/F286,"")</x:f>
      </x:c>
      <x:c r="M286" s="9"/>
      <x:c r="N286" s="9"/>
      <x:c r="O286" s="9"/>
    </x:row>
    <x:row r="287" ht="33" customHeight="1">
      <x:c r="A287" s="8" t="str">
        <x:v>V7-S60fdf1b4ae</x:v>
      </x:c>
      <x:c r="B287" s="8" t="str">
        <x:v>Центр поддержки экспорта Пермского края</x:v>
      </x:c>
      <x:c r="C287" s="8" t="str">
        <x:v>development</x:v>
      </x:c>
      <x:c r="D287" s="9"/>
      <x:c r="E287" s="9"/>
      <x:c r="F287" s="9"/>
      <x:c r="G287" s="9"/>
      <x:c r="H287" s="9"/>
      <x:c r="I287" s="10"/>
      <x:c r="J287" s="10"/>
      <x:c r="K287" s="11" t="str">
        <x:f>IF(AND(ISNUMBER(I287),ISNUMBER(F287),F287&gt;0),I287/F287,"")</x:f>
      </x:c>
      <x:c r="L287" s="11" t="str">
        <x:f>IF(AND(ISNUMBER(J287),ISNUMBER(F287),F287&gt;0),J287/F287,"")</x:f>
      </x:c>
      <x:c r="M287" s="9"/>
      <x:c r="N287" s="9"/>
      <x:c r="O287" s="9"/>
    </x:row>
    <x:row r="288" ht="35.25" customHeight="1">
      <x:c r="A288" s="8" t="str">
        <x:v>V7-S8bb0eb5451</x:v>
      </x:c>
      <x:c r="B288" s="8" t="str">
        <x:v>HR-сообщество - Пермская Торгово-Промышленная Палата</x:v>
      </x:c>
      <x:c r="C288" s="8" t="str">
        <x:v>regional_hr</x:v>
      </x:c>
      <x:c r="D288" s="9"/>
      <x:c r="E288" s="9"/>
      <x:c r="F288" s="9"/>
      <x:c r="G288" s="9"/>
      <x:c r="H288" s="9"/>
      <x:c r="I288" s="10"/>
      <x:c r="J288" s="10"/>
      <x:c r="K288" s="11" t="str">
        <x:f>IF(AND(ISNUMBER(I288),ISNUMBER(F288),F288&gt;0),I288/F288,"")</x:f>
      </x:c>
      <x:c r="L288" s="11" t="str">
        <x:f>IF(AND(ISNUMBER(J288),ISNUMBER(F288),F288&gt;0),J288/F288,"")</x:f>
      </x:c>
      <x:c r="M288" s="9"/>
      <x:c r="N288" s="9"/>
      <x:c r="O288" s="9"/>
    </x:row>
    <x:row r="289" ht="33" customHeight="1">
      <x:c r="A289" s="8" t="str">
        <x:v>V7-Sd887cfdbff</x:v>
      </x:c>
      <x:c r="B289" s="8" t="str">
        <x:v>Семинары - Ассоциация Бухгалтеров</x:v>
      </x:c>
      <x:c r="C289" s="8" t="str">
        <x:v>functional</x:v>
      </x:c>
      <x:c r="D289" s="9"/>
      <x:c r="E289" s="9"/>
      <x:c r="F289" s="9"/>
      <x:c r="G289" s="9"/>
      <x:c r="H289" s="9"/>
      <x:c r="I289" s="10"/>
      <x:c r="J289" s="10"/>
      <x:c r="K289" s="11" t="str">
        <x:f>IF(AND(ISNUMBER(I289),ISNUMBER(F289),F289&gt;0),I289/F289,"")</x:f>
      </x:c>
      <x:c r="L289" s="11" t="str">
        <x:f>IF(AND(ISNUMBER(J289),ISNUMBER(F289),F289&gt;0),J289/F289,"")</x:f>
      </x:c>
      <x:c r="M289" s="9"/>
      <x:c r="N289" s="9"/>
      <x:c r="O289" s="9"/>
    </x:row>
    <x:row r="290" ht="35.25" customHeight="1">
      <x:c r="A290" s="8" t="str">
        <x:v>V7-Sa882db299a</x:v>
      </x:c>
      <x:c r="B290" s="8" t="str">
        <x:v>Награды 2025 года - HR-награды МТС - Приморский край — Владивосток</x:v>
      </x:c>
      <x:c r="C290" s="8" t="str">
        <x:v>regional_hr</x:v>
      </x:c>
      <x:c r="D290" s="9"/>
      <x:c r="E290" s="9"/>
      <x:c r="F290" s="9"/>
      <x:c r="G290" s="9"/>
      <x:c r="H290" s="9"/>
      <x:c r="I290" s="10"/>
      <x:c r="J290" s="10"/>
      <x:c r="K290" s="11" t="str">
        <x:f>IF(AND(ISNUMBER(I290),ISNUMBER(F290),F290&gt;0),I290/F290,"")</x:f>
      </x:c>
      <x:c r="L290" s="11" t="str">
        <x:f>IF(AND(ISNUMBER(J290),ISNUMBER(F290),F290&gt;0),J290/F290,"")</x:f>
      </x:c>
      <x:c r="M290" s="9"/>
      <x:c r="N290" s="9"/>
      <x:c r="O290" s="9"/>
    </x:row>
    <x:row r="291" ht="33" customHeight="1">
      <x:c r="A291" s="8" t="str">
        <x:v>V7-S0dd2943045</x:v>
      </x:c>
      <x:c r="B291" s="8" t="str">
        <x:v>PROFобразование</x:v>
      </x:c>
      <x:c r="C291" s="8" t="str">
        <x:v>providers</x:v>
      </x:c>
      <x:c r="D291" s="9"/>
      <x:c r="E291" s="9"/>
      <x:c r="F291" s="9"/>
      <x:c r="G291" s="9"/>
      <x:c r="H291" s="9"/>
      <x:c r="I291" s="10"/>
      <x:c r="J291" s="10"/>
      <x:c r="K291" s="11" t="str">
        <x:f>IF(AND(ISNUMBER(I291),ISNUMBER(F291),F291&gt;0),I291/F291,"")</x:f>
      </x:c>
      <x:c r="L291" s="11" t="str">
        <x:f>IF(AND(ISNUMBER(J291),ISNUMBER(F291),F291&gt;0),J291/F291,"")</x:f>
      </x:c>
      <x:c r="M291" s="9"/>
      <x:c r="N291" s="9"/>
      <x:c r="O291" s="9"/>
    </x:row>
    <x:row r="292" ht="33" customHeight="1">
      <x:c r="A292" s="8" t="str">
        <x:v>V7-S8ab05560a3</x:v>
      </x:c>
      <x:c r="B292" s="8" t="str">
        <x:v>Технический организатор конференции</x:v>
      </x:c>
      <x:c r="C292" s="8" t="str">
        <x:v>events</x:v>
      </x:c>
      <x:c r="D292" s="9"/>
      <x:c r="E292" s="9"/>
      <x:c r="F292" s="9"/>
      <x:c r="G292" s="9"/>
      <x:c r="H292" s="9"/>
      <x:c r="I292" s="10"/>
      <x:c r="J292" s="10"/>
      <x:c r="K292" s="11" t="str">
        <x:f>IF(AND(ISNUMBER(I292),ISNUMBER(F292),F292&gt;0),I292/F292,"")</x:f>
      </x:c>
      <x:c r="L292" s="11" t="str">
        <x:f>IF(AND(ISNUMBER(J292),ISNUMBER(F292),F292&gt;0),J292/F292,"")</x:f>
      </x:c>
      <x:c r="M292" s="9"/>
      <x:c r="N292" s="9"/>
      <x:c r="O292" s="9"/>
    </x:row>
    <x:row r="293" ht="33" customHeight="1">
      <x:c r="A293" s="8" t="str">
        <x:v>V7-Sfc84a4203b</x:v>
      </x:c>
      <x:c r="B293" s="8" t="str">
        <x:v>Стать спикером • Психология современности 3.0</x:v>
      </x:c>
      <x:c r="C293" s="8" t="str">
        <x:v>events</x:v>
      </x:c>
      <x:c r="D293" s="9"/>
      <x:c r="E293" s="9"/>
      <x:c r="F293" s="9"/>
      <x:c r="G293" s="9"/>
      <x:c r="H293" s="9"/>
      <x:c r="I293" s="10"/>
      <x:c r="J293" s="10"/>
      <x:c r="K293" s="11" t="str">
        <x:f>IF(AND(ISNUMBER(I293),ISNUMBER(F293),F293&gt;0),I293/F293,"")</x:f>
      </x:c>
      <x:c r="L293" s="11" t="str">
        <x:f>IF(AND(ISNUMBER(J293),ISNUMBER(F293),F293&gt;0),J293/F293,"")</x:f>
      </x:c>
      <x:c r="M293" s="9"/>
      <x:c r="N293" s="9"/>
      <x:c r="O293" s="9"/>
    </x:row>
    <x:row r="294" ht="35.25" customHeight="1">
      <x:c r="A294" s="8" t="str">
        <x:v>V7-S0960799601</x:v>
      </x:c>
      <x:c r="B294" s="8" t="str">
        <x:v>Работа тренером - 52 вакансии в Санкт-Петербурге, Июнь 2026 | Rabix.ru</x:v>
      </x:c>
      <x:c r="C294" s="8" t="str">
        <x:v>projects</x:v>
      </x:c>
      <x:c r="D294" s="9"/>
      <x:c r="E294" s="9"/>
      <x:c r="F294" s="9"/>
      <x:c r="G294" s="9"/>
      <x:c r="H294" s="9"/>
      <x:c r="I294" s="10"/>
      <x:c r="J294" s="10"/>
      <x:c r="K294" s="11" t="str">
        <x:f>IF(AND(ISNUMBER(I294),ISNUMBER(F294),F294&gt;0),I294/F294,"")</x:f>
      </x:c>
      <x:c r="L294" s="11" t="str">
        <x:f>IF(AND(ISNUMBER(J294),ISNUMBER(F294),F294&gt;0),J294/F294,"")</x:f>
      </x:c>
      <x:c r="M294" s="9"/>
      <x:c r="N294" s="9"/>
      <x:c r="O294" s="9"/>
    </x:row>
    <x:row r="295" ht="35.25" customHeight="1">
      <x:c r="A295" s="8" t="str">
        <x:v>V7-Sd8ede5a813</x:v>
      </x:c>
      <x:c r="B295" s="8" t="str">
        <x:v>Бизнес-курсы, тренинги в Минске | Программа от〖РЕКТОР〗</x:v>
      </x:c>
      <x:c r="C295" s="8" t="str">
        <x:v>projects</x:v>
      </x:c>
      <x:c r="D295" s="9"/>
      <x:c r="E295" s="9"/>
      <x:c r="F295" s="9"/>
      <x:c r="G295" s="9"/>
      <x:c r="H295" s="9"/>
      <x:c r="I295" s="10"/>
      <x:c r="J295" s="10"/>
      <x:c r="K295" s="11" t="str">
        <x:f>IF(AND(ISNUMBER(I295),ISNUMBER(F295),F295&gt;0),I295/F295,"")</x:f>
      </x:c>
      <x:c r="L295" s="11" t="str">
        <x:f>IF(AND(ISNUMBER(J295),ISNUMBER(F295),F295&gt;0),J295/F295,"")</x:f>
      </x:c>
      <x:c r="M295" s="9"/>
      <x:c r="N295" s="9"/>
      <x:c r="O295" s="9"/>
    </x:row>
    <x:row r="296" ht="33" customHeight="1">
      <x:c r="A296" s="8" t="str">
        <x:v>V7-S55c8282b87</x:v>
      </x:c>
      <x:c r="B296" s="8" t="str">
        <x:v>Бизнес-тренинги под заказ, опыт более 15 лет</x:v>
      </x:c>
      <x:c r="C296" s="8" t="str">
        <x:v>projects</x:v>
      </x:c>
      <x:c r="D296" s="9"/>
      <x:c r="E296" s="9"/>
      <x:c r="F296" s="9"/>
      <x:c r="G296" s="9"/>
      <x:c r="H296" s="9"/>
      <x:c r="I296" s="10"/>
      <x:c r="J296" s="10"/>
      <x:c r="K296" s="11" t="str">
        <x:f>IF(AND(ISNUMBER(I296),ISNUMBER(F296),F296&gt;0),I296/F296,"")</x:f>
      </x:c>
      <x:c r="L296" s="11" t="str">
        <x:f>IF(AND(ISNUMBER(J296),ISNUMBER(F296),F296&gt;0),J296/F296,"")</x:f>
      </x:c>
      <x:c r="M296" s="9"/>
      <x:c r="N296" s="9"/>
      <x:c r="O296" s="9"/>
    </x:row>
    <x:row r="297" ht="33" customHeight="1">
      <x:c r="A297" s="8" t="str">
        <x:v>V7-S7b61ca9411</x:v>
      </x:c>
      <x:c r="B297" s="8" t="str">
        <x:v>Образование</x:v>
      </x:c>
      <x:c r="C297" s="8" t="str">
        <x:v>industry</x:v>
      </x:c>
      <x:c r="D297" s="9"/>
      <x:c r="E297" s="9"/>
      <x:c r="F297" s="9"/>
      <x:c r="G297" s="9"/>
      <x:c r="H297" s="9"/>
      <x:c r="I297" s="10"/>
      <x:c r="J297" s="10"/>
      <x:c r="K297" s="11" t="str">
        <x:f>IF(AND(ISNUMBER(I297),ISNUMBER(F297),F297&gt;0),I297/F297,"")</x:f>
      </x:c>
      <x:c r="L297" s="11" t="str">
        <x:f>IF(AND(ISNUMBER(J297),ISNUMBER(F297),F297&gt;0),J297/F297,"")</x:f>
      </x:c>
      <x:c r="M297" s="9"/>
      <x:c r="N297" s="9"/>
      <x:c r="O297" s="9"/>
    </x:row>
    <x:row r="298" ht="35.25" customHeight="1">
      <x:c r="A298" s="8" t="str">
        <x:v>V7-S6d03b3f0c0</x:v>
      </x:c>
      <x:c r="B298" s="8" t="str">
        <x:v>Ежегодный молодёжный научно-технический семинар — 2026 — Союз машиностроителей России</x:v>
      </x:c>
      <x:c r="C298" s="8" t="str">
        <x:v>industry</x:v>
      </x:c>
      <x:c r="D298" s="9"/>
      <x:c r="E298" s="9"/>
      <x:c r="F298" s="9"/>
      <x:c r="G298" s="9"/>
      <x:c r="H298" s="9"/>
      <x:c r="I298" s="10"/>
      <x:c r="J298" s="10"/>
      <x:c r="K298" s="11" t="str">
        <x:f>IF(AND(ISNUMBER(I298),ISNUMBER(F298),F298&gt;0),I298/F298,"")</x:f>
      </x:c>
      <x:c r="L298" s="11" t="str">
        <x:f>IF(AND(ISNUMBER(J298),ISNUMBER(F298),F298&gt;0),J298/F298,"")</x:f>
      </x:c>
      <x:c r="M298" s="9"/>
      <x:c r="N298" s="9"/>
      <x:c r="O298" s="9"/>
    </x:row>
    <x:row r="299" ht="33" customHeight="1">
      <x:c r="A299" s="8" t="str">
        <x:v>V7-Sbd0adc460b</x:v>
      </x:c>
      <x:c r="B299" s="8" t="str">
        <x:v>Станьте спикером Селфмама Форума 2026</x:v>
      </x:c>
      <x:c r="C299" s="8" t="str">
        <x:v>events</x:v>
      </x:c>
      <x:c r="D299" s="9"/>
      <x:c r="E299" s="9"/>
      <x:c r="F299" s="9"/>
      <x:c r="G299" s="9"/>
      <x:c r="H299" s="9"/>
      <x:c r="I299" s="10"/>
      <x:c r="J299" s="10"/>
      <x:c r="K299" s="11" t="str">
        <x:f>IF(AND(ISNUMBER(I299),ISNUMBER(F299),F299&gt;0),I299/F299,"")</x:f>
      </x:c>
      <x:c r="L299" s="11" t="str">
        <x:f>IF(AND(ISNUMBER(J299),ISNUMBER(F299),F299&gt;0),J299/F299,"")</x:f>
      </x:c>
      <x:c r="M299" s="9"/>
      <x:c r="N299" s="9"/>
      <x:c r="O299" s="9"/>
    </x:row>
    <x:row r="300" ht="35.25" customHeight="1">
      <x:c r="A300" s="8" t="str">
        <x:v>V7-S4d5d01f787</x:v>
      </x:c>
      <x:c r="B300" s="8" t="str">
        <x:v>Подписчики сообщества Позвони HR-у в социальной сети Сетка</x:v>
      </x:c>
      <x:c r="C300" s="8" t="str">
        <x:v>regional_hr</x:v>
      </x:c>
      <x:c r="D300" s="9"/>
      <x:c r="E300" s="9"/>
      <x:c r="F300" s="9"/>
      <x:c r="G300" s="9"/>
      <x:c r="H300" s="9"/>
      <x:c r="I300" s="10"/>
      <x:c r="J300" s="10"/>
      <x:c r="K300" s="11" t="str">
        <x:f>IF(AND(ISNUMBER(I300),ISNUMBER(F300),F300&gt;0),I300/F300,"")</x:f>
      </x:c>
      <x:c r="L300" s="11" t="str">
        <x:f>IF(AND(ISNUMBER(J300),ISNUMBER(F300),F300&gt;0),J300/F300,"")</x:f>
      </x:c>
      <x:c r="M300" s="9"/>
      <x:c r="N300" s="9"/>
      <x:c r="O300" s="9"/>
    </x:row>
    <x:row r="301" ht="35.25" customHeight="1">
      <x:c r="A301" s="8" t="str">
        <x:v>V7-Sfebeb205a8</x:v>
      </x:c>
      <x:c r="B301" s="8" t="str">
        <x:v>Подписчики сообщества HR-нетворкинг в социальной сети Сетка</x:v>
      </x:c>
      <x:c r="C301" s="8" t="str">
        <x:v>regional_hr</x:v>
      </x:c>
      <x:c r="D301" s="9"/>
      <x:c r="E301" s="9"/>
      <x:c r="F301" s="9"/>
      <x:c r="G301" s="9"/>
      <x:c r="H301" s="9"/>
      <x:c r="I301" s="10"/>
      <x:c r="J301" s="10"/>
      <x:c r="K301" s="11" t="str">
        <x:f>IF(AND(ISNUMBER(I301),ISNUMBER(F301),F301&gt;0),I301/F301,"")</x:f>
      </x:c>
      <x:c r="L301" s="11" t="str">
        <x:f>IF(AND(ISNUMBER(J301),ISNUMBER(F301),F301&gt;0),J301/F301,"")</x:f>
      </x:c>
      <x:c r="M301" s="9"/>
      <x:c r="N301" s="9"/>
      <x:c r="O301" s="9"/>
    </x:row>
    <x:row r="302" ht="35.25" customHeight="1">
      <x:c r="A302" s="8" t="str">
        <x:v>V7-Sb6709f0dda</x:v>
      </x:c>
      <x:c r="B302" s="8" t="str">
        <x:v>Подписчики сообщества Сообщество HR Россия в социальной сети Сетка</x:v>
      </x:c>
      <x:c r="C302" s="8" t="str">
        <x:v>regional_hr</x:v>
      </x:c>
      <x:c r="D302" s="9"/>
      <x:c r="E302" s="9"/>
      <x:c r="F302" s="9"/>
      <x:c r="G302" s="9"/>
      <x:c r="H302" s="9"/>
      <x:c r="I302" s="10"/>
      <x:c r="J302" s="10"/>
      <x:c r="K302" s="11" t="str">
        <x:f>IF(AND(ISNUMBER(I302),ISNUMBER(F302),F302&gt;0),I302/F302,"")</x:f>
      </x:c>
      <x:c r="L302" s="11" t="str">
        <x:f>IF(AND(ISNUMBER(J302),ISNUMBER(F302),F302&gt;0),J302/F302,"")</x:f>
      </x:c>
      <x:c r="M302" s="9"/>
      <x:c r="N302" s="9"/>
      <x:c r="O302" s="9"/>
    </x:row>
    <x:row r="303" ht="33" customHeight="1">
      <x:c r="A303" s="8" t="str">
        <x:v>V7-Sf44b552452</x:v>
      </x:c>
      <x:c r="B303" s="8" t="str">
        <x:v>HR-сообщество «Как делать» | Пересечёмся в Сетке</x:v>
      </x:c>
      <x:c r="C303" s="8" t="str">
        <x:v>regional_hr</x:v>
      </x:c>
      <x:c r="D303" s="9"/>
      <x:c r="E303" s="9"/>
      <x:c r="F303" s="9"/>
      <x:c r="G303" s="9"/>
      <x:c r="H303" s="9"/>
      <x:c r="I303" s="10"/>
      <x:c r="J303" s="10"/>
      <x:c r="K303" s="11" t="str">
        <x:f>IF(AND(ISNUMBER(I303),ISNUMBER(F303),F303&gt;0),I303/F303,"")</x:f>
      </x:c>
      <x:c r="L303" s="11" t="str">
        <x:f>IF(AND(ISNUMBER(J303),ISNUMBER(F303),F303&gt;0),J303/F303,"")</x:f>
      </x:c>
      <x:c r="M303" s="9"/>
      <x:c r="N303" s="9"/>
      <x:c r="O303" s="9"/>
    </x:row>
    <x:row r="304" ht="35.25" customHeight="1">
      <x:c r="A304" s="8" t="str">
        <x:v>V7-Sb2346858cd</x:v>
      </x:c>
      <x:c r="B304" s="8" t="str">
        <x:v>Большое исследование HR-бренда в социальных медиа</x:v>
      </x:c>
      <x:c r="C304" s="8" t="str">
        <x:v>regional_hr</x:v>
      </x:c>
      <x:c r="D304" s="9"/>
      <x:c r="E304" s="9"/>
      <x:c r="F304" s="9"/>
      <x:c r="G304" s="9"/>
      <x:c r="H304" s="9"/>
      <x:c r="I304" s="10"/>
      <x:c r="J304" s="10"/>
      <x:c r="K304" s="11" t="str">
        <x:f>IF(AND(ISNUMBER(I304),ISNUMBER(F304),F304&gt;0),I304/F304,"")</x:f>
      </x:c>
      <x:c r="L304" s="11" t="str">
        <x:f>IF(AND(ISNUMBER(J304),ISNUMBER(F304),F304&gt;0),J304/F304,"")</x:f>
      </x:c>
      <x:c r="M304" s="9"/>
      <x:c r="N304" s="9"/>
      <x:c r="O304" s="9"/>
    </x:row>
    <x:row r="305" ht="33" customHeight="1">
      <x:c r="A305" s="8" t="str">
        <x:v>V7-Sd4807dc433</x:v>
      </x:c>
      <x:c r="B305" s="8" t="str">
        <x:v>ShareAI — Закрытый бизнес-клуб предпринимателей</x:v>
      </x:c>
      <x:c r="C305" s="8" t="str">
        <x:v>business</x:v>
      </x:c>
      <x:c r="D305" s="9"/>
      <x:c r="E305" s="9"/>
      <x:c r="F305" s="9"/>
      <x:c r="G305" s="9"/>
      <x:c r="H305" s="9"/>
      <x:c r="I305" s="10"/>
      <x:c r="J305" s="10"/>
      <x:c r="K305" s="11" t="str">
        <x:f>IF(AND(ISNUMBER(I305),ISNUMBER(F305),F305&gt;0),I305/F305,"")</x:f>
      </x:c>
      <x:c r="L305" s="11" t="str">
        <x:f>IF(AND(ISNUMBER(J305),ISNUMBER(F305),F305&gt;0),J305/F305,"")</x:f>
      </x:c>
      <x:c r="M305" s="9"/>
      <x:c r="N305" s="9"/>
      <x:c r="O305" s="9"/>
    </x:row>
    <x:row r="306" ht="35.25" customHeight="1">
      <x:c r="A306" s="8" t="str">
        <x:v>V7-Sa29335f685</x:v>
      </x:c>
      <x:c r="B306" s="8" t="str">
        <x:v>Новости | Форум Отельеров и Рестораторов Сибири 27-28 мая 2026</x:v>
      </x:c>
      <x:c r="C306" s="8" t="str">
        <x:v>events</x:v>
      </x:c>
      <x:c r="D306" s="9"/>
      <x:c r="E306" s="9"/>
      <x:c r="F306" s="9"/>
      <x:c r="G306" s="9"/>
      <x:c r="H306" s="9"/>
      <x:c r="I306" s="10"/>
      <x:c r="J306" s="10"/>
      <x:c r="K306" s="11" t="str">
        <x:f>IF(AND(ISNUMBER(I306),ISNUMBER(F306),F306&gt;0),I306/F306,"")</x:f>
      </x:c>
      <x:c r="L306" s="11" t="str">
        <x:f>IF(AND(ISNUMBER(J306),ISNUMBER(F306),F306&gt;0),J306/F306,"")</x:f>
      </x:c>
      <x:c r="M306" s="9"/>
      <x:c r="N306" s="9"/>
      <x:c r="O306" s="9"/>
    </x:row>
    <x:row r="307" ht="47.25" customHeight="1">
      <x:c r="A307" s="8" t="str">
        <x:v>V7-Sebb3bcad8d</x:v>
      </x:c>
      <x:c r="B307" s="8" t="str">
        <x:v>Курс «Профессия Наставничество и управленческий коучинг»: онлайн-обучение от Skillbox в Казахстане</x:v>
      </x:c>
      <x:c r="C307" s="8" t="str">
        <x:v>projects</x:v>
      </x:c>
      <x:c r="D307" s="9"/>
      <x:c r="E307" s="9"/>
      <x:c r="F307" s="9"/>
      <x:c r="G307" s="9"/>
      <x:c r="H307" s="9"/>
      <x:c r="I307" s="10"/>
      <x:c r="J307" s="10"/>
      <x:c r="K307" s="11" t="str">
        <x:f>IF(AND(ISNUMBER(I307),ISNUMBER(F307),F307&gt;0),I307/F307,"")</x:f>
      </x:c>
      <x:c r="L307" s="11" t="str">
        <x:f>IF(AND(ISNUMBER(J307),ISNUMBER(F307),F307&gt;0),J307/F307,"")</x:f>
      </x:c>
      <x:c r="M307" s="9"/>
      <x:c r="N307" s="9"/>
      <x:c r="O307" s="9"/>
    </x:row>
    <x:row r="308" ht="35.25" customHeight="1">
      <x:c r="A308" s="8" t="str">
        <x:v>V7-Se821f6cabd</x:v>
      </x:c>
      <x:c r="B308" s="8" t="str">
        <x:v>Презентация программы - CDTO 2.0 - 26 августа 2021 года - 'Школа управления СКОЛКОВО'</x:v>
      </x:c>
      <x:c r="C308" s="8" t="str">
        <x:v>functional</x:v>
      </x:c>
      <x:c r="D308" s="9"/>
      <x:c r="E308" s="9"/>
      <x:c r="F308" s="9"/>
      <x:c r="G308" s="9"/>
      <x:c r="H308" s="9"/>
      <x:c r="I308" s="10"/>
      <x:c r="J308" s="10"/>
      <x:c r="K308" s="11" t="str">
        <x:f>IF(AND(ISNUMBER(I308),ISNUMBER(F308),F308&gt;0),I308/F308,"")</x:f>
      </x:c>
      <x:c r="L308" s="11" t="str">
        <x:f>IF(AND(ISNUMBER(J308),ISNUMBER(F308),F308&gt;0),J308/F308,"")</x:f>
      </x:c>
      <x:c r="M308" s="9"/>
      <x:c r="N308" s="9"/>
      <x:c r="O308" s="9"/>
    </x:row>
    <x:row r="309" ht="47.25" customHeight="1">
      <x:c r="A309" s="8" t="str">
        <x:v>V7-S1cee810005</x:v>
      </x:c>
      <x:c r="B309" s="8" t="str">
        <x:v>ОЮЛ Союз Машиностроителей Казахстана — "Союз машиностроителей Казахстана: Достичь большего вместе!"</x:v>
      </x:c>
      <x:c r="C309" s="8" t="str">
        <x:v>industry</x:v>
      </x:c>
      <x:c r="D309" s="9"/>
      <x:c r="E309" s="9"/>
      <x:c r="F309" s="9"/>
      <x:c r="G309" s="9"/>
      <x:c r="H309" s="9"/>
      <x:c r="I309" s="10"/>
      <x:c r="J309" s="10"/>
      <x:c r="K309" s="11" t="str">
        <x:f>IF(AND(ISNUMBER(I309),ISNUMBER(F309),F309&gt;0),I309/F309,"")</x:f>
      </x:c>
      <x:c r="L309" s="11" t="str">
        <x:f>IF(AND(ISNUMBER(J309),ISNUMBER(F309),F309&gt;0),J309/F309,"")</x:f>
      </x:c>
      <x:c r="M309" s="9"/>
      <x:c r="N309" s="9"/>
      <x:c r="O309" s="9"/>
    </x:row>
    <x:row r="310" ht="33" customHeight="1">
      <x:c r="A310" s="8" t="str">
        <x:v>V7-Sf58bd03f7e</x:v>
      </x:c>
      <x:c r="B310" s="8" t="str">
        <x:v>Бесплатные семинары для членов Ассоциации</x:v>
      </x:c>
      <x:c r="C310" s="8" t="str">
        <x:v>industry</x:v>
      </x:c>
      <x:c r="D310" s="9"/>
      <x:c r="E310" s="9"/>
      <x:c r="F310" s="9"/>
      <x:c r="G310" s="9"/>
      <x:c r="H310" s="9"/>
      <x:c r="I310" s="10"/>
      <x:c r="J310" s="10"/>
      <x:c r="K310" s="11" t="str">
        <x:f>IF(AND(ISNUMBER(I310),ISNUMBER(F310),F310&gt;0),I310/F310,"")</x:f>
      </x:c>
      <x:c r="L310" s="11" t="str">
        <x:f>IF(AND(ISNUMBER(J310),ISNUMBER(F310),F310&gt;0),J310/F310,"")</x:f>
      </x:c>
      <x:c r="M310" s="9"/>
      <x:c r="N310" s="9"/>
      <x:c r="O310" s="9"/>
    </x:row>
    <x:row r="311" ht="35.25" customHeight="1">
      <x:c r="A311" s="8" t="str">
        <x:v>V7-S1c35fd9319</x:v>
      </x:c>
      <x:c r="B311" s="8" t="str">
        <x:v>Обучение партнёров и дилеров — платформа Softbook</x:v>
      </x:c>
      <x:c r="C311" s="8" t="str">
        <x:v>business</x:v>
      </x:c>
      <x:c r="D311" s="9"/>
      <x:c r="E311" s="9"/>
      <x:c r="F311" s="9"/>
      <x:c r="G311" s="9"/>
      <x:c r="H311" s="9"/>
      <x:c r="I311" s="10"/>
      <x:c r="J311" s="10"/>
      <x:c r="K311" s="11" t="str">
        <x:f>IF(AND(ISNUMBER(I311),ISNUMBER(F311),F311&gt;0),I311/F311,"")</x:f>
      </x:c>
      <x:c r="L311" s="11" t="str">
        <x:f>IF(AND(ISNUMBER(J311),ISNUMBER(F311),F311&gt;0),J311/F311,"")</x:f>
      </x:c>
      <x:c r="M311" s="9"/>
      <x:c r="N311" s="9"/>
      <x:c r="O311" s="9"/>
    </x:row>
    <x:row r="312" ht="35.25" customHeight="1">
      <x:c r="A312" s="8" t="str">
        <x:v>V7-S94fb95bdff</x:v>
      </x:c>
      <x:c r="B312" s="8" t="str">
        <x:v>1С:Электронное обучение. Корпоративный университет - Партнерам</x:v>
      </x:c>
      <x:c r="C312" s="8" t="str">
        <x:v>cu</x:v>
      </x:c>
      <x:c r="D312" s="9"/>
      <x:c r="E312" s="9"/>
      <x:c r="F312" s="9"/>
      <x:c r="G312" s="9"/>
      <x:c r="H312" s="9"/>
      <x:c r="I312" s="10"/>
      <x:c r="J312" s="10"/>
      <x:c r="K312" s="11" t="str">
        <x:f>IF(AND(ISNUMBER(I312),ISNUMBER(F312),F312&gt;0),I312/F312,"")</x:f>
      </x:c>
      <x:c r="L312" s="11" t="str">
        <x:f>IF(AND(ISNUMBER(J312),ISNUMBER(F312),F312&gt;0),J312/F312,"")</x:f>
      </x:c>
      <x:c r="M312" s="9"/>
      <x:c r="N312" s="9"/>
      <x:c r="O312" s="9"/>
    </x:row>
    <x:row r="313" ht="35.25" customHeight="1">
      <x:c r="A313" s="8" t="str">
        <x:v>V7-S5e8cc52d70</x:v>
      </x:c>
      <x:c r="B313" s="8" t="str">
        <x:v>Программы реализуются с учетом трех компонентов: обучение, консалтинг, наставничество</x:v>
      </x:c>
      <x:c r="C313" s="8" t="str">
        <x:v>business</x:v>
      </x:c>
      <x:c r="D313" s="9"/>
      <x:c r="E313" s="9"/>
      <x:c r="F313" s="9"/>
      <x:c r="G313" s="9"/>
      <x:c r="H313" s="9"/>
      <x:c r="I313" s="10"/>
      <x:c r="J313" s="10"/>
      <x:c r="K313" s="11" t="str">
        <x:f>IF(AND(ISNUMBER(I313),ISNUMBER(F313),F313&gt;0),I313/F313,"")</x:f>
      </x:c>
      <x:c r="L313" s="11" t="str">
        <x:f>IF(AND(ISNUMBER(J313),ISNUMBER(F313),F313&gt;0),J313/F313,"")</x:f>
      </x:c>
      <x:c r="M313" s="9"/>
      <x:c r="N313" s="9"/>
      <x:c r="O313" s="9"/>
    </x:row>
    <x:row r="314" ht="35.25" customHeight="1">
      <x:c r="A314" s="8" t="str">
        <x:v>V7-S01b22dc402</x:v>
      </x:c>
      <x:c r="B314" s="8" t="str">
        <x:v>Гид: лучшие чаты по бизнесу в Telegram и WhatsApp России</x:v>
      </x:c>
      <x:c r="C314" s="8" t="str">
        <x:v>functional</x:v>
      </x:c>
      <x:c r="D314" s="9"/>
      <x:c r="E314" s="9"/>
      <x:c r="F314" s="9"/>
      <x:c r="G314" s="9"/>
      <x:c r="H314" s="9"/>
      <x:c r="I314" s="10"/>
      <x:c r="J314" s="10"/>
      <x:c r="K314" s="11" t="str">
        <x:f>IF(AND(ISNUMBER(I314),ISNUMBER(F314),F314&gt;0),I314/F314,"")</x:f>
      </x:c>
      <x:c r="L314" s="11" t="str">
        <x:f>IF(AND(ISNUMBER(J314),ISNUMBER(F314),F314&gt;0),J314/F314,"")</x:f>
      </x:c>
      <x:c r="M314" s="9"/>
      <x:c r="N314" s="9"/>
      <x:c r="O314" s="9"/>
    </x:row>
    <x:row r="315" ht="33" customHeight="1">
      <x:c r="A315" s="8" t="str">
        <x:v>V7-S7cf015bfa7</x:v>
      </x:c>
      <x:c r="B315" s="8" t="str">
        <x:v>Союз Машиностроителей России</x:v>
      </x:c>
      <x:c r="C315" s="8" t="str">
        <x:v>industry</x:v>
      </x:c>
      <x:c r="D315" s="9"/>
      <x:c r="E315" s="9"/>
      <x:c r="F315" s="9"/>
      <x:c r="G315" s="9"/>
      <x:c r="H315" s="9"/>
      <x:c r="I315" s="10"/>
      <x:c r="J315" s="10"/>
      <x:c r="K315" s="11" t="str">
        <x:f>IF(AND(ISNUMBER(I315),ISNUMBER(F315),F315&gt;0),I315/F315,"")</x:f>
      </x:c>
      <x:c r="L315" s="11" t="str">
        <x:f>IF(AND(ISNUMBER(J315),ISNUMBER(F315),F315&gt;0),J315/F315,"")</x:f>
      </x:c>
      <x:c r="M315" s="9"/>
      <x:c r="N315" s="9"/>
      <x:c r="O315" s="9"/>
    </x:row>
    <x:row r="316" ht="35.25" customHeight="1">
      <x:c r="A316" s="8" t="str">
        <x:v>V7-S03a9a50d8e</x:v>
      </x:c>
      <x:c r="B316" s="8" t="str">
        <x:v>Международный форум Space Days Kazakhstan 2026 | RU</x:v>
      </x:c>
      <x:c r="C316" s="8" t="str">
        <x:v>events</x:v>
      </x:c>
      <x:c r="D316" s="9"/>
      <x:c r="E316" s="9"/>
      <x:c r="F316" s="9"/>
      <x:c r="G316" s="9"/>
      <x:c r="H316" s="9"/>
      <x:c r="I316" s="10"/>
      <x:c r="J316" s="10"/>
      <x:c r="K316" s="11" t="str">
        <x:f>IF(AND(ISNUMBER(I316),ISNUMBER(F316),F316&gt;0),I316/F316,"")</x:f>
      </x:c>
      <x:c r="L316" s="11" t="str">
        <x:f>IF(AND(ISNUMBER(J316),ISNUMBER(F316),F316&gt;0),J316/F316,"")</x:f>
      </x:c>
      <x:c r="M316" s="9"/>
      <x:c r="N316" s="9"/>
      <x:c r="O316" s="9"/>
    </x:row>
    <x:row r="317" ht="33" customHeight="1">
      <x:c r="A317" s="8" t="str">
        <x:v>V7-Sebc336f7ee</x:v>
      </x:c>
      <x:c r="B317" s="8" t="str">
        <x:v>Стать спикером конференции — Питерский Промпт</x:v>
      </x:c>
      <x:c r="C317" s="8" t="str">
        <x:v>events</x:v>
      </x:c>
      <x:c r="D317" s="9"/>
      <x:c r="E317" s="9"/>
      <x:c r="F317" s="9"/>
      <x:c r="G317" s="9"/>
      <x:c r="H317" s="9"/>
      <x:c r="I317" s="10"/>
      <x:c r="J317" s="10"/>
      <x:c r="K317" s="11" t="str">
        <x:f>IF(AND(ISNUMBER(I317),ISNUMBER(F317),F317&gt;0),I317/F317,"")</x:f>
      </x:c>
      <x:c r="L317" s="11" t="str">
        <x:f>IF(AND(ISNUMBER(J317),ISNUMBER(F317),F317&gt;0),J317/F317,"")</x:f>
      </x:c>
      <x:c r="M317" s="9"/>
      <x:c r="N317" s="9"/>
      <x:c r="O317" s="9"/>
    </x:row>
    <x:row r="318" ht="33" customHeight="1">
      <x:c r="A318" s="8" t="str">
        <x:v>V7-Sde7880dcab</x:v>
      </x:c>
      <x:c r="B318" s="8" t="str">
        <x:v>Ассоциация основана в 1998 году и объединяет</x:v>
      </x:c>
      <x:c r="C318" s="8" t="str">
        <x:v>functional</x:v>
      </x:c>
      <x:c r="D318" s="9"/>
      <x:c r="E318" s="9"/>
      <x:c r="F318" s="9"/>
      <x:c r="G318" s="9"/>
      <x:c r="H318" s="9"/>
      <x:c r="I318" s="10"/>
      <x:c r="J318" s="10"/>
      <x:c r="K318" s="11" t="str">
        <x:f>IF(AND(ISNUMBER(I318),ISNUMBER(F318),F318&gt;0),I318/F318,"")</x:f>
      </x:c>
      <x:c r="L318" s="11" t="str">
        <x:f>IF(AND(ISNUMBER(J318),ISNUMBER(F318),F318&gt;0),J318/F318,"")</x:f>
      </x:c>
      <x:c r="M318" s="9"/>
      <x:c r="N318" s="9"/>
      <x:c r="O318" s="9"/>
    </x:row>
    <x:row r="319" ht="35.25" customHeight="1">
      <x:c r="A319" s="8" t="str">
        <x:v>V7-Sa8f21d1983</x:v>
      </x:c>
      <x:c r="B319" s="8" t="str">
        <x:v>Категории провайдеров на рынке бизнес-образования</x:v>
      </x:c>
      <x:c r="C319" s="8" t="str">
        <x:v>cu</x:v>
      </x:c>
      <x:c r="D319" s="9"/>
      <x:c r="E319" s="9"/>
      <x:c r="F319" s="9"/>
      <x:c r="G319" s="9"/>
      <x:c r="H319" s="9"/>
      <x:c r="I319" s="10"/>
      <x:c r="J319" s="10"/>
      <x:c r="K319" s="11" t="str">
        <x:f>IF(AND(ISNUMBER(I319),ISNUMBER(F319),F319&gt;0),I319/F319,"")</x:f>
      </x:c>
      <x:c r="L319" s="11" t="str">
        <x:f>IF(AND(ISNUMBER(J319),ISNUMBER(F319),F319&gt;0),J319/F319,"")</x:f>
      </x:c>
      <x:c r="M319" s="9"/>
      <x:c r="N319" s="9"/>
      <x:c r="O319" s="9"/>
    </x:row>
    <x:row r="320" ht="33" customHeight="1">
      <x:c r="A320" s="8" t="str">
        <x:v>V7-Sf0d733284d</x:v>
      </x:c>
      <x:c r="B320" s="8" t="str">
        <x:v>The One System: Лидер по систематизации бизнеса</x:v>
      </x:c>
      <x:c r="C320" s="8" t="str">
        <x:v>business</x:v>
      </x:c>
      <x:c r="D320" s="9"/>
      <x:c r="E320" s="9"/>
      <x:c r="F320" s="9"/>
      <x:c r="G320" s="9"/>
      <x:c r="H320" s="9"/>
      <x:c r="I320" s="10"/>
      <x:c r="J320" s="10"/>
      <x:c r="K320" s="11" t="str">
        <x:f>IF(AND(ISNUMBER(I320),ISNUMBER(F320),F320&gt;0),I320/F320,"")</x:f>
      </x:c>
      <x:c r="L320" s="11" t="str">
        <x:f>IF(AND(ISNUMBER(J320),ISNUMBER(F320),F320&gt;0),J320/F320,"")</x:f>
      </x:c>
      <x:c r="M320" s="9"/>
      <x:c r="N320" s="9"/>
      <x:c r="O320" s="9"/>
    </x:row>
    <x:row r="321" ht="33" customHeight="1">
      <x:c r="A321" s="8" t="str">
        <x:v>V7-S103e3912c9</x:v>
      </x:c>
      <x:c r="B321" s="8" t="str">
        <x:v>Об ассоциации</x:v>
      </x:c>
      <x:c r="C321" s="8" t="str">
        <x:v>industry</x:v>
      </x:c>
      <x:c r="D321" s="9"/>
      <x:c r="E321" s="9"/>
      <x:c r="F321" s="9"/>
      <x:c r="G321" s="9"/>
      <x:c r="H321" s="9"/>
      <x:c r="I321" s="10"/>
      <x:c r="J321" s="10"/>
      <x:c r="K321" s="11" t="str">
        <x:f>IF(AND(ISNUMBER(I321),ISNUMBER(F321),F321&gt;0),I321/F321,"")</x:f>
      </x:c>
      <x:c r="L321" s="11" t="str">
        <x:f>IF(AND(ISNUMBER(J321),ISNUMBER(F321),F321&gt;0),J321/F321,"")</x:f>
      </x:c>
      <x:c r="M321" s="9"/>
      <x:c r="N321" s="9"/>
      <x:c r="O321" s="9"/>
    </x:row>
    <x:row r="322" ht="35.25" customHeight="1">
      <x:c r="A322" s="8" t="str">
        <x:v>V7-S361ab22bb8</x:v>
      </x:c>
      <x:c r="B322" s="8" t="str">
        <x:v>HR-ШТАБ | TSQ Consulting | ТСК Консалтинг – Telegram</x:v>
      </x:c>
      <x:c r="C322" s="8" t="str">
        <x:v>projects</x:v>
      </x:c>
      <x:c r="D322" s="9"/>
      <x:c r="E322" s="9"/>
      <x:c r="F322" s="9"/>
      <x:c r="G322" s="9"/>
      <x:c r="H322" s="9"/>
      <x:c r="I322" s="10"/>
      <x:c r="J322" s="10"/>
      <x:c r="K322" s="11" t="str">
        <x:f>IF(AND(ISNUMBER(I322),ISNUMBER(F322),F322&gt;0),I322/F322,"")</x:f>
      </x:c>
      <x:c r="L322" s="11" t="str">
        <x:f>IF(AND(ISNUMBER(J322),ISNUMBER(F322),F322&gt;0),J322/F322,"")</x:f>
      </x:c>
      <x:c r="M322" s="9"/>
      <x:c r="N322" s="9"/>
      <x:c r="O322" s="9"/>
    </x:row>
    <x:row r="323" ht="33" customHeight="1">
      <x:c r="A323" s="8" t="str">
        <x:v>V7-Sb212459090</x:v>
      </x:c>
      <x:c r="B323" s="8" t="str">
        <x:v>Telegram: View @hr_lounge</x:v>
      </x:c>
      <x:c r="C323" s="8" t="str">
        <x:v>regional_hr</x:v>
      </x:c>
      <x:c r="D323" s="9"/>
      <x:c r="E323" s="9"/>
      <x:c r="F323" s="9"/>
      <x:c r="G323" s="9"/>
      <x:c r="H323" s="9"/>
      <x:c r="I323" s="10"/>
      <x:c r="J323" s="10"/>
      <x:c r="K323" s="11" t="str">
        <x:f>IF(AND(ISNUMBER(I323),ISNUMBER(F323),F323&gt;0),I323/F323,"")</x:f>
      </x:c>
      <x:c r="L323" s="11" t="str">
        <x:f>IF(AND(ISNUMBER(J323),ISNUMBER(F323),F323&gt;0),J323/F323,"")</x:f>
      </x:c>
      <x:c r="M323" s="9"/>
      <x:c r="N323" s="9"/>
      <x:c r="O323" s="9"/>
    </x:row>
    <x:row r="324" ht="33" customHeight="1">
      <x:c r="A324" s="8" t="str">
        <x:v>V7-Sb1d764ddc0</x:v>
      </x:c>
      <x:c r="B324" s="8" t="str">
        <x:v>Союз машиностроителей России 🇷🇺 – Telegram</x:v>
      </x:c>
      <x:c r="C324" s="8" t="str">
        <x:v>industry</x:v>
      </x:c>
      <x:c r="D324" s="9"/>
      <x:c r="E324" s="9"/>
      <x:c r="F324" s="9"/>
      <x:c r="G324" s="9"/>
      <x:c r="H324" s="9"/>
      <x:c r="I324" s="10"/>
      <x:c r="J324" s="10"/>
      <x:c r="K324" s="11" t="str">
        <x:f>IF(AND(ISNUMBER(I324),ISNUMBER(F324),F324&gt;0),I324/F324,"")</x:f>
      </x:c>
      <x:c r="L324" s="11" t="str">
        <x:f>IF(AND(ISNUMBER(J324),ISNUMBER(F324),F324&gt;0),J324/F324,"")</x:f>
      </x:c>
      <x:c r="M324" s="9"/>
      <x:c r="N324" s="9"/>
      <x:c r="O324" s="9"/>
    </x:row>
    <x:row r="325" ht="47.25" customHeight="1">
      <x:c r="A325" s="8" t="str">
        <x:v>V7-S34a87acf8c</x:v>
      </x:c>
      <x:c r="B325" s="8" t="str">
        <x:v>TAGES: цифровизация бизнес-процессов. Аналитики, интеграция, разработка ПО и мобильных приложений</x:v>
      </x:c>
      <x:c r="C325" s="8" t="str">
        <x:v>regional_hr</x:v>
      </x:c>
      <x:c r="D325" s="9"/>
      <x:c r="E325" s="9"/>
      <x:c r="F325" s="9"/>
      <x:c r="G325" s="9"/>
      <x:c r="H325" s="9"/>
      <x:c r="I325" s="10"/>
      <x:c r="J325" s="10"/>
      <x:c r="K325" s="11" t="str">
        <x:f>IF(AND(ISNUMBER(I325),ISNUMBER(F325),F325&gt;0),I325/F325,"")</x:f>
      </x:c>
      <x:c r="L325" s="11" t="str">
        <x:f>IF(AND(ISNUMBER(J325),ISNUMBER(F325),F325&gt;0),J325/F325,"")</x:f>
      </x:c>
      <x:c r="M325" s="9"/>
      <x:c r="N325" s="9"/>
      <x:c r="O325" s="9"/>
    </x:row>
    <x:row r="326" ht="33" customHeight="1">
      <x:c r="A326" s="8" t="str">
        <x:v>V7-S5a267f2abf</x:v>
      </x:c>
      <x:c r="B326" s="8" t="str">
        <x:v>Стать спикером</x:v>
      </x:c>
      <x:c r="C326" s="8" t="str">
        <x:v>events</x:v>
      </x:c>
      <x:c r="D326" s="9"/>
      <x:c r="E326" s="9"/>
      <x:c r="F326" s="9"/>
      <x:c r="G326" s="9"/>
      <x:c r="H326" s="9"/>
      <x:c r="I326" s="10"/>
      <x:c r="J326" s="10"/>
      <x:c r="K326" s="11" t="str">
        <x:f>IF(AND(ISNUMBER(I326),ISNUMBER(F326),F326&gt;0),I326/F326,"")</x:f>
      </x:c>
      <x:c r="L326" s="11" t="str">
        <x:f>IF(AND(ISNUMBER(J326),ISNUMBER(F326),F326&gt;0),J326/F326,"")</x:f>
      </x:c>
      <x:c r="M326" s="9"/>
      <x:c r="N326" s="9"/>
      <x:c r="O326" s="9"/>
    </x:row>
    <x:row r="327" ht="35.25" customHeight="1">
      <x:c r="A327" s="8" t="str">
        <x:v>V7-S1b9462aa1e</x:v>
      </x:c>
      <x:c r="B327" s="8" t="str">
        <x:v>Telegram-канал "HR-mnenie" — hr_mnenie — Telemetr - hr_mnenie</x:v>
      </x:c>
      <x:c r="C327" s="8" t="str">
        <x:v>regional_hr</x:v>
      </x:c>
      <x:c r="D327" s="9"/>
      <x:c r="E327" s="9"/>
      <x:c r="F327" s="9"/>
      <x:c r="G327" s="9"/>
      <x:c r="H327" s="9"/>
      <x:c r="I327" s="10"/>
      <x:c r="J327" s="10"/>
      <x:c r="K327" s="11" t="str">
        <x:f>IF(AND(ISNUMBER(I327),ISNUMBER(F327),F327&gt;0),I327/F327,"")</x:f>
      </x:c>
      <x:c r="L327" s="11" t="str">
        <x:f>IF(AND(ISNUMBER(J327),ISNUMBER(F327),F327&gt;0),J327/F327,"")</x:f>
      </x:c>
      <x:c r="M327" s="9"/>
      <x:c r="N327" s="9"/>
      <x:c r="O327" s="9"/>
    </x:row>
    <x:row r="328" ht="35.25" customHeight="1">
      <x:c r="A328" s="8" t="str">
        <x:v>V7-S964f7f548b</x:v>
      </x:c>
      <x:c r="B328" s="8" t="str">
        <x:v>Telegram канал «Работа в Новосибирске и области HR» - @hr_nso — TelNo.ru</x:v>
      </x:c>
      <x:c r="C328" s="8" t="str">
        <x:v>regional_hr</x:v>
      </x:c>
      <x:c r="D328" s="9"/>
      <x:c r="E328" s="9"/>
      <x:c r="F328" s="9"/>
      <x:c r="G328" s="9"/>
      <x:c r="H328" s="9"/>
      <x:c r="I328" s="10"/>
      <x:c r="J328" s="10"/>
      <x:c r="K328" s="11" t="str">
        <x:f>IF(AND(ISNUMBER(I328),ISNUMBER(F328),F328&gt;0),I328/F328,"")</x:f>
      </x:c>
      <x:c r="L328" s="11" t="str">
        <x:f>IF(AND(ISNUMBER(J328),ISNUMBER(F328),F328&gt;0),J328/F328,"")</x:f>
      </x:c>
      <x:c r="M328" s="9"/>
      <x:c r="N328" s="9"/>
      <x:c r="O328" s="9"/>
    </x:row>
    <x:row r="329" ht="47.25" customHeight="1">
      <x:c r="A329" s="8" t="str">
        <x:v>V7-S902fdfa655</x:v>
      </x:c>
      <x:c r="B329" s="8" t="str">
        <x:v>Платформа управления франчайзинговой сетью Trafory Franchising — запуск, обучение и контроль франчайзи</x:v>
      </x:c>
      <x:c r="C329" s="8" t="str">
        <x:v>business</x:v>
      </x:c>
      <x:c r="D329" s="9"/>
      <x:c r="E329" s="9"/>
      <x:c r="F329" s="9"/>
      <x:c r="G329" s="9"/>
      <x:c r="H329" s="9"/>
      <x:c r="I329" s="10"/>
      <x:c r="J329" s="10"/>
      <x:c r="K329" s="11" t="str">
        <x:f>IF(AND(ISNUMBER(I329),ISNUMBER(F329),F329&gt;0),I329/F329,"")</x:f>
      </x:c>
      <x:c r="L329" s="11" t="str">
        <x:f>IF(AND(ISNUMBER(J329),ISNUMBER(F329),F329&gt;0),J329/F329,"")</x:f>
      </x:c>
      <x:c r="M329" s="9"/>
      <x:c r="N329" s="9"/>
      <x:c r="O329" s="9"/>
    </x:row>
    <x:row r="330" ht="33" customHeight="1">
      <x:c r="A330" s="8" t="str">
        <x:v>V7-S40417759f1</x:v>
      </x:c>
      <x:c r="B330" s="8" t="str">
        <x:v>Тренинговые компании Москвы</x:v>
      </x:c>
      <x:c r="C330" s="8" t="str">
        <x:v>providers</x:v>
      </x:c>
      <x:c r="D330" s="9"/>
      <x:c r="E330" s="9"/>
      <x:c r="F330" s="9"/>
      <x:c r="G330" s="9"/>
      <x:c r="H330" s="9"/>
      <x:c r="I330" s="10"/>
      <x:c r="J330" s="10"/>
      <x:c r="K330" s="11" t="str">
        <x:f>IF(AND(ISNUMBER(I330),ISNUMBER(F330),F330&gt;0),I330/F330,"")</x:f>
      </x:c>
      <x:c r="L330" s="11" t="str">
        <x:f>IF(AND(ISNUMBER(J330),ISNUMBER(F330),F330&gt;0),J330/F330,"")</x:f>
      </x:c>
      <x:c r="M330" s="9"/>
      <x:c r="N330" s="9"/>
      <x:c r="O330" s="9"/>
    </x:row>
    <x:row r="331" ht="35.25" customHeight="1">
      <x:c r="A331" s="8" t="str">
        <x:v>V7-S18326f720c</x:v>
      </x:c>
      <x:c r="B331" s="8" t="str">
        <x:v>Партнёрская программа Trenda Coach — выплаты за приведённых тренеров</x:v>
      </x:c>
      <x:c r="C331" s="8" t="str">
        <x:v>providers</x:v>
      </x:c>
      <x:c r="D331" s="9"/>
      <x:c r="E331" s="9"/>
      <x:c r="F331" s="9"/>
      <x:c r="G331" s="9"/>
      <x:c r="H331" s="9"/>
      <x:c r="I331" s="10"/>
      <x:c r="J331" s="10"/>
      <x:c r="K331" s="11" t="str">
        <x:f>IF(AND(ISNUMBER(I331),ISNUMBER(F331),F331&gt;0),I331/F331,"")</x:f>
      </x:c>
      <x:c r="L331" s="11" t="str">
        <x:f>IF(AND(ISNUMBER(J331),ISNUMBER(F331),F331&gt;0),J331/F331,"")</x:f>
      </x:c>
      <x:c r="M331" s="9"/>
      <x:c r="N331" s="9"/>
      <x:c r="O331" s="9"/>
    </x:row>
    <x:row r="332" ht="35.25" customHeight="1">
      <x:c r="A332" s="8" t="str">
        <x:v>V7-S7e7bc73beb</x:v>
      </x:c>
      <x:c r="B332" s="8" t="str">
        <x:v>Корпоративное обучение: программы, школы и бизнес-тренеры — TreningNL</x:v>
      </x:c>
      <x:c r="C332" s="8" t="str">
        <x:v>cu</x:v>
      </x:c>
      <x:c r="D332" s="9"/>
      <x:c r="E332" s="9"/>
      <x:c r="F332" s="9"/>
      <x:c r="G332" s="9"/>
      <x:c r="H332" s="9"/>
      <x:c r="I332" s="10"/>
      <x:c r="J332" s="10"/>
      <x:c r="K332" s="11" t="str">
        <x:f>IF(AND(ISNUMBER(I332),ISNUMBER(F332),F332&gt;0),I332/F332,"")</x:f>
      </x:c>
      <x:c r="L332" s="11" t="str">
        <x:f>IF(AND(ISNUMBER(J332),ISNUMBER(F332),F332&gt;0),J332/F332,"")</x:f>
      </x:c>
      <x:c r="M332" s="9"/>
      <x:c r="N332" s="9"/>
      <x:c r="O332" s="9"/>
    </x:row>
    <x:row r="333" ht="33" customHeight="1">
      <x:c r="A333" s="8" t="str">
        <x:v>V7-S6ca06a56b5</x:v>
      </x:c>
      <x:c r="B333" s="8" t="str">
        <x:v>Обучение не для галочки: А.С.Консалт A.S.Consult</x:v>
      </x:c>
      <x:c r="C333" s="8" t="str">
        <x:v>projects</x:v>
      </x:c>
      <x:c r="D333" s="9"/>
      <x:c r="E333" s="9"/>
      <x:c r="F333" s="9"/>
      <x:c r="G333" s="9"/>
      <x:c r="H333" s="9"/>
      <x:c r="I333" s="10"/>
      <x:c r="J333" s="10"/>
      <x:c r="K333" s="11" t="str">
        <x:f>IF(AND(ISNUMBER(I333),ISNUMBER(F333),F333&gt;0),I333/F333,"")</x:f>
      </x:c>
      <x:c r="L333" s="11" t="str">
        <x:f>IF(AND(ISNUMBER(J333),ISNUMBER(F333),F333&gt;0),J333/F333,"")</x:f>
      </x:c>
      <x:c r="M333" s="9"/>
      <x:c r="N333" s="9"/>
      <x:c r="O333" s="9"/>
    </x:row>
    <x:row r="334" ht="35.25" customHeight="1">
      <x:c r="A334" s="8" t="str">
        <x:v>V7-S7719b7645c</x:v>
      </x:c>
      <x:c r="B334" s="8" t="str">
        <x:v>Виридиан — онлайн-школа IT-курсов с практикой и стажировками</x:v>
      </x:c>
      <x:c r="C334" s="8" t="str">
        <x:v>lms</x:v>
      </x:c>
      <x:c r="D334" s="9"/>
      <x:c r="E334" s="9"/>
      <x:c r="F334" s="9"/>
      <x:c r="G334" s="9"/>
      <x:c r="H334" s="9"/>
      <x:c r="I334" s="10"/>
      <x:c r="J334" s="10"/>
      <x:c r="K334" s="11" t="str">
        <x:f>IF(AND(ISNUMBER(I334),ISNUMBER(F334),F334&gt;0),I334/F334,"")</x:f>
      </x:c>
      <x:c r="L334" s="11" t="str">
        <x:f>IF(AND(ISNUMBER(J334),ISNUMBER(F334),F334&gt;0),J334/F334,"")</x:f>
      </x:c>
      <x:c r="M334" s="9"/>
      <x:c r="N334" s="9"/>
      <x:c r="O334" s="9"/>
    </x:row>
    <x:row r="335" ht="33" customHeight="1">
      <x:c r="A335" s="8" t="str">
        <x:v>V7-S6ce195aff6</x:v>
      </x:c>
      <x:c r="B335" s="8" t="str">
        <x:v>Право преподавания. Московская школа бизнеса</x:v>
      </x:c>
      <x:c r="C335" s="8" t="str">
        <x:v>providers</x:v>
      </x:c>
      <x:c r="D335" s="9"/>
      <x:c r="E335" s="9"/>
      <x:c r="F335" s="9"/>
      <x:c r="G335" s="9"/>
      <x:c r="H335" s="9"/>
      <x:c r="I335" s="10"/>
      <x:c r="J335" s="10"/>
      <x:c r="K335" s="11" t="str">
        <x:f>IF(AND(ISNUMBER(I335),ISNUMBER(F335),F335&gt;0),I335/F335,"")</x:f>
      </x:c>
      <x:c r="L335" s="11" t="str">
        <x:f>IF(AND(ISNUMBER(J335),ISNUMBER(F335),F335&gt;0),J335/F335,"")</x:f>
      </x:c>
      <x:c r="M335" s="9"/>
      <x:c r="N335" s="9"/>
      <x:c r="O335" s="9"/>
    </x:row>
    <x:row r="336" ht="47.25" customHeight="1">
      <x:c r="A336" s="8" t="str">
        <x:v>V7-Sfc5baa13e2</x:v>
      </x:c>
      <x:c r="B336" s="8" t="str">
        <x:v>Центр «Мой Бизнес» приглашает на образовательную программу «Бизнес: от А до Я» | Портал малого и среднего предпринимательства РС(Я)</x:v>
      </x:c>
      <x:c r="C336" s="8" t="str">
        <x:v>development</x:v>
      </x:c>
      <x:c r="D336" s="9"/>
      <x:c r="E336" s="9"/>
      <x:c r="F336" s="9"/>
      <x:c r="G336" s="9"/>
      <x:c r="H336" s="9"/>
      <x:c r="I336" s="10"/>
      <x:c r="J336" s="10"/>
      <x:c r="K336" s="11" t="str">
        <x:f>IF(AND(ISNUMBER(I336),ISNUMBER(F336),F336&gt;0),I336/F336,"")</x:f>
      </x:c>
      <x:c r="L336" s="11" t="str">
        <x:f>IF(AND(ISNUMBER(J336),ISNUMBER(F336),F336&gt;0),J336/F336,"")</x:f>
      </x:c>
      <x:c r="M336" s="9"/>
      <x:c r="N336" s="9"/>
      <x:c r="O336" s="9"/>
    </x:row>
    <x:row r="337" ht="33" customHeight="1">
      <x:c r="A337" s="8" t="str">
        <x:v>V7-Sbd14013774</x:v>
      </x:c>
      <x:c r="B337" s="8" t="str">
        <x:v>Чат-бот для кадровой работы</x:v>
      </x:c>
      <x:c r="C337" s="8" t="str">
        <x:v>regional_hr</x:v>
      </x:c>
      <x:c r="D337" s="9"/>
      <x:c r="E337" s="9"/>
      <x:c r="F337" s="9"/>
      <x:c r="G337" s="9"/>
      <x:c r="H337" s="9"/>
      <x:c r="I337" s="10"/>
      <x:c r="J337" s="10"/>
      <x:c r="K337" s="11" t="str">
        <x:f>IF(AND(ISNUMBER(I337),ISNUMBER(F337),F337&gt;0),I337/F337,"")</x:f>
      </x:c>
      <x:c r="L337" s="11" t="str">
        <x:f>IF(AND(ISNUMBER(J337),ISNUMBER(F337),F337&gt;0),J337/F337,"")</x:f>
      </x:c>
      <x:c r="M337" s="9"/>
      <x:c r="N337" s="9"/>
      <x:c r="O337" s="9"/>
    </x:row>
    <x:row r="338" ht="33" customHeight="1">
      <x:c r="A338" s="8" t="str">
        <x:v>V7-S3e907495a7</x:v>
      </x:c>
      <x:c r="B338" s="8" t="str">
        <x:v>Бизнес-нетворкинг в Минске | Нетворкинг.бел</x:v>
      </x:c>
      <x:c r="C338" s="8" t="str">
        <x:v>business</x:v>
      </x:c>
      <x:c r="D338" s="9"/>
      <x:c r="E338" s="9"/>
      <x:c r="F338" s="9"/>
      <x:c r="G338" s="9"/>
      <x:c r="H338" s="9"/>
      <x:c r="I338" s="10"/>
      <x:c r="J338" s="10"/>
      <x:c r="K338" s="11" t="str">
        <x:f>IF(AND(ISNUMBER(I338),ISNUMBER(F338),F338&gt;0),I338/F338,"")</x:f>
      </x:c>
      <x:c r="L338" s="11" t="str">
        <x:f>IF(AND(ISNUMBER(J338),ISNUMBER(F338),F338&gt;0),J338/F338,"")</x:f>
      </x:c>
      <x:c r="M338" s="9"/>
      <x:c r="N338" s="9"/>
      <x:c r="O338" s="9"/>
    </x:row>
    <x:row r="339" ht="35.25" customHeight="1">
      <x:c r="A339" s="8" t="str">
        <x:v>V7-Se297c19537</x:v>
      </x:c>
      <x:c r="B339" s="8" t="str">
        <x:v>Форум предпринимателей «Росмолодёжь.Предпринимай»</x:v>
      </x:c>
      <x:c r="C339" s="8" t="str">
        <x:v>business</x:v>
      </x:c>
      <x:c r="D339" s="9"/>
      <x:c r="E339" s="9"/>
      <x:c r="F339" s="9"/>
      <x:c r="G339" s="9"/>
      <x:c r="H339" s="9"/>
      <x:c r="I339" s="10"/>
      <x:c r="J339" s="10"/>
      <x:c r="K339" s="11" t="str">
        <x:f>IF(AND(ISNUMBER(I339),ISNUMBER(F339),F339&gt;0),I339/F339,"")</x:f>
      </x:c>
      <x:c r="L339" s="11" t="str">
        <x:f>IF(AND(ISNUMBER(J339),ISNUMBER(F339),F339&gt;0),J339/F339,"")</x:f>
      </x:c>
      <x:c r="M339" s="9"/>
      <x:c r="N339" s="9"/>
      <x:c r="O339" s="9"/>
    </x:row>
    <x:row r="340" ht="35.25" customHeight="1">
      <x:c r="A340" s="8" t="str">
        <x:v>V7-Sb83d454162</x:v>
      </x:c>
      <x:c r="B340" s="8" t="str">
        <x:v>YARDS - сообщество осознанных предпринимателей и франчайзеров</x:v>
      </x:c>
      <x:c r="C340" s="8" t="str">
        <x:v>business</x:v>
      </x:c>
      <x:c r="D340" s="9"/>
      <x:c r="E340" s="9"/>
      <x:c r="F340" s="9"/>
      <x:c r="G340" s="9"/>
      <x:c r="H340" s="9"/>
      <x:c r="I340" s="10"/>
      <x:c r="J340" s="10"/>
      <x:c r="K340" s="11" t="str">
        <x:f>IF(AND(ISNUMBER(I340),ISNUMBER(F340),F340&gt;0),I340/F340,"")</x:f>
      </x:c>
      <x:c r="L340" s="11" t="str">
        <x:f>IF(AND(ISNUMBER(J340),ISNUMBER(F340),F340&gt;0),J340/F340,"")</x:f>
      </x:c>
      <x:c r="M340" s="9"/>
      <x:c r="N340" s="9"/>
      <x:c r="O340" s="9"/>
    </x:row>
    <x:row r="341" ht="35.25" customHeight="1">
      <x:c r="A341" s="8" t="str">
        <x:v>V7-Sbabd7f0ec5</x:v>
      </x:c>
      <x:c r="B341" s="8" t="str">
        <x:v>Разработка EdTech-платформ, LMS и CRM учебных центров | 105</x:v>
      </x:c>
      <x:c r="C341" s="8" t="str">
        <x:v>lms</x:v>
      </x:c>
      <x:c r="D341" s="9"/>
      <x:c r="E341" s="9"/>
      <x:c r="F341" s="9"/>
      <x:c r="G341" s="9"/>
      <x:c r="H341" s="9"/>
      <x:c r="I341" s="10"/>
      <x:c r="J341" s="10"/>
      <x:c r="K341" s="11" t="str">
        <x:f>IF(AND(ISNUMBER(I341),ISNUMBER(F341),F341&gt;0),I341/F341,"")</x:f>
      </x:c>
      <x:c r="L341" s="11" t="str">
        <x:f>IF(AND(ISNUMBER(J341),ISNUMBER(F341),F341&gt;0),J341/F341,"")</x:f>
      </x:c>
      <x:c r="M341" s="9"/>
      <x:c r="N341" s="9"/>
      <x:c r="O341" s="9"/>
    </x:row>
    <x:row r="342" ht="35.25" customHeight="1">
      <x:c r="A342" s="8" t="str">
        <x:v>V7-S28e8d82224</x:v>
      </x:c>
      <x:c r="B342" s="8" t="str">
        <x:v>Обучение, переподготовка, повышение квалификации в Беларуси | Учебный центр Альянс</x:v>
      </x:c>
      <x:c r="C342" s="8" t="str">
        <x:v>industry</x:v>
      </x:c>
      <x:c r="D342" s="9"/>
      <x:c r="E342" s="9"/>
      <x:c r="F342" s="9"/>
      <x:c r="G342" s="9"/>
      <x:c r="H342" s="9"/>
      <x:c r="I342" s="10"/>
      <x:c r="J342" s="10"/>
      <x:c r="K342" s="11" t="str">
        <x:f>IF(AND(ISNUMBER(I342),ISNUMBER(F342),F342&gt;0),I342/F342,"")</x:f>
      </x:c>
      <x:c r="L342" s="11" t="str">
        <x:f>IF(AND(ISNUMBER(J342),ISNUMBER(F342),F342&gt;0),J342/F342,"")</x:f>
      </x:c>
      <x:c r="M342" s="9"/>
      <x:c r="N342" s="9"/>
      <x:c r="O342" s="9"/>
    </x:row>
    <x:row r="343" ht="47.25" customHeight="1">
      <x:c r="A343" s="8" t="str">
        <x:v>V7-S310486205f</x:v>
      </x:c>
      <x:c r="B343" s="8" t="str">
        <x:v>Конференция ко дню кадрового работника от Системы Кадры 16 октября! Разберем изменения в работе с сентября. Подключайтесь</x:v>
      </x:c>
      <x:c r="C343" s="8" t="str">
        <x:v>events</x:v>
      </x:c>
      <x:c r="D343" s="9"/>
      <x:c r="E343" s="9"/>
      <x:c r="F343" s="9"/>
      <x:c r="G343" s="9"/>
      <x:c r="H343" s="9"/>
      <x:c r="I343" s="10"/>
      <x:c r="J343" s="10"/>
      <x:c r="K343" s="11" t="str">
        <x:f>IF(AND(ISNUMBER(I343),ISNUMBER(F343),F343&gt;0),I343/F343,"")</x:f>
      </x:c>
      <x:c r="L343" s="11" t="str">
        <x:f>IF(AND(ISNUMBER(J343),ISNUMBER(F343),F343&gt;0),J343/F343,"")</x:f>
      </x:c>
      <x:c r="M343" s="9"/>
      <x:c r="N343" s="9"/>
      <x:c r="O343" s="9"/>
    </x:row>
    <x:row r="344" ht="59.25" customHeight="1">
      <x:c r="A344" s="8" t="str">
        <x:v>V7-Se040d8d644</x:v>
      </x:c>
      <x:c r="B344" s="8" t="str">
        <x:v>Диалог бизнеса, образования и государства: форум рабочих профессий прошел в Астане | Национальная палата предпринимателей Республики Казахстан «Атамекен»</x:v>
      </x:c>
      <x:c r="C344" s="8" t="str">
        <x:v>development</x:v>
      </x:c>
      <x:c r="D344" s="9"/>
      <x:c r="E344" s="9"/>
      <x:c r="F344" s="9"/>
      <x:c r="G344" s="9"/>
      <x:c r="H344" s="9"/>
      <x:c r="I344" s="10"/>
      <x:c r="J344" s="10"/>
      <x:c r="K344" s="11" t="str">
        <x:f>IF(AND(ISNUMBER(I344),ISNUMBER(F344),F344&gt;0),I344/F344,"")</x:f>
      </x:c>
      <x:c r="L344" s="11" t="str">
        <x:f>IF(AND(ISNUMBER(J344),ISNUMBER(F344),F344&gt;0),J344/F344,"")</x:f>
      </x:c>
      <x:c r="M344" s="9"/>
      <x:c r="N344" s="9"/>
      <x:c r="O344" s="9"/>
    </x:row>
    <x:row r="345" ht="33" customHeight="1">
      <x:c r="A345" s="8" t="str">
        <x:v>V7-S9bed480d9e</x:v>
      </x:c>
      <x:c r="B345" s="8" t="str">
        <x:v>Семинар — Aork.by</x:v>
      </x:c>
      <x:c r="C345" s="8" t="str">
        <x:v>industry</x:v>
      </x:c>
      <x:c r="D345" s="9"/>
      <x:c r="E345" s="9"/>
      <x:c r="F345" s="9"/>
      <x:c r="G345" s="9"/>
      <x:c r="H345" s="9"/>
      <x:c r="I345" s="10"/>
      <x:c r="J345" s="10"/>
      <x:c r="K345" s="11" t="str">
        <x:f>IF(AND(ISNUMBER(I345),ISNUMBER(F345),F345&gt;0),I345/F345,"")</x:f>
      </x:c>
      <x:c r="L345" s="11" t="str">
        <x:f>IF(AND(ISNUMBER(J345),ISNUMBER(F345),F345&gt;0),J345/F345,"")</x:f>
      </x:c>
      <x:c r="M345" s="9"/>
      <x:c r="N345" s="9"/>
      <x:c r="O345" s="9"/>
    </x:row>
    <x:row r="346" ht="33" customHeight="1">
      <x:c r="A346" s="8" t="str">
        <x:v>V7-S19e0e7c038</x:v>
      </x:c>
      <x:c r="B346" s="8" t="str">
        <x:v>Қайта даярлау курстары</x:v>
      </x:c>
      <x:c r="C346" s="8" t="str">
        <x:v>development</x:v>
      </x:c>
      <x:c r="D346" s="9"/>
      <x:c r="E346" s="9"/>
      <x:c r="F346" s="9"/>
      <x:c r="G346" s="9"/>
      <x:c r="H346" s="9"/>
      <x:c r="I346" s="10"/>
      <x:c r="J346" s="10"/>
      <x:c r="K346" s="11" t="str">
        <x:f>IF(AND(ISNUMBER(I346),ISNUMBER(F346),F346&gt;0),I346/F346,"")</x:f>
      </x:c>
      <x:c r="L346" s="11" t="str">
        <x:f>IF(AND(ISNUMBER(J346),ISNUMBER(F346),F346&gt;0),J346/F346,"")</x:f>
      </x:c>
      <x:c r="M346" s="9"/>
      <x:c r="N346" s="9"/>
      <x:c r="O346" s="9"/>
    </x:row>
    <x:row r="347" ht="33" customHeight="1">
      <x:c r="A347" s="8" t="str">
        <x:v>V7-Sb5ab71bdd9</x:v>
      </x:c>
      <x:c r="B347" s="8" t="str">
        <x:v>Центр поддержки предпринимательства</x:v>
      </x:c>
      <x:c r="C347" s="8" t="str">
        <x:v>development</x:v>
      </x:c>
      <x:c r="D347" s="9"/>
      <x:c r="E347" s="9"/>
      <x:c r="F347" s="9"/>
      <x:c r="G347" s="9"/>
      <x:c r="H347" s="9"/>
      <x:c r="I347" s="10"/>
      <x:c r="J347" s="10"/>
      <x:c r="K347" s="11" t="str">
        <x:f>IF(AND(ISNUMBER(I347),ISNUMBER(F347),F347&gt;0),I347/F347,"")</x:f>
      </x:c>
      <x:c r="L347" s="11" t="str">
        <x:f>IF(AND(ISNUMBER(J347),ISNUMBER(F347),F347&gt;0),J347/F347,"")</x:f>
      </x:c>
      <x:c r="M347" s="9"/>
      <x:c r="N347" s="9"/>
      <x:c r="O347" s="9"/>
    </x:row>
    <x:row r="348" ht="35.25" customHeight="1">
      <x:c r="A348" s="8" t="str">
        <x:v>V7-S835fae84dc</x:v>
      </x:c>
      <x:c r="B348" s="8" t="str">
        <x:v>Корпоративное обучение под задачи бизнеса — А.С.Консалт</x:v>
      </x:c>
      <x:c r="C348" s="8" t="str">
        <x:v>projects</x:v>
      </x:c>
      <x:c r="D348" s="9"/>
      <x:c r="E348" s="9"/>
      <x:c r="F348" s="9"/>
      <x:c r="G348" s="9"/>
      <x:c r="H348" s="9"/>
      <x:c r="I348" s="10"/>
      <x:c r="J348" s="10"/>
      <x:c r="K348" s="11" t="str">
        <x:f>IF(AND(ISNUMBER(I348),ISNUMBER(F348),F348&gt;0),I348/F348,"")</x:f>
      </x:c>
      <x:c r="L348" s="11" t="str">
        <x:f>IF(AND(ISNUMBER(J348),ISNUMBER(F348),F348&gt;0),J348/F348,"")</x:f>
      </x:c>
      <x:c r="M348" s="9"/>
      <x:c r="N348" s="9"/>
      <x:c r="O348" s="9"/>
    </x:row>
    <x:row r="349" ht="33" customHeight="1">
      <x:c r="A349" s="8" t="str">
        <x:v>V7-S47dfce2fd1</x:v>
      </x:c>
      <x:c r="B349" s="8" t="str">
        <x:v>Aspandau — Академия управления</x:v>
      </x:c>
      <x:c r="C349" s="8" t="str">
        <x:v>business</x:v>
      </x:c>
      <x:c r="D349" s="9"/>
      <x:c r="E349" s="9"/>
      <x:c r="F349" s="9"/>
      <x:c r="G349" s="9"/>
      <x:c r="H349" s="9"/>
      <x:c r="I349" s="10"/>
      <x:c r="J349" s="10"/>
      <x:c r="K349" s="11" t="str">
        <x:f>IF(AND(ISNUMBER(I349),ISNUMBER(F349),F349&gt;0),I349/F349,"")</x:f>
      </x:c>
      <x:c r="L349" s="11" t="str">
        <x:f>IF(AND(ISNUMBER(J349),ISNUMBER(F349),F349&gt;0),J349/F349,"")</x:f>
      </x:c>
      <x:c r="M349" s="9"/>
      <x:c r="N349" s="9"/>
      <x:c r="O349" s="9"/>
    </x:row>
    <x:row r="350" ht="35.25" customHeight="1">
      <x:c r="A350" s="8" t="str">
        <x:v>V7-Se8407dee3a</x:v>
      </x:c>
      <x:c r="B350" s="8" t="str">
        <x:v>Респираторлық медицина қауымдастығы — оқыту, іс-шаралар, клиникалық ұсынымдар</x:v>
      </x:c>
      <x:c r="C350" s="8" t="str">
        <x:v>industry</x:v>
      </x:c>
      <x:c r="D350" s="9"/>
      <x:c r="E350" s="9"/>
      <x:c r="F350" s="9"/>
      <x:c r="G350" s="9"/>
      <x:c r="H350" s="9"/>
      <x:c r="I350" s="10"/>
      <x:c r="J350" s="10"/>
      <x:c r="K350" s="11" t="str">
        <x:f>IF(AND(ISNUMBER(I350),ISNUMBER(F350),F350&gt;0),I350/F350,"")</x:f>
      </x:c>
      <x:c r="L350" s="11" t="str">
        <x:f>IF(AND(ISNUMBER(J350),ISNUMBER(F350),F350&gt;0),J350/F350,"")</x:f>
      </x:c>
      <x:c r="M350" s="9"/>
      <x:c r="N350" s="9"/>
      <x:c r="O350" s="9"/>
    </x:row>
    <x:row r="351" ht="59.25" customHeight="1">
      <x:c r="A351" s="8" t="str">
        <x:v>V7-S44e4936216</x:v>
      </x:c>
      <x:c r="B351" s="8" t="str">
        <x:v>Палата предпринимателей г.Шымкент, дуальная система обучения, наставничество | Национальная палата предпринимателей Республики Казахстан «Атамекен»</x:v>
      </x:c>
      <x:c r="C351" s="8" t="str">
        <x:v>development</x:v>
      </x:c>
      <x:c r="D351" s="9"/>
      <x:c r="E351" s="9"/>
      <x:c r="F351" s="9"/>
      <x:c r="G351" s="9"/>
      <x:c r="H351" s="9"/>
      <x:c r="I351" s="10"/>
      <x:c r="J351" s="10"/>
      <x:c r="K351" s="11" t="str">
        <x:f>IF(AND(ISNUMBER(I351),ISNUMBER(F351),F351&gt;0),I351/F351,"")</x:f>
      </x:c>
      <x:c r="L351" s="11" t="str">
        <x:f>IF(AND(ISNUMBER(J351),ISNUMBER(F351),F351&gt;0),J351/F351,"")</x:f>
      </x:c>
      <x:c r="M351" s="9"/>
      <x:c r="N351" s="9"/>
      <x:c r="O351" s="9"/>
    </x:row>
    <x:row r="352" ht="35.25" customHeight="1">
      <x:c r="A352" s="8" t="str">
        <x:v>V7-Sabaaa06bcd</x:v>
      </x:c>
      <x:c r="B352" s="8" t="str">
        <x:v>Нейросети в Закупках — Корпоративный тренинг Николая Лукши | baza2b.ru</x:v>
      </x:c>
      <x:c r="C352" s="8" t="str">
        <x:v>projects</x:v>
      </x:c>
      <x:c r="D352" s="9"/>
      <x:c r="E352" s="9"/>
      <x:c r="F352" s="9"/>
      <x:c r="G352" s="9"/>
      <x:c r="H352" s="9"/>
      <x:c r="I352" s="10"/>
      <x:c r="J352" s="10"/>
      <x:c r="K352" s="11" t="str">
        <x:f>IF(AND(ISNUMBER(I352),ISNUMBER(F352),F352&gt;0),I352/F352,"")</x:f>
      </x:c>
      <x:c r="L352" s="11" t="str">
        <x:f>IF(AND(ISNUMBER(J352),ISNUMBER(F352),F352&gt;0),J352/F352,"")</x:f>
      </x:c>
      <x:c r="M352" s="9"/>
      <x:c r="N352" s="9"/>
      <x:c r="O352" s="9"/>
    </x:row>
    <x:row r="353" ht="35.25" customHeight="1">
      <x:c r="A353" s="8" t="str">
        <x:v>V7-S744a70c43d</x:v>
      </x:c>
      <x:c r="B353" s="8" t="str">
        <x:v>Разработка и создание электронных курсов дистанционного обучения на заказ | BeOnTime</x:v>
      </x:c>
      <x:c r="C353" s="8" t="str">
        <x:v>lms</x:v>
      </x:c>
      <x:c r="D353" s="9"/>
      <x:c r="E353" s="9"/>
      <x:c r="F353" s="9"/>
      <x:c r="G353" s="9"/>
      <x:c r="H353" s="9"/>
      <x:c r="I353" s="10"/>
      <x:c r="J353" s="10"/>
      <x:c r="K353" s="11" t="str">
        <x:f>IF(AND(ISNUMBER(I353),ISNUMBER(F353),F353&gt;0),I353/F353,"")</x:f>
      </x:c>
      <x:c r="L353" s="11" t="str">
        <x:f>IF(AND(ISNUMBER(J353),ISNUMBER(F353),F353&gt;0),J353/F353,"")</x:f>
      </x:c>
      <x:c r="M353" s="9"/>
      <x:c r="N353" s="9"/>
      <x:c r="O353" s="9"/>
    </x:row>
    <x:row r="354" ht="33" customHeight="1">
      <x:c r="A354" s="8" t="str">
        <x:v>V7-S755b2306e3</x:v>
      </x:c>
      <x:c r="B354" s="8" t="str">
        <x:v>Бизнес-тренинги и семинары</x:v>
      </x:c>
      <x:c r="C354" s="8" t="str">
        <x:v>projects</x:v>
      </x:c>
      <x:c r="D354" s="9"/>
      <x:c r="E354" s="9"/>
      <x:c r="F354" s="9"/>
      <x:c r="G354" s="9"/>
      <x:c r="H354" s="9"/>
      <x:c r="I354" s="10"/>
      <x:c r="J354" s="10"/>
      <x:c r="K354" s="11" t="str">
        <x:f>IF(AND(ISNUMBER(I354),ISNUMBER(F354),F354&gt;0),I354/F354,"")</x:f>
      </x:c>
      <x:c r="L354" s="11" t="str">
        <x:f>IF(AND(ISNUMBER(J354),ISNUMBER(F354),F354&gt;0),J354/F354,"")</x:f>
      </x:c>
      <x:c r="M354" s="9"/>
      <x:c r="N354" s="9"/>
      <x:c r="O354" s="9"/>
    </x:row>
    <x:row r="355" ht="47.25" customHeight="1">
      <x:c r="A355" s="8" t="str">
        <x:v>V7-S184c2065be</x:v>
      </x:c>
      <x:c r="B355" s="8" t="str">
        <x:v>Бизнес-тренинги, семинары и курсы для предпринимателей и руководителей бизнеса в Казахстане | Компания «BGC»</x:v>
      </x:c>
      <x:c r="C355" s="8" t="str">
        <x:v>business</x:v>
      </x:c>
      <x:c r="D355" s="9"/>
      <x:c r="E355" s="9"/>
      <x:c r="F355" s="9"/>
      <x:c r="G355" s="9"/>
      <x:c r="H355" s="9"/>
      <x:c r="I355" s="10"/>
      <x:c r="J355" s="10"/>
      <x:c r="K355" s="11" t="str">
        <x:f>IF(AND(ISNUMBER(I355),ISNUMBER(F355),F355&gt;0),I355/F355,"")</x:f>
      </x:c>
      <x:c r="L355" s="11" t="str">
        <x:f>IF(AND(ISNUMBER(J355),ISNUMBER(F355),F355&gt;0),J355/F355,"")</x:f>
      </x:c>
      <x:c r="M355" s="9"/>
      <x:c r="N355" s="9"/>
      <x:c r="O355" s="9"/>
    </x:row>
    <x:row r="356" ht="35.25" customHeight="1">
      <x:c r="A356" s="8" t="str">
        <x:v>V7-S4f0a331cca</x:v>
      </x:c>
      <x:c r="B356" s="8" t="str">
        <x:v>Корпоративное обучение и тренинги / СМК / LEAN / KAIZEN</x:v>
      </x:c>
      <x:c r="C356" s="8" t="str">
        <x:v>providers</x:v>
      </x:c>
      <x:c r="D356" s="9"/>
      <x:c r="E356" s="9"/>
      <x:c r="F356" s="9"/>
      <x:c r="G356" s="9"/>
      <x:c r="H356" s="9"/>
      <x:c r="I356" s="10"/>
      <x:c r="J356" s="10"/>
      <x:c r="K356" s="11" t="str">
        <x:f>IF(AND(ISNUMBER(I356),ISNUMBER(F356),F356&gt;0),I356/F356,"")</x:f>
      </x:c>
      <x:c r="L356" s="11" t="str">
        <x:f>IF(AND(ISNUMBER(J356),ISNUMBER(F356),F356&gt;0),J356/F356,"")</x:f>
      </x:c>
      <x:c r="M356" s="9"/>
      <x:c r="N356" s="9"/>
      <x:c r="O356" s="9"/>
    </x:row>
    <x:row r="357" ht="35.25" customHeight="1">
      <x:c r="A357" s="8" t="str">
        <x:v>V7-S613c944602</x:v>
      </x:c>
      <x:c r="B357" s="8" t="str">
        <x:v>Спикер по искусственному интеллекту для центров «Мой бизнес»</x:v>
      </x:c>
      <x:c r="C357" s="8" t="str">
        <x:v>development</x:v>
      </x:c>
      <x:c r="D357" s="9"/>
      <x:c r="E357" s="9"/>
      <x:c r="F357" s="9"/>
      <x:c r="G357" s="9"/>
      <x:c r="H357" s="9"/>
      <x:c r="I357" s="10"/>
      <x:c r="J357" s="10"/>
      <x:c r="K357" s="11" t="str">
        <x:f>IF(AND(ISNUMBER(I357),ISNUMBER(F357),F357&gt;0),I357/F357,"")</x:f>
      </x:c>
      <x:c r="L357" s="11" t="str">
        <x:f>IF(AND(ISNUMBER(J357),ISNUMBER(F357),F357&gt;0),J357/F357,"")</x:f>
      </x:c>
      <x:c r="M357" s="9"/>
      <x:c r="N357" s="9"/>
      <x:c r="O357" s="9"/>
    </x:row>
    <x:row r="358" ht="47.25" customHeight="1">
      <x:c r="A358" s="8" t="str">
        <x:v>V7-S7a3de1a711</x:v>
      </x:c>
      <x:c r="B358" s="8" t="str">
        <x:v>Навигатор дополнительного образования: маркетплейс ДПО – Национальный исследовательский университет «Высшая школа экономики»</x:v>
      </x:c>
      <x:c r="C358" s="8" t="str">
        <x:v>cu</x:v>
      </x:c>
      <x:c r="D358" s="9"/>
      <x:c r="E358" s="9"/>
      <x:c r="F358" s="9"/>
      <x:c r="G358" s="9"/>
      <x:c r="H358" s="9"/>
      <x:c r="I358" s="10"/>
      <x:c r="J358" s="10"/>
      <x:c r="K358" s="11" t="str">
        <x:f>IF(AND(ISNUMBER(I358),ISNUMBER(F358),F358&gt;0),I358/F358,"")</x:f>
      </x:c>
      <x:c r="L358" s="11" t="str">
        <x:f>IF(AND(ISNUMBER(J358),ISNUMBER(F358),F358&gt;0),J358/F358,"")</x:f>
      </x:c>
      <x:c r="M358" s="9"/>
      <x:c r="N358" s="9"/>
      <x:c r="O358" s="9"/>
    </x:row>
    <x:row r="359" ht="33" customHeight="1">
      <x:c r="A359" s="8" t="str">
        <x:v>V7-S68396b42d5</x:v>
      </x:c>
      <x:c r="B359" s="8" t="str">
        <x:v>Образовательные услуги академии SENSYS</x:v>
      </x:c>
      <x:c r="C359" s="8" t="str">
        <x:v>lms</x:v>
      </x:c>
      <x:c r="D359" s="9"/>
      <x:c r="E359" s="9"/>
      <x:c r="F359" s="9"/>
      <x:c r="G359" s="9"/>
      <x:c r="H359" s="9"/>
      <x:c r="I359" s="10"/>
      <x:c r="J359" s="10"/>
      <x:c r="K359" s="11" t="str">
        <x:f>IF(AND(ISNUMBER(I359),ISNUMBER(F359),F359&gt;0),I359/F359,"")</x:f>
      </x:c>
      <x:c r="L359" s="11" t="str">
        <x:f>IF(AND(ISNUMBER(J359),ISNUMBER(F359),F359&gt;0),J359/F359,"")</x:f>
      </x:c>
      <x:c r="M359" s="9"/>
      <x:c r="N359" s="9"/>
      <x:c r="O359" s="9"/>
    </x:row>
    <x:row r="360" ht="35.25" customHeight="1">
      <x:c r="A360" s="8" t="str">
        <x:v>V7-S9698573248</x:v>
      </x:c>
      <x:c r="B360" s="8" t="str">
        <x:v>III ЕвроАзиатский Финансово-Экономический Форум — Хоргос 2026 - Форум ABR</x:v>
      </x:c>
      <x:c r="C360" s="8" t="str">
        <x:v>events</x:v>
      </x:c>
      <x:c r="D360" s="9"/>
      <x:c r="E360" s="9"/>
      <x:c r="F360" s="9"/>
      <x:c r="G360" s="9"/>
      <x:c r="H360" s="9"/>
      <x:c r="I360" s="10"/>
      <x:c r="J360" s="10"/>
      <x:c r="K360" s="11" t="str">
        <x:f>IF(AND(ISNUMBER(I360),ISNUMBER(F360),F360&gt;0),I360/F360,"")</x:f>
      </x:c>
      <x:c r="L360" s="11" t="str">
        <x:f>IF(AND(ISNUMBER(J360),ISNUMBER(F360),F360&gt;0),J360/F360,"")</x:f>
      </x:c>
      <x:c r="M360" s="9"/>
      <x:c r="N360" s="9"/>
      <x:c r="O360" s="9"/>
    </x:row>
    <x:row r="361" ht="35.25" customHeight="1">
      <x:c r="A361" s="8" t="str">
        <x:v>V7-S2a1b1500f3</x:v>
      </x:c>
      <x:c r="B361" s="8" t="str">
        <x:v>КаргоКульт 2025 | Подача заявки на доклад | Конференция по HR</x:v>
      </x:c>
      <x:c r="C361" s="8" t="str">
        <x:v>events</x:v>
      </x:c>
      <x:c r="D361" s="9"/>
      <x:c r="E361" s="9"/>
      <x:c r="F361" s="9"/>
      <x:c r="G361" s="9"/>
      <x:c r="H361" s="9"/>
      <x:c r="I361" s="10"/>
      <x:c r="J361" s="10"/>
      <x:c r="K361" s="11" t="str">
        <x:f>IF(AND(ISNUMBER(I361),ISNUMBER(F361),F361&gt;0),I361/F361,"")</x:f>
      </x:c>
      <x:c r="L361" s="11" t="str">
        <x:f>IF(AND(ISNUMBER(J361),ISNUMBER(F361),F361&gt;0),J361/F361,"")</x:f>
      </x:c>
      <x:c r="M361" s="9"/>
      <x:c r="N361" s="9"/>
      <x:c r="O361" s="9"/>
    </x:row>
    <x:row r="362" ht="35.25" customHeight="1">
      <x:c r="A362" s="8" t="str">
        <x:v>V7-S95c20feab7</x:v>
      </x:c>
      <x:c r="B362" s="8" t="str">
        <x:v>Разработка ПО и AI-решений для бизнеса в Беларуси | Chota</x:v>
      </x:c>
      <x:c r="C362" s="8" t="str">
        <x:v>lms</x:v>
      </x:c>
      <x:c r="D362" s="9"/>
      <x:c r="E362" s="9"/>
      <x:c r="F362" s="9"/>
      <x:c r="G362" s="9"/>
      <x:c r="H362" s="9"/>
      <x:c r="I362" s="10"/>
      <x:c r="J362" s="10"/>
      <x:c r="K362" s="11" t="str">
        <x:f>IF(AND(ISNUMBER(I362),ISNUMBER(F362),F362&gt;0),I362/F362,"")</x:f>
      </x:c>
      <x:c r="L362" s="11" t="str">
        <x:f>IF(AND(ISNUMBER(J362),ISNUMBER(F362),F362&gt;0),J362/F362,"")</x:f>
      </x:c>
      <x:c r="M362" s="9"/>
      <x:c r="N362" s="9"/>
      <x:c r="O362" s="9"/>
    </x:row>
    <x:row r="363" ht="35.25" customHeight="1">
      <x:c r="A363" s="8" t="str">
        <x:v>V7-Se8ff14cd59</x:v>
      </x:c>
      <x:c r="B363" s="8" t="str">
        <x:v>Направления обучения в Академии АйТи | Лаборатория цифровой трансформации</x:v>
      </x:c>
      <x:c r="C363" s="8" t="str">
        <x:v>functional</x:v>
      </x:c>
      <x:c r="D363" s="9"/>
      <x:c r="E363" s="9"/>
      <x:c r="F363" s="9"/>
      <x:c r="G363" s="9"/>
      <x:c r="H363" s="9"/>
      <x:c r="I363" s="10"/>
      <x:c r="J363" s="10"/>
      <x:c r="K363" s="11" t="str">
        <x:f>IF(AND(ISNUMBER(I363),ISNUMBER(F363),F363&gt;0),I363/F363,"")</x:f>
      </x:c>
      <x:c r="L363" s="11" t="str">
        <x:f>IF(AND(ISNUMBER(J363),ISNUMBER(F363),F363&gt;0),J363/F363,"")</x:f>
      </x:c>
      <x:c r="M363" s="9"/>
      <x:c r="N363" s="9"/>
      <x:c r="O363" s="9"/>
    </x:row>
    <x:row r="364" ht="47.25" customHeight="1">
      <x:c r="A364" s="8" t="str">
        <x:v>V7-S831cf2d52a</x:v>
      </x:c>
      <x:c r="B364" s="8" t="str">
        <x:v>Курс повышения квалификации Директор по качеству: операционное управление и инструменты снижения потерь</x:v>
      </x:c>
      <x:c r="C364" s="8" t="str">
        <x:v>functional</x:v>
      </x:c>
      <x:c r="D364" s="9"/>
      <x:c r="E364" s="9"/>
      <x:c r="F364" s="9"/>
      <x:c r="G364" s="9"/>
      <x:c r="H364" s="9"/>
      <x:c r="I364" s="10"/>
      <x:c r="J364" s="10"/>
      <x:c r="K364" s="11" t="str">
        <x:f>IF(AND(ISNUMBER(I364),ISNUMBER(F364),F364&gt;0),I364/F364,"")</x:f>
      </x:c>
      <x:c r="L364" s="11" t="str">
        <x:f>IF(AND(ISNUMBER(J364),ISNUMBER(F364),F364&gt;0),J364/F364,"")</x:f>
      </x:c>
      <x:c r="M364" s="9"/>
      <x:c r="N364" s="9"/>
      <x:c r="O364" s="9"/>
    </x:row>
    <x:row r="365" ht="33" customHeight="1">
      <x:c r="A365" s="8" t="str">
        <x:v>V7-Scd697733c6</x:v>
      </x:c>
      <x:c r="B365" s="8" t="str">
        <x:v>КОРП.ЕДУ — AI-тренажеры и онлайн-курсы | Алматы</x:v>
      </x:c>
      <x:c r="C365" s="8" t="str">
        <x:v>lms</x:v>
      </x:c>
      <x:c r="D365" s="9"/>
      <x:c r="E365" s="9"/>
      <x:c r="F365" s="9"/>
      <x:c r="G365" s="9"/>
      <x:c r="H365" s="9"/>
      <x:c r="I365" s="10"/>
      <x:c r="J365" s="10"/>
      <x:c r="K365" s="11" t="str">
        <x:f>IF(AND(ISNUMBER(I365),ISNUMBER(F365),F365&gt;0),I365/F365,"")</x:f>
      </x:c>
      <x:c r="L365" s="11" t="str">
        <x:f>IF(AND(ISNUMBER(J365),ISNUMBER(F365),F365&gt;0),J365/F365,"")</x:f>
      </x:c>
      <x:c r="M365" s="9"/>
      <x:c r="N365" s="9"/>
      <x:c r="O365" s="9"/>
    </x:row>
    <x:row r="366" ht="35.25" customHeight="1">
      <x:c r="A366" s="8" t="str">
        <x:v>V7-Sd19f071fc6</x:v>
      </x:c>
      <x:c r="B366" s="8" t="str">
        <x:v>Создам онлайн курс любой тематики! – Образовательный бизнес!</x:v>
      </x:c>
      <x:c r="C366" s="8" t="str">
        <x:v>lms</x:v>
      </x:c>
      <x:c r="D366" s="9"/>
      <x:c r="E366" s="9"/>
      <x:c r="F366" s="9"/>
      <x:c r="G366" s="9"/>
      <x:c r="H366" s="9"/>
      <x:c r="I366" s="10"/>
      <x:c r="J366" s="10"/>
      <x:c r="K366" s="11" t="str">
        <x:f>IF(AND(ISNUMBER(I366),ISNUMBER(F366),F366&gt;0),I366/F366,"")</x:f>
      </x:c>
      <x:c r="L366" s="11" t="str">
        <x:f>IF(AND(ISNUMBER(J366),ISNUMBER(F366),F366&gt;0),J366/F366,"")</x:f>
      </x:c>
      <x:c r="M366" s="9"/>
      <x:c r="N366" s="9"/>
      <x:c r="O366" s="9"/>
    </x:row>
    <x:row r="367" ht="33" customHeight="1">
      <x:c r="A367" s="8" t="str">
        <x:v>V7-S463f7cbaa9</x:v>
      </x:c>
      <x:c r="B367" s="8" t="str">
        <x:v>Сведения об образовательной организации</x:v>
      </x:c>
      <x:c r="C367" s="8" t="str">
        <x:v>cu</x:v>
      </x:c>
      <x:c r="D367" s="9"/>
      <x:c r="E367" s="9"/>
      <x:c r="F367" s="9"/>
      <x:c r="G367" s="9"/>
      <x:c r="H367" s="9"/>
      <x:c r="I367" s="10"/>
      <x:c r="J367" s="10"/>
      <x:c r="K367" s="11" t="str">
        <x:f>IF(AND(ISNUMBER(I367),ISNUMBER(F367),F367&gt;0),I367/F367,"")</x:f>
      </x:c>
      <x:c r="L367" s="11" t="str">
        <x:f>IF(AND(ISNUMBER(J367),ISNUMBER(F367),F367&gt;0),J367/F367,"")</x:f>
      </x:c>
      <x:c r="M367" s="9"/>
      <x:c r="N367" s="9"/>
      <x:c r="O367" s="9"/>
    </x:row>
    <x:row r="368" ht="35.25" customHeight="1">
      <x:c r="A368" s="8" t="str">
        <x:v>V7-S5fbdc4735e</x:v>
      </x:c>
      <x:c r="B368" s="8" t="str">
        <x:v>Конференция «Управление финансами в производственных и промышленных компаниях»</x:v>
      </x:c>
      <x:c r="C368" s="8" t="str">
        <x:v>events</x:v>
      </x:c>
      <x:c r="D368" s="9"/>
      <x:c r="E368" s="9"/>
      <x:c r="F368" s="9"/>
      <x:c r="G368" s="9"/>
      <x:c r="H368" s="9"/>
      <x:c r="I368" s="10"/>
      <x:c r="J368" s="10"/>
      <x:c r="K368" s="11" t="str">
        <x:f>IF(AND(ISNUMBER(I368),ISNUMBER(F368),F368&gt;0),I368/F368,"")</x:f>
      </x:c>
      <x:c r="L368" s="11" t="str">
        <x:f>IF(AND(ISNUMBER(J368),ISNUMBER(F368),F368&gt;0),J368/F368,"")</x:f>
      </x:c>
      <x:c r="M368" s="9"/>
      <x:c r="N368" s="9"/>
      <x:c r="O368" s="9"/>
    </x:row>
    <x:row r="369" ht="35.25" customHeight="1">
      <x:c r="A369" s="8" t="str">
        <x:v>V7-S07b40bf485</x:v>
      </x:c>
      <x:c r="B369" s="8" t="str">
        <x:v>Управление разработкой электронных курсов | e-Learning Мастер</x:v>
      </x:c>
      <x:c r="C369" s="8" t="str">
        <x:v>lms</x:v>
      </x:c>
      <x:c r="D369" s="9"/>
      <x:c r="E369" s="9"/>
      <x:c r="F369" s="9"/>
      <x:c r="G369" s="9"/>
      <x:c r="H369" s="9"/>
      <x:c r="I369" s="10"/>
      <x:c r="J369" s="10"/>
      <x:c r="K369" s="11" t="str">
        <x:f>IF(AND(ISNUMBER(I369),ISNUMBER(F369),F369&gt;0),I369/F369,"")</x:f>
      </x:c>
      <x:c r="L369" s="11" t="str">
        <x:f>IF(AND(ISNUMBER(J369),ISNUMBER(F369),F369&gt;0),J369/F369,"")</x:f>
      </x:c>
      <x:c r="M369" s="9"/>
      <x:c r="N369" s="9"/>
      <x:c r="O369" s="9"/>
    </x:row>
    <x:row r="370" ht="35.25" customHeight="1">
      <x:c r="A370" s="8" t="str">
        <x:v>V7-S3ac006e7ae</x:v>
      </x:c>
      <x:c r="B370" s="8" t="str">
        <x:v>Корпоративная Академия "эВ-групп" — обучение персонала</x:v>
      </x:c>
      <x:c r="C370" s="8" t="str">
        <x:v>cu</x:v>
      </x:c>
      <x:c r="D370" s="9"/>
      <x:c r="E370" s="9"/>
      <x:c r="F370" s="9"/>
      <x:c r="G370" s="9"/>
      <x:c r="H370" s="9"/>
      <x:c r="I370" s="10"/>
      <x:c r="J370" s="10"/>
      <x:c r="K370" s="11" t="str">
        <x:f>IF(AND(ISNUMBER(I370),ISNUMBER(F370),F370&gt;0),I370/F370,"")</x:f>
      </x:c>
      <x:c r="L370" s="11" t="str">
        <x:f>IF(AND(ISNUMBER(J370),ISNUMBER(F370),F370&gt;0),J370/F370,"")</x:f>
      </x:c>
      <x:c r="M370" s="9"/>
      <x:c r="N370" s="9"/>
      <x:c r="O370" s="9"/>
    </x:row>
    <x:row r="371" ht="33" customHeight="1">
      <x:c r="A371" s="8" t="str">
        <x:v>V7-S909e57b994</x:v>
      </x:c>
      <x:c r="B371" s="8" t="str">
        <x:v>Форум управляющих директоров 2026 — Москва</x:v>
      </x:c>
      <x:c r="C371" s="8" t="str">
        <x:v>events</x:v>
      </x:c>
      <x:c r="D371" s="9"/>
      <x:c r="E371" s="9"/>
      <x:c r="F371" s="9"/>
      <x:c r="G371" s="9"/>
      <x:c r="H371" s="9"/>
      <x:c r="I371" s="10"/>
      <x:c r="J371" s="10"/>
      <x:c r="K371" s="11" t="str">
        <x:f>IF(AND(ISNUMBER(I371),ISNUMBER(F371),F371&gt;0),I371/F371,"")</x:f>
      </x:c>
      <x:c r="L371" s="11" t="str">
        <x:f>IF(AND(ISNUMBER(J371),ISNUMBER(F371),F371&gt;0),J371/F371,"")</x:f>
      </x:c>
      <x:c r="M371" s="9"/>
      <x:c r="N371" s="9"/>
      <x:c r="O371" s="9"/>
    </x:row>
    <x:row r="372" ht="35.25" customHeight="1">
      <x:c r="A372" s="8" t="str">
        <x:v>V7-Sc4eb7f5f42</x:v>
      </x:c>
      <x:c r="B372" s="8" t="str">
        <x:v>Образовательный проект : Центр поддержки экспорта</x:v>
      </x:c>
      <x:c r="C372" s="8" t="str">
        <x:v>development</x:v>
      </x:c>
      <x:c r="D372" s="9"/>
      <x:c r="E372" s="9"/>
      <x:c r="F372" s="9"/>
      <x:c r="G372" s="9"/>
      <x:c r="H372" s="9"/>
      <x:c r="I372" s="10"/>
      <x:c r="J372" s="10"/>
      <x:c r="K372" s="11" t="str">
        <x:f>IF(AND(ISNUMBER(I372),ISNUMBER(F372),F372&gt;0),I372/F372,"")</x:f>
      </x:c>
      <x:c r="L372" s="11" t="str">
        <x:f>IF(AND(ISNUMBER(J372),ISNUMBER(F372),F372&gt;0),J372/F372,"")</x:f>
      </x:c>
      <x:c r="M372" s="9"/>
      <x:c r="N372" s="9"/>
      <x:c r="O372" s="9"/>
    </x:row>
    <x:row r="373" ht="33" customHeight="1">
      <x:c r="A373" s="8" t="str">
        <x:v>V7-Sbc52834073</x:v>
      </x:c>
      <x:c r="B373" s="8" t="str">
        <x:v>Центр поддержки экспорта Ростовской области</x:v>
      </x:c>
      <x:c r="C373" s="8" t="str">
        <x:v>development</x:v>
      </x:c>
      <x:c r="D373" s="9"/>
      <x:c r="E373" s="9"/>
      <x:c r="F373" s="9"/>
      <x:c r="G373" s="9"/>
      <x:c r="H373" s="9"/>
      <x:c r="I373" s="10"/>
      <x:c r="J373" s="10"/>
      <x:c r="K373" s="11" t="str">
        <x:f>IF(AND(ISNUMBER(I373),ISNUMBER(F373),F373&gt;0),I373/F373,"")</x:f>
      </x:c>
      <x:c r="L373" s="11" t="str">
        <x:f>IF(AND(ISNUMBER(J373),ISNUMBER(F373),F373&gt;0),J373/F373,"")</x:f>
      </x:c>
      <x:c r="M373" s="9"/>
      <x:c r="N373" s="9"/>
      <x:c r="O373" s="9"/>
    </x:row>
    <x:row r="374" ht="83.25" customHeight="1">
      <x:c r="A374" s="8" t="str">
        <x:v>V7-S933dd30d00</x:v>
      </x:c>
      <x:c r="B374" s="8" t="str">
        <x:v>Участники Конкурса могут реализовывать образовательные программы и/или просветительские проекты как для действующих субъектов малого и среднего предпринимательства, так и для будущих предпринимателей – молодёжной аудитории в возрасте 14-35 лет.</x:v>
      </x:c>
      <x:c r="C374" s="8" t="str">
        <x:v>development</x:v>
      </x:c>
      <x:c r="D374" s="9"/>
      <x:c r="E374" s="9"/>
      <x:c r="F374" s="9"/>
      <x:c r="G374" s="9"/>
      <x:c r="H374" s="9"/>
      <x:c r="I374" s="10"/>
      <x:c r="J374" s="10"/>
      <x:c r="K374" s="11" t="str">
        <x:f>IF(AND(ISNUMBER(I374),ISNUMBER(F374),F374&gt;0),I374/F374,"")</x:f>
      </x:c>
      <x:c r="L374" s="11" t="str">
        <x:f>IF(AND(ISNUMBER(J374),ISNUMBER(F374),F374&gt;0),J374/F374,"")</x:f>
      </x:c>
      <x:c r="M374" s="9"/>
      <x:c r="N374" s="9"/>
      <x:c r="O374" s="9"/>
    </x:row>
    <x:row r="375" ht="35.25" customHeight="1">
      <x:c r="A375" s="8" t="str">
        <x:v>V7-S60d02c168f</x:v>
      </x:c>
      <x:c r="B375" s="8" t="str">
        <x:v>Упаковка онлайн-курса под ключ за 5 дней — AI делает за вас | FLOW</x:v>
      </x:c>
      <x:c r="C375" s="8" t="str">
        <x:v>projects</x:v>
      </x:c>
      <x:c r="D375" s="9"/>
      <x:c r="E375" s="9"/>
      <x:c r="F375" s="9"/>
      <x:c r="G375" s="9"/>
      <x:c r="H375" s="9"/>
      <x:c r="I375" s="10"/>
      <x:c r="J375" s="10"/>
      <x:c r="K375" s="11" t="str">
        <x:f>IF(AND(ISNUMBER(I375),ISNUMBER(F375),F375&gt;0),I375/F375,"")</x:f>
      </x:c>
      <x:c r="L375" s="11" t="str">
        <x:f>IF(AND(ISNUMBER(J375),ISNUMBER(F375),F375&gt;0),J375/F375,"")</x:f>
      </x:c>
      <x:c r="M375" s="9"/>
      <x:c r="N375" s="9"/>
      <x:c r="O375" s="9"/>
    </x:row>
    <x:row r="376" ht="33" customHeight="1">
      <x:c r="A376" s="8" t="str">
        <x:v>V7-S62d66a1efd</x:v>
      </x:c>
      <x:c r="B376" s="8" t="str">
        <x:v>HR Directors Forum'26</x:v>
      </x:c>
      <x:c r="C376" s="8" t="str">
        <x:v>events</x:v>
      </x:c>
      <x:c r="D376" s="9"/>
      <x:c r="E376" s="9"/>
      <x:c r="F376" s="9"/>
      <x:c r="G376" s="9"/>
      <x:c r="H376" s="9"/>
      <x:c r="I376" s="10"/>
      <x:c r="J376" s="10"/>
      <x:c r="K376" s="11" t="str">
        <x:f>IF(AND(ISNUMBER(I376),ISNUMBER(F376),F376&gt;0),I376/F376,"")</x:f>
      </x:c>
      <x:c r="L376" s="11" t="str">
        <x:f>IF(AND(ISNUMBER(J376),ISNUMBER(F376),F376&gt;0),J376/F376,"")</x:f>
      </x:c>
      <x:c r="M376" s="9"/>
      <x:c r="N376" s="9"/>
      <x:c r="O376" s="9"/>
    </x:row>
    <x:row r="377" ht="33" customHeight="1">
      <x:c r="A377" s="8" t="str">
        <x:v>V7-S9797b289b7</x:v>
      </x:c>
      <x:c r="B377" s="8" t="str">
        <x:v>Форум по автоматизации снабжения и закупок</x:v>
      </x:c>
      <x:c r="C377" s="8" t="str">
        <x:v>events</x:v>
      </x:c>
      <x:c r="D377" s="9"/>
      <x:c r="E377" s="9"/>
      <x:c r="F377" s="9"/>
      <x:c r="G377" s="9"/>
      <x:c r="H377" s="9"/>
      <x:c r="I377" s="10"/>
      <x:c r="J377" s="10"/>
      <x:c r="K377" s="11" t="str">
        <x:f>IF(AND(ISNUMBER(I377),ISNUMBER(F377),F377&gt;0),I377/F377,"")</x:f>
      </x:c>
      <x:c r="L377" s="11" t="str">
        <x:f>IF(AND(ISNUMBER(J377),ISNUMBER(F377),F377&gt;0),J377/F377,"")</x:f>
      </x:c>
      <x:c r="M377" s="9"/>
      <x:c r="N377" s="9"/>
      <x:c r="O377" s="9"/>
    </x:row>
    <x:row r="378" ht="35.25" customHeight="1">
      <x:c r="A378" s="8" t="str">
        <x:v>V7-Sfeb909f7b9</x:v>
      </x:c>
      <x:c r="B378" s="8" t="str">
        <x:v>HR-Конференция Quorum «КАДРОВЫЙ РЕЗЕРВ 2026» | Материалы</x:v>
      </x:c>
      <x:c r="C378" s="8" t="str">
        <x:v>events</x:v>
      </x:c>
      <x:c r="D378" s="9"/>
      <x:c r="E378" s="9"/>
      <x:c r="F378" s="9"/>
      <x:c r="G378" s="9"/>
      <x:c r="H378" s="9"/>
      <x:c r="I378" s="10"/>
      <x:c r="J378" s="10"/>
      <x:c r="K378" s="11" t="str">
        <x:f>IF(AND(ISNUMBER(I378),ISNUMBER(F378),F378&gt;0),I378/F378,"")</x:f>
      </x:c>
      <x:c r="L378" s="11" t="str">
        <x:f>IF(AND(ISNUMBER(J378),ISNUMBER(F378),F378&gt;0),J378/F378,"")</x:f>
      </x:c>
      <x:c r="M378" s="9"/>
      <x:c r="N378" s="9"/>
      <x:c r="O378" s="9"/>
    </x:row>
    <x:row r="379" ht="33" customHeight="1">
      <x:c r="A379" s="8" t="str">
        <x:v>V7-S933287c25b</x:v>
      </x:c>
      <x:c r="B379" s="8" t="str">
        <x:v>Методолог (EdTech) в Sergey Sergeev | Hirify</x:v>
      </x:c>
      <x:c r="C379" s="8" t="str">
        <x:v>projects</x:v>
      </x:c>
      <x:c r="D379" s="9"/>
      <x:c r="E379" s="9"/>
      <x:c r="F379" s="9"/>
      <x:c r="G379" s="9"/>
      <x:c r="H379" s="9"/>
      <x:c r="I379" s="10"/>
      <x:c r="J379" s="10"/>
      <x:c r="K379" s="11" t="str">
        <x:f>IF(AND(ISNUMBER(I379),ISNUMBER(F379),F379&gt;0),I379/F379,"")</x:f>
      </x:c>
      <x:c r="L379" s="11" t="str">
        <x:f>IF(AND(ISNUMBER(J379),ISNUMBER(F379),F379&gt;0),J379/F379,"")</x:f>
      </x:c>
      <x:c r="M379" s="9"/>
      <x:c r="N379" s="9"/>
      <x:c r="O379" s="9"/>
    </x:row>
    <x:row r="380" ht="33" customHeight="1">
      <x:c r="A380" s="8" t="str">
        <x:v>V7-S9a3b273a27</x:v>
      </x:c>
      <x:c r="B380" s="8" t="str">
        <x:v>HoReCa</x:v>
      </x:c>
      <x:c r="C380" s="8" t="str">
        <x:v>events</x:v>
      </x:c>
      <x:c r="D380" s="9"/>
      <x:c r="E380" s="9"/>
      <x:c r="F380" s="9"/>
      <x:c r="G380" s="9"/>
      <x:c r="H380" s="9"/>
      <x:c r="I380" s="10"/>
      <x:c r="J380" s="10"/>
      <x:c r="K380" s="11" t="str">
        <x:f>IF(AND(ISNUMBER(I380),ISNUMBER(F380),F380&gt;0),I380/F380,"")</x:f>
      </x:c>
      <x:c r="L380" s="11" t="str">
        <x:f>IF(AND(ISNUMBER(J380),ISNUMBER(F380),F380&gt;0),J380/F380,"")</x:f>
      </x:c>
      <x:c r="M380" s="9"/>
      <x:c r="N380" s="9"/>
      <x:c r="O380" s="9"/>
    </x:row>
    <x:row r="381" ht="35.25" customHeight="1">
      <x:c r="A381" s="8" t="str">
        <x:v>V7-S32584e837e</x:v>
      </x:c>
      <x:c r="B381" s="8" t="str">
        <x:v>HR Gulaeva » Выставка-конференция НАОБОРОТ: Корпоративные Университеты</x:v>
      </x:c>
      <x:c r="C381" s="8" t="str">
        <x:v>cu</x:v>
      </x:c>
      <x:c r="D381" s="9"/>
      <x:c r="E381" s="9"/>
      <x:c r="F381" s="9"/>
      <x:c r="G381" s="9"/>
      <x:c r="H381" s="9"/>
      <x:c r="I381" s="10"/>
      <x:c r="J381" s="10"/>
      <x:c r="K381" s="11" t="str">
        <x:f>IF(AND(ISNUMBER(I381),ISNUMBER(F381),F381&gt;0),I381/F381,"")</x:f>
      </x:c>
      <x:c r="L381" s="11" t="str">
        <x:f>IF(AND(ISNUMBER(J381),ISNUMBER(F381),F381&gt;0),J381/F381,"")</x:f>
      </x:c>
      <x:c r="M381" s="9"/>
      <x:c r="N381" s="9"/>
      <x:c r="O381" s="9"/>
    </x:row>
    <x:row r="382" ht="35.25" customHeight="1">
      <x:c r="A382" s="8" t="str">
        <x:v>V7-S87810b61c6</x:v>
      </x:c>
      <x:c r="B382" s="8" t="str">
        <x:v>HR конференция 15 апреля 2026 в Беларуси | HR Day</x:v>
      </x:c>
      <x:c r="C382" s="8" t="str">
        <x:v>regional_hr</x:v>
      </x:c>
      <x:c r="D382" s="9"/>
      <x:c r="E382" s="9"/>
      <x:c r="F382" s="9"/>
      <x:c r="G382" s="9"/>
      <x:c r="H382" s="9"/>
      <x:c r="I382" s="10"/>
      <x:c r="J382" s="10"/>
      <x:c r="K382" s="11" t="str">
        <x:f>IF(AND(ISNUMBER(I382),ISNUMBER(F382),F382&gt;0),I382/F382,"")</x:f>
      </x:c>
      <x:c r="L382" s="11" t="str">
        <x:f>IF(AND(ISNUMBER(J382),ISNUMBER(F382),F382&gt;0),J382/F382,"")</x:f>
      </x:c>
      <x:c r="M382" s="9"/>
      <x:c r="N382" s="9"/>
      <x:c r="O382" s="9"/>
    </x:row>
    <x:row r="383" ht="33" customHeight="1">
      <x:c r="A383" s="8" t="str">
        <x:v>V7-S53e8a4f079</x:v>
      </x:c>
      <x:c r="B383" s="8" t="str">
        <x:v>Рейтинг работодателей России — HRlike</x:v>
      </x:c>
      <x:c r="C383" s="8" t="str">
        <x:v>regional_hr</x:v>
      </x:c>
      <x:c r="D383" s="9"/>
      <x:c r="E383" s="9"/>
      <x:c r="F383" s="9"/>
      <x:c r="G383" s="9"/>
      <x:c r="H383" s="9"/>
      <x:c r="I383" s="10"/>
      <x:c r="J383" s="10"/>
      <x:c r="K383" s="11" t="str">
        <x:f>IF(AND(ISNUMBER(I383),ISNUMBER(F383),F383&gt;0),I383/F383,"")</x:f>
      </x:c>
      <x:c r="L383" s="11" t="str">
        <x:f>IF(AND(ISNUMBER(J383),ISNUMBER(F383),F383&gt;0),J383/F383,"")</x:f>
      </x:c>
      <x:c r="M383" s="9"/>
      <x:c r="N383" s="9"/>
      <x:c r="O383" s="9"/>
    </x:row>
    <x:row r="384" ht="35.25" customHeight="1">
      <x:c r="A384" s="8" t="str">
        <x:v>V7-S620f56394c</x:v>
      </x:c>
      <x:c r="B384" s="8" t="str">
        <x:v>XVI HR-конференция Quorum УПРАВЛЕНИЕ ПРОИЗВОДСТВЕННЫМ ПЕРСОНАЛОМ 2026 | Материалы</x:v>
      </x:c>
      <x:c r="C384" s="8" t="str">
        <x:v>events</x:v>
      </x:c>
      <x:c r="D384" s="9"/>
      <x:c r="E384" s="9"/>
      <x:c r="F384" s="9"/>
      <x:c r="G384" s="9"/>
      <x:c r="H384" s="9"/>
      <x:c r="I384" s="10"/>
      <x:c r="J384" s="10"/>
      <x:c r="K384" s="11" t="str">
        <x:f>IF(AND(ISNUMBER(I384),ISNUMBER(F384),F384&gt;0),I384/F384,"")</x:f>
      </x:c>
      <x:c r="L384" s="11" t="str">
        <x:f>IF(AND(ISNUMBER(J384),ISNUMBER(F384),F384&gt;0),J384/F384,"")</x:f>
      </x:c>
      <x:c r="M384" s="9"/>
      <x:c r="N384" s="9"/>
      <x:c r="O384" s="9"/>
    </x:row>
    <x:row r="385" ht="33" customHeight="1">
      <x:c r="A385" s="8" t="str">
        <x:v>V7-S0cf27d2a98</x:v>
      </x:c>
      <x:c r="B385" s="8" t="str">
        <x:v>Конференция Human. Кадровое делопроизводство</x:v>
      </x:c>
      <x:c r="C385" s="8" t="str">
        <x:v>events</x:v>
      </x:c>
      <x:c r="D385" s="9"/>
      <x:c r="E385" s="9"/>
      <x:c r="F385" s="9"/>
      <x:c r="G385" s="9"/>
      <x:c r="H385" s="9"/>
      <x:c r="I385" s="10"/>
      <x:c r="J385" s="10"/>
      <x:c r="K385" s="11" t="str">
        <x:f>IF(AND(ISNUMBER(I385),ISNUMBER(F385),F385&gt;0),I385/F385,"")</x:f>
      </x:c>
      <x:c r="L385" s="11" t="str">
        <x:f>IF(AND(ISNUMBER(J385),ISNUMBER(F385),F385&gt;0),J385/F385,"")</x:f>
      </x:c>
      <x:c r="M385" s="9"/>
      <x:c r="N385" s="9"/>
      <x:c r="O385" s="9"/>
    </x:row>
    <x:row r="386" ht="33" customHeight="1">
      <x:c r="A386" s="8" t="str">
        <x:v>V7-S3f36efdcc4</x:v>
      </x:c>
      <x:c r="B386" s="8" t="str">
        <x:v>Бизнес обучение и консалтинг</x:v>
      </x:c>
      <x:c r="C386" s="8" t="str">
        <x:v>projects</x:v>
      </x:c>
      <x:c r="D386" s="9"/>
      <x:c r="E386" s="9"/>
      <x:c r="F386" s="9"/>
      <x:c r="G386" s="9"/>
      <x:c r="H386" s="9"/>
      <x:c r="I386" s="10"/>
      <x:c r="J386" s="10"/>
      <x:c r="K386" s="11" t="str">
        <x:f>IF(AND(ISNUMBER(I386),ISNUMBER(F386),F386&gt;0),I386/F386,"")</x:f>
      </x:c>
      <x:c r="L386" s="11" t="str">
        <x:f>IF(AND(ISNUMBER(J386),ISNUMBER(F386),F386&gt;0),J386/F386,"")</x:f>
      </x:c>
      <x:c r="M386" s="9"/>
      <x:c r="N386" s="9"/>
      <x:c r="O386" s="9"/>
    </x:row>
    <x:row r="387" ht="47.25" customHeight="1">
      <x:c r="A387" s="8" t="str">
        <x:v>V7-S2f52666053</x:v>
      </x:c>
      <x:c r="B387" s="8" t="str">
        <x:v>Международная конференция InstaMinsk 2025 - празднуем 15 лет Instagram в Президент Отеле 15 Февраля</x:v>
      </x:c>
      <x:c r="C387" s="8" t="str">
        <x:v>events</x:v>
      </x:c>
      <x:c r="D387" s="9"/>
      <x:c r="E387" s="9"/>
      <x:c r="F387" s="9"/>
      <x:c r="G387" s="9"/>
      <x:c r="H387" s="9"/>
      <x:c r="I387" s="10"/>
      <x:c r="J387" s="10"/>
      <x:c r="K387" s="11" t="str">
        <x:f>IF(AND(ISNUMBER(I387),ISNUMBER(F387),F387&gt;0),I387/F387,"")</x:f>
      </x:c>
      <x:c r="L387" s="11" t="str">
        <x:f>IF(AND(ISNUMBER(J387),ISNUMBER(F387),F387&gt;0),J387/F387,"")</x:f>
      </x:c>
      <x:c r="M387" s="9"/>
      <x:c r="N387" s="9"/>
      <x:c r="O387" s="9"/>
    </x:row>
    <x:row r="388" ht="33" customHeight="1">
      <x:c r="A388" s="8" t="str">
        <x:v>V7-S303bbc03ad</x:v>
      </x:c>
      <x:c r="B388" s="8" t="str">
        <x:v>LMS Partner Ecosystem | Intellum</x:v>
      </x:c>
      <x:c r="C388" s="8" t="str">
        <x:v>lms</x:v>
      </x:c>
      <x:c r="D388" s="9"/>
      <x:c r="E388" s="9"/>
      <x:c r="F388" s="9"/>
      <x:c r="G388" s="9"/>
      <x:c r="H388" s="9"/>
      <x:c r="I388" s="10"/>
      <x:c r="J388" s="10"/>
      <x:c r="K388" s="11" t="str">
        <x:f>IF(AND(ISNUMBER(I388),ISNUMBER(F388),F388&gt;0),I388/F388,"")</x:f>
      </x:c>
      <x:c r="L388" s="11" t="str">
        <x:f>IF(AND(ISNUMBER(J388),ISNUMBER(F388),F388&gt;0),J388/F388,"")</x:f>
      </x:c>
      <x:c r="M388" s="9"/>
      <x:c r="N388" s="9"/>
      <x:c r="O388" s="9"/>
    </x:row>
    <x:row r="389" ht="33" customHeight="1">
      <x:c r="A389" s="8" t="str">
        <x:v>V7-S4e443d8a07</x:v>
      </x:c>
      <x:c r="B389" s="8" t="str">
        <x:v>Business Camp 2026 - Бизнес возможностей</x:v>
      </x:c>
      <x:c r="C389" s="8" t="str">
        <x:v>business</x:v>
      </x:c>
      <x:c r="D389" s="9"/>
      <x:c r="E389" s="9"/>
      <x:c r="F389" s="9"/>
      <x:c r="G389" s="9"/>
      <x:c r="H389" s="9"/>
      <x:c r="I389" s="10"/>
      <x:c r="J389" s="10"/>
      <x:c r="K389" s="11" t="str">
        <x:f>IF(AND(ISNUMBER(I389),ISNUMBER(F389),F389&gt;0),I389/F389,"")</x:f>
      </x:c>
      <x:c r="L389" s="11" t="str">
        <x:f>IF(AND(ISNUMBER(J389),ISNUMBER(F389),F389&gt;0),J389/F389,"")</x:f>
      </x:c>
      <x:c r="M389" s="9"/>
      <x:c r="N389" s="9"/>
      <x:c r="O389" s="9"/>
    </x:row>
    <x:row r="390" ht="35.25" customHeight="1">
      <x:c r="A390" s="8" t="str">
        <x:v>V7-S97f0ac6d0d</x:v>
      </x:c>
      <x:c r="B390" s="8" t="str">
        <x:v>Kamilya — LMS для обучения сотрудников в Казахстане</x:v>
      </x:c>
      <x:c r="C390" s="8" t="str">
        <x:v>lms</x:v>
      </x:c>
      <x:c r="D390" s="9"/>
      <x:c r="E390" s="9"/>
      <x:c r="F390" s="9"/>
      <x:c r="G390" s="9"/>
      <x:c r="H390" s="9"/>
      <x:c r="I390" s="10"/>
      <x:c r="J390" s="10"/>
      <x:c r="K390" s="11" t="str">
        <x:f>IF(AND(ISNUMBER(I390),ISNUMBER(F390),F390&gt;0),I390/F390,"")</x:f>
      </x:c>
      <x:c r="L390" s="11" t="str">
        <x:f>IF(AND(ISNUMBER(J390),ISNUMBER(F390),F390&gt;0),J390/F390,"")</x:f>
      </x:c>
      <x:c r="M390" s="9"/>
      <x:c r="N390" s="9"/>
      <x:c r="O390" s="9"/>
    </x:row>
    <x:row r="391" ht="35.25" customHeight="1">
      <x:c r="A391" s="8" t="str">
        <x:v>V7-S5d2ad3bd5a</x:v>
      </x:c>
      <x:c r="B391" s="8" t="str">
        <x:v>Центр поддержки предпринимательства. Финансовая поддержка малого бизнеса ─ konsalt.by</x:v>
      </x:c>
      <x:c r="C391" s="8" t="str">
        <x:v>development</x:v>
      </x:c>
      <x:c r="D391" s="9"/>
      <x:c r="E391" s="9"/>
      <x:c r="F391" s="9"/>
      <x:c r="G391" s="9"/>
      <x:c r="H391" s="9"/>
      <x:c r="I391" s="10"/>
      <x:c r="J391" s="10"/>
      <x:c r="K391" s="11" t="str">
        <x:f>IF(AND(ISNUMBER(I391),ISNUMBER(F391),F391&gt;0),I391/F391,"")</x:f>
      </x:c>
      <x:c r="L391" s="11" t="str">
        <x:f>IF(AND(ISNUMBER(J391),ISNUMBER(F391),F391&gt;0),J391/F391,"")</x:f>
      </x:c>
      <x:c r="M391" s="9"/>
      <x:c r="N391" s="9"/>
      <x:c r="O391" s="9"/>
    </x:row>
    <x:row r="392" ht="35.25" customHeight="1">
      <x:c r="A392" s="8" t="str">
        <x:v>V7-S5793ff89d0</x:v>
      </x:c>
      <x:c r="B392" s="8" t="str">
        <x:v>Разработка электронных курсов. Проектирование образовательного курса - Лабмедиа в Казахстане</x:v>
      </x:c>
      <x:c r="C392" s="8" t="str">
        <x:v>lms</x:v>
      </x:c>
      <x:c r="D392" s="9"/>
      <x:c r="E392" s="9"/>
      <x:c r="F392" s="9"/>
      <x:c r="G392" s="9"/>
      <x:c r="H392" s="9"/>
      <x:c r="I392" s="10"/>
      <x:c r="J392" s="10"/>
      <x:c r="K392" s="11" t="str">
        <x:f>IF(AND(ISNUMBER(I392),ISNUMBER(F392),F392&gt;0),I392/F392,"")</x:f>
      </x:c>
      <x:c r="L392" s="11" t="str">
        <x:f>IF(AND(ISNUMBER(J392),ISNUMBER(F392),F392&gt;0),J392/F392,"")</x:f>
      </x:c>
      <x:c r="M392" s="9"/>
      <x:c r="N392" s="9"/>
      <x:c r="O392" s="9"/>
    </x:row>
    <x:row r="393" ht="33" customHeight="1">
      <x:c r="A393" s="8" t="str">
        <x:v>V7-Sf867d78a0f</x:v>
      </x:c>
      <x:c r="B393" s="8" t="str">
        <x:v>EY HR Club</x:v>
      </x:c>
      <x:c r="C393" s="8" t="str">
        <x:v>regional_hr</x:v>
      </x:c>
      <x:c r="D393" s="9"/>
      <x:c r="E393" s="9"/>
      <x:c r="F393" s="9"/>
      <x:c r="G393" s="9"/>
      <x:c r="H393" s="9"/>
      <x:c r="I393" s="10"/>
      <x:c r="J393" s="10"/>
      <x:c r="K393" s="11" t="str">
        <x:f>IF(AND(ISNUMBER(I393),ISNUMBER(F393),F393&gt;0),I393/F393,"")</x:f>
      </x:c>
      <x:c r="L393" s="11" t="str">
        <x:f>IF(AND(ISNUMBER(J393),ISNUMBER(F393),F393&gt;0),J393/F393,"")</x:f>
      </x:c>
      <x:c r="M393" s="9"/>
      <x:c r="N393" s="9"/>
      <x:c r="O393" s="9"/>
    </x:row>
    <x:row r="394" ht="35.25" customHeight="1">
      <x:c r="A394" s="8" t="str">
        <x:v>V7-Sddad4169f7</x:v>
      </x:c>
      <x:c r="B394" s="8" t="str">
        <x:v>LMS.KZ - Системы дистанционного обучения под ключ на базе программного обеспечения Moodle</x:v>
      </x:c>
      <x:c r="C394" s="8" t="str">
        <x:v>lms</x:v>
      </x:c>
      <x:c r="D394" s="9"/>
      <x:c r="E394" s="9"/>
      <x:c r="F394" s="9"/>
      <x:c r="G394" s="9"/>
      <x:c r="H394" s="9"/>
      <x:c r="I394" s="10"/>
      <x:c r="J394" s="10"/>
      <x:c r="K394" s="11" t="str">
        <x:f>IF(AND(ISNUMBER(I394),ISNUMBER(F394),F394&gt;0),I394/F394,"")</x:f>
      </x:c>
      <x:c r="L394" s="11" t="str">
        <x:f>IF(AND(ISNUMBER(J394),ISNUMBER(F394),F394&gt;0),J394/F394,"")</x:f>
      </x:c>
      <x:c r="M394" s="9"/>
      <x:c r="N394" s="9"/>
      <x:c r="O394" s="9"/>
    </x:row>
    <x:row r="395" ht="33" customHeight="1">
      <x:c r="A395" s="8" t="str">
        <x:v>V7-Sc0078e4141</x:v>
      </x:c>
      <x:c r="B395" s="8" t="str">
        <x:v>Partnerships · LMS Bridge</x:v>
      </x:c>
      <x:c r="C395" s="8" t="str">
        <x:v>lms</x:v>
      </x:c>
      <x:c r="D395" s="9"/>
      <x:c r="E395" s="9"/>
      <x:c r="F395" s="9"/>
      <x:c r="G395" s="9"/>
      <x:c r="H395" s="9"/>
      <x:c r="I395" s="10"/>
      <x:c r="J395" s="10"/>
      <x:c r="K395" s="11" t="str">
        <x:f>IF(AND(ISNUMBER(I395),ISNUMBER(F395),F395&gt;0),I395/F395,"")</x:f>
      </x:c>
      <x:c r="L395" s="11" t="str">
        <x:f>IF(AND(ISNUMBER(J395),ISNUMBER(F395),F395&gt;0),J395/F395,"")</x:f>
      </x:c>
      <x:c r="M395" s="9"/>
      <x:c r="N395" s="9"/>
      <x:c r="O395" s="9"/>
    </x:row>
    <x:row r="396" ht="33" customHeight="1">
      <x:c r="A396" s="8" t="str">
        <x:v>V7-S4a449cbfc1</x:v>
      </x:c>
      <x:c r="B396" s="8" t="str">
        <x:v>Управление цепочками поставок 2026</x:v>
      </x:c>
      <x:c r="C396" s="8" t="str">
        <x:v>events</x:v>
      </x:c>
      <x:c r="D396" s="9"/>
      <x:c r="E396" s="9"/>
      <x:c r="F396" s="9"/>
      <x:c r="G396" s="9"/>
      <x:c r="H396" s="9"/>
      <x:c r="I396" s="10"/>
      <x:c r="J396" s="10"/>
      <x:c r="K396" s="11" t="str">
        <x:f>IF(AND(ISNUMBER(I396),ISNUMBER(F396),F396&gt;0),I396/F396,"")</x:f>
      </x:c>
      <x:c r="L396" s="11" t="str">
        <x:f>IF(AND(ISNUMBER(J396),ISNUMBER(F396),F396&gt;0),J396/F396,"")</x:f>
      </x:c>
      <x:c r="M396" s="9"/>
      <x:c r="N396" s="9"/>
      <x:c r="O396" s="9"/>
    </x:row>
    <x:row r="397" ht="35.25" customHeight="1">
      <x:c r="A397" s="8" t="str">
        <x:v>V7-Se5a2859be5</x:v>
      </x:c>
      <x:c r="B397" s="8" t="str">
        <x:v>Moodle Marketplace — Plugins and integrations for Moodle</x:v>
      </x:c>
      <x:c r="C397" s="8" t="str">
        <x:v>lms</x:v>
      </x:c>
      <x:c r="D397" s="9"/>
      <x:c r="E397" s="9"/>
      <x:c r="F397" s="9"/>
      <x:c r="G397" s="9"/>
      <x:c r="H397" s="9"/>
      <x:c r="I397" s="10"/>
      <x:c r="J397" s="10"/>
      <x:c r="K397" s="11" t="str">
        <x:f>IF(AND(ISNUMBER(I397),ISNUMBER(F397),F397&gt;0),I397/F397,"")</x:f>
      </x:c>
      <x:c r="L397" s="11" t="str">
        <x:f>IF(AND(ISNUMBER(J397),ISNUMBER(F397),F397&gt;0),J397/F397,"")</x:f>
      </x:c>
      <x:c r="M397" s="9"/>
      <x:c r="N397" s="9"/>
      <x:c r="O397" s="9"/>
    </x:row>
    <x:row r="398" ht="35.25" customHeight="1">
      <x:c r="A398" s="8" t="str">
        <x:v>V7-Sec810656a3</x:v>
      </x:c>
      <x:c r="B398" s="8" t="str">
        <x:v>Управление изменениями в компании | Обучение | Учебные Центры и Корпоративные университеты</x:v>
      </x:c>
      <x:c r="C398" s="8" t="str">
        <x:v>cu</x:v>
      </x:c>
      <x:c r="D398" s="9"/>
      <x:c r="E398" s="9"/>
      <x:c r="F398" s="9"/>
      <x:c r="G398" s="9"/>
      <x:c r="H398" s="9"/>
      <x:c r="I398" s="10"/>
      <x:c r="J398" s="10"/>
      <x:c r="K398" s="11" t="str">
        <x:f>IF(AND(ISNUMBER(I398),ISNUMBER(F398),F398&gt;0),I398/F398,"")</x:f>
      </x:c>
      <x:c r="L398" s="11" t="str">
        <x:f>IF(AND(ISNUMBER(J398),ISNUMBER(F398),F398&gt;0),J398/F398,"")</x:f>
      </x:c>
      <x:c r="M398" s="9"/>
      <x:c r="N398" s="9"/>
      <x:c r="O398" s="9"/>
    </x:row>
    <x:row r="399" ht="35.25" customHeight="1">
      <x:c r="A399" s="8" t="str">
        <x:v>V7-Sf37d2b06e5</x:v>
      </x:c>
      <x:c r="B399" s="8" t="str">
        <x:v>Семинар об инструментах финансовой поддержки для малого и среднего бизнеса</x:v>
      </x:c>
      <x:c r="C399" s="8" t="str">
        <x:v>development</x:v>
      </x:c>
      <x:c r="D399" s="9"/>
      <x:c r="E399" s="9"/>
      <x:c r="F399" s="9"/>
      <x:c r="G399" s="9"/>
      <x:c r="H399" s="9"/>
      <x:c r="I399" s="10"/>
      <x:c r="J399" s="10"/>
      <x:c r="K399" s="11" t="str">
        <x:f>IF(AND(ISNUMBER(I399),ISNUMBER(F399),F399&gt;0),I399/F399,"")</x:f>
      </x:c>
      <x:c r="L399" s="11" t="str">
        <x:f>IF(AND(ISNUMBER(J399),ISNUMBER(F399),F399&gt;0),J399/F399,"")</x:f>
      </x:c>
      <x:c r="M399" s="9"/>
      <x:c r="N399" s="9"/>
      <x:c r="O399" s="9"/>
    </x:row>
    <x:row r="400" ht="35.25" customHeight="1">
      <x:c r="A400" s="8" t="str">
        <x:v>V7-S6b0056065e</x:v>
      </x:c>
      <x:c r="B400" s="8" t="str">
        <x:v>Мультимедиа тренингіне шақырамыз – Мінбер – Ақпарат агенттігі</x:v>
      </x:c>
      <x:c r="C400" s="8" t="str">
        <x:v>development</x:v>
      </x:c>
      <x:c r="D400" s="9"/>
      <x:c r="E400" s="9"/>
      <x:c r="F400" s="9"/>
      <x:c r="G400" s="9"/>
      <x:c r="H400" s="9"/>
      <x:c r="I400" s="10"/>
      <x:c r="J400" s="10"/>
      <x:c r="K400" s="11" t="str">
        <x:f>IF(AND(ISNUMBER(I400),ISNUMBER(F400),F400&gt;0),I400/F400,"")</x:f>
      </x:c>
      <x:c r="L400" s="11" t="str">
        <x:f>IF(AND(ISNUMBER(J400),ISNUMBER(F400),F400&gt;0),J400/F400,"")</x:f>
      </x:c>
      <x:c r="M400" s="9"/>
      <x:c r="N400" s="9"/>
      <x:c r="O400" s="9"/>
    </x:row>
    <x:row r="401" ht="35.25" customHeight="1">
      <x:c r="A401" s="8" t="str">
        <x:v>V7-Sa10ee3b42d</x:v>
      </x:c>
      <x:c r="B401" s="8" t="str">
        <x:v>Become a Moodle Certified Service Provider - Moodle</x:v>
      </x:c>
      <x:c r="C401" s="8" t="str">
        <x:v>lms</x:v>
      </x:c>
      <x:c r="D401" s="9"/>
      <x:c r="E401" s="9"/>
      <x:c r="F401" s="9"/>
      <x:c r="G401" s="9"/>
      <x:c r="H401" s="9"/>
      <x:c r="I401" s="10"/>
      <x:c r="J401" s="10"/>
      <x:c r="K401" s="11" t="str">
        <x:f>IF(AND(ISNUMBER(I401),ISNUMBER(F401),F401&gt;0),I401/F401,"")</x:f>
      </x:c>
      <x:c r="L401" s="11" t="str">
        <x:f>IF(AND(ISNUMBER(J401),ISNUMBER(F401),F401&gt;0),J401/F401,"")</x:f>
      </x:c>
      <x:c r="M401" s="9"/>
      <x:c r="N401" s="9"/>
      <x:c r="O401" s="9"/>
    </x:row>
    <x:row r="402" ht="35.25" customHeight="1">
      <x:c r="A402" s="8" t="str">
        <x:v>V7-Sc5ad37b3d6</x:v>
      </x:c>
      <x:c r="B402" s="8" t="str">
        <x:v>XII Всероссийский форум «ПРО управление закупками» | Переговоры за минуту</x:v>
      </x:c>
      <x:c r="C402" s="8" t="str">
        <x:v>events</x:v>
      </x:c>
      <x:c r="D402" s="9"/>
      <x:c r="E402" s="9"/>
      <x:c r="F402" s="9"/>
      <x:c r="G402" s="9"/>
      <x:c r="H402" s="9"/>
      <x:c r="I402" s="10"/>
      <x:c r="J402" s="10"/>
      <x:c r="K402" s="11" t="str">
        <x:f>IF(AND(ISNUMBER(I402),ISNUMBER(F402),F402&gt;0),I402/F402,"")</x:f>
      </x:c>
      <x:c r="L402" s="11" t="str">
        <x:f>IF(AND(ISNUMBER(J402),ISNUMBER(F402),F402&gt;0),J402/F402,"")</x:f>
      </x:c>
      <x:c r="M402" s="9"/>
      <x:c r="N402" s="9"/>
      <x:c r="O402" s="9"/>
    </x:row>
    <x:row r="403" ht="35.25" customHeight="1">
      <x:c r="A403" s="8" t="str">
        <x:v>V7-S6f447db71a</x:v>
      </x:c>
      <x:c r="B403" s="8" t="str">
        <x:v>Обучение компаний и юридических лиц в Межрегиональном учебном центре</x:v>
      </x:c>
      <x:c r="C403" s="8" t="str">
        <x:v>providers</x:v>
      </x:c>
      <x:c r="D403" s="9"/>
      <x:c r="E403" s="9"/>
      <x:c r="F403" s="9"/>
      <x:c r="G403" s="9"/>
      <x:c r="H403" s="9"/>
      <x:c r="I403" s="10"/>
      <x:c r="J403" s="10"/>
      <x:c r="K403" s="11" t="str">
        <x:f>IF(AND(ISNUMBER(I403),ISNUMBER(F403),F403&gt;0),I403/F403,"")</x:f>
      </x:c>
      <x:c r="L403" s="11" t="str">
        <x:f>IF(AND(ISNUMBER(J403),ISNUMBER(F403),F403&gt;0),J403/F403,"")</x:f>
      </x:c>
      <x:c r="M403" s="9"/>
      <x:c r="N403" s="9"/>
      <x:c r="O403" s="9"/>
    </x:row>
    <x:row r="404" ht="33" customHeight="1">
      <x:c r="A404" s="8" t="str">
        <x:v>V7-Sa9a109dd1e</x:v>
      </x:c>
      <x:c r="B404" s="8" t="str">
        <x:v>ФОРУМ СТЕЙКХОЛДЕРОВ / STAKEHOLDER FORUM</x:v>
      </x:c>
      <x:c r="C404" s="8" t="str">
        <x:v>events</x:v>
      </x:c>
      <x:c r="D404" s="9"/>
      <x:c r="E404" s="9"/>
      <x:c r="F404" s="9"/>
      <x:c r="G404" s="9"/>
      <x:c r="H404" s="9"/>
      <x:c r="I404" s="10"/>
      <x:c r="J404" s="10"/>
      <x:c r="K404" s="11" t="str">
        <x:f>IF(AND(ISNUMBER(I404),ISNUMBER(F404),F404&gt;0),I404/F404,"")</x:f>
      </x:c>
      <x:c r="L404" s="11" t="str">
        <x:f>IF(AND(ISNUMBER(J404),ISNUMBER(F404),F404&gt;0),J404/F404,"")</x:f>
      </x:c>
      <x:c r="M404" s="9"/>
      <x:c r="N404" s="9"/>
      <x:c r="O404" s="9"/>
    </x:row>
    <x:row r="405" ht="35.25" customHeight="1">
      <x:c r="A405" s="8" t="str">
        <x:v>V7-S038fe43f74</x:v>
      </x:c>
      <x:c r="B405" s="8" t="str">
        <x:v>☆ Корпоративное обучение для компаний от учебного центра от ГК “АЯК” | компания АЯК™</x:v>
      </x:c>
      <x:c r="C405" s="8" t="str">
        <x:v>providers</x:v>
      </x:c>
      <x:c r="D405" s="9"/>
      <x:c r="E405" s="9"/>
      <x:c r="F405" s="9"/>
      <x:c r="G405" s="9"/>
      <x:c r="H405" s="9"/>
      <x:c r="I405" s="10"/>
      <x:c r="J405" s="10"/>
      <x:c r="K405" s="11" t="str">
        <x:f>IF(AND(ISNUMBER(I405),ISNUMBER(F405),F405&gt;0),I405/F405,"")</x:f>
      </x:c>
      <x:c r="L405" s="11" t="str">
        <x:f>IF(AND(ISNUMBER(J405),ISNUMBER(F405),F405&gt;0),J405/F405,"")</x:f>
      </x:c>
      <x:c r="M405" s="9"/>
      <x:c r="N405" s="9"/>
      <x:c r="O405" s="9"/>
    </x:row>
    <x:row r="406" ht="35.25" customHeight="1">
      <x:c r="A406" s="8" t="str">
        <x:v>V7-S472c5ccc07</x:v>
      </x:c>
      <x:c r="B406" s="8" t="str">
        <x:v>Курсы логиста диспетчера грузоперевозок онлайн в МШП</x:v>
      </x:c>
      <x:c r="C406" s="8" t="str">
        <x:v>functional</x:v>
      </x:c>
      <x:c r="D406" s="9"/>
      <x:c r="E406" s="9"/>
      <x:c r="F406" s="9"/>
      <x:c r="G406" s="9"/>
      <x:c r="H406" s="9"/>
      <x:c r="I406" s="10"/>
      <x:c r="J406" s="10"/>
      <x:c r="K406" s="11" t="str">
        <x:f>IF(AND(ISNUMBER(I406),ISNUMBER(F406),F406&gt;0),I406/F406,"")</x:f>
      </x:c>
      <x:c r="L406" s="11" t="str">
        <x:f>IF(AND(ISNUMBER(J406),ISNUMBER(F406),F406&gt;0),J406/F406,"")</x:f>
      </x:c>
      <x:c r="M406" s="9"/>
      <x:c r="N406" s="9"/>
      <x:c r="O406" s="9"/>
    </x:row>
    <x:row r="407" ht="59.25" customHeight="1">
      <x:c r="A407" s="8" t="str">
        <x:v>V7-Sb941333e4a</x:v>
      </x:c>
      <x:c r="B407" s="8" t="str">
        <x:v>Проект «Бастау Бизнес» стартует в 160 районах и моногородах — НПП «Атамекен» - Официальный информационный ресурс Премьер-министра Республики Казахстан</x:v>
      </x:c>
      <x:c r="C407" s="8" t="str">
        <x:v>projects</x:v>
      </x:c>
      <x:c r="D407" s="9"/>
      <x:c r="E407" s="9"/>
      <x:c r="F407" s="9"/>
      <x:c r="G407" s="9"/>
      <x:c r="H407" s="9"/>
      <x:c r="I407" s="10"/>
      <x:c r="J407" s="10"/>
      <x:c r="K407" s="11" t="str">
        <x:f>IF(AND(ISNUMBER(I407),ISNUMBER(F407),F407&gt;0),I407/F407,"")</x:f>
      </x:c>
      <x:c r="L407" s="11" t="str">
        <x:f>IF(AND(ISNUMBER(J407),ISNUMBER(F407),F407&gt;0),J407/F407,"")</x:f>
      </x:c>
      <x:c r="M407" s="9"/>
      <x:c r="N407" s="9"/>
      <x:c r="O407" s="9"/>
    </x:row>
    <x:row r="408" ht="33" customHeight="1">
      <x:c r="A408" s="8" t="str">
        <x:v>V7-S0a2221efc2</x:v>
      </x:c>
      <x:c r="B408" s="8" t="str">
        <x:v>ProductConf 2026</x:v>
      </x:c>
      <x:c r="C408" s="8" t="str">
        <x:v>events</x:v>
      </x:c>
      <x:c r="D408" s="9"/>
      <x:c r="E408" s="9"/>
      <x:c r="F408" s="9"/>
      <x:c r="G408" s="9"/>
      <x:c r="H408" s="9"/>
      <x:c r="I408" s="10"/>
      <x:c r="J408" s="10"/>
      <x:c r="K408" s="11" t="str">
        <x:f>IF(AND(ISNUMBER(I408),ISNUMBER(F408),F408&gt;0),I408/F408,"")</x:f>
      </x:c>
      <x:c r="L408" s="11" t="str">
        <x:f>IF(AND(ISNUMBER(J408),ISNUMBER(F408),F408&gt;0),J408/F408,"")</x:f>
      </x:c>
      <x:c r="M408" s="9"/>
      <x:c r="N408" s="9"/>
      <x:c r="O408" s="9"/>
    </x:row>
    <x:row r="409" ht="47.25" customHeight="1">
      <x:c r="A409" s="8" t="str">
        <x:v>V7-Sd54f2c65a5</x:v>
      </x:c>
      <x:c r="B409" s="8" t="str">
        <x:v>Проект Бастау. Вопросы - Ответы. НПП "Атамекен" | Национальная палата предпринимателей Республики Казахстан «Атамекен»</x:v>
      </x:c>
      <x:c r="C409" s="8" t="str">
        <x:v>development</x:v>
      </x:c>
      <x:c r="D409" s="9"/>
      <x:c r="E409" s="9"/>
      <x:c r="F409" s="9"/>
      <x:c r="G409" s="9"/>
      <x:c r="H409" s="9"/>
      <x:c r="I409" s="10"/>
      <x:c r="J409" s="10"/>
      <x:c r="K409" s="11" t="str">
        <x:f>IF(AND(ISNUMBER(I409),ISNUMBER(F409),F409&gt;0),I409/F409,"")</x:f>
      </x:c>
      <x:c r="L409" s="11" t="str">
        <x:f>IF(AND(ISNUMBER(J409),ISNUMBER(F409),F409&gt;0),J409/F409,"")</x:f>
      </x:c>
      <x:c r="M409" s="9"/>
      <x:c r="N409" s="9"/>
      <x:c r="O409" s="9"/>
    </x:row>
    <x:row r="410" ht="33" customHeight="1">
      <x:c r="A410" s="8" t="str">
        <x:v>V7-S2733f1f05d</x:v>
      </x:c>
      <x:c r="B410" s="8" t="str">
        <x:v>Обучение</x:v>
      </x:c>
      <x:c r="C410" s="8" t="str">
        <x:v>development</x:v>
      </x:c>
      <x:c r="D410" s="9"/>
      <x:c r="E410" s="9"/>
      <x:c r="F410" s="9"/>
      <x:c r="G410" s="9"/>
      <x:c r="H410" s="9"/>
      <x:c r="I410" s="10"/>
      <x:c r="J410" s="10"/>
      <x:c r="K410" s="11" t="str">
        <x:f>IF(AND(ISNUMBER(I410),ISNUMBER(F410),F410&gt;0),I410/F410,"")</x:f>
      </x:c>
      <x:c r="L410" s="11" t="str">
        <x:f>IF(AND(ISNUMBER(J410),ISNUMBER(F410),F410&gt;0),J410/F410,"")</x:f>
      </x:c>
      <x:c r="M410" s="9"/>
      <x:c r="N410" s="9"/>
      <x:c r="O410" s="9"/>
    </x:row>
    <x:row r="411" ht="33" customHeight="1">
      <x:c r="A411" s="8" t="str">
        <x:v>V7-Sb2fd955345</x:v>
      </x:c>
      <x:c r="B411" s="8" t="str">
        <x:v>Крупнейшие HR-конференции на Урале и в Сибири</x:v>
      </x:c>
      <x:c r="C411" s="8" t="str">
        <x:v>regional_hr</x:v>
      </x:c>
      <x:c r="D411" s="9"/>
      <x:c r="E411" s="9"/>
      <x:c r="F411" s="9"/>
      <x:c r="G411" s="9"/>
      <x:c r="H411" s="9"/>
      <x:c r="I411" s="10"/>
      <x:c r="J411" s="10"/>
      <x:c r="K411" s="11" t="str">
        <x:f>IF(AND(ISNUMBER(I411),ISNUMBER(F411),F411&gt;0),I411/F411,"")</x:f>
      </x:c>
      <x:c r="L411" s="11" t="str">
        <x:f>IF(AND(ISNUMBER(J411),ISNUMBER(F411),F411&gt;0),J411/F411,"")</x:f>
      </x:c>
      <x:c r="M411" s="9"/>
      <x:c r="N411" s="9"/>
      <x:c r="O411" s="9"/>
    </x:row>
    <x:row r="412" ht="35.25" customHeight="1">
      <x:c r="A412" s="8" t="str">
        <x:v>V7-Sbfc97f4ecf</x:v>
      </x:c>
      <x:c r="B412" s="8" t="str">
        <x:v>Курс коучинга в Минске по 720р обучение бизнес-коучингу с сертификатом МШП</x:v>
      </x:c>
      <x:c r="C412" s="8" t="str">
        <x:v>projects</x:v>
      </x:c>
      <x:c r="D412" s="9"/>
      <x:c r="E412" s="9"/>
      <x:c r="F412" s="9"/>
      <x:c r="G412" s="9"/>
      <x:c r="H412" s="9"/>
      <x:c r="I412" s="10"/>
      <x:c r="J412" s="10"/>
      <x:c r="K412" s="11" t="str">
        <x:f>IF(AND(ISNUMBER(I412),ISNUMBER(F412),F412&gt;0),I412/F412,"")</x:f>
      </x:c>
      <x:c r="L412" s="11" t="str">
        <x:f>IF(AND(ISNUMBER(J412),ISNUMBER(F412),F412&gt;0),J412/F412,"")</x:f>
      </x:c>
      <x:c r="M412" s="9"/>
      <x:c r="N412" s="9"/>
      <x:c r="O412" s="9"/>
    </x:row>
    <x:row r="413" ht="33" customHeight="1">
      <x:c r="A413" s="8" t="str">
        <x:v>V7-Sa9eba8c976</x:v>
      </x:c>
      <x:c r="B413" s="8" t="str">
        <x:v>Бизнес-тренер Александр Москаленко – Telegram</x:v>
      </x:c>
      <x:c r="C413" s="8" t="str">
        <x:v>projects</x:v>
      </x:c>
      <x:c r="D413" s="9"/>
      <x:c r="E413" s="9"/>
      <x:c r="F413" s="9"/>
      <x:c r="G413" s="9"/>
      <x:c r="H413" s="9"/>
      <x:c r="I413" s="10"/>
      <x:c r="J413" s="10"/>
      <x:c r="K413" s="11" t="str">
        <x:f>IF(AND(ISNUMBER(I413),ISNUMBER(F413),F413&gt;0),I413/F413,"")</x:f>
      </x:c>
      <x:c r="L413" s="11" t="str">
        <x:f>IF(AND(ISNUMBER(J413),ISNUMBER(F413),F413&gt;0),J413/F413,"")</x:f>
      </x:c>
      <x:c r="M413" s="9"/>
      <x:c r="N413" s="9"/>
      <x:c r="O413" s="9"/>
    </x:row>
    <x:row r="414" ht="33" customHeight="1">
      <x:c r="A414" s="8" t="str">
        <x:v>V7-S27da883aa2</x:v>
      </x:c>
      <x:c r="B414" s="8" t="str">
        <x:v>Код HR (@kodhrnn) — Telegram — TG.ME</x:v>
      </x:c>
      <x:c r="C414" s="8" t="str">
        <x:v>regional_hr</x:v>
      </x:c>
      <x:c r="D414" s="9"/>
      <x:c r="E414" s="9"/>
      <x:c r="F414" s="9"/>
      <x:c r="G414" s="9"/>
      <x:c r="H414" s="9"/>
      <x:c r="I414" s="10"/>
      <x:c r="J414" s="10"/>
      <x:c r="K414" s="11" t="str">
        <x:f>IF(AND(ISNUMBER(I414),ISNUMBER(F414),F414&gt;0),I414/F414,"")</x:f>
      </x:c>
      <x:c r="L414" s="11" t="str">
        <x:f>IF(AND(ISNUMBER(J414),ISNUMBER(F414),F414&gt;0),J414/F414,"")</x:f>
      </x:c>
      <x:c r="M414" s="9"/>
      <x:c r="N414" s="9"/>
      <x:c r="O414" s="9"/>
    </x:row>
    <x:row r="415" ht="33" customHeight="1">
      <x:c r="A415" s="8" t="str">
        <x:v>V7-S0f7e006d84</x:v>
      </x:c>
      <x:c r="B415" s="8" t="str">
        <x:v>Образование 4.0 – Telegram</x:v>
      </x:c>
      <x:c r="C415" s="8" t="str">
        <x:v>projects</x:v>
      </x:c>
      <x:c r="D415" s="9"/>
      <x:c r="E415" s="9"/>
      <x:c r="F415" s="9"/>
      <x:c r="G415" s="9"/>
      <x:c r="H415" s="9"/>
      <x:c r="I415" s="10"/>
      <x:c r="J415" s="10"/>
      <x:c r="K415" s="11" t="str">
        <x:f>IF(AND(ISNUMBER(I415),ISNUMBER(F415),F415&gt;0),I415/F415,"")</x:f>
      </x:c>
      <x:c r="L415" s="11" t="str">
        <x:f>IF(AND(ISNUMBER(J415),ISNUMBER(F415),F415&gt;0),J415/F415,"")</x:f>
      </x:c>
      <x:c r="M415" s="9"/>
      <x:c r="N415" s="9"/>
      <x:c r="O415" s="9"/>
    </x:row>
    <x:row r="416" ht="47.25" customHeight="1">
      <x:c r="A416" s="8" t="str">
        <x:v>V7-S250decceae</x:v>
      </x:c>
      <x:c r="B416" s="8" t="str">
        <x:v>Пройти обучение по инструменту «Бизнес школа» теперь можно онлайн | Национальная палата предпринимателей Республики Казахстан «Атамекен»</x:v>
      </x:c>
      <x:c r="C416" s="8" t="str">
        <x:v>development</x:v>
      </x:c>
      <x:c r="D416" s="9"/>
      <x:c r="E416" s="9"/>
      <x:c r="F416" s="9"/>
      <x:c r="G416" s="9"/>
      <x:c r="H416" s="9"/>
      <x:c r="I416" s="10"/>
      <x:c r="J416" s="10"/>
      <x:c r="K416" s="11" t="str">
        <x:f>IF(AND(ISNUMBER(I416),ISNUMBER(F416),F416&gt;0),I416/F416,"")</x:f>
      </x:c>
      <x:c r="L416" s="11" t="str">
        <x:f>IF(AND(ISNUMBER(J416),ISNUMBER(F416),F416&gt;0),J416/F416,"")</x:f>
      </x:c>
      <x:c r="M416" s="9"/>
      <x:c r="N416" s="9"/>
      <x:c r="O416" s="9"/>
    </x:row>
    <x:row r="417" ht="35.25" customHeight="1">
      <x:c r="A417" s="8" t="str">
        <x:v>V7-S5c3b2ffeea</x:v>
      </x:c>
      <x:c r="B417" s="8" t="str">
        <x:v>Корпоративное обучение: бесплатные тренинги и курсы для персонала</x:v>
      </x:c>
      <x:c r="C417" s="8" t="str">
        <x:v>providers</x:v>
      </x:c>
      <x:c r="D417" s="9"/>
      <x:c r="E417" s="9"/>
      <x:c r="F417" s="9"/>
      <x:c r="G417" s="9"/>
      <x:c r="H417" s="9"/>
      <x:c r="I417" s="10"/>
      <x:c r="J417" s="10"/>
      <x:c r="K417" s="11" t="str">
        <x:f>IF(AND(ISNUMBER(I417),ISNUMBER(F417),F417&gt;0),I417/F417,"")</x:f>
      </x:c>
      <x:c r="L417" s="11" t="str">
        <x:f>IF(AND(ISNUMBER(J417),ISNUMBER(F417),F417&gt;0),J417/F417,"")</x:f>
      </x:c>
      <x:c r="M417" s="9"/>
      <x:c r="N417" s="9"/>
      <x:c r="O417" s="9"/>
    </x:row>
    <x:row r="418" ht="35.25" customHeight="1">
      <x:c r="A418" s="8" t="str">
        <x:v>V7-Sa18025fe5a</x:v>
      </x:c>
      <x:c r="B418" s="8" t="str">
        <x:v>Tilshi Media School корпоративтік тренингтері мен білім беру бағдарламалары | TILSHI.NET</x:v>
      </x:c>
      <x:c r="C418" s="8" t="str">
        <x:v>development</x:v>
      </x:c>
      <x:c r="D418" s="9"/>
      <x:c r="E418" s="9"/>
      <x:c r="F418" s="9"/>
      <x:c r="G418" s="9"/>
      <x:c r="H418" s="9"/>
      <x:c r="I418" s="10"/>
      <x:c r="J418" s="10"/>
      <x:c r="K418" s="11" t="str">
        <x:f>IF(AND(ISNUMBER(I418),ISNUMBER(F418),F418&gt;0),I418/F418,"")</x:f>
      </x:c>
      <x:c r="L418" s="11" t="str">
        <x:f>IF(AND(ISNUMBER(J418),ISNUMBER(F418),F418&gt;0),J418/F418,"")</x:f>
      </x:c>
      <x:c r="M418" s="9"/>
      <x:c r="N418" s="9"/>
      <x:c r="O418" s="9"/>
    </x:row>
    <x:row r="419" ht="35.25" customHeight="1">
      <x:c r="A419" s="8" t="str">
        <x:v>V7-Sc489e3b76c</x:v>
      </x:c>
      <x:c r="B419" s="8" t="str">
        <x:v>Разработка ПО для электронного обучения | Твин Солюшенс</x:v>
      </x:c>
      <x:c r="C419" s="8" t="str">
        <x:v>lms</x:v>
      </x:c>
      <x:c r="D419" s="9"/>
      <x:c r="E419" s="9"/>
      <x:c r="F419" s="9"/>
      <x:c r="G419" s="9"/>
      <x:c r="H419" s="9"/>
      <x:c r="I419" s="10"/>
      <x:c r="J419" s="10"/>
      <x:c r="K419" s="11" t="str">
        <x:f>IF(AND(ISNUMBER(I419),ISNUMBER(F419),F419&gt;0),I419/F419,"")</x:f>
      </x:c>
      <x:c r="L419" s="11" t="str">
        <x:f>IF(AND(ISNUMBER(J419),ISNUMBER(F419),F419&gt;0),J419/F419,"")</x:f>
      </x:c>
      <x:c r="M419" s="9"/>
      <x:c r="N419" s="9"/>
      <x:c r="O419" s="9"/>
    </x:row>
    <x:row r="420" ht="35.25" customHeight="1">
      <x:c r="A420" s="8" t="str">
        <x:v>V7-S9e3e30b0c9</x:v>
      </x:c>
      <x:c r="B420" s="8" t="str">
        <x:v>Collaborate with Tutor LMS Partners for Comprehensive Solutions | Tutor LMS</x:v>
      </x:c>
      <x:c r="C420" s="8" t="str">
        <x:v>lms</x:v>
      </x:c>
      <x:c r="D420" s="9"/>
      <x:c r="E420" s="9"/>
      <x:c r="F420" s="9"/>
      <x:c r="G420" s="9"/>
      <x:c r="H420" s="9"/>
      <x:c r="I420" s="10"/>
      <x:c r="J420" s="10"/>
      <x:c r="K420" s="11" t="str">
        <x:f>IF(AND(ISNUMBER(I420),ISNUMBER(F420),F420&gt;0),I420/F420,"")</x:f>
      </x:c>
      <x:c r="L420" s="11" t="str">
        <x:f>IF(AND(ISNUMBER(J420),ISNUMBER(F420),F420&gt;0),J420/F420,"")</x:f>
      </x:c>
      <x:c r="M420" s="9"/>
      <x:c r="N420" s="9"/>
      <x:c r="O420" s="9"/>
    </x:row>
    <x:row r="421" ht="33" customHeight="1">
      <x:c r="A421" s="8" t="str">
        <x:v>V7-Sb5a4f6fcef</x:v>
      </x:c>
      <x:c r="B421" s="8" t="str">
        <x:v>Школа корпоративного обучения Учим Умно</x:v>
      </x:c>
      <x:c r="C421" s="8" t="str">
        <x:v>regional_hr</x:v>
      </x:c>
      <x:c r="D421" s="9"/>
      <x:c r="E421" s="9"/>
      <x:c r="F421" s="9"/>
      <x:c r="G421" s="9"/>
      <x:c r="H421" s="9"/>
      <x:c r="I421" s="10"/>
      <x:c r="J421" s="10"/>
      <x:c r="K421" s="11" t="str">
        <x:f>IF(AND(ISNUMBER(I421),ISNUMBER(F421),F421&gt;0),I421/F421,"")</x:f>
      </x:c>
      <x:c r="L421" s="11" t="str">
        <x:f>IF(AND(ISNUMBER(J421),ISNUMBER(F421),F421&gt;0),J421/F421,"")</x:f>
      </x:c>
      <x:c r="M421" s="9"/>
      <x:c r="N421" s="9"/>
      <x:c r="O421" s="9"/>
    </x:row>
    <x:row r="422" ht="33" customHeight="1">
      <x:c r="A422" s="8" t="str">
        <x:v>V7-S8e3492761d</x:v>
      </x:c>
      <x:c r="B422" s="8" t="str">
        <x:v>HR FORUM BIG FISH 15-19 сентября 2025 года</x:v>
      </x:c>
      <x:c r="C422" s="8" t="str">
        <x:v>regional_hr</x:v>
      </x:c>
      <x:c r="D422" s="9"/>
      <x:c r="E422" s="9"/>
      <x:c r="F422" s="9"/>
      <x:c r="G422" s="9"/>
      <x:c r="H422" s="9"/>
      <x:c r="I422" s="10"/>
      <x:c r="J422" s="10"/>
      <x:c r="K422" s="11" t="str">
        <x:f>IF(AND(ISNUMBER(I422),ISNUMBER(F422),F422&gt;0),I422/F422,"")</x:f>
      </x:c>
      <x:c r="L422" s="11" t="str">
        <x:f>IF(AND(ISNUMBER(J422),ISNUMBER(F422),F422&gt;0),J422/F422,"")</x:f>
      </x:c>
      <x:c r="M422" s="9"/>
      <x:c r="N422" s="9"/>
      <x:c r="O422" s="9"/>
    </x:row>
    <x:row r="423" ht="35.25" customHeight="1">
      <x:c r="A423" s="8" t="str">
        <x:v>V7-S6949197321</x:v>
      </x:c>
      <x:c r="B423" s="8" t="str">
        <x:v>Корпоративное обучение сотрудников: обучение персонала | USIB</x:v>
      </x:c>
      <x:c r="C423" s="8" t="str">
        <x:v>projects</x:v>
      </x:c>
      <x:c r="D423" s="9"/>
      <x:c r="E423" s="9"/>
      <x:c r="F423" s="9"/>
      <x:c r="G423" s="9"/>
      <x:c r="H423" s="9"/>
      <x:c r="I423" s="10"/>
      <x:c r="J423" s="10"/>
      <x:c r="K423" s="11" t="str">
        <x:f>IF(AND(ISNUMBER(I423),ISNUMBER(F423),F423&gt;0),I423/F423,"")</x:f>
      </x:c>
      <x:c r="L423" s="11" t="str">
        <x:f>IF(AND(ISNUMBER(J423),ISNUMBER(F423),F423&gt;0),J423/F423,"")</x:f>
      </x:c>
      <x:c r="M423" s="9"/>
      <x:c r="N423" s="9"/>
      <x:c r="O423" s="9"/>
    </x:row>
    <x:row r="424" ht="47.25" customHeight="1">
      <x:c r="A424" s="8" t="str">
        <x:v>V7-Sba7b1a9338</x:v>
      </x:c>
      <x:c r="B424" s="8" t="str">
        <x:v>Форум-практикум «Бизнес-путеводитель по Ближнему Востоку: логистика, финансы, право и менталитет»</x:v>
      </x:c>
      <x:c r="C424" s="8" t="str">
        <x:v>events</x:v>
      </x:c>
      <x:c r="D424" s="9"/>
      <x:c r="E424" s="9"/>
      <x:c r="F424" s="9"/>
      <x:c r="G424" s="9"/>
      <x:c r="H424" s="9"/>
      <x:c r="I424" s="10"/>
      <x:c r="J424" s="10"/>
      <x:c r="K424" s="11" t="str">
        <x:f>IF(AND(ISNUMBER(I424),ISNUMBER(F424),F424&gt;0),I424/F424,"")</x:f>
      </x:c>
      <x:c r="L424" s="11" t="str">
        <x:f>IF(AND(ISNUMBER(J424),ISNUMBER(F424),F424&gt;0),J424/F424,"")</x:f>
      </x:c>
      <x:c r="M424" s="9"/>
      <x:c r="N424" s="9"/>
      <x:c r="O424" s="9"/>
    </x:row>
    <x:row r="425" ht="33" customHeight="1">
      <x:c r="A425" s="8" t="str">
        <x:v>V7-Sad097f9a69</x:v>
      </x:c>
      <x:c r="B425" s="8" t="str">
        <x:v>Разработка электронных курсов от WellDone</x:v>
      </x:c>
      <x:c r="C425" s="8" t="str">
        <x:v>lms</x:v>
      </x:c>
      <x:c r="D425" s="9"/>
      <x:c r="E425" s="9"/>
      <x:c r="F425" s="9"/>
      <x:c r="G425" s="9"/>
      <x:c r="H425" s="9"/>
      <x:c r="I425" s="10"/>
      <x:c r="J425" s="10"/>
      <x:c r="K425" s="11" t="str">
        <x:f>IF(AND(ISNUMBER(I425),ISNUMBER(F425),F425&gt;0),I425/F425,"")</x:f>
      </x:c>
      <x:c r="L425" s="11" t="str">
        <x:f>IF(AND(ISNUMBER(J425),ISNUMBER(F425),F425&gt;0),J425/F425,"")</x:f>
      </x:c>
      <x:c r="M425" s="9"/>
      <x:c r="N425" s="9"/>
      <x:c r="O425" s="9"/>
    </x:row>
    <x:row r="426" ht="33" customHeight="1">
      <x:c r="A426" s="8" t="str">
        <x:v>V7-S69331fe61a</x:v>
      </x:c>
      <x:c r="B426" s="8" t="str">
        <x:v>Первый HR форум Пермской ТПП</x:v>
      </x:c>
      <x:c r="C426" s="8" t="str">
        <x:v>regional_hr</x:v>
      </x:c>
      <x:c r="D426" s="9"/>
      <x:c r="E426" s="9"/>
      <x:c r="F426" s="9"/>
      <x:c r="G426" s="9"/>
      <x:c r="H426" s="9"/>
      <x:c r="I426" s="10"/>
      <x:c r="J426" s="10"/>
      <x:c r="K426" s="11" t="str">
        <x:f>IF(AND(ISNUMBER(I426),ISNUMBER(F426),F426&gt;0),I426/F426,"")</x:f>
      </x:c>
      <x:c r="L426" s="11" t="str">
        <x:f>IF(AND(ISNUMBER(J426),ISNUMBER(F426),F426&gt;0),J426/F426,"")</x:f>
      </x:c>
      <x:c r="M426" s="9"/>
      <x:c r="N426" s="9"/>
      <x:c r="O426" s="9"/>
    </x:row>
    <x:row r="427" ht="33" customHeight="1">
      <x:c r="A427" s="8" t="str">
        <x:v>V7-S7dc9a55981</x:v>
      </x:c>
      <x:c r="B427" s="8" t="str">
        <x:v>Бизнес - Yvision.kz</x:v>
      </x:c>
      <x:c r="C427" s="8" t="str">
        <x:v>development</x:v>
      </x:c>
      <x:c r="D427" s="9"/>
      <x:c r="E427" s="9"/>
      <x:c r="F427" s="9"/>
      <x:c r="G427" s="9"/>
      <x:c r="H427" s="9"/>
      <x:c r="I427" s="10"/>
      <x:c r="J427" s="10"/>
      <x:c r="K427" s="11" t="str">
        <x:f>IF(AND(ISNUMBER(I427),ISNUMBER(F427),F427&gt;0),I427/F427,"")</x:f>
      </x:c>
      <x:c r="L427" s="11" t="str">
        <x:f>IF(AND(ISNUMBER(J427),ISNUMBER(F427),F427&gt;0),J427/F427,"")</x:f>
      </x:c>
      <x:c r="M427" s="9"/>
      <x:c r="N427" s="9"/>
      <x:c r="O427" s="9"/>
    </x:row>
    <x:row r="428" ht="33" customHeight="1">
      <x:c r="A428" s="8" t="str">
        <x:v>V7-Sf05a7b614a</x:v>
      </x:c>
      <x:c r="B428" s="8" t="str">
        <x:v>Ассоциация HR-менеджеров</x:v>
      </x:c>
      <x:c r="C428" s="8" t="str">
        <x:v>regional_hr</x:v>
      </x:c>
      <x:c r="D428" s="9"/>
      <x:c r="E428" s="9"/>
      <x:c r="F428" s="9"/>
      <x:c r="G428" s="9"/>
      <x:c r="H428" s="9"/>
      <x:c r="I428" s="10"/>
      <x:c r="J428" s="10"/>
      <x:c r="K428" s="11" t="str">
        <x:f>IF(AND(ISNUMBER(I428),ISNUMBER(F428),F428&gt;0),I428/F428,"")</x:f>
      </x:c>
      <x:c r="L428" s="11" t="str">
        <x:f>IF(AND(ISNUMBER(J428),ISNUMBER(F428),F428&gt;0),J428/F428,"")</x:f>
      </x:c>
      <x:c r="M428" s="9"/>
      <x:c r="N428" s="9"/>
      <x:c r="O428" s="9"/>
    </x:row>
    <x:row r="429" ht="33" customHeight="1">
      <x:c r="A429" s="8" t="str">
        <x:v>V7-Sbc2a52a665</x:v>
      </x:c>
      <x:c r="B429" s="8" t="str">
        <x:v>Ассоциация Бизнес-тренеров</x:v>
      </x:c>
      <x:c r="C429" s="8" t="str">
        <x:v>projects</x:v>
      </x:c>
      <x:c r="D429" s="9"/>
      <x:c r="E429" s="9"/>
      <x:c r="F429" s="9"/>
      <x:c r="G429" s="9"/>
      <x:c r="H429" s="9"/>
      <x:c r="I429" s="10"/>
      <x:c r="J429" s="10"/>
      <x:c r="K429" s="11" t="str">
        <x:f>IF(AND(ISNUMBER(I429),ISNUMBER(F429),F429&gt;0),I429/F429,"")</x:f>
      </x:c>
      <x:c r="L429" s="11" t="str">
        <x:f>IF(AND(ISNUMBER(J429),ISNUMBER(F429),F429&gt;0),J429/F429,"")</x:f>
      </x:c>
      <x:c r="M429" s="9"/>
      <x:c r="N429" s="9"/>
      <x:c r="O429" s="9"/>
    </x:row>
    <x:row r="430" ht="33" customHeight="1">
      <x:c r="A430" s="8" t="str">
        <x:v>V7-Saa67f9c280</x:v>
      </x:c>
      <x:c r="B430" s="8" t="str">
        <x:v>КОРПОРАТИВНАЯ АКАДЕМИЯ РОСАТОМА  |  2023</x:v>
      </x:c>
      <x:c r="C430" s="8" t="str">
        <x:v>cu</x:v>
      </x:c>
      <x:c r="D430" s="9"/>
      <x:c r="E430" s="9"/>
      <x:c r="F430" s="9"/>
      <x:c r="G430" s="9"/>
      <x:c r="H430" s="9"/>
      <x:c r="I430" s="10"/>
      <x:c r="J430" s="10"/>
      <x:c r="K430" s="11" t="str">
        <x:f>IF(AND(ISNUMBER(I430),ISNUMBER(F430),F430&gt;0),I430/F430,"")</x:f>
      </x:c>
      <x:c r="L430" s="11" t="str">
        <x:f>IF(AND(ISNUMBER(J430),ISNUMBER(F430),F430&gt;0),J430/F430,"")</x:f>
      </x:c>
      <x:c r="M430" s="9"/>
      <x:c r="N430" s="9"/>
      <x:c r="O430" s="9"/>
    </x:row>
    <x:row r="431" ht="35.25" customHeight="1">
      <x:c r="A431" s="8" t="str">
        <x:v>V7-S416f752672</x:v>
      </x:c>
      <x:c r="B431" s="8" t="str">
        <x:v>Фриланс Таверна Official | Вакансии Удаленная работа – Telegram</x:v>
      </x:c>
      <x:c r="C431" s="8" t="str">
        <x:v>projects</x:v>
      </x:c>
      <x:c r="D431" s="9"/>
      <x:c r="E431" s="9"/>
      <x:c r="F431" s="9"/>
      <x:c r="G431" s="9"/>
      <x:c r="H431" s="9"/>
      <x:c r="I431" s="10"/>
      <x:c r="J431" s="10"/>
      <x:c r="K431" s="11" t="str">
        <x:f>IF(AND(ISNUMBER(I431),ISNUMBER(F431),F431&gt;0),I431/F431,"")</x:f>
      </x:c>
      <x:c r="L431" s="11" t="str">
        <x:f>IF(AND(ISNUMBER(J431),ISNUMBER(F431),F431&gt;0),J431/F431,"")</x:f>
      </x:c>
      <x:c r="M431" s="9"/>
      <x:c r="N431" s="9"/>
      <x:c r="O431" s="9"/>
    </x:row>
    <x:row r="432" ht="33" customHeight="1">
      <x:c r="A432" s="8" t="str">
        <x:v>V7-S2de79a2239</x:v>
      </x:c>
      <x:c r="B432" s="8" t="str">
        <x:v>Тренер тренеру (поиск экспертов) – Telegram</x:v>
      </x:c>
      <x:c r="C432" s="8" t="str">
        <x:v>projects</x:v>
      </x:c>
      <x:c r="D432" s="9"/>
      <x:c r="E432" s="9"/>
      <x:c r="F432" s="9"/>
      <x:c r="G432" s="9"/>
      <x:c r="H432" s="9"/>
      <x:c r="I432" s="10"/>
      <x:c r="J432" s="10"/>
      <x:c r="K432" s="11" t="str">
        <x:f>IF(AND(ISNUMBER(I432),ISNUMBER(F432),F432&gt;0),I432/F432,"")</x:f>
      </x:c>
      <x:c r="L432" s="11" t="str">
        <x:f>IF(AND(ISNUMBER(J432),ISNUMBER(F432),F432&gt;0),J432/F432,"")</x:f>
      </x:c>
      <x:c r="M432" s="9"/>
      <x:c r="N432" s="9"/>
      <x:c r="O432" s="9"/>
    </x:row>
    <x:row r="433" ht="33" customHeight="1">
      <x:c r="A433" s="8" t="str">
        <x:v>V7-S16d6155188</x:v>
      </x:c>
      <x:c r="B433" s="8" t="str">
        <x:v>HR Breakfast Live – Telegram</x:v>
      </x:c>
      <x:c r="C433" s="8" t="str">
        <x:v>regional_hr</x:v>
      </x:c>
      <x:c r="D433" s="9"/>
      <x:c r="E433" s="9"/>
      <x:c r="F433" s="9"/>
      <x:c r="G433" s="9"/>
      <x:c r="H433" s="9"/>
      <x:c r="I433" s="10"/>
      <x:c r="J433" s="10"/>
      <x:c r="K433" s="11" t="str">
        <x:f>IF(AND(ISNUMBER(I433),ISNUMBER(F433),F433&gt;0),I433/F433,"")</x:f>
      </x:c>
      <x:c r="L433" s="11" t="str">
        <x:f>IF(AND(ISNUMBER(J433),ISNUMBER(F433),F433&gt;0),J433/F433,"")</x:f>
      </x:c>
      <x:c r="M433" s="9"/>
      <x:c r="N433" s="9"/>
      <x:c r="O433" s="9"/>
    </x:row>
    <x:row r="434" ht="33" customHeight="1">
      <x:c r="A434" s="8" t="str">
        <x:v>V7-S8443ac4e73</x:v>
      </x:c>
      <x:c r="B434" s="8" t="str">
        <x:v>HR[хаб]вакансии – Telegram</x:v>
      </x:c>
      <x:c r="C434" s="8" t="str">
        <x:v>projects</x:v>
      </x:c>
      <x:c r="D434" s="9"/>
      <x:c r="E434" s="9"/>
      <x:c r="F434" s="9"/>
      <x:c r="G434" s="9"/>
      <x:c r="H434" s="9"/>
      <x:c r="I434" s="10"/>
      <x:c r="J434" s="10"/>
      <x:c r="K434" s="11" t="str">
        <x:f>IF(AND(ISNUMBER(I434),ISNUMBER(F434),F434&gt;0),I434/F434,"")</x:f>
      </x:c>
      <x:c r="L434" s="11" t="str">
        <x:f>IF(AND(ISNUMBER(J434),ISNUMBER(F434),F434&gt;0),J434/F434,"")</x:f>
      </x:c>
      <x:c r="M434" s="9"/>
      <x:c r="N434" s="9"/>
      <x:c r="O434" s="9"/>
    </x:row>
    <x:row r="435" ht="35.25" customHeight="1">
      <x:c r="A435" s="8" t="str">
        <x:v>V7-Se5a6ba3e7f</x:v>
      </x:c>
      <x:c r="B435" s="8" t="str">
        <x:v>Развиваем экосистему: итоги сотрудничества Корпоративного университета с партнерами Группы НЛМК</x:v>
      </x:c>
      <x:c r="C435" s="8" t="str">
        <x:v>cu</x:v>
      </x:c>
      <x:c r="D435" s="9"/>
      <x:c r="E435" s="9"/>
      <x:c r="F435" s="9"/>
      <x:c r="G435" s="9"/>
      <x:c r="H435" s="9"/>
      <x:c r="I435" s="10"/>
      <x:c r="J435" s="10"/>
      <x:c r="K435" s="11" t="str">
        <x:f>IF(AND(ISNUMBER(I435),ISNUMBER(F435),F435&gt;0),I435/F435,"")</x:f>
      </x:c>
      <x:c r="L435" s="11" t="str">
        <x:f>IF(AND(ISNUMBER(J435),ISNUMBER(F435),F435&gt;0),J435/F435,"")</x:f>
      </x:c>
      <x:c r="M435" s="9"/>
      <x:c r="N435" s="9"/>
      <x:c r="O435" s="9"/>
    </x:row>
    <x:row r="436" ht="33" customHeight="1">
      <x:c r="A436" s="8" t="str">
        <x:v>V7-Sd58bf3286e</x:v>
      </x:c>
      <x:c r="B436" s="8" t="str">
        <x:v>HR сообщество | Изменения рынка труда Беларуси</x:v>
      </x:c>
      <x:c r="C436" s="8" t="str">
        <x:v>regional_hr</x:v>
      </x:c>
      <x:c r="D436" s="9"/>
      <x:c r="E436" s="9"/>
      <x:c r="F436" s="9"/>
      <x:c r="G436" s="9"/>
      <x:c r="H436" s="9"/>
      <x:c r="I436" s="10"/>
      <x:c r="J436" s="10"/>
      <x:c r="K436" s="11" t="str">
        <x:f>IF(AND(ISNUMBER(I436),ISNUMBER(F436),F436&gt;0),I436/F436,"")</x:f>
      </x:c>
      <x:c r="L436" s="11" t="str">
        <x:f>IF(AND(ISNUMBER(J436),ISNUMBER(F436),F436&gt;0),J436/F436,"")</x:f>
      </x:c>
      <x:c r="M436" s="9"/>
      <x:c r="N436" s="9"/>
      <x:c r="O436" s="9"/>
    </x:row>
    <x:row r="437" ht="33" customHeight="1">
      <x:c r="A437" s="8" t="str">
        <x:v>V7-S5512915722</x:v>
      </x:c>
      <x:c r="B437" s="8" t="str">
        <x:v>HR4People ASTANA</x:v>
      </x:c>
      <x:c r="C437" s="8" t="str">
        <x:v>regional_hr</x:v>
      </x:c>
      <x:c r="D437" s="9"/>
      <x:c r="E437" s="9"/>
      <x:c r="F437" s="9"/>
      <x:c r="G437" s="9"/>
      <x:c r="H437" s="9"/>
      <x:c r="I437" s="10"/>
      <x:c r="J437" s="10"/>
      <x:c r="K437" s="11" t="str">
        <x:f>IF(AND(ISNUMBER(I437),ISNUMBER(F437),F437&gt;0),I437/F437,"")</x:f>
      </x:c>
      <x:c r="L437" s="11" t="str">
        <x:f>IF(AND(ISNUMBER(J437),ISNUMBER(F437),F437&gt;0),J437/F437,"")</x:f>
      </x:c>
      <x:c r="M437" s="9"/>
      <x:c r="N437" s="9"/>
      <x:c r="O437" s="9"/>
    </x:row>
    <x:row r="438" ht="35.25" customHeight="1">
      <x:c r="A438" s="8" t="str">
        <x:v>V7-Seffad25b7d</x:v>
      </x:c>
      <x:c r="B438" s="8" t="str">
        <x:v>#hrclubrt — Сообщество HR сотрудников компаний по г. Казани и ближайщих городов.</x:v>
      </x:c>
      <x:c r="C438" s="8" t="str">
        <x:v>regional_hr</x:v>
      </x:c>
      <x:c r="D438" s="9"/>
      <x:c r="E438" s="9"/>
      <x:c r="F438" s="9"/>
      <x:c r="G438" s="9"/>
      <x:c r="H438" s="9"/>
      <x:c r="I438" s="10"/>
      <x:c r="J438" s="10"/>
      <x:c r="K438" s="11" t="str">
        <x:f>IF(AND(ISNUMBER(I438),ISNUMBER(F438),F438&gt;0),I438/F438,"")</x:f>
      </x:c>
      <x:c r="L438" s="11" t="str">
        <x:f>IF(AND(ISNUMBER(J438),ISNUMBER(F438),F438&gt;0),J438/F438,"")</x:f>
      </x:c>
      <x:c r="M438" s="9"/>
      <x:c r="N438" s="9"/>
      <x:c r="O438" s="9"/>
    </x:row>
    <x:row r="439" ht="35.25" customHeight="1">
      <x:c r="A439" s="8" t="str">
        <x:v>V7-S8be65e8fc6</x:v>
      </x:c>
      <x:c r="B439" s="8" t="str">
        <x:v>Разработка электронных курсов и бизнес-симуляций | LEVEL</x:v>
      </x:c>
      <x:c r="C439" s="8" t="str">
        <x:v>lms</x:v>
      </x:c>
      <x:c r="D439" s="9"/>
      <x:c r="E439" s="9"/>
      <x:c r="F439" s="9"/>
      <x:c r="G439" s="9"/>
      <x:c r="H439" s="9"/>
      <x:c r="I439" s="10"/>
      <x:c r="J439" s="10"/>
      <x:c r="K439" s="11" t="str">
        <x:f>IF(AND(ISNUMBER(I439),ISNUMBER(F439),F439&gt;0),I439/F439,"")</x:f>
      </x:c>
      <x:c r="L439" s="11" t="str">
        <x:f>IF(AND(ISNUMBER(J439),ISNUMBER(F439),F439&gt;0),J439/F439,"")</x:f>
      </x:c>
      <x:c r="M439" s="9"/>
      <x:c r="N439" s="9"/>
      <x:c r="O439" s="9"/>
    </x:row>
    <x:row r="440" ht="35.25" customHeight="1">
      <x:c r="A440" s="8" t="str">
        <x:v>V7-S67cf22b1a5</x:v>
      </x:c>
      <x:c r="B440" s="8" t="str">
        <x:v>Университет прокуратуры | АНО «Корпоративная Академия Роскосмоса»</x:v>
      </x:c>
      <x:c r="C440" s="8" t="str">
        <x:v>cu</x:v>
      </x:c>
      <x:c r="D440" s="9"/>
      <x:c r="E440" s="9"/>
      <x:c r="F440" s="9"/>
      <x:c r="G440" s="9"/>
      <x:c r="H440" s="9"/>
      <x:c r="I440" s="10"/>
      <x:c r="J440" s="10"/>
      <x:c r="K440" s="11" t="str">
        <x:f>IF(AND(ISNUMBER(I440),ISNUMBER(F440),F440&gt;0),I440/F440,"")</x:f>
      </x:c>
      <x:c r="L440" s="11" t="str">
        <x:f>IF(AND(ISNUMBER(J440),ISNUMBER(F440),F440&gt;0),J440/F440,"")</x:f>
      </x:c>
      <x:c r="M440" s="9"/>
      <x:c r="N440" s="9"/>
      <x:c r="O440" s="9"/>
    </x:row>
    <x:row r="441" ht="33" customHeight="1">
      <x:c r="A441" s="8" t="str">
        <x:v>V7-S35ff34e672</x:v>
      </x:c>
      <x:c r="B441" s="8" t="str">
        <x:v>UNIVERSITY — корпоративный университет</x:v>
      </x:c>
      <x:c r="C441" s="8" t="str">
        <x:v>cu</x:v>
      </x:c>
      <x:c r="D441" s="9"/>
      <x:c r="E441" s="9"/>
      <x:c r="F441" s="9"/>
      <x:c r="G441" s="9"/>
      <x:c r="H441" s="9"/>
      <x:c r="I441" s="10"/>
      <x:c r="J441" s="10"/>
      <x:c r="K441" s="11" t="str">
        <x:f>IF(AND(ISNUMBER(I441),ISNUMBER(F441),F441&gt;0),I441/F441,"")</x:f>
      </x:c>
      <x:c r="L441" s="11" t="str">
        <x:f>IF(AND(ISNUMBER(J441),ISNUMBER(F441),F441&gt;0),J441/F441,"")</x:f>
      </x:c>
      <x:c r="M441" s="9"/>
      <x:c r="N441" s="9"/>
      <x:c r="O441" s="9"/>
    </x:row>
    <x:row r="442" ht="35.25" customHeight="1">
      <x:c r="A442" s="8" t="str">
        <x:v>V7-Sb6e66ff496</x:v>
      </x:c>
      <x:c r="B442" s="8" t="str">
        <x:v>Методист (проектная работа) в NDA | Эйч — сервис развития карьеры</x:v>
      </x:c>
      <x:c r="C442" s="8" t="str">
        <x:v>projects</x:v>
      </x:c>
      <x:c r="D442" s="9"/>
      <x:c r="E442" s="9"/>
      <x:c r="F442" s="9"/>
      <x:c r="G442" s="9"/>
      <x:c r="H442" s="9"/>
      <x:c r="I442" s="10"/>
      <x:c r="J442" s="10"/>
      <x:c r="K442" s="11" t="str">
        <x:f>IF(AND(ISNUMBER(I442),ISNUMBER(F442),F442&gt;0),I442/F442,"")</x:f>
      </x:c>
      <x:c r="L442" s="11" t="str">
        <x:f>IF(AND(ISNUMBER(J442),ISNUMBER(F442),F442&gt;0),J442/F442,"")</x:f>
      </x:c>
      <x:c r="M442" s="9"/>
      <x:c r="N442" s="9"/>
      <x:c r="O442" s="9"/>
    </x:row>
    <x:row r="443" ht="35.25" customHeight="1">
      <x:c r="A443" s="8" t="str">
        <x:v>V7-S07b861e5fd</x:v>
      </x:c>
      <x:c r="B443" s="8" t="str">
        <x:v>Kazakhstan HR-Forum объединяет HRD Центральной Азии</x:v>
      </x:c>
      <x:c r="C443" s="8" t="str">
        <x:v>regional_hr</x:v>
      </x:c>
      <x:c r="D443" s="9"/>
      <x:c r="E443" s="9"/>
      <x:c r="F443" s="9"/>
      <x:c r="G443" s="9"/>
      <x:c r="H443" s="9"/>
      <x:c r="I443" s="10"/>
      <x:c r="J443" s="10"/>
      <x:c r="K443" s="11" t="str">
        <x:f>IF(AND(ISNUMBER(I443),ISNUMBER(F443),F443&gt;0),I443/F443,"")</x:f>
      </x:c>
      <x:c r="L443" s="11" t="str">
        <x:f>IF(AND(ISNUMBER(J443),ISNUMBER(F443),F443&gt;0),J443/F443,"")</x:f>
      </x:c>
      <x:c r="M443" s="9"/>
      <x:c r="N443" s="9"/>
      <x:c r="O443" s="9"/>
    </x:row>
    <x:row r="444" ht="35.25" customHeight="1">
      <x:c r="A444" s="8" t="str">
        <x:v>V7-S89a2f1541e</x:v>
      </x:c>
      <x:c r="B444" s="8" t="str">
        <x:v>МЕЖДУНАРОДНЫЙ HR-ФОРУМ 2026 В АЛМАТЫ 25-26 НОЯБРЯ</x:v>
      </x:c>
      <x:c r="C444" s="8" t="str">
        <x:v>regional_hr</x:v>
      </x:c>
      <x:c r="D444" s="9"/>
      <x:c r="E444" s="9"/>
      <x:c r="F444" s="9"/>
      <x:c r="G444" s="9"/>
      <x:c r="H444" s="9"/>
      <x:c r="I444" s="10"/>
      <x:c r="J444" s="10"/>
      <x:c r="K444" s="11" t="str">
        <x:f>IF(AND(ISNUMBER(I444),ISNUMBER(F444),F444&gt;0),I444/F444,"")</x:f>
      </x:c>
      <x:c r="L444" s="11" t="str">
        <x:f>IF(AND(ISNUMBER(J444),ISNUMBER(F444),F444&gt;0),J444/F444,"")</x:f>
      </x:c>
      <x:c r="M444" s="9"/>
      <x:c r="N444" s="9"/>
      <x:c r="O444" s="9"/>
    </x:row>
  </x:sheetData>
  <x:pageMargins left="0.7" right="0.7" top="0.75" bottom="0.75" header="0.3" footer="0.3"/>
  <x:tableParts count="1">
    <x:tablePart xmlns:r="http://schemas.openxmlformats.org/officeDocument/2006/relationships" r:id="Rbf7a4e2b89ac4cf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17.219999313354492" hidden="0" customWidth="1"/>
    <x:col min="3" max="3" width="25.559999465942383" hidden="0" customWidth="1"/>
    <x:col min="4" max="4" width="75.55999755859375" hidden="0" customWidth="1"/>
    <x:col min="5" max="5" width="31.110000610351562" hidden="0" customWidth="1"/>
  </x:cols>
  <x:sheetData>
    <x:row r="1">
      <x:c r="A1" s="2"/>
      <x:c r="B1" s="2"/>
      <x:c r="C1" s="2"/>
      <x:c r="D1" s="2"/>
      <x:c r="E1" s="2"/>
    </x:row>
    <x:row r="2" ht="26.25" customHeight="1">
      <x:c r="A2" s="3" t="str">
        <x:v>360 шаблонов на языке заказчика</x:v>
      </x:c>
      <x:c r="B2" s="2"/>
      <x:c r="C2" s="2"/>
      <x:c r="D2" s="2"/>
      <x:c r="E2" s="2"/>
    </x:row>
    <x:row r="3" ht="22.5" customHeight="1">
      <x:c r="A3" s="4" t="str">
        <x:v>Шаблоны не запускались. 120 действительно выполненных запросов отдельно сохранены в executed_searches.jsonl.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6" customHeight="1">
      <x:c r="A5" s="7" t="str">
        <x:v>Запрос ID</x:v>
      </x:c>
      <x:c r="B5" s="7" t="str">
        <x:v>Страна</x:v>
      </x:c>
      <x:c r="C5" s="7" t="str">
        <x:v>Роль</x:v>
      </x:c>
      <x:c r="D5" s="7" t="str">
        <x:v>Запрос</x:v>
      </x:c>
      <x:c r="E5" s="7" t="str">
        <x:v>Статус</x:v>
      </x:c>
    </x:row>
    <x:row r="6" ht="33" customHeight="1">
      <x:c r="A6" s="8" t="str">
        <x:v>V7-Q0001</x:v>
      </x:c>
      <x:c r="B6" s="8" t="str">
        <x:v>Россия</x:v>
      </x:c>
      <x:c r="C6" s="8" t="str">
        <x:v>HR L&amp;D</x:v>
      </x:c>
      <x:c r="D6" s="8" t="str">
        <x:v>посоветуйте тренера для команды HR L&amp;D Россия</x:v>
      </x:c>
      <x:c r="E6" s="8" t="str">
        <x:v>Шаблон — не запускался</x:v>
      </x:c>
    </x:row>
    <x:row r="7" ht="33" customHeight="1">
      <x:c r="A7" s="8" t="str">
        <x:v>V7-Q0002</x:v>
      </x:c>
      <x:c r="B7" s="8" t="str">
        <x:v>Россия</x:v>
      </x:c>
      <x:c r="C7" s="8" t="str">
        <x:v>HR L&amp;D</x:v>
      </x:c>
      <x:c r="D7" s="8" t="str">
        <x:v>кто поможет поставить работу руководителей HR L&amp;D Россия</x:v>
      </x:c>
      <x:c r="E7" s="8" t="str">
        <x:v>Шаблон — не запускался</x:v>
      </x:c>
    </x:row>
    <x:row r="8" ht="33" customHeight="1">
      <x:c r="A8" s="8" t="str">
        <x:v>V7-Q0003</x:v>
      </x:c>
      <x:c r="B8" s="8" t="str">
        <x:v>Россия</x:v>
      </x:c>
      <x:c r="C8" s="8" t="str">
        <x:v>HR L&amp;D</x:v>
      </x:c>
      <x:c r="D8" s="8" t="str">
        <x:v>ищем разработчика электронного курса HR L&amp;D Россия</x:v>
      </x:c>
      <x:c r="E8" s="8" t="str">
        <x:v>Шаблон — не запускался</x:v>
      </x:c>
    </x:row>
    <x:row r="9" ht="33" customHeight="1">
      <x:c r="A9" s="8" t="str">
        <x:v>V7-Q0004</x:v>
      </x:c>
      <x:c r="B9" s="8" t="str">
        <x:v>Россия</x:v>
      </x:c>
      <x:c r="C9" s="8" t="str">
        <x:v>HR L&amp;D</x:v>
      </x:c>
      <x:c r="D9" s="8" t="str">
        <x:v>нужен внешний эксперт для внутренней программы HR L&amp;D Россия</x:v>
      </x:c>
      <x:c r="E9" s="8" t="str">
        <x:v>Шаблон — не запускался</x:v>
      </x:c>
    </x:row>
    <x:row r="10" ht="33" customHeight="1">
      <x:c r="A10" s="8" t="str">
        <x:v>V7-Q0005</x:v>
      </x:c>
      <x:c r="B10" s="8" t="str">
        <x:v>Россия</x:v>
      </x:c>
      <x:c r="C10" s="8" t="str">
        <x:v>HR L&amp;D</x:v>
      </x:c>
      <x:c r="D10" s="8" t="str">
        <x:v>приглашаем образовательных провайдеров HR L&amp;D Россия</x:v>
      </x:c>
      <x:c r="E10" s="8" t="str">
        <x:v>Шаблон — не запускался</x:v>
      </x:c>
    </x:row>
    <x:row r="11" ht="33" customHeight="1">
      <x:c r="A11" s="8" t="str">
        <x:v>V7-Q0006</x:v>
      </x:c>
      <x:c r="B11" s="8" t="str">
        <x:v>Россия</x:v>
      </x:c>
      <x:c r="C11" s="8" t="str">
        <x:v>HR L&amp;D</x:v>
      </x:c>
      <x:c r="D11" s="8" t="str">
        <x:v>собираем предложения по обучению на следующий год HR L&amp;D Россия</x:v>
      </x:c>
      <x:c r="E11" s="8" t="str">
        <x:v>Шаблон — не запускался</x:v>
      </x:c>
    </x:row>
    <x:row r="12" ht="33" customHeight="1">
      <x:c r="A12" s="8" t="str">
        <x:v>V7-Q0007</x:v>
      </x:c>
      <x:c r="B12" s="8" t="str">
        <x:v>Россия</x:v>
      </x:c>
      <x:c r="C12" s="8" t="str">
        <x:v>HR L&amp;D</x:v>
      </x:c>
      <x:c r="D12" s="8" t="str">
        <x:v>кого пригласить на стратегическую сессию HR L&amp;D Россия</x:v>
      </x:c>
      <x:c r="E12" s="8" t="str">
        <x:v>Шаблон — не запускался</x:v>
      </x:c>
    </x:row>
    <x:row r="13" ht="33" customHeight="1">
      <x:c r="A13" s="8" t="str">
        <x:v>V7-Q0008</x:v>
      </x:c>
      <x:c r="B13" s="8" t="str">
        <x:v>Россия</x:v>
      </x:c>
      <x:c r="C13" s="8" t="str">
        <x:v>HR L&amp;D</x:v>
      </x:c>
      <x:c r="D13" s="8" t="str">
        <x:v>срочно заменить преподавателя HR L&amp;D Россия</x:v>
      </x:c>
      <x:c r="E13" s="8" t="str">
        <x:v>Шаблон — не запускался</x:v>
      </x:c>
    </x:row>
    <x:row r="14" ht="33" customHeight="1">
      <x:c r="A14" s="8" t="str">
        <x:v>V7-Q0009</x:v>
      </x:c>
      <x:c r="B14" s="8" t="str">
        <x:v>Россия</x:v>
      </x:c>
      <x:c r="C14" s="8" t="str">
        <x:v>HR L&amp;D</x:v>
      </x:c>
      <x:c r="D14" s="8" t="str">
        <x:v>запускаем филиал нужна адаптация сотрудников HR L&amp;D Россия</x:v>
      </x:c>
      <x:c r="E14" s="8" t="str">
        <x:v>Шаблон — не запускался</x:v>
      </x:c>
    </x:row>
    <x:row r="15" ht="33" customHeight="1">
      <x:c r="A15" s="8" t="str">
        <x:v>V7-Q0010</x:v>
      </x:c>
      <x:c r="B15" s="8" t="str">
        <x:v>Россия</x:v>
      </x:c>
      <x:c r="C15" s="8" t="str">
        <x:v>HR L&amp;D</x:v>
      </x:c>
      <x:c r="D15" s="8" t="str">
        <x:v>как обучить менеджеров работе с конфликтными клиентами HR L&amp;D Россия</x:v>
      </x:c>
      <x:c r="E15" s="8" t="str">
        <x:v>Шаблон — не запускался</x:v>
      </x:c>
    </x:row>
    <x:row r="16" ht="33" customHeight="1">
      <x:c r="A16" s="8" t="str">
        <x:v>V7-Q0011</x:v>
      </x:c>
      <x:c r="B16" s="8" t="str">
        <x:v>Россия</x:v>
      </x:c>
      <x:c r="C16" s="8" t="str">
        <x:v>HR L&amp;D</x:v>
      </x:c>
      <x:c r="D16" s="8" t="str">
        <x:v>ищем методолога для базы знаний HR L&amp;D Россия</x:v>
      </x:c>
      <x:c r="E16" s="8" t="str">
        <x:v>Шаблон — не запускался</x:v>
      </x:c>
    </x:row>
    <x:row r="17" ht="33" customHeight="1">
      <x:c r="A17" s="8" t="str">
        <x:v>V7-Q0012</x:v>
      </x:c>
      <x:c r="B17" s="8" t="str">
        <x:v>Россия</x:v>
      </x:c>
      <x:c r="C17" s="8" t="str">
        <x:v>HR L&amp;D</x:v>
      </x:c>
      <x:c r="D17" s="8" t="str">
        <x:v>нужна программа развития кадрового резерва HR L&amp;D Россия</x:v>
      </x:c>
      <x:c r="E17" s="8" t="str">
        <x:v>Шаблон — не запускался</x:v>
      </x:c>
    </x:row>
    <x:row r="18" ht="33" customHeight="1">
      <x:c r="A18" s="8" t="str">
        <x:v>V7-Q0013</x:v>
      </x:c>
      <x:c r="B18" s="8" t="str">
        <x:v>Россия</x:v>
      </x:c>
      <x:c r="C18" s="8" t="str">
        <x:v>закупки</x:v>
      </x:c>
      <x:c r="D18" s="8" t="str">
        <x:v>посоветуйте тренера для команды закупки Россия</x:v>
      </x:c>
      <x:c r="E18" s="8" t="str">
        <x:v>Шаблон — не запускался</x:v>
      </x:c>
    </x:row>
    <x:row r="19" ht="33" customHeight="1">
      <x:c r="A19" s="8" t="str">
        <x:v>V7-Q0014</x:v>
      </x:c>
      <x:c r="B19" s="8" t="str">
        <x:v>Россия</x:v>
      </x:c>
      <x:c r="C19" s="8" t="str">
        <x:v>закупки</x:v>
      </x:c>
      <x:c r="D19" s="8" t="str">
        <x:v>кто поможет поставить работу руководителей закупки Россия</x:v>
      </x:c>
      <x:c r="E19" s="8" t="str">
        <x:v>Шаблон — не запускался</x:v>
      </x:c>
    </x:row>
    <x:row r="20" ht="33" customHeight="1">
      <x:c r="A20" s="8" t="str">
        <x:v>V7-Q0015</x:v>
      </x:c>
      <x:c r="B20" s="8" t="str">
        <x:v>Россия</x:v>
      </x:c>
      <x:c r="C20" s="8" t="str">
        <x:v>закупки</x:v>
      </x:c>
      <x:c r="D20" s="8" t="str">
        <x:v>ищем разработчика электронного курса закупки Россия</x:v>
      </x:c>
      <x:c r="E20" s="8" t="str">
        <x:v>Шаблон — не запускался</x:v>
      </x:c>
    </x:row>
    <x:row r="21" ht="33" customHeight="1">
      <x:c r="A21" s="8" t="str">
        <x:v>V7-Q0016</x:v>
      </x:c>
      <x:c r="B21" s="8" t="str">
        <x:v>Россия</x:v>
      </x:c>
      <x:c r="C21" s="8" t="str">
        <x:v>закупки</x:v>
      </x:c>
      <x:c r="D21" s="8" t="str">
        <x:v>нужен внешний эксперт для внутренней программы закупки Россия</x:v>
      </x:c>
      <x:c r="E21" s="8" t="str">
        <x:v>Шаблон — не запускался</x:v>
      </x:c>
    </x:row>
    <x:row r="22" ht="33" customHeight="1">
      <x:c r="A22" s="8" t="str">
        <x:v>V7-Q0017</x:v>
      </x:c>
      <x:c r="B22" s="8" t="str">
        <x:v>Россия</x:v>
      </x:c>
      <x:c r="C22" s="8" t="str">
        <x:v>закупки</x:v>
      </x:c>
      <x:c r="D22" s="8" t="str">
        <x:v>приглашаем образовательных провайдеров закупки Россия</x:v>
      </x:c>
      <x:c r="E22" s="8" t="str">
        <x:v>Шаблон — не запускался</x:v>
      </x:c>
    </x:row>
    <x:row r="23" ht="33" customHeight="1">
      <x:c r="A23" s="8" t="str">
        <x:v>V7-Q0018</x:v>
      </x:c>
      <x:c r="B23" s="8" t="str">
        <x:v>Россия</x:v>
      </x:c>
      <x:c r="C23" s="8" t="str">
        <x:v>закупки</x:v>
      </x:c>
      <x:c r="D23" s="8" t="str">
        <x:v>собираем предложения по обучению на следующий год закупки Россия</x:v>
      </x:c>
      <x:c r="E23" s="8" t="str">
        <x:v>Шаблон — не запускался</x:v>
      </x:c>
    </x:row>
    <x:row r="24" ht="33" customHeight="1">
      <x:c r="A24" s="8" t="str">
        <x:v>V7-Q0019</x:v>
      </x:c>
      <x:c r="B24" s="8" t="str">
        <x:v>Россия</x:v>
      </x:c>
      <x:c r="C24" s="8" t="str">
        <x:v>закупки</x:v>
      </x:c>
      <x:c r="D24" s="8" t="str">
        <x:v>кого пригласить на стратегическую сессию закупки Россия</x:v>
      </x:c>
      <x:c r="E24" s="8" t="str">
        <x:v>Шаблон — не запускался</x:v>
      </x:c>
    </x:row>
    <x:row r="25" ht="33" customHeight="1">
      <x:c r="A25" s="8" t="str">
        <x:v>V7-Q0020</x:v>
      </x:c>
      <x:c r="B25" s="8" t="str">
        <x:v>Россия</x:v>
      </x:c>
      <x:c r="C25" s="8" t="str">
        <x:v>закупки</x:v>
      </x:c>
      <x:c r="D25" s="8" t="str">
        <x:v>срочно заменить преподавателя закупки Россия</x:v>
      </x:c>
      <x:c r="E25" s="8" t="str">
        <x:v>Шаблон — не запускался</x:v>
      </x:c>
    </x:row>
    <x:row r="26" ht="33" customHeight="1">
      <x:c r="A26" s="8" t="str">
        <x:v>V7-Q0021</x:v>
      </x:c>
      <x:c r="B26" s="8" t="str">
        <x:v>Россия</x:v>
      </x:c>
      <x:c r="C26" s="8" t="str">
        <x:v>закупки</x:v>
      </x:c>
      <x:c r="D26" s="8" t="str">
        <x:v>запускаем филиал нужна адаптация сотрудников закупки Россия</x:v>
      </x:c>
      <x:c r="E26" s="8" t="str">
        <x:v>Шаблон — не запускался</x:v>
      </x:c>
    </x:row>
    <x:row r="27" ht="33" customHeight="1">
      <x:c r="A27" s="8" t="str">
        <x:v>V7-Q0022</x:v>
      </x:c>
      <x:c r="B27" s="8" t="str">
        <x:v>Россия</x:v>
      </x:c>
      <x:c r="C27" s="8" t="str">
        <x:v>закупки</x:v>
      </x:c>
      <x:c r="D27" s="8" t="str">
        <x:v>как обучить менеджеров работе с конфликтными клиентами закупки Россия</x:v>
      </x:c>
      <x:c r="E27" s="8" t="str">
        <x:v>Шаблон — не запускался</x:v>
      </x:c>
    </x:row>
    <x:row r="28" ht="33" customHeight="1">
      <x:c r="A28" s="8" t="str">
        <x:v>V7-Q0023</x:v>
      </x:c>
      <x:c r="B28" s="8" t="str">
        <x:v>Россия</x:v>
      </x:c>
      <x:c r="C28" s="8" t="str">
        <x:v>закупки</x:v>
      </x:c>
      <x:c r="D28" s="8" t="str">
        <x:v>ищем методолога для базы знаний закупки Россия</x:v>
      </x:c>
      <x:c r="E28" s="8" t="str">
        <x:v>Шаблон — не запускался</x:v>
      </x:c>
    </x:row>
    <x:row r="29" ht="33" customHeight="1">
      <x:c r="A29" s="8" t="str">
        <x:v>V7-Q0024</x:v>
      </x:c>
      <x:c r="B29" s="8" t="str">
        <x:v>Россия</x:v>
      </x:c>
      <x:c r="C29" s="8" t="str">
        <x:v>закупки</x:v>
      </x:c>
      <x:c r="D29" s="8" t="str">
        <x:v>нужна программа развития кадрового резерва закупки Россия</x:v>
      </x:c>
      <x:c r="E29" s="8" t="str">
        <x:v>Шаблон — не запускался</x:v>
      </x:c>
    </x:row>
    <x:row r="30" ht="33" customHeight="1">
      <x:c r="A30" s="8" t="str">
        <x:v>V7-Q0025</x:v>
      </x:c>
      <x:c r="B30" s="8" t="str">
        <x:v>Россия</x:v>
      </x:c>
      <x:c r="C30" s="8" t="str">
        <x:v>финансовый директор</x:v>
      </x:c>
      <x:c r="D30" s="8" t="str">
        <x:v>посоветуйте тренера для команды финансовый директор Россия</x:v>
      </x:c>
      <x:c r="E30" s="8" t="str">
        <x:v>Шаблон — не запускался</x:v>
      </x:c>
    </x:row>
    <x:row r="31" ht="33" customHeight="1">
      <x:c r="A31" s="8" t="str">
        <x:v>V7-Q0026</x:v>
      </x:c>
      <x:c r="B31" s="8" t="str">
        <x:v>Россия</x:v>
      </x:c>
      <x:c r="C31" s="8" t="str">
        <x:v>финансовый директор</x:v>
      </x:c>
      <x:c r="D31" s="8" t="str">
        <x:v>кто поможет поставить работу руководителей финансовый директор Россия</x:v>
      </x:c>
      <x:c r="E31" s="8" t="str">
        <x:v>Шаблон — не запускался</x:v>
      </x:c>
    </x:row>
    <x:row r="32" ht="33" customHeight="1">
      <x:c r="A32" s="8" t="str">
        <x:v>V7-Q0027</x:v>
      </x:c>
      <x:c r="B32" s="8" t="str">
        <x:v>Россия</x:v>
      </x:c>
      <x:c r="C32" s="8" t="str">
        <x:v>финансовый директор</x:v>
      </x:c>
      <x:c r="D32" s="8" t="str">
        <x:v>ищем разработчика электронного курса финансовый директор Россия</x:v>
      </x:c>
      <x:c r="E32" s="8" t="str">
        <x:v>Шаблон — не запускался</x:v>
      </x:c>
    </x:row>
    <x:row r="33" ht="33" customHeight="1">
      <x:c r="A33" s="8" t="str">
        <x:v>V7-Q0028</x:v>
      </x:c>
      <x:c r="B33" s="8" t="str">
        <x:v>Россия</x:v>
      </x:c>
      <x:c r="C33" s="8" t="str">
        <x:v>финансовый директор</x:v>
      </x:c>
      <x:c r="D33" s="8" t="str">
        <x:v>нужен внешний эксперт для внутренней программы финансовый директор Россия</x:v>
      </x:c>
      <x:c r="E33" s="8" t="str">
        <x:v>Шаблон — не запускался</x:v>
      </x:c>
    </x:row>
    <x:row r="34" ht="33" customHeight="1">
      <x:c r="A34" s="8" t="str">
        <x:v>V7-Q0029</x:v>
      </x:c>
      <x:c r="B34" s="8" t="str">
        <x:v>Россия</x:v>
      </x:c>
      <x:c r="C34" s="8" t="str">
        <x:v>финансовый директор</x:v>
      </x:c>
      <x:c r="D34" s="8" t="str">
        <x:v>приглашаем образовательных провайдеров финансовый директор Россия</x:v>
      </x:c>
      <x:c r="E34" s="8" t="str">
        <x:v>Шаблон — не запускался</x:v>
      </x:c>
    </x:row>
    <x:row r="35" ht="33" customHeight="1">
      <x:c r="A35" s="8" t="str">
        <x:v>V7-Q0030</x:v>
      </x:c>
      <x:c r="B35" s="8" t="str">
        <x:v>Россия</x:v>
      </x:c>
      <x:c r="C35" s="8" t="str">
        <x:v>финансовый директор</x:v>
      </x:c>
      <x:c r="D35" s="8" t="str">
        <x:v>собираем предложения по обучению на следующий год финансовый директор Россия</x:v>
      </x:c>
      <x:c r="E35" s="8" t="str">
        <x:v>Шаблон — не запускался</x:v>
      </x:c>
    </x:row>
    <x:row r="36" ht="33" customHeight="1">
      <x:c r="A36" s="8" t="str">
        <x:v>V7-Q0031</x:v>
      </x:c>
      <x:c r="B36" s="8" t="str">
        <x:v>Россия</x:v>
      </x:c>
      <x:c r="C36" s="8" t="str">
        <x:v>финансовый директор</x:v>
      </x:c>
      <x:c r="D36" s="8" t="str">
        <x:v>кого пригласить на стратегическую сессию финансовый директор Россия</x:v>
      </x:c>
      <x:c r="E36" s="8" t="str">
        <x:v>Шаблон — не запускался</x:v>
      </x:c>
    </x:row>
    <x:row r="37" ht="33" customHeight="1">
      <x:c r="A37" s="8" t="str">
        <x:v>V7-Q0032</x:v>
      </x:c>
      <x:c r="B37" s="8" t="str">
        <x:v>Россия</x:v>
      </x:c>
      <x:c r="C37" s="8" t="str">
        <x:v>финансовый директор</x:v>
      </x:c>
      <x:c r="D37" s="8" t="str">
        <x:v>срочно заменить преподавателя финансовый директор Россия</x:v>
      </x:c>
      <x:c r="E37" s="8" t="str">
        <x:v>Шаблон — не запускался</x:v>
      </x:c>
    </x:row>
    <x:row r="38" ht="33" customHeight="1">
      <x:c r="A38" s="8" t="str">
        <x:v>V7-Q0033</x:v>
      </x:c>
      <x:c r="B38" s="8" t="str">
        <x:v>Россия</x:v>
      </x:c>
      <x:c r="C38" s="8" t="str">
        <x:v>финансовый директор</x:v>
      </x:c>
      <x:c r="D38" s="8" t="str">
        <x:v>запускаем филиал нужна адаптация сотрудников финансовый директор Россия</x:v>
      </x:c>
      <x:c r="E38" s="8" t="str">
        <x:v>Шаблон — не запускался</x:v>
      </x:c>
    </x:row>
    <x:row r="39" ht="33" customHeight="1">
      <x:c r="A39" s="8" t="str">
        <x:v>V7-Q0034</x:v>
      </x:c>
      <x:c r="B39" s="8" t="str">
        <x:v>Россия</x:v>
      </x:c>
      <x:c r="C39" s="8" t="str">
        <x:v>финансовый директор</x:v>
      </x:c>
      <x:c r="D39" s="8" t="str">
        <x:v>как обучить менеджеров работе с конфликтными клиентами финансовый директор Россия</x:v>
      </x:c>
      <x:c r="E39" s="8" t="str">
        <x:v>Шаблон — не запускался</x:v>
      </x:c>
    </x:row>
    <x:row r="40" ht="33" customHeight="1">
      <x:c r="A40" s="8" t="str">
        <x:v>V7-Q0035</x:v>
      </x:c>
      <x:c r="B40" s="8" t="str">
        <x:v>Россия</x:v>
      </x:c>
      <x:c r="C40" s="8" t="str">
        <x:v>финансовый директор</x:v>
      </x:c>
      <x:c r="D40" s="8" t="str">
        <x:v>ищем методолога для базы знаний финансовый директор Россия</x:v>
      </x:c>
      <x:c r="E40" s="8" t="str">
        <x:v>Шаблон — не запускался</x:v>
      </x:c>
    </x:row>
    <x:row r="41" ht="33" customHeight="1">
      <x:c r="A41" s="8" t="str">
        <x:v>V7-Q0036</x:v>
      </x:c>
      <x:c r="B41" s="8" t="str">
        <x:v>Россия</x:v>
      </x:c>
      <x:c r="C41" s="8" t="str">
        <x:v>финансовый директор</x:v>
      </x:c>
      <x:c r="D41" s="8" t="str">
        <x:v>нужна программа развития кадрового резерва финансовый директор Россия</x:v>
      </x:c>
      <x:c r="E41" s="8" t="str">
        <x:v>Шаблон — не запускался</x:v>
      </x:c>
    </x:row>
    <x:row r="42" ht="33" customHeight="1">
      <x:c r="A42" s="8" t="str">
        <x:v>V7-Q0037</x:v>
      </x:c>
      <x:c r="B42" s="8" t="str">
        <x:v>Россия</x:v>
      </x:c>
      <x:c r="C42" s="8" t="str">
        <x:v>директор по продажам</x:v>
      </x:c>
      <x:c r="D42" s="8" t="str">
        <x:v>посоветуйте тренера для команды директор по продажам Россия</x:v>
      </x:c>
      <x:c r="E42" s="8" t="str">
        <x:v>Шаблон — не запускался</x:v>
      </x:c>
    </x:row>
    <x:row r="43" ht="33" customHeight="1">
      <x:c r="A43" s="8" t="str">
        <x:v>V7-Q0038</x:v>
      </x:c>
      <x:c r="B43" s="8" t="str">
        <x:v>Россия</x:v>
      </x:c>
      <x:c r="C43" s="8" t="str">
        <x:v>директор по продажам</x:v>
      </x:c>
      <x:c r="D43" s="8" t="str">
        <x:v>кто поможет поставить работу руководителей директор по продажам Россия</x:v>
      </x:c>
      <x:c r="E43" s="8" t="str">
        <x:v>Шаблон — не запускался</x:v>
      </x:c>
    </x:row>
    <x:row r="44" ht="33" customHeight="1">
      <x:c r="A44" s="8" t="str">
        <x:v>V7-Q0039</x:v>
      </x:c>
      <x:c r="B44" s="8" t="str">
        <x:v>Россия</x:v>
      </x:c>
      <x:c r="C44" s="8" t="str">
        <x:v>директор по продажам</x:v>
      </x:c>
      <x:c r="D44" s="8" t="str">
        <x:v>ищем разработчика электронного курса директор по продажам Россия</x:v>
      </x:c>
      <x:c r="E44" s="8" t="str">
        <x:v>Шаблон — не запускался</x:v>
      </x:c>
    </x:row>
    <x:row r="45" ht="33" customHeight="1">
      <x:c r="A45" s="8" t="str">
        <x:v>V7-Q0040</x:v>
      </x:c>
      <x:c r="B45" s="8" t="str">
        <x:v>Россия</x:v>
      </x:c>
      <x:c r="C45" s="8" t="str">
        <x:v>директор по продажам</x:v>
      </x:c>
      <x:c r="D45" s="8" t="str">
        <x:v>нужен внешний эксперт для внутренней программы директор по продажам Россия</x:v>
      </x:c>
      <x:c r="E45" s="8" t="str">
        <x:v>Шаблон — не запускался</x:v>
      </x:c>
    </x:row>
    <x:row r="46" ht="33" customHeight="1">
      <x:c r="A46" s="8" t="str">
        <x:v>V7-Q0041</x:v>
      </x:c>
      <x:c r="B46" s="8" t="str">
        <x:v>Россия</x:v>
      </x:c>
      <x:c r="C46" s="8" t="str">
        <x:v>директор по продажам</x:v>
      </x:c>
      <x:c r="D46" s="8" t="str">
        <x:v>приглашаем образовательных провайдеров директор по продажам Россия</x:v>
      </x:c>
      <x:c r="E46" s="8" t="str">
        <x:v>Шаблон — не запускался</x:v>
      </x:c>
    </x:row>
    <x:row r="47" ht="33" customHeight="1">
      <x:c r="A47" s="8" t="str">
        <x:v>V7-Q0042</x:v>
      </x:c>
      <x:c r="B47" s="8" t="str">
        <x:v>Россия</x:v>
      </x:c>
      <x:c r="C47" s="8" t="str">
        <x:v>директор по продажам</x:v>
      </x:c>
      <x:c r="D47" s="8" t="str">
        <x:v>собираем предложения по обучению на следующий год директор по продажам Россия</x:v>
      </x:c>
      <x:c r="E47" s="8" t="str">
        <x:v>Шаблон — не запускался</x:v>
      </x:c>
    </x:row>
    <x:row r="48" ht="33" customHeight="1">
      <x:c r="A48" s="8" t="str">
        <x:v>V7-Q0043</x:v>
      </x:c>
      <x:c r="B48" s="8" t="str">
        <x:v>Россия</x:v>
      </x:c>
      <x:c r="C48" s="8" t="str">
        <x:v>директор по продажам</x:v>
      </x:c>
      <x:c r="D48" s="8" t="str">
        <x:v>кого пригласить на стратегическую сессию директор по продажам Россия</x:v>
      </x:c>
      <x:c r="E48" s="8" t="str">
        <x:v>Шаблон — не запускался</x:v>
      </x:c>
    </x:row>
    <x:row r="49" ht="33" customHeight="1">
      <x:c r="A49" s="8" t="str">
        <x:v>V7-Q0044</x:v>
      </x:c>
      <x:c r="B49" s="8" t="str">
        <x:v>Россия</x:v>
      </x:c>
      <x:c r="C49" s="8" t="str">
        <x:v>директор по продажам</x:v>
      </x:c>
      <x:c r="D49" s="8" t="str">
        <x:v>срочно заменить преподавателя директор по продажам Россия</x:v>
      </x:c>
      <x:c r="E49" s="8" t="str">
        <x:v>Шаблон — не запускался</x:v>
      </x:c>
    </x:row>
    <x:row r="50" ht="33" customHeight="1">
      <x:c r="A50" s="8" t="str">
        <x:v>V7-Q0045</x:v>
      </x:c>
      <x:c r="B50" s="8" t="str">
        <x:v>Россия</x:v>
      </x:c>
      <x:c r="C50" s="8" t="str">
        <x:v>директор по продажам</x:v>
      </x:c>
      <x:c r="D50" s="8" t="str">
        <x:v>запускаем филиал нужна адаптация сотрудников директор по продажам Россия</x:v>
      </x:c>
      <x:c r="E50" s="8" t="str">
        <x:v>Шаблон — не запускался</x:v>
      </x:c>
    </x:row>
    <x:row r="51" ht="33" customHeight="1">
      <x:c r="A51" s="8" t="str">
        <x:v>V7-Q0046</x:v>
      </x:c>
      <x:c r="B51" s="8" t="str">
        <x:v>Россия</x:v>
      </x:c>
      <x:c r="C51" s="8" t="str">
        <x:v>директор по продажам</x:v>
      </x:c>
      <x:c r="D51" s="8" t="str">
        <x:v>как обучить менеджеров работе с конфликтными клиентами директор по продажам Россия</x:v>
      </x:c>
      <x:c r="E51" s="8" t="str">
        <x:v>Шаблон — не запускался</x:v>
      </x:c>
    </x:row>
    <x:row r="52" ht="33" customHeight="1">
      <x:c r="A52" s="8" t="str">
        <x:v>V7-Q0047</x:v>
      </x:c>
      <x:c r="B52" s="8" t="str">
        <x:v>Россия</x:v>
      </x:c>
      <x:c r="C52" s="8" t="str">
        <x:v>директор по продажам</x:v>
      </x:c>
      <x:c r="D52" s="8" t="str">
        <x:v>ищем методолога для базы знаний директор по продажам Россия</x:v>
      </x:c>
      <x:c r="E52" s="8" t="str">
        <x:v>Шаблон — не запускался</x:v>
      </x:c>
    </x:row>
    <x:row r="53" ht="33" customHeight="1">
      <x:c r="A53" s="8" t="str">
        <x:v>V7-Q0048</x:v>
      </x:c>
      <x:c r="B53" s="8" t="str">
        <x:v>Россия</x:v>
      </x:c>
      <x:c r="C53" s="8" t="str">
        <x:v>директор по продажам</x:v>
      </x:c>
      <x:c r="D53" s="8" t="str">
        <x:v>нужна программа развития кадрового резерва директор по продажам Россия</x:v>
      </x:c>
      <x:c r="E53" s="8" t="str">
        <x:v>Шаблон — не запускался</x:v>
      </x:c>
    </x:row>
    <x:row r="54" ht="33" customHeight="1">
      <x:c r="A54" s="8" t="str">
        <x:v>V7-Q0049</x:v>
      </x:c>
      <x:c r="B54" s="8" t="str">
        <x:v>Россия</x:v>
      </x:c>
      <x:c r="C54" s="8" t="str">
        <x:v>руководитель качества</x:v>
      </x:c>
      <x:c r="D54" s="8" t="str">
        <x:v>посоветуйте тренера для команды руководитель качества Россия</x:v>
      </x:c>
      <x:c r="E54" s="8" t="str">
        <x:v>Шаблон — не запускался</x:v>
      </x:c>
    </x:row>
    <x:row r="55" ht="33" customHeight="1">
      <x:c r="A55" s="8" t="str">
        <x:v>V7-Q0050</x:v>
      </x:c>
      <x:c r="B55" s="8" t="str">
        <x:v>Россия</x:v>
      </x:c>
      <x:c r="C55" s="8" t="str">
        <x:v>руководитель качества</x:v>
      </x:c>
      <x:c r="D55" s="8" t="str">
        <x:v>кто поможет поставить работу руководителей руководитель качества Россия</x:v>
      </x:c>
      <x:c r="E55" s="8" t="str">
        <x:v>Шаблон — не запускался</x:v>
      </x:c>
    </x:row>
    <x:row r="56" ht="33" customHeight="1">
      <x:c r="A56" s="8" t="str">
        <x:v>V7-Q0051</x:v>
      </x:c>
      <x:c r="B56" s="8" t="str">
        <x:v>Россия</x:v>
      </x:c>
      <x:c r="C56" s="8" t="str">
        <x:v>руководитель качества</x:v>
      </x:c>
      <x:c r="D56" s="8" t="str">
        <x:v>ищем разработчика электронного курса руководитель качества Россия</x:v>
      </x:c>
      <x:c r="E56" s="8" t="str">
        <x:v>Шаблон — не запускался</x:v>
      </x:c>
    </x:row>
    <x:row r="57" ht="33" customHeight="1">
      <x:c r="A57" s="8" t="str">
        <x:v>V7-Q0052</x:v>
      </x:c>
      <x:c r="B57" s="8" t="str">
        <x:v>Россия</x:v>
      </x:c>
      <x:c r="C57" s="8" t="str">
        <x:v>руководитель качества</x:v>
      </x:c>
      <x:c r="D57" s="8" t="str">
        <x:v>нужен внешний эксперт для внутренней программы руководитель качества Россия</x:v>
      </x:c>
      <x:c r="E57" s="8" t="str">
        <x:v>Шаблон — не запускался</x:v>
      </x:c>
    </x:row>
    <x:row r="58" ht="33" customHeight="1">
      <x:c r="A58" s="8" t="str">
        <x:v>V7-Q0053</x:v>
      </x:c>
      <x:c r="B58" s="8" t="str">
        <x:v>Россия</x:v>
      </x:c>
      <x:c r="C58" s="8" t="str">
        <x:v>руководитель качества</x:v>
      </x:c>
      <x:c r="D58" s="8" t="str">
        <x:v>приглашаем образовательных провайдеров руководитель качества Россия</x:v>
      </x:c>
      <x:c r="E58" s="8" t="str">
        <x:v>Шаблон — не запускался</x:v>
      </x:c>
    </x:row>
    <x:row r="59" ht="33" customHeight="1">
      <x:c r="A59" s="8" t="str">
        <x:v>V7-Q0054</x:v>
      </x:c>
      <x:c r="B59" s="8" t="str">
        <x:v>Россия</x:v>
      </x:c>
      <x:c r="C59" s="8" t="str">
        <x:v>руководитель качества</x:v>
      </x:c>
      <x:c r="D59" s="8" t="str">
        <x:v>собираем предложения по обучению на следующий год руководитель качества Россия</x:v>
      </x:c>
      <x:c r="E59" s="8" t="str">
        <x:v>Шаблон — не запускался</x:v>
      </x:c>
    </x:row>
    <x:row r="60" ht="33" customHeight="1">
      <x:c r="A60" s="8" t="str">
        <x:v>V7-Q0055</x:v>
      </x:c>
      <x:c r="B60" s="8" t="str">
        <x:v>Россия</x:v>
      </x:c>
      <x:c r="C60" s="8" t="str">
        <x:v>руководитель качества</x:v>
      </x:c>
      <x:c r="D60" s="8" t="str">
        <x:v>кого пригласить на стратегическую сессию руководитель качества Россия</x:v>
      </x:c>
      <x:c r="E60" s="8" t="str">
        <x:v>Шаблон — не запускался</x:v>
      </x:c>
    </x:row>
    <x:row r="61" ht="33" customHeight="1">
      <x:c r="A61" s="8" t="str">
        <x:v>V7-Q0056</x:v>
      </x:c>
      <x:c r="B61" s="8" t="str">
        <x:v>Россия</x:v>
      </x:c>
      <x:c r="C61" s="8" t="str">
        <x:v>руководитель качества</x:v>
      </x:c>
      <x:c r="D61" s="8" t="str">
        <x:v>срочно заменить преподавателя руководитель качества Россия</x:v>
      </x:c>
      <x:c r="E61" s="8" t="str">
        <x:v>Шаблон — не запускался</x:v>
      </x:c>
    </x:row>
    <x:row r="62" ht="33" customHeight="1">
      <x:c r="A62" s="8" t="str">
        <x:v>V7-Q0057</x:v>
      </x:c>
      <x:c r="B62" s="8" t="str">
        <x:v>Россия</x:v>
      </x:c>
      <x:c r="C62" s="8" t="str">
        <x:v>руководитель качества</x:v>
      </x:c>
      <x:c r="D62" s="8" t="str">
        <x:v>запускаем филиал нужна адаптация сотрудников руководитель качества Россия</x:v>
      </x:c>
      <x:c r="E62" s="8" t="str">
        <x:v>Шаблон — не запускался</x:v>
      </x:c>
    </x:row>
    <x:row r="63" ht="33" customHeight="1">
      <x:c r="A63" s="8" t="str">
        <x:v>V7-Q0058</x:v>
      </x:c>
      <x:c r="B63" s="8" t="str">
        <x:v>Россия</x:v>
      </x:c>
      <x:c r="C63" s="8" t="str">
        <x:v>руководитель качества</x:v>
      </x:c>
      <x:c r="D63" s="8" t="str">
        <x:v>как обучить менеджеров работе с конфликтными клиентами руководитель качества Россия</x:v>
      </x:c>
      <x:c r="E63" s="8" t="str">
        <x:v>Шаблон — не запускался</x:v>
      </x:c>
    </x:row>
    <x:row r="64" ht="33" customHeight="1">
      <x:c r="A64" s="8" t="str">
        <x:v>V7-Q0059</x:v>
      </x:c>
      <x:c r="B64" s="8" t="str">
        <x:v>Россия</x:v>
      </x:c>
      <x:c r="C64" s="8" t="str">
        <x:v>руководитель качества</x:v>
      </x:c>
      <x:c r="D64" s="8" t="str">
        <x:v>ищем методолога для базы знаний руководитель качества Россия</x:v>
      </x:c>
      <x:c r="E64" s="8" t="str">
        <x:v>Шаблон — не запускался</x:v>
      </x:c>
    </x:row>
    <x:row r="65" ht="33" customHeight="1">
      <x:c r="A65" s="8" t="str">
        <x:v>V7-Q0060</x:v>
      </x:c>
      <x:c r="B65" s="8" t="str">
        <x:v>Россия</x:v>
      </x:c>
      <x:c r="C65" s="8" t="str">
        <x:v>руководитель качества</x:v>
      </x:c>
      <x:c r="D65" s="8" t="str">
        <x:v>нужна программа развития кадрового резерва руководитель качества Россия</x:v>
      </x:c>
      <x:c r="E65" s="8" t="str">
        <x:v>Шаблон — не запускался</x:v>
      </x:c>
    </x:row>
    <x:row r="66" ht="33" customHeight="1">
      <x:c r="A66" s="8" t="str">
        <x:v>V7-Q0061</x:v>
      </x:c>
      <x:c r="B66" s="8" t="str">
        <x:v>Россия</x:v>
      </x:c>
      <x:c r="C66" s="8" t="str">
        <x:v>руководитель проектов</x:v>
      </x:c>
      <x:c r="D66" s="8" t="str">
        <x:v>посоветуйте тренера для команды руководитель проектов Россия</x:v>
      </x:c>
      <x:c r="E66" s="8" t="str">
        <x:v>Шаблон — не запускался</x:v>
      </x:c>
    </x:row>
    <x:row r="67" ht="33" customHeight="1">
      <x:c r="A67" s="8" t="str">
        <x:v>V7-Q0062</x:v>
      </x:c>
      <x:c r="B67" s="8" t="str">
        <x:v>Россия</x:v>
      </x:c>
      <x:c r="C67" s="8" t="str">
        <x:v>руководитель проектов</x:v>
      </x:c>
      <x:c r="D67" s="8" t="str">
        <x:v>кто поможет поставить работу руководителей руководитель проектов Россия</x:v>
      </x:c>
      <x:c r="E67" s="8" t="str">
        <x:v>Шаблон — не запускался</x:v>
      </x:c>
    </x:row>
    <x:row r="68" ht="33" customHeight="1">
      <x:c r="A68" s="8" t="str">
        <x:v>V7-Q0063</x:v>
      </x:c>
      <x:c r="B68" s="8" t="str">
        <x:v>Россия</x:v>
      </x:c>
      <x:c r="C68" s="8" t="str">
        <x:v>руководитель проектов</x:v>
      </x:c>
      <x:c r="D68" s="8" t="str">
        <x:v>ищем разработчика электронного курса руководитель проектов Россия</x:v>
      </x:c>
      <x:c r="E68" s="8" t="str">
        <x:v>Шаблон — не запускался</x:v>
      </x:c>
    </x:row>
    <x:row r="69" ht="33" customHeight="1">
      <x:c r="A69" s="8" t="str">
        <x:v>V7-Q0064</x:v>
      </x:c>
      <x:c r="B69" s="8" t="str">
        <x:v>Россия</x:v>
      </x:c>
      <x:c r="C69" s="8" t="str">
        <x:v>руководитель проектов</x:v>
      </x:c>
      <x:c r="D69" s="8" t="str">
        <x:v>нужен внешний эксперт для внутренней программы руководитель проектов Россия</x:v>
      </x:c>
      <x:c r="E69" s="8" t="str">
        <x:v>Шаблон — не запускался</x:v>
      </x:c>
    </x:row>
    <x:row r="70" ht="33" customHeight="1">
      <x:c r="A70" s="8" t="str">
        <x:v>V7-Q0065</x:v>
      </x:c>
      <x:c r="B70" s="8" t="str">
        <x:v>Россия</x:v>
      </x:c>
      <x:c r="C70" s="8" t="str">
        <x:v>руководитель проектов</x:v>
      </x:c>
      <x:c r="D70" s="8" t="str">
        <x:v>приглашаем образовательных провайдеров руководитель проектов Россия</x:v>
      </x:c>
      <x:c r="E70" s="8" t="str">
        <x:v>Шаблон — не запускался</x:v>
      </x:c>
    </x:row>
    <x:row r="71" ht="33" customHeight="1">
      <x:c r="A71" s="8" t="str">
        <x:v>V7-Q0066</x:v>
      </x:c>
      <x:c r="B71" s="8" t="str">
        <x:v>Россия</x:v>
      </x:c>
      <x:c r="C71" s="8" t="str">
        <x:v>руководитель проектов</x:v>
      </x:c>
      <x:c r="D71" s="8" t="str">
        <x:v>собираем предложения по обучению на следующий год руководитель проектов Россия</x:v>
      </x:c>
      <x:c r="E71" s="8" t="str">
        <x:v>Шаблон — не запускался</x:v>
      </x:c>
    </x:row>
    <x:row r="72" ht="33" customHeight="1">
      <x:c r="A72" s="8" t="str">
        <x:v>V7-Q0067</x:v>
      </x:c>
      <x:c r="B72" s="8" t="str">
        <x:v>Россия</x:v>
      </x:c>
      <x:c r="C72" s="8" t="str">
        <x:v>руководитель проектов</x:v>
      </x:c>
      <x:c r="D72" s="8" t="str">
        <x:v>кого пригласить на стратегическую сессию руководитель проектов Россия</x:v>
      </x:c>
      <x:c r="E72" s="8" t="str">
        <x:v>Шаблон — не запускался</x:v>
      </x:c>
    </x:row>
    <x:row r="73" ht="33" customHeight="1">
      <x:c r="A73" s="8" t="str">
        <x:v>V7-Q0068</x:v>
      </x:c>
      <x:c r="B73" s="8" t="str">
        <x:v>Россия</x:v>
      </x:c>
      <x:c r="C73" s="8" t="str">
        <x:v>руководитель проектов</x:v>
      </x:c>
      <x:c r="D73" s="8" t="str">
        <x:v>срочно заменить преподавателя руководитель проектов Россия</x:v>
      </x:c>
      <x:c r="E73" s="8" t="str">
        <x:v>Шаблон — не запускался</x:v>
      </x:c>
    </x:row>
    <x:row r="74" ht="33" customHeight="1">
      <x:c r="A74" s="8" t="str">
        <x:v>V7-Q0069</x:v>
      </x:c>
      <x:c r="B74" s="8" t="str">
        <x:v>Россия</x:v>
      </x:c>
      <x:c r="C74" s="8" t="str">
        <x:v>руководитель проектов</x:v>
      </x:c>
      <x:c r="D74" s="8" t="str">
        <x:v>запускаем филиал нужна адаптация сотрудников руководитель проектов Россия</x:v>
      </x:c>
      <x:c r="E74" s="8" t="str">
        <x:v>Шаблон — не запускался</x:v>
      </x:c>
    </x:row>
    <x:row r="75" ht="33" customHeight="1">
      <x:c r="A75" s="8" t="str">
        <x:v>V7-Q0070</x:v>
      </x:c>
      <x:c r="B75" s="8" t="str">
        <x:v>Россия</x:v>
      </x:c>
      <x:c r="C75" s="8" t="str">
        <x:v>руководитель проектов</x:v>
      </x:c>
      <x:c r="D75" s="8" t="str">
        <x:v>как обучить менеджеров работе с конфликтными клиентами руководитель проектов Россия</x:v>
      </x:c>
      <x:c r="E75" s="8" t="str">
        <x:v>Шаблон — не запускался</x:v>
      </x:c>
    </x:row>
    <x:row r="76" ht="33" customHeight="1">
      <x:c r="A76" s="8" t="str">
        <x:v>V7-Q0071</x:v>
      </x:c>
      <x:c r="B76" s="8" t="str">
        <x:v>Россия</x:v>
      </x:c>
      <x:c r="C76" s="8" t="str">
        <x:v>руководитель проектов</x:v>
      </x:c>
      <x:c r="D76" s="8" t="str">
        <x:v>ищем методолога для базы знаний руководитель проектов Россия</x:v>
      </x:c>
      <x:c r="E76" s="8" t="str">
        <x:v>Шаблон — не запускался</x:v>
      </x:c>
    </x:row>
    <x:row r="77" ht="33" customHeight="1">
      <x:c r="A77" s="8" t="str">
        <x:v>V7-Q0072</x:v>
      </x:c>
      <x:c r="B77" s="8" t="str">
        <x:v>Россия</x:v>
      </x:c>
      <x:c r="C77" s="8" t="str">
        <x:v>руководитель проектов</x:v>
      </x:c>
      <x:c r="D77" s="8" t="str">
        <x:v>нужна программа развития кадрового резерва руководитель проектов Россия</x:v>
      </x:c>
      <x:c r="E77" s="8" t="str">
        <x:v>Шаблон — не запускался</x:v>
      </x:c>
    </x:row>
    <x:row r="78" ht="33" customHeight="1">
      <x:c r="A78" s="8" t="str">
        <x:v>V7-Q0073</x:v>
      </x:c>
      <x:c r="B78" s="8" t="str">
        <x:v>Россия</x:v>
      </x:c>
      <x:c r="C78" s="8" t="str">
        <x:v>корпоративный университет</x:v>
      </x:c>
      <x:c r="D78" s="8" t="str">
        <x:v>посоветуйте тренера для команды корпоративный университет Россия</x:v>
      </x:c>
      <x:c r="E78" s="8" t="str">
        <x:v>Шаблон — не запускался</x:v>
      </x:c>
    </x:row>
    <x:row r="79" ht="33" customHeight="1">
      <x:c r="A79" s="8" t="str">
        <x:v>V7-Q0074</x:v>
      </x:c>
      <x:c r="B79" s="8" t="str">
        <x:v>Россия</x:v>
      </x:c>
      <x:c r="C79" s="8" t="str">
        <x:v>корпоративный университет</x:v>
      </x:c>
      <x:c r="D79" s="8" t="str">
        <x:v>кто поможет поставить работу руководителей корпоративный университет Россия</x:v>
      </x:c>
      <x:c r="E79" s="8" t="str">
        <x:v>Шаблон — не запускался</x:v>
      </x:c>
    </x:row>
    <x:row r="80" ht="33" customHeight="1">
      <x:c r="A80" s="8" t="str">
        <x:v>V7-Q0075</x:v>
      </x:c>
      <x:c r="B80" s="8" t="str">
        <x:v>Россия</x:v>
      </x:c>
      <x:c r="C80" s="8" t="str">
        <x:v>корпоративный университет</x:v>
      </x:c>
      <x:c r="D80" s="8" t="str">
        <x:v>ищем разработчика электронного курса корпоративный университет Россия</x:v>
      </x:c>
      <x:c r="E80" s="8" t="str">
        <x:v>Шаблон — не запускался</x:v>
      </x:c>
    </x:row>
    <x:row r="81" ht="33" customHeight="1">
      <x:c r="A81" s="8" t="str">
        <x:v>V7-Q0076</x:v>
      </x:c>
      <x:c r="B81" s="8" t="str">
        <x:v>Россия</x:v>
      </x:c>
      <x:c r="C81" s="8" t="str">
        <x:v>корпоративный университет</x:v>
      </x:c>
      <x:c r="D81" s="8" t="str">
        <x:v>нужен внешний эксперт для внутренней программы корпоративный университет Россия</x:v>
      </x:c>
      <x:c r="E81" s="8" t="str">
        <x:v>Шаблон — не запускался</x:v>
      </x:c>
    </x:row>
    <x:row r="82" ht="33" customHeight="1">
      <x:c r="A82" s="8" t="str">
        <x:v>V7-Q0077</x:v>
      </x:c>
      <x:c r="B82" s="8" t="str">
        <x:v>Россия</x:v>
      </x:c>
      <x:c r="C82" s="8" t="str">
        <x:v>корпоративный университет</x:v>
      </x:c>
      <x:c r="D82" s="8" t="str">
        <x:v>приглашаем образовательных провайдеров корпоративный университет Россия</x:v>
      </x:c>
      <x:c r="E82" s="8" t="str">
        <x:v>Шаблон — не запускался</x:v>
      </x:c>
    </x:row>
    <x:row r="83" ht="33" customHeight="1">
      <x:c r="A83" s="8" t="str">
        <x:v>V7-Q0078</x:v>
      </x:c>
      <x:c r="B83" s="8" t="str">
        <x:v>Россия</x:v>
      </x:c>
      <x:c r="C83" s="8" t="str">
        <x:v>корпоративный университет</x:v>
      </x:c>
      <x:c r="D83" s="8" t="str">
        <x:v>собираем предложения по обучению на следующий год корпоративный университет Россия</x:v>
      </x:c>
      <x:c r="E83" s="8" t="str">
        <x:v>Шаблон — не запускался</x:v>
      </x:c>
    </x:row>
    <x:row r="84" ht="33" customHeight="1">
      <x:c r="A84" s="8" t="str">
        <x:v>V7-Q0079</x:v>
      </x:c>
      <x:c r="B84" s="8" t="str">
        <x:v>Россия</x:v>
      </x:c>
      <x:c r="C84" s="8" t="str">
        <x:v>корпоративный университет</x:v>
      </x:c>
      <x:c r="D84" s="8" t="str">
        <x:v>кого пригласить на стратегическую сессию корпоративный университет Россия</x:v>
      </x:c>
      <x:c r="E84" s="8" t="str">
        <x:v>Шаблон — не запускался</x:v>
      </x:c>
    </x:row>
    <x:row r="85" ht="33" customHeight="1">
      <x:c r="A85" s="8" t="str">
        <x:v>V7-Q0080</x:v>
      </x:c>
      <x:c r="B85" s="8" t="str">
        <x:v>Россия</x:v>
      </x:c>
      <x:c r="C85" s="8" t="str">
        <x:v>корпоративный университет</x:v>
      </x:c>
      <x:c r="D85" s="8" t="str">
        <x:v>срочно заменить преподавателя корпоративный университет Россия</x:v>
      </x:c>
      <x:c r="E85" s="8" t="str">
        <x:v>Шаблон — не запускался</x:v>
      </x:c>
    </x:row>
    <x:row r="86" ht="33" customHeight="1">
      <x:c r="A86" s="8" t="str">
        <x:v>V7-Q0081</x:v>
      </x:c>
      <x:c r="B86" s="8" t="str">
        <x:v>Россия</x:v>
      </x:c>
      <x:c r="C86" s="8" t="str">
        <x:v>корпоративный университет</x:v>
      </x:c>
      <x:c r="D86" s="8" t="str">
        <x:v>запускаем филиал нужна адаптация сотрудников корпоративный университет Россия</x:v>
      </x:c>
      <x:c r="E86" s="8" t="str">
        <x:v>Шаблон — не запускался</x:v>
      </x:c>
    </x:row>
    <x:row r="87" ht="33" customHeight="1">
      <x:c r="A87" s="8" t="str">
        <x:v>V7-Q0082</x:v>
      </x:c>
      <x:c r="B87" s="8" t="str">
        <x:v>Россия</x:v>
      </x:c>
      <x:c r="C87" s="8" t="str">
        <x:v>корпоративный университет</x:v>
      </x:c>
      <x:c r="D87" s="8" t="str">
        <x:v>как обучить менеджеров работе с конфликтными клиентами корпоративный университет Россия</x:v>
      </x:c>
      <x:c r="E87" s="8" t="str">
        <x:v>Шаблон — не запускался</x:v>
      </x:c>
    </x:row>
    <x:row r="88" ht="33" customHeight="1">
      <x:c r="A88" s="8" t="str">
        <x:v>V7-Q0083</x:v>
      </x:c>
      <x:c r="B88" s="8" t="str">
        <x:v>Россия</x:v>
      </x:c>
      <x:c r="C88" s="8" t="str">
        <x:v>корпоративный университет</x:v>
      </x:c>
      <x:c r="D88" s="8" t="str">
        <x:v>ищем методолога для базы знаний корпоративный университет Россия</x:v>
      </x:c>
      <x:c r="E88" s="8" t="str">
        <x:v>Шаблон — не запускался</x:v>
      </x:c>
    </x:row>
    <x:row r="89" ht="33" customHeight="1">
      <x:c r="A89" s="8" t="str">
        <x:v>V7-Q0084</x:v>
      </x:c>
      <x:c r="B89" s="8" t="str">
        <x:v>Россия</x:v>
      </x:c>
      <x:c r="C89" s="8" t="str">
        <x:v>корпоративный университет</x:v>
      </x:c>
      <x:c r="D89" s="8" t="str">
        <x:v>нужна программа развития кадрового резерва корпоративный университет Россия</x:v>
      </x:c>
      <x:c r="E89" s="8" t="str">
        <x:v>Шаблон — не запускался</x:v>
      </x:c>
    </x:row>
    <x:row r="90" ht="33" customHeight="1">
      <x:c r="A90" s="8" t="str">
        <x:v>V7-Q0085</x:v>
      </x:c>
      <x:c r="B90" s="8" t="str">
        <x:v>Россия</x:v>
      </x:c>
      <x:c r="C90" s="8" t="str">
        <x:v>бизнес-клуб</x:v>
      </x:c>
      <x:c r="D90" s="8" t="str">
        <x:v>посоветуйте тренера для команды бизнес-клуб Россия</x:v>
      </x:c>
      <x:c r="E90" s="8" t="str">
        <x:v>Шаблон — не запускался</x:v>
      </x:c>
    </x:row>
    <x:row r="91" ht="33" customHeight="1">
      <x:c r="A91" s="8" t="str">
        <x:v>V7-Q0086</x:v>
      </x:c>
      <x:c r="B91" s="8" t="str">
        <x:v>Россия</x:v>
      </x:c>
      <x:c r="C91" s="8" t="str">
        <x:v>бизнес-клуб</x:v>
      </x:c>
      <x:c r="D91" s="8" t="str">
        <x:v>кто поможет поставить работу руководителей бизнес-клуб Россия</x:v>
      </x:c>
      <x:c r="E91" s="8" t="str">
        <x:v>Шаблон — не запускался</x:v>
      </x:c>
    </x:row>
    <x:row r="92" ht="33" customHeight="1">
      <x:c r="A92" s="8" t="str">
        <x:v>V7-Q0087</x:v>
      </x:c>
      <x:c r="B92" s="8" t="str">
        <x:v>Россия</x:v>
      </x:c>
      <x:c r="C92" s="8" t="str">
        <x:v>бизнес-клуб</x:v>
      </x:c>
      <x:c r="D92" s="8" t="str">
        <x:v>ищем разработчика электронного курса бизнес-клуб Россия</x:v>
      </x:c>
      <x:c r="E92" s="8" t="str">
        <x:v>Шаблон — не запускался</x:v>
      </x:c>
    </x:row>
    <x:row r="93" ht="33" customHeight="1">
      <x:c r="A93" s="8" t="str">
        <x:v>V7-Q0088</x:v>
      </x:c>
      <x:c r="B93" s="8" t="str">
        <x:v>Россия</x:v>
      </x:c>
      <x:c r="C93" s="8" t="str">
        <x:v>бизнес-клуб</x:v>
      </x:c>
      <x:c r="D93" s="8" t="str">
        <x:v>нужен внешний эксперт для внутренней программы бизнес-клуб Россия</x:v>
      </x:c>
      <x:c r="E93" s="8" t="str">
        <x:v>Шаблон — не запускался</x:v>
      </x:c>
    </x:row>
    <x:row r="94" ht="33" customHeight="1">
      <x:c r="A94" s="8" t="str">
        <x:v>V7-Q0089</x:v>
      </x:c>
      <x:c r="B94" s="8" t="str">
        <x:v>Россия</x:v>
      </x:c>
      <x:c r="C94" s="8" t="str">
        <x:v>бизнес-клуб</x:v>
      </x:c>
      <x:c r="D94" s="8" t="str">
        <x:v>приглашаем образовательных провайдеров бизнес-клуб Россия</x:v>
      </x:c>
      <x:c r="E94" s="8" t="str">
        <x:v>Шаблон — не запускался</x:v>
      </x:c>
    </x:row>
    <x:row r="95" ht="33" customHeight="1">
      <x:c r="A95" s="8" t="str">
        <x:v>V7-Q0090</x:v>
      </x:c>
      <x:c r="B95" s="8" t="str">
        <x:v>Россия</x:v>
      </x:c>
      <x:c r="C95" s="8" t="str">
        <x:v>бизнес-клуб</x:v>
      </x:c>
      <x:c r="D95" s="8" t="str">
        <x:v>собираем предложения по обучению на следующий год бизнес-клуб Россия</x:v>
      </x:c>
      <x:c r="E95" s="8" t="str">
        <x:v>Шаблон — не запускался</x:v>
      </x:c>
    </x:row>
    <x:row r="96" ht="33" customHeight="1">
      <x:c r="A96" s="8" t="str">
        <x:v>V7-Q0091</x:v>
      </x:c>
      <x:c r="B96" s="8" t="str">
        <x:v>Россия</x:v>
      </x:c>
      <x:c r="C96" s="8" t="str">
        <x:v>бизнес-клуб</x:v>
      </x:c>
      <x:c r="D96" s="8" t="str">
        <x:v>кого пригласить на стратегическую сессию бизнес-клуб Россия</x:v>
      </x:c>
      <x:c r="E96" s="8" t="str">
        <x:v>Шаблон — не запускался</x:v>
      </x:c>
    </x:row>
    <x:row r="97" ht="33" customHeight="1">
      <x:c r="A97" s="8" t="str">
        <x:v>V7-Q0092</x:v>
      </x:c>
      <x:c r="B97" s="8" t="str">
        <x:v>Россия</x:v>
      </x:c>
      <x:c r="C97" s="8" t="str">
        <x:v>бизнес-клуб</x:v>
      </x:c>
      <x:c r="D97" s="8" t="str">
        <x:v>срочно заменить преподавателя бизнес-клуб Россия</x:v>
      </x:c>
      <x:c r="E97" s="8" t="str">
        <x:v>Шаблон — не запускался</x:v>
      </x:c>
    </x:row>
    <x:row r="98" ht="33" customHeight="1">
      <x:c r="A98" s="8" t="str">
        <x:v>V7-Q0093</x:v>
      </x:c>
      <x:c r="B98" s="8" t="str">
        <x:v>Россия</x:v>
      </x:c>
      <x:c r="C98" s="8" t="str">
        <x:v>бизнес-клуб</x:v>
      </x:c>
      <x:c r="D98" s="8" t="str">
        <x:v>запускаем филиал нужна адаптация сотрудников бизнес-клуб Россия</x:v>
      </x:c>
      <x:c r="E98" s="8" t="str">
        <x:v>Шаблон — не запускался</x:v>
      </x:c>
    </x:row>
    <x:row r="99" ht="33" customHeight="1">
      <x:c r="A99" s="8" t="str">
        <x:v>V7-Q0094</x:v>
      </x:c>
      <x:c r="B99" s="8" t="str">
        <x:v>Россия</x:v>
      </x:c>
      <x:c r="C99" s="8" t="str">
        <x:v>бизнес-клуб</x:v>
      </x:c>
      <x:c r="D99" s="8" t="str">
        <x:v>как обучить менеджеров работе с конфликтными клиентами бизнес-клуб Россия</x:v>
      </x:c>
      <x:c r="E99" s="8" t="str">
        <x:v>Шаблон — не запускался</x:v>
      </x:c>
    </x:row>
    <x:row r="100" ht="33" customHeight="1">
      <x:c r="A100" s="8" t="str">
        <x:v>V7-Q0095</x:v>
      </x:c>
      <x:c r="B100" s="8" t="str">
        <x:v>Россия</x:v>
      </x:c>
      <x:c r="C100" s="8" t="str">
        <x:v>бизнес-клуб</x:v>
      </x:c>
      <x:c r="D100" s="8" t="str">
        <x:v>ищем методолога для базы знаний бизнес-клуб Россия</x:v>
      </x:c>
      <x:c r="E100" s="8" t="str">
        <x:v>Шаблон — не запускался</x:v>
      </x:c>
    </x:row>
    <x:row r="101" ht="33" customHeight="1">
      <x:c r="A101" s="8" t="str">
        <x:v>V7-Q0096</x:v>
      </x:c>
      <x:c r="B101" s="8" t="str">
        <x:v>Россия</x:v>
      </x:c>
      <x:c r="C101" s="8" t="str">
        <x:v>бизнес-клуб</x:v>
      </x:c>
      <x:c r="D101" s="8" t="str">
        <x:v>нужна программа развития кадрового резерва бизнес-клуб Россия</x:v>
      </x:c>
      <x:c r="E101" s="8" t="str">
        <x:v>Шаблон — не запускался</x:v>
      </x:c>
    </x:row>
    <x:row r="102" ht="33" customHeight="1">
      <x:c r="A102" s="8" t="str">
        <x:v>V7-Q0097</x:v>
      </x:c>
      <x:c r="B102" s="8" t="str">
        <x:v>Россия</x:v>
      </x:c>
      <x:c r="C102" s="8" t="str">
        <x:v>ассоциация</x:v>
      </x:c>
      <x:c r="D102" s="8" t="str">
        <x:v>посоветуйте тренера для команды ассоциация Россия</x:v>
      </x:c>
      <x:c r="E102" s="8" t="str">
        <x:v>Шаблон — не запускался</x:v>
      </x:c>
    </x:row>
    <x:row r="103" ht="33" customHeight="1">
      <x:c r="A103" s="8" t="str">
        <x:v>V7-Q0098</x:v>
      </x:c>
      <x:c r="B103" s="8" t="str">
        <x:v>Россия</x:v>
      </x:c>
      <x:c r="C103" s="8" t="str">
        <x:v>ассоциация</x:v>
      </x:c>
      <x:c r="D103" s="8" t="str">
        <x:v>кто поможет поставить работу руководителей ассоциация Россия</x:v>
      </x:c>
      <x:c r="E103" s="8" t="str">
        <x:v>Шаблон — не запускался</x:v>
      </x:c>
    </x:row>
    <x:row r="104" ht="33" customHeight="1">
      <x:c r="A104" s="8" t="str">
        <x:v>V7-Q0099</x:v>
      </x:c>
      <x:c r="B104" s="8" t="str">
        <x:v>Россия</x:v>
      </x:c>
      <x:c r="C104" s="8" t="str">
        <x:v>ассоциация</x:v>
      </x:c>
      <x:c r="D104" s="8" t="str">
        <x:v>ищем разработчика электронного курса ассоциация Россия</x:v>
      </x:c>
      <x:c r="E104" s="8" t="str">
        <x:v>Шаблон — не запускался</x:v>
      </x:c>
    </x:row>
    <x:row r="105" ht="33" customHeight="1">
      <x:c r="A105" s="8" t="str">
        <x:v>V7-Q0100</x:v>
      </x:c>
      <x:c r="B105" s="8" t="str">
        <x:v>Россия</x:v>
      </x:c>
      <x:c r="C105" s="8" t="str">
        <x:v>ассоциация</x:v>
      </x:c>
      <x:c r="D105" s="8" t="str">
        <x:v>нужен внешний эксперт для внутренней программы ассоциация Россия</x:v>
      </x:c>
      <x:c r="E105" s="8" t="str">
        <x:v>Шаблон — не запускался</x:v>
      </x:c>
    </x:row>
    <x:row r="106" ht="33" customHeight="1">
      <x:c r="A106" s="8" t="str">
        <x:v>V7-Q0101</x:v>
      </x:c>
      <x:c r="B106" s="8" t="str">
        <x:v>Россия</x:v>
      </x:c>
      <x:c r="C106" s="8" t="str">
        <x:v>ассоциация</x:v>
      </x:c>
      <x:c r="D106" s="8" t="str">
        <x:v>приглашаем образовательных провайдеров ассоциация Россия</x:v>
      </x:c>
      <x:c r="E106" s="8" t="str">
        <x:v>Шаблон — не запускался</x:v>
      </x:c>
    </x:row>
    <x:row r="107" ht="33" customHeight="1">
      <x:c r="A107" s="8" t="str">
        <x:v>V7-Q0102</x:v>
      </x:c>
      <x:c r="B107" s="8" t="str">
        <x:v>Россия</x:v>
      </x:c>
      <x:c r="C107" s="8" t="str">
        <x:v>ассоциация</x:v>
      </x:c>
      <x:c r="D107" s="8" t="str">
        <x:v>собираем предложения по обучению на следующий год ассоциация Россия</x:v>
      </x:c>
      <x:c r="E107" s="8" t="str">
        <x:v>Шаблон — не запускался</x:v>
      </x:c>
    </x:row>
    <x:row r="108" ht="33" customHeight="1">
      <x:c r="A108" s="8" t="str">
        <x:v>V7-Q0103</x:v>
      </x:c>
      <x:c r="B108" s="8" t="str">
        <x:v>Россия</x:v>
      </x:c>
      <x:c r="C108" s="8" t="str">
        <x:v>ассоциация</x:v>
      </x:c>
      <x:c r="D108" s="8" t="str">
        <x:v>кого пригласить на стратегическую сессию ассоциация Россия</x:v>
      </x:c>
      <x:c r="E108" s="8" t="str">
        <x:v>Шаблон — не запускался</x:v>
      </x:c>
    </x:row>
    <x:row r="109" ht="33" customHeight="1">
      <x:c r="A109" s="8" t="str">
        <x:v>V7-Q0104</x:v>
      </x:c>
      <x:c r="B109" s="8" t="str">
        <x:v>Россия</x:v>
      </x:c>
      <x:c r="C109" s="8" t="str">
        <x:v>ассоциация</x:v>
      </x:c>
      <x:c r="D109" s="8" t="str">
        <x:v>срочно заменить преподавателя ассоциация Россия</x:v>
      </x:c>
      <x:c r="E109" s="8" t="str">
        <x:v>Шаблон — не запускался</x:v>
      </x:c>
    </x:row>
    <x:row r="110" ht="33" customHeight="1">
      <x:c r="A110" s="8" t="str">
        <x:v>V7-Q0105</x:v>
      </x:c>
      <x:c r="B110" s="8" t="str">
        <x:v>Россия</x:v>
      </x:c>
      <x:c r="C110" s="8" t="str">
        <x:v>ассоциация</x:v>
      </x:c>
      <x:c r="D110" s="8" t="str">
        <x:v>запускаем филиал нужна адаптация сотрудников ассоциация Россия</x:v>
      </x:c>
      <x:c r="E110" s="8" t="str">
        <x:v>Шаблон — не запускался</x:v>
      </x:c>
    </x:row>
    <x:row r="111" ht="33" customHeight="1">
      <x:c r="A111" s="8" t="str">
        <x:v>V7-Q0106</x:v>
      </x:c>
      <x:c r="B111" s="8" t="str">
        <x:v>Россия</x:v>
      </x:c>
      <x:c r="C111" s="8" t="str">
        <x:v>ассоциация</x:v>
      </x:c>
      <x:c r="D111" s="8" t="str">
        <x:v>как обучить менеджеров работе с конфликтными клиентами ассоциация Россия</x:v>
      </x:c>
      <x:c r="E111" s="8" t="str">
        <x:v>Шаблон — не запускался</x:v>
      </x:c>
    </x:row>
    <x:row r="112" ht="33" customHeight="1">
      <x:c r="A112" s="8" t="str">
        <x:v>V7-Q0107</x:v>
      </x:c>
      <x:c r="B112" s="8" t="str">
        <x:v>Россия</x:v>
      </x:c>
      <x:c r="C112" s="8" t="str">
        <x:v>ассоциация</x:v>
      </x:c>
      <x:c r="D112" s="8" t="str">
        <x:v>ищем методолога для базы знаний ассоциация Россия</x:v>
      </x:c>
      <x:c r="E112" s="8" t="str">
        <x:v>Шаблон — не запускался</x:v>
      </x:c>
    </x:row>
    <x:row r="113" ht="33" customHeight="1">
      <x:c r="A113" s="8" t="str">
        <x:v>V7-Q0108</x:v>
      </x:c>
      <x:c r="B113" s="8" t="str">
        <x:v>Россия</x:v>
      </x:c>
      <x:c r="C113" s="8" t="str">
        <x:v>ассоциация</x:v>
      </x:c>
      <x:c r="D113" s="8" t="str">
        <x:v>нужна программа развития кадрового резерва ассоциация Россия</x:v>
      </x:c>
      <x:c r="E113" s="8" t="str">
        <x:v>Шаблон — не запускался</x:v>
      </x:c>
    </x:row>
    <x:row r="114" ht="33" customHeight="1">
      <x:c r="A114" s="8" t="str">
        <x:v>V7-Q0109</x:v>
      </x:c>
      <x:c r="B114" s="8" t="str">
        <x:v>Россия</x:v>
      </x:c>
      <x:c r="C114" s="8" t="str">
        <x:v>LMS интегратор</x:v>
      </x:c>
      <x:c r="D114" s="8" t="str">
        <x:v>посоветуйте тренера для команды LMS интегратор Россия</x:v>
      </x:c>
      <x:c r="E114" s="8" t="str">
        <x:v>Шаблон — не запускался</x:v>
      </x:c>
    </x:row>
    <x:row r="115" ht="33" customHeight="1">
      <x:c r="A115" s="8" t="str">
        <x:v>V7-Q0110</x:v>
      </x:c>
      <x:c r="B115" s="8" t="str">
        <x:v>Россия</x:v>
      </x:c>
      <x:c r="C115" s="8" t="str">
        <x:v>LMS интегратор</x:v>
      </x:c>
      <x:c r="D115" s="8" t="str">
        <x:v>кто поможет поставить работу руководителей LMS интегратор Россия</x:v>
      </x:c>
      <x:c r="E115" s="8" t="str">
        <x:v>Шаблон — не запускался</x:v>
      </x:c>
    </x:row>
    <x:row r="116" ht="33" customHeight="1">
      <x:c r="A116" s="8" t="str">
        <x:v>V7-Q0111</x:v>
      </x:c>
      <x:c r="B116" s="8" t="str">
        <x:v>Россия</x:v>
      </x:c>
      <x:c r="C116" s="8" t="str">
        <x:v>LMS интегратор</x:v>
      </x:c>
      <x:c r="D116" s="8" t="str">
        <x:v>ищем разработчика электронного курса LMS интегратор Россия</x:v>
      </x:c>
      <x:c r="E116" s="8" t="str">
        <x:v>Шаблон — не запускался</x:v>
      </x:c>
    </x:row>
    <x:row r="117" ht="33" customHeight="1">
      <x:c r="A117" s="8" t="str">
        <x:v>V7-Q0112</x:v>
      </x:c>
      <x:c r="B117" s="8" t="str">
        <x:v>Россия</x:v>
      </x:c>
      <x:c r="C117" s="8" t="str">
        <x:v>LMS интегратор</x:v>
      </x:c>
      <x:c r="D117" s="8" t="str">
        <x:v>нужен внешний эксперт для внутренней программы LMS интегратор Россия</x:v>
      </x:c>
      <x:c r="E117" s="8" t="str">
        <x:v>Шаблон — не запускался</x:v>
      </x:c>
    </x:row>
    <x:row r="118" ht="33" customHeight="1">
      <x:c r="A118" s="8" t="str">
        <x:v>V7-Q0113</x:v>
      </x:c>
      <x:c r="B118" s="8" t="str">
        <x:v>Россия</x:v>
      </x:c>
      <x:c r="C118" s="8" t="str">
        <x:v>LMS интегратор</x:v>
      </x:c>
      <x:c r="D118" s="8" t="str">
        <x:v>приглашаем образовательных провайдеров LMS интегратор Россия</x:v>
      </x:c>
      <x:c r="E118" s="8" t="str">
        <x:v>Шаблон — не запускался</x:v>
      </x:c>
    </x:row>
    <x:row r="119" ht="33" customHeight="1">
      <x:c r="A119" s="8" t="str">
        <x:v>V7-Q0114</x:v>
      </x:c>
      <x:c r="B119" s="8" t="str">
        <x:v>Россия</x:v>
      </x:c>
      <x:c r="C119" s="8" t="str">
        <x:v>LMS интегратор</x:v>
      </x:c>
      <x:c r="D119" s="8" t="str">
        <x:v>собираем предложения по обучению на следующий год LMS интегратор Россия</x:v>
      </x:c>
      <x:c r="E119" s="8" t="str">
        <x:v>Шаблон — не запускался</x:v>
      </x:c>
    </x:row>
    <x:row r="120" ht="33" customHeight="1">
      <x:c r="A120" s="8" t="str">
        <x:v>V7-Q0115</x:v>
      </x:c>
      <x:c r="B120" s="8" t="str">
        <x:v>Россия</x:v>
      </x:c>
      <x:c r="C120" s="8" t="str">
        <x:v>LMS интегратор</x:v>
      </x:c>
      <x:c r="D120" s="8" t="str">
        <x:v>кого пригласить на стратегическую сессию LMS интегратор Россия</x:v>
      </x:c>
      <x:c r="E120" s="8" t="str">
        <x:v>Шаблон — не запускался</x:v>
      </x:c>
    </x:row>
    <x:row r="121" ht="33" customHeight="1">
      <x:c r="A121" s="8" t="str">
        <x:v>V7-Q0116</x:v>
      </x:c>
      <x:c r="B121" s="8" t="str">
        <x:v>Россия</x:v>
      </x:c>
      <x:c r="C121" s="8" t="str">
        <x:v>LMS интегратор</x:v>
      </x:c>
      <x:c r="D121" s="8" t="str">
        <x:v>срочно заменить преподавателя LMS интегратор Россия</x:v>
      </x:c>
      <x:c r="E121" s="8" t="str">
        <x:v>Шаблон — не запускался</x:v>
      </x:c>
    </x:row>
    <x:row r="122" ht="33" customHeight="1">
      <x:c r="A122" s="8" t="str">
        <x:v>V7-Q0117</x:v>
      </x:c>
      <x:c r="B122" s="8" t="str">
        <x:v>Россия</x:v>
      </x:c>
      <x:c r="C122" s="8" t="str">
        <x:v>LMS интегратор</x:v>
      </x:c>
      <x:c r="D122" s="8" t="str">
        <x:v>запускаем филиал нужна адаптация сотрудников LMS интегратор Россия</x:v>
      </x:c>
      <x:c r="E122" s="8" t="str">
        <x:v>Шаблон — не запускался</x:v>
      </x:c>
    </x:row>
    <x:row r="123" ht="33" customHeight="1">
      <x:c r="A123" s="8" t="str">
        <x:v>V7-Q0118</x:v>
      </x:c>
      <x:c r="B123" s="8" t="str">
        <x:v>Россия</x:v>
      </x:c>
      <x:c r="C123" s="8" t="str">
        <x:v>LMS интегратор</x:v>
      </x:c>
      <x:c r="D123" s="8" t="str">
        <x:v>как обучить менеджеров работе с конфликтными клиентами LMS интегратор Россия</x:v>
      </x:c>
      <x:c r="E123" s="8" t="str">
        <x:v>Шаблон — не запускался</x:v>
      </x:c>
    </x:row>
    <x:row r="124" ht="33" customHeight="1">
      <x:c r="A124" s="8" t="str">
        <x:v>V7-Q0119</x:v>
      </x:c>
      <x:c r="B124" s="8" t="str">
        <x:v>Россия</x:v>
      </x:c>
      <x:c r="C124" s="8" t="str">
        <x:v>LMS интегратор</x:v>
      </x:c>
      <x:c r="D124" s="8" t="str">
        <x:v>ищем методолога для базы знаний LMS интегратор Россия</x:v>
      </x:c>
      <x:c r="E124" s="8" t="str">
        <x:v>Шаблон — не запускался</x:v>
      </x:c>
    </x:row>
    <x:row r="125" ht="33" customHeight="1">
      <x:c r="A125" s="8" t="str">
        <x:v>V7-Q0120</x:v>
      </x:c>
      <x:c r="B125" s="8" t="str">
        <x:v>Россия</x:v>
      </x:c>
      <x:c r="C125" s="8" t="str">
        <x:v>LMS интегратор</x:v>
      </x:c>
      <x:c r="D125" s="8" t="str">
        <x:v>нужна программа развития кадрового резерва LMS интегратор Россия</x:v>
      </x:c>
      <x:c r="E125" s="8" t="str">
        <x:v>Шаблон — не запускался</x:v>
      </x:c>
    </x:row>
    <x:row r="126" ht="33" customHeight="1">
      <x:c r="A126" s="8" t="str">
        <x:v>V7-Q0121</x:v>
      </x:c>
      <x:c r="B126" s="8" t="str">
        <x:v>Беларусь</x:v>
      </x:c>
      <x:c r="C126" s="8" t="str">
        <x:v>HR L&amp;D</x:v>
      </x:c>
      <x:c r="D126" s="8" t="str">
        <x:v>посоветуйте тренера для команды HR L&amp;D Беларусь</x:v>
      </x:c>
      <x:c r="E126" s="8" t="str">
        <x:v>Шаблон — не запускался</x:v>
      </x:c>
    </x:row>
    <x:row r="127" ht="33" customHeight="1">
      <x:c r="A127" s="8" t="str">
        <x:v>V7-Q0122</x:v>
      </x:c>
      <x:c r="B127" s="8" t="str">
        <x:v>Беларусь</x:v>
      </x:c>
      <x:c r="C127" s="8" t="str">
        <x:v>HR L&amp;D</x:v>
      </x:c>
      <x:c r="D127" s="8" t="str">
        <x:v>кто поможет поставить работу руководителей HR L&amp;D Беларусь</x:v>
      </x:c>
      <x:c r="E127" s="8" t="str">
        <x:v>Шаблон — не запускался</x:v>
      </x:c>
    </x:row>
    <x:row r="128" ht="33" customHeight="1">
      <x:c r="A128" s="8" t="str">
        <x:v>V7-Q0123</x:v>
      </x:c>
      <x:c r="B128" s="8" t="str">
        <x:v>Беларусь</x:v>
      </x:c>
      <x:c r="C128" s="8" t="str">
        <x:v>HR L&amp;D</x:v>
      </x:c>
      <x:c r="D128" s="8" t="str">
        <x:v>ищем разработчика электронного курса HR L&amp;D Беларусь</x:v>
      </x:c>
      <x:c r="E128" s="8" t="str">
        <x:v>Шаблон — не запускался</x:v>
      </x:c>
    </x:row>
    <x:row r="129" ht="33" customHeight="1">
      <x:c r="A129" s="8" t="str">
        <x:v>V7-Q0124</x:v>
      </x:c>
      <x:c r="B129" s="8" t="str">
        <x:v>Беларусь</x:v>
      </x:c>
      <x:c r="C129" s="8" t="str">
        <x:v>HR L&amp;D</x:v>
      </x:c>
      <x:c r="D129" s="8" t="str">
        <x:v>нужен внешний эксперт для внутренней программы HR L&amp;D Беларусь</x:v>
      </x:c>
      <x:c r="E129" s="8" t="str">
        <x:v>Шаблон — не запускался</x:v>
      </x:c>
    </x:row>
    <x:row r="130" ht="33" customHeight="1">
      <x:c r="A130" s="8" t="str">
        <x:v>V7-Q0125</x:v>
      </x:c>
      <x:c r="B130" s="8" t="str">
        <x:v>Беларусь</x:v>
      </x:c>
      <x:c r="C130" s="8" t="str">
        <x:v>HR L&amp;D</x:v>
      </x:c>
      <x:c r="D130" s="8" t="str">
        <x:v>приглашаем образовательных провайдеров HR L&amp;D Беларусь</x:v>
      </x:c>
      <x:c r="E130" s="8" t="str">
        <x:v>Шаблон — не запускался</x:v>
      </x:c>
    </x:row>
    <x:row r="131" ht="33" customHeight="1">
      <x:c r="A131" s="8" t="str">
        <x:v>V7-Q0126</x:v>
      </x:c>
      <x:c r="B131" s="8" t="str">
        <x:v>Беларусь</x:v>
      </x:c>
      <x:c r="C131" s="8" t="str">
        <x:v>HR L&amp;D</x:v>
      </x:c>
      <x:c r="D131" s="8" t="str">
        <x:v>собираем предложения по обучению на следующий год HR L&amp;D Беларусь</x:v>
      </x:c>
      <x:c r="E131" s="8" t="str">
        <x:v>Шаблон — не запускался</x:v>
      </x:c>
    </x:row>
    <x:row r="132" ht="33" customHeight="1">
      <x:c r="A132" s="8" t="str">
        <x:v>V7-Q0127</x:v>
      </x:c>
      <x:c r="B132" s="8" t="str">
        <x:v>Беларусь</x:v>
      </x:c>
      <x:c r="C132" s="8" t="str">
        <x:v>HR L&amp;D</x:v>
      </x:c>
      <x:c r="D132" s="8" t="str">
        <x:v>кого пригласить на стратегическую сессию HR L&amp;D Беларусь</x:v>
      </x:c>
      <x:c r="E132" s="8" t="str">
        <x:v>Шаблон — не запускался</x:v>
      </x:c>
    </x:row>
    <x:row r="133" ht="33" customHeight="1">
      <x:c r="A133" s="8" t="str">
        <x:v>V7-Q0128</x:v>
      </x:c>
      <x:c r="B133" s="8" t="str">
        <x:v>Беларусь</x:v>
      </x:c>
      <x:c r="C133" s="8" t="str">
        <x:v>HR L&amp;D</x:v>
      </x:c>
      <x:c r="D133" s="8" t="str">
        <x:v>срочно заменить преподавателя HR L&amp;D Беларусь</x:v>
      </x:c>
      <x:c r="E133" s="8" t="str">
        <x:v>Шаблон — не запускался</x:v>
      </x:c>
    </x:row>
    <x:row r="134" ht="33" customHeight="1">
      <x:c r="A134" s="8" t="str">
        <x:v>V7-Q0129</x:v>
      </x:c>
      <x:c r="B134" s="8" t="str">
        <x:v>Беларусь</x:v>
      </x:c>
      <x:c r="C134" s="8" t="str">
        <x:v>HR L&amp;D</x:v>
      </x:c>
      <x:c r="D134" s="8" t="str">
        <x:v>запускаем филиал нужна адаптация сотрудников HR L&amp;D Беларусь</x:v>
      </x:c>
      <x:c r="E134" s="8" t="str">
        <x:v>Шаблон — не запускался</x:v>
      </x:c>
    </x:row>
    <x:row r="135" ht="33" customHeight="1">
      <x:c r="A135" s="8" t="str">
        <x:v>V7-Q0130</x:v>
      </x:c>
      <x:c r="B135" s="8" t="str">
        <x:v>Беларусь</x:v>
      </x:c>
      <x:c r="C135" s="8" t="str">
        <x:v>HR L&amp;D</x:v>
      </x:c>
      <x:c r="D135" s="8" t="str">
        <x:v>как обучить менеджеров работе с конфликтными клиентами HR L&amp;D Беларусь</x:v>
      </x:c>
      <x:c r="E135" s="8" t="str">
        <x:v>Шаблон — не запускался</x:v>
      </x:c>
    </x:row>
    <x:row r="136" ht="33" customHeight="1">
      <x:c r="A136" s="8" t="str">
        <x:v>V7-Q0131</x:v>
      </x:c>
      <x:c r="B136" s="8" t="str">
        <x:v>Беларусь</x:v>
      </x:c>
      <x:c r="C136" s="8" t="str">
        <x:v>HR L&amp;D</x:v>
      </x:c>
      <x:c r="D136" s="8" t="str">
        <x:v>ищем методолога для базы знаний HR L&amp;D Беларусь</x:v>
      </x:c>
      <x:c r="E136" s="8" t="str">
        <x:v>Шаблон — не запускался</x:v>
      </x:c>
    </x:row>
    <x:row r="137" ht="33" customHeight="1">
      <x:c r="A137" s="8" t="str">
        <x:v>V7-Q0132</x:v>
      </x:c>
      <x:c r="B137" s="8" t="str">
        <x:v>Беларусь</x:v>
      </x:c>
      <x:c r="C137" s="8" t="str">
        <x:v>HR L&amp;D</x:v>
      </x:c>
      <x:c r="D137" s="8" t="str">
        <x:v>нужна программа развития кадрового резерва HR L&amp;D Беларусь</x:v>
      </x:c>
      <x:c r="E137" s="8" t="str">
        <x:v>Шаблон — не запускался</x:v>
      </x:c>
    </x:row>
    <x:row r="138" ht="33" customHeight="1">
      <x:c r="A138" s="8" t="str">
        <x:v>V7-Q0133</x:v>
      </x:c>
      <x:c r="B138" s="8" t="str">
        <x:v>Беларусь</x:v>
      </x:c>
      <x:c r="C138" s="8" t="str">
        <x:v>закупки</x:v>
      </x:c>
      <x:c r="D138" s="8" t="str">
        <x:v>посоветуйте тренера для команды закупки Беларусь</x:v>
      </x:c>
      <x:c r="E138" s="8" t="str">
        <x:v>Шаблон — не запускался</x:v>
      </x:c>
    </x:row>
    <x:row r="139" ht="33" customHeight="1">
      <x:c r="A139" s="8" t="str">
        <x:v>V7-Q0134</x:v>
      </x:c>
      <x:c r="B139" s="8" t="str">
        <x:v>Беларусь</x:v>
      </x:c>
      <x:c r="C139" s="8" t="str">
        <x:v>закупки</x:v>
      </x:c>
      <x:c r="D139" s="8" t="str">
        <x:v>кто поможет поставить работу руководителей закупки Беларусь</x:v>
      </x:c>
      <x:c r="E139" s="8" t="str">
        <x:v>Шаблон — не запускался</x:v>
      </x:c>
    </x:row>
    <x:row r="140" ht="33" customHeight="1">
      <x:c r="A140" s="8" t="str">
        <x:v>V7-Q0135</x:v>
      </x:c>
      <x:c r="B140" s="8" t="str">
        <x:v>Беларусь</x:v>
      </x:c>
      <x:c r="C140" s="8" t="str">
        <x:v>закупки</x:v>
      </x:c>
      <x:c r="D140" s="8" t="str">
        <x:v>ищем разработчика электронного курса закупки Беларусь</x:v>
      </x:c>
      <x:c r="E140" s="8" t="str">
        <x:v>Шаблон — не запускался</x:v>
      </x:c>
    </x:row>
    <x:row r="141" ht="33" customHeight="1">
      <x:c r="A141" s="8" t="str">
        <x:v>V7-Q0136</x:v>
      </x:c>
      <x:c r="B141" s="8" t="str">
        <x:v>Беларусь</x:v>
      </x:c>
      <x:c r="C141" s="8" t="str">
        <x:v>закупки</x:v>
      </x:c>
      <x:c r="D141" s="8" t="str">
        <x:v>нужен внешний эксперт для внутренней программы закупки Беларусь</x:v>
      </x:c>
      <x:c r="E141" s="8" t="str">
        <x:v>Шаблон — не запускался</x:v>
      </x:c>
    </x:row>
    <x:row r="142" ht="33" customHeight="1">
      <x:c r="A142" s="8" t="str">
        <x:v>V7-Q0137</x:v>
      </x:c>
      <x:c r="B142" s="8" t="str">
        <x:v>Беларусь</x:v>
      </x:c>
      <x:c r="C142" s="8" t="str">
        <x:v>закупки</x:v>
      </x:c>
      <x:c r="D142" s="8" t="str">
        <x:v>приглашаем образовательных провайдеров закупки Беларусь</x:v>
      </x:c>
      <x:c r="E142" s="8" t="str">
        <x:v>Шаблон — не запускался</x:v>
      </x:c>
    </x:row>
    <x:row r="143" ht="33" customHeight="1">
      <x:c r="A143" s="8" t="str">
        <x:v>V7-Q0138</x:v>
      </x:c>
      <x:c r="B143" s="8" t="str">
        <x:v>Беларусь</x:v>
      </x:c>
      <x:c r="C143" s="8" t="str">
        <x:v>закупки</x:v>
      </x:c>
      <x:c r="D143" s="8" t="str">
        <x:v>собираем предложения по обучению на следующий год закупки Беларусь</x:v>
      </x:c>
      <x:c r="E143" s="8" t="str">
        <x:v>Шаблон — не запускался</x:v>
      </x:c>
    </x:row>
    <x:row r="144" ht="33" customHeight="1">
      <x:c r="A144" s="8" t="str">
        <x:v>V7-Q0139</x:v>
      </x:c>
      <x:c r="B144" s="8" t="str">
        <x:v>Беларусь</x:v>
      </x:c>
      <x:c r="C144" s="8" t="str">
        <x:v>закупки</x:v>
      </x:c>
      <x:c r="D144" s="8" t="str">
        <x:v>кого пригласить на стратегическую сессию закупки Беларусь</x:v>
      </x:c>
      <x:c r="E144" s="8" t="str">
        <x:v>Шаблон — не запускался</x:v>
      </x:c>
    </x:row>
    <x:row r="145" ht="33" customHeight="1">
      <x:c r="A145" s="8" t="str">
        <x:v>V7-Q0140</x:v>
      </x:c>
      <x:c r="B145" s="8" t="str">
        <x:v>Беларусь</x:v>
      </x:c>
      <x:c r="C145" s="8" t="str">
        <x:v>закупки</x:v>
      </x:c>
      <x:c r="D145" s="8" t="str">
        <x:v>срочно заменить преподавателя закупки Беларусь</x:v>
      </x:c>
      <x:c r="E145" s="8" t="str">
        <x:v>Шаблон — не запускался</x:v>
      </x:c>
    </x:row>
    <x:row r="146" ht="33" customHeight="1">
      <x:c r="A146" s="8" t="str">
        <x:v>V7-Q0141</x:v>
      </x:c>
      <x:c r="B146" s="8" t="str">
        <x:v>Беларусь</x:v>
      </x:c>
      <x:c r="C146" s="8" t="str">
        <x:v>закупки</x:v>
      </x:c>
      <x:c r="D146" s="8" t="str">
        <x:v>запускаем филиал нужна адаптация сотрудников закупки Беларусь</x:v>
      </x:c>
      <x:c r="E146" s="8" t="str">
        <x:v>Шаблон — не запускался</x:v>
      </x:c>
    </x:row>
    <x:row r="147" ht="33" customHeight="1">
      <x:c r="A147" s="8" t="str">
        <x:v>V7-Q0142</x:v>
      </x:c>
      <x:c r="B147" s="8" t="str">
        <x:v>Беларусь</x:v>
      </x:c>
      <x:c r="C147" s="8" t="str">
        <x:v>закупки</x:v>
      </x:c>
      <x:c r="D147" s="8" t="str">
        <x:v>как обучить менеджеров работе с конфликтными клиентами закупки Беларусь</x:v>
      </x:c>
      <x:c r="E147" s="8" t="str">
        <x:v>Шаблон — не запускался</x:v>
      </x:c>
    </x:row>
    <x:row r="148" ht="33" customHeight="1">
      <x:c r="A148" s="8" t="str">
        <x:v>V7-Q0143</x:v>
      </x:c>
      <x:c r="B148" s="8" t="str">
        <x:v>Беларусь</x:v>
      </x:c>
      <x:c r="C148" s="8" t="str">
        <x:v>закупки</x:v>
      </x:c>
      <x:c r="D148" s="8" t="str">
        <x:v>ищем методолога для базы знаний закупки Беларусь</x:v>
      </x:c>
      <x:c r="E148" s="8" t="str">
        <x:v>Шаблон — не запускался</x:v>
      </x:c>
    </x:row>
    <x:row r="149" ht="33" customHeight="1">
      <x:c r="A149" s="8" t="str">
        <x:v>V7-Q0144</x:v>
      </x:c>
      <x:c r="B149" s="8" t="str">
        <x:v>Беларусь</x:v>
      </x:c>
      <x:c r="C149" s="8" t="str">
        <x:v>закупки</x:v>
      </x:c>
      <x:c r="D149" s="8" t="str">
        <x:v>нужна программа развития кадрового резерва закупки Беларусь</x:v>
      </x:c>
      <x:c r="E149" s="8" t="str">
        <x:v>Шаблон — не запускался</x:v>
      </x:c>
    </x:row>
    <x:row r="150" ht="33" customHeight="1">
      <x:c r="A150" s="8" t="str">
        <x:v>V7-Q0145</x:v>
      </x:c>
      <x:c r="B150" s="8" t="str">
        <x:v>Беларусь</x:v>
      </x:c>
      <x:c r="C150" s="8" t="str">
        <x:v>финансовый директор</x:v>
      </x:c>
      <x:c r="D150" s="8" t="str">
        <x:v>посоветуйте тренера для команды финансовый директор Беларусь</x:v>
      </x:c>
      <x:c r="E150" s="8" t="str">
        <x:v>Шаблон — не запускался</x:v>
      </x:c>
    </x:row>
    <x:row r="151" ht="33" customHeight="1">
      <x:c r="A151" s="8" t="str">
        <x:v>V7-Q0146</x:v>
      </x:c>
      <x:c r="B151" s="8" t="str">
        <x:v>Беларусь</x:v>
      </x:c>
      <x:c r="C151" s="8" t="str">
        <x:v>финансовый директор</x:v>
      </x:c>
      <x:c r="D151" s="8" t="str">
        <x:v>кто поможет поставить работу руководителей финансовый директор Беларусь</x:v>
      </x:c>
      <x:c r="E151" s="8" t="str">
        <x:v>Шаблон — не запускался</x:v>
      </x:c>
    </x:row>
    <x:row r="152" ht="33" customHeight="1">
      <x:c r="A152" s="8" t="str">
        <x:v>V7-Q0147</x:v>
      </x:c>
      <x:c r="B152" s="8" t="str">
        <x:v>Беларусь</x:v>
      </x:c>
      <x:c r="C152" s="8" t="str">
        <x:v>финансовый директор</x:v>
      </x:c>
      <x:c r="D152" s="8" t="str">
        <x:v>ищем разработчика электронного курса финансовый директор Беларусь</x:v>
      </x:c>
      <x:c r="E152" s="8" t="str">
        <x:v>Шаблон — не запускался</x:v>
      </x:c>
    </x:row>
    <x:row r="153" ht="33" customHeight="1">
      <x:c r="A153" s="8" t="str">
        <x:v>V7-Q0148</x:v>
      </x:c>
      <x:c r="B153" s="8" t="str">
        <x:v>Беларусь</x:v>
      </x:c>
      <x:c r="C153" s="8" t="str">
        <x:v>финансовый директор</x:v>
      </x:c>
      <x:c r="D153" s="8" t="str">
        <x:v>нужен внешний эксперт для внутренней программы финансовый директор Беларусь</x:v>
      </x:c>
      <x:c r="E153" s="8" t="str">
        <x:v>Шаблон — не запускался</x:v>
      </x:c>
    </x:row>
    <x:row r="154" ht="33" customHeight="1">
      <x:c r="A154" s="8" t="str">
        <x:v>V7-Q0149</x:v>
      </x:c>
      <x:c r="B154" s="8" t="str">
        <x:v>Беларусь</x:v>
      </x:c>
      <x:c r="C154" s="8" t="str">
        <x:v>финансовый директор</x:v>
      </x:c>
      <x:c r="D154" s="8" t="str">
        <x:v>приглашаем образовательных провайдеров финансовый директор Беларусь</x:v>
      </x:c>
      <x:c r="E154" s="8" t="str">
        <x:v>Шаблон — не запускался</x:v>
      </x:c>
    </x:row>
    <x:row r="155" ht="33" customHeight="1">
      <x:c r="A155" s="8" t="str">
        <x:v>V7-Q0150</x:v>
      </x:c>
      <x:c r="B155" s="8" t="str">
        <x:v>Беларусь</x:v>
      </x:c>
      <x:c r="C155" s="8" t="str">
        <x:v>финансовый директор</x:v>
      </x:c>
      <x:c r="D155" s="8" t="str">
        <x:v>собираем предложения по обучению на следующий год финансовый директор Беларусь</x:v>
      </x:c>
      <x:c r="E155" s="8" t="str">
        <x:v>Шаблон — не запускался</x:v>
      </x:c>
    </x:row>
    <x:row r="156" ht="33" customHeight="1">
      <x:c r="A156" s="8" t="str">
        <x:v>V7-Q0151</x:v>
      </x:c>
      <x:c r="B156" s="8" t="str">
        <x:v>Беларусь</x:v>
      </x:c>
      <x:c r="C156" s="8" t="str">
        <x:v>финансовый директор</x:v>
      </x:c>
      <x:c r="D156" s="8" t="str">
        <x:v>кого пригласить на стратегическую сессию финансовый директор Беларусь</x:v>
      </x:c>
      <x:c r="E156" s="8" t="str">
        <x:v>Шаблон — не запускался</x:v>
      </x:c>
    </x:row>
    <x:row r="157" ht="33" customHeight="1">
      <x:c r="A157" s="8" t="str">
        <x:v>V7-Q0152</x:v>
      </x:c>
      <x:c r="B157" s="8" t="str">
        <x:v>Беларусь</x:v>
      </x:c>
      <x:c r="C157" s="8" t="str">
        <x:v>финансовый директор</x:v>
      </x:c>
      <x:c r="D157" s="8" t="str">
        <x:v>срочно заменить преподавателя финансовый директор Беларусь</x:v>
      </x:c>
      <x:c r="E157" s="8" t="str">
        <x:v>Шаблон — не запускался</x:v>
      </x:c>
    </x:row>
    <x:row r="158" ht="33" customHeight="1">
      <x:c r="A158" s="8" t="str">
        <x:v>V7-Q0153</x:v>
      </x:c>
      <x:c r="B158" s="8" t="str">
        <x:v>Беларусь</x:v>
      </x:c>
      <x:c r="C158" s="8" t="str">
        <x:v>финансовый директор</x:v>
      </x:c>
      <x:c r="D158" s="8" t="str">
        <x:v>запускаем филиал нужна адаптация сотрудников финансовый директор Беларусь</x:v>
      </x:c>
      <x:c r="E158" s="8" t="str">
        <x:v>Шаблон — не запускался</x:v>
      </x:c>
    </x:row>
    <x:row r="159" ht="33" customHeight="1">
      <x:c r="A159" s="8" t="str">
        <x:v>V7-Q0154</x:v>
      </x:c>
      <x:c r="B159" s="8" t="str">
        <x:v>Беларусь</x:v>
      </x:c>
      <x:c r="C159" s="8" t="str">
        <x:v>финансовый директор</x:v>
      </x:c>
      <x:c r="D159" s="8" t="str">
        <x:v>как обучить менеджеров работе с конфликтными клиентами финансовый директор Беларусь</x:v>
      </x:c>
      <x:c r="E159" s="8" t="str">
        <x:v>Шаблон — не запускался</x:v>
      </x:c>
    </x:row>
    <x:row r="160" ht="33" customHeight="1">
      <x:c r="A160" s="8" t="str">
        <x:v>V7-Q0155</x:v>
      </x:c>
      <x:c r="B160" s="8" t="str">
        <x:v>Беларусь</x:v>
      </x:c>
      <x:c r="C160" s="8" t="str">
        <x:v>финансовый директор</x:v>
      </x:c>
      <x:c r="D160" s="8" t="str">
        <x:v>ищем методолога для базы знаний финансовый директор Беларусь</x:v>
      </x:c>
      <x:c r="E160" s="8" t="str">
        <x:v>Шаблон — не запускался</x:v>
      </x:c>
    </x:row>
    <x:row r="161" ht="33" customHeight="1">
      <x:c r="A161" s="8" t="str">
        <x:v>V7-Q0156</x:v>
      </x:c>
      <x:c r="B161" s="8" t="str">
        <x:v>Беларусь</x:v>
      </x:c>
      <x:c r="C161" s="8" t="str">
        <x:v>финансовый директор</x:v>
      </x:c>
      <x:c r="D161" s="8" t="str">
        <x:v>нужна программа развития кадрового резерва финансовый директор Беларусь</x:v>
      </x:c>
      <x:c r="E161" s="8" t="str">
        <x:v>Шаблон — не запускался</x:v>
      </x:c>
    </x:row>
    <x:row r="162" ht="33" customHeight="1">
      <x:c r="A162" s="8" t="str">
        <x:v>V7-Q0157</x:v>
      </x:c>
      <x:c r="B162" s="8" t="str">
        <x:v>Беларусь</x:v>
      </x:c>
      <x:c r="C162" s="8" t="str">
        <x:v>директор по продажам</x:v>
      </x:c>
      <x:c r="D162" s="8" t="str">
        <x:v>посоветуйте тренера для команды директор по продажам Беларусь</x:v>
      </x:c>
      <x:c r="E162" s="8" t="str">
        <x:v>Шаблон — не запускался</x:v>
      </x:c>
    </x:row>
    <x:row r="163" ht="33" customHeight="1">
      <x:c r="A163" s="8" t="str">
        <x:v>V7-Q0158</x:v>
      </x:c>
      <x:c r="B163" s="8" t="str">
        <x:v>Беларусь</x:v>
      </x:c>
      <x:c r="C163" s="8" t="str">
        <x:v>директор по продажам</x:v>
      </x:c>
      <x:c r="D163" s="8" t="str">
        <x:v>кто поможет поставить работу руководителей директор по продажам Беларусь</x:v>
      </x:c>
      <x:c r="E163" s="8" t="str">
        <x:v>Шаблон — не запускался</x:v>
      </x:c>
    </x:row>
    <x:row r="164" ht="33" customHeight="1">
      <x:c r="A164" s="8" t="str">
        <x:v>V7-Q0159</x:v>
      </x:c>
      <x:c r="B164" s="8" t="str">
        <x:v>Беларусь</x:v>
      </x:c>
      <x:c r="C164" s="8" t="str">
        <x:v>директор по продажам</x:v>
      </x:c>
      <x:c r="D164" s="8" t="str">
        <x:v>ищем разработчика электронного курса директор по продажам Беларусь</x:v>
      </x:c>
      <x:c r="E164" s="8" t="str">
        <x:v>Шаблон — не запускался</x:v>
      </x:c>
    </x:row>
    <x:row r="165" ht="33" customHeight="1">
      <x:c r="A165" s="8" t="str">
        <x:v>V7-Q0160</x:v>
      </x:c>
      <x:c r="B165" s="8" t="str">
        <x:v>Беларусь</x:v>
      </x:c>
      <x:c r="C165" s="8" t="str">
        <x:v>директор по продажам</x:v>
      </x:c>
      <x:c r="D165" s="8" t="str">
        <x:v>нужен внешний эксперт для внутренней программы директор по продажам Беларусь</x:v>
      </x:c>
      <x:c r="E165" s="8" t="str">
        <x:v>Шаблон — не запускался</x:v>
      </x:c>
    </x:row>
    <x:row r="166" ht="33" customHeight="1">
      <x:c r="A166" s="8" t="str">
        <x:v>V7-Q0161</x:v>
      </x:c>
      <x:c r="B166" s="8" t="str">
        <x:v>Беларусь</x:v>
      </x:c>
      <x:c r="C166" s="8" t="str">
        <x:v>директор по продажам</x:v>
      </x:c>
      <x:c r="D166" s="8" t="str">
        <x:v>приглашаем образовательных провайдеров директор по продажам Беларусь</x:v>
      </x:c>
      <x:c r="E166" s="8" t="str">
        <x:v>Шаблон — не запускался</x:v>
      </x:c>
    </x:row>
    <x:row r="167" ht="33" customHeight="1">
      <x:c r="A167" s="8" t="str">
        <x:v>V7-Q0162</x:v>
      </x:c>
      <x:c r="B167" s="8" t="str">
        <x:v>Беларусь</x:v>
      </x:c>
      <x:c r="C167" s="8" t="str">
        <x:v>директор по продажам</x:v>
      </x:c>
      <x:c r="D167" s="8" t="str">
        <x:v>собираем предложения по обучению на следующий год директор по продажам Беларусь</x:v>
      </x:c>
      <x:c r="E167" s="8" t="str">
        <x:v>Шаблон — не запускался</x:v>
      </x:c>
    </x:row>
    <x:row r="168" ht="33" customHeight="1">
      <x:c r="A168" s="8" t="str">
        <x:v>V7-Q0163</x:v>
      </x:c>
      <x:c r="B168" s="8" t="str">
        <x:v>Беларусь</x:v>
      </x:c>
      <x:c r="C168" s="8" t="str">
        <x:v>директор по продажам</x:v>
      </x:c>
      <x:c r="D168" s="8" t="str">
        <x:v>кого пригласить на стратегическую сессию директор по продажам Беларусь</x:v>
      </x:c>
      <x:c r="E168" s="8" t="str">
        <x:v>Шаблон — не запускался</x:v>
      </x:c>
    </x:row>
    <x:row r="169" ht="33" customHeight="1">
      <x:c r="A169" s="8" t="str">
        <x:v>V7-Q0164</x:v>
      </x:c>
      <x:c r="B169" s="8" t="str">
        <x:v>Беларусь</x:v>
      </x:c>
      <x:c r="C169" s="8" t="str">
        <x:v>директор по продажам</x:v>
      </x:c>
      <x:c r="D169" s="8" t="str">
        <x:v>срочно заменить преподавателя директор по продажам Беларусь</x:v>
      </x:c>
      <x:c r="E169" s="8" t="str">
        <x:v>Шаблон — не запускался</x:v>
      </x:c>
    </x:row>
    <x:row r="170" ht="33" customHeight="1">
      <x:c r="A170" s="8" t="str">
        <x:v>V7-Q0165</x:v>
      </x:c>
      <x:c r="B170" s="8" t="str">
        <x:v>Беларусь</x:v>
      </x:c>
      <x:c r="C170" s="8" t="str">
        <x:v>директор по продажам</x:v>
      </x:c>
      <x:c r="D170" s="8" t="str">
        <x:v>запускаем филиал нужна адаптация сотрудников директор по продажам Беларусь</x:v>
      </x:c>
      <x:c r="E170" s="8" t="str">
        <x:v>Шаблон — не запускался</x:v>
      </x:c>
    </x:row>
    <x:row r="171" ht="33" customHeight="1">
      <x:c r="A171" s="8" t="str">
        <x:v>V7-Q0166</x:v>
      </x:c>
      <x:c r="B171" s="8" t="str">
        <x:v>Беларусь</x:v>
      </x:c>
      <x:c r="C171" s="8" t="str">
        <x:v>директор по продажам</x:v>
      </x:c>
      <x:c r="D171" s="8" t="str">
        <x:v>как обучить менеджеров работе с конфликтными клиентами директор по продажам Беларусь</x:v>
      </x:c>
      <x:c r="E171" s="8" t="str">
        <x:v>Шаблон — не запускался</x:v>
      </x:c>
    </x:row>
    <x:row r="172" ht="33" customHeight="1">
      <x:c r="A172" s="8" t="str">
        <x:v>V7-Q0167</x:v>
      </x:c>
      <x:c r="B172" s="8" t="str">
        <x:v>Беларусь</x:v>
      </x:c>
      <x:c r="C172" s="8" t="str">
        <x:v>директор по продажам</x:v>
      </x:c>
      <x:c r="D172" s="8" t="str">
        <x:v>ищем методолога для базы знаний директор по продажам Беларусь</x:v>
      </x:c>
      <x:c r="E172" s="8" t="str">
        <x:v>Шаблон — не запускался</x:v>
      </x:c>
    </x:row>
    <x:row r="173" ht="33" customHeight="1">
      <x:c r="A173" s="8" t="str">
        <x:v>V7-Q0168</x:v>
      </x:c>
      <x:c r="B173" s="8" t="str">
        <x:v>Беларусь</x:v>
      </x:c>
      <x:c r="C173" s="8" t="str">
        <x:v>директор по продажам</x:v>
      </x:c>
      <x:c r="D173" s="8" t="str">
        <x:v>нужна программа развития кадрового резерва директор по продажам Беларусь</x:v>
      </x:c>
      <x:c r="E173" s="8" t="str">
        <x:v>Шаблон — не запускался</x:v>
      </x:c>
    </x:row>
    <x:row r="174" ht="33" customHeight="1">
      <x:c r="A174" s="8" t="str">
        <x:v>V7-Q0169</x:v>
      </x:c>
      <x:c r="B174" s="8" t="str">
        <x:v>Беларусь</x:v>
      </x:c>
      <x:c r="C174" s="8" t="str">
        <x:v>руководитель качества</x:v>
      </x:c>
      <x:c r="D174" s="8" t="str">
        <x:v>посоветуйте тренера для команды руководитель качества Беларусь</x:v>
      </x:c>
      <x:c r="E174" s="8" t="str">
        <x:v>Шаблон — не запускался</x:v>
      </x:c>
    </x:row>
    <x:row r="175" ht="33" customHeight="1">
      <x:c r="A175" s="8" t="str">
        <x:v>V7-Q0170</x:v>
      </x:c>
      <x:c r="B175" s="8" t="str">
        <x:v>Беларусь</x:v>
      </x:c>
      <x:c r="C175" s="8" t="str">
        <x:v>руководитель качества</x:v>
      </x:c>
      <x:c r="D175" s="8" t="str">
        <x:v>кто поможет поставить работу руководителей руководитель качества Беларусь</x:v>
      </x:c>
      <x:c r="E175" s="8" t="str">
        <x:v>Шаблон — не запускался</x:v>
      </x:c>
    </x:row>
    <x:row r="176" ht="33" customHeight="1">
      <x:c r="A176" s="8" t="str">
        <x:v>V7-Q0171</x:v>
      </x:c>
      <x:c r="B176" s="8" t="str">
        <x:v>Беларусь</x:v>
      </x:c>
      <x:c r="C176" s="8" t="str">
        <x:v>руководитель качества</x:v>
      </x:c>
      <x:c r="D176" s="8" t="str">
        <x:v>ищем разработчика электронного курса руководитель качества Беларусь</x:v>
      </x:c>
      <x:c r="E176" s="8" t="str">
        <x:v>Шаблон — не запускался</x:v>
      </x:c>
    </x:row>
    <x:row r="177" ht="33" customHeight="1">
      <x:c r="A177" s="8" t="str">
        <x:v>V7-Q0172</x:v>
      </x:c>
      <x:c r="B177" s="8" t="str">
        <x:v>Беларусь</x:v>
      </x:c>
      <x:c r="C177" s="8" t="str">
        <x:v>руководитель качества</x:v>
      </x:c>
      <x:c r="D177" s="8" t="str">
        <x:v>нужен внешний эксперт для внутренней программы руководитель качества Беларусь</x:v>
      </x:c>
      <x:c r="E177" s="8" t="str">
        <x:v>Шаблон — не запускался</x:v>
      </x:c>
    </x:row>
    <x:row r="178" ht="33" customHeight="1">
      <x:c r="A178" s="8" t="str">
        <x:v>V7-Q0173</x:v>
      </x:c>
      <x:c r="B178" s="8" t="str">
        <x:v>Беларусь</x:v>
      </x:c>
      <x:c r="C178" s="8" t="str">
        <x:v>руководитель качества</x:v>
      </x:c>
      <x:c r="D178" s="8" t="str">
        <x:v>приглашаем образовательных провайдеров руководитель качества Беларусь</x:v>
      </x:c>
      <x:c r="E178" s="8" t="str">
        <x:v>Шаблон — не запускался</x:v>
      </x:c>
    </x:row>
    <x:row r="179" ht="33" customHeight="1">
      <x:c r="A179" s="8" t="str">
        <x:v>V7-Q0174</x:v>
      </x:c>
      <x:c r="B179" s="8" t="str">
        <x:v>Беларусь</x:v>
      </x:c>
      <x:c r="C179" s="8" t="str">
        <x:v>руководитель качества</x:v>
      </x:c>
      <x:c r="D179" s="8" t="str">
        <x:v>собираем предложения по обучению на следующий год руководитель качества Беларусь</x:v>
      </x:c>
      <x:c r="E179" s="8" t="str">
        <x:v>Шаблон — не запускался</x:v>
      </x:c>
    </x:row>
    <x:row r="180" ht="33" customHeight="1">
      <x:c r="A180" s="8" t="str">
        <x:v>V7-Q0175</x:v>
      </x:c>
      <x:c r="B180" s="8" t="str">
        <x:v>Беларусь</x:v>
      </x:c>
      <x:c r="C180" s="8" t="str">
        <x:v>руководитель качества</x:v>
      </x:c>
      <x:c r="D180" s="8" t="str">
        <x:v>кого пригласить на стратегическую сессию руководитель качества Беларусь</x:v>
      </x:c>
      <x:c r="E180" s="8" t="str">
        <x:v>Шаблон — не запускался</x:v>
      </x:c>
    </x:row>
    <x:row r="181" ht="33" customHeight="1">
      <x:c r="A181" s="8" t="str">
        <x:v>V7-Q0176</x:v>
      </x:c>
      <x:c r="B181" s="8" t="str">
        <x:v>Беларусь</x:v>
      </x:c>
      <x:c r="C181" s="8" t="str">
        <x:v>руководитель качества</x:v>
      </x:c>
      <x:c r="D181" s="8" t="str">
        <x:v>срочно заменить преподавателя руководитель качества Беларусь</x:v>
      </x:c>
      <x:c r="E181" s="8" t="str">
        <x:v>Шаблон — не запускался</x:v>
      </x:c>
    </x:row>
    <x:row r="182" ht="33" customHeight="1">
      <x:c r="A182" s="8" t="str">
        <x:v>V7-Q0177</x:v>
      </x:c>
      <x:c r="B182" s="8" t="str">
        <x:v>Беларусь</x:v>
      </x:c>
      <x:c r="C182" s="8" t="str">
        <x:v>руководитель качества</x:v>
      </x:c>
      <x:c r="D182" s="8" t="str">
        <x:v>запускаем филиал нужна адаптация сотрудников руководитель качества Беларусь</x:v>
      </x:c>
      <x:c r="E182" s="8" t="str">
        <x:v>Шаблон — не запускался</x:v>
      </x:c>
    </x:row>
    <x:row r="183" ht="33" customHeight="1">
      <x:c r="A183" s="8" t="str">
        <x:v>V7-Q0178</x:v>
      </x:c>
      <x:c r="B183" s="8" t="str">
        <x:v>Беларусь</x:v>
      </x:c>
      <x:c r="C183" s="8" t="str">
        <x:v>руководитель качества</x:v>
      </x:c>
      <x:c r="D183" s="8" t="str">
        <x:v>как обучить менеджеров работе с конфликтными клиентами руководитель качества Беларусь</x:v>
      </x:c>
      <x:c r="E183" s="8" t="str">
        <x:v>Шаблон — не запускался</x:v>
      </x:c>
    </x:row>
    <x:row r="184" ht="33" customHeight="1">
      <x:c r="A184" s="8" t="str">
        <x:v>V7-Q0179</x:v>
      </x:c>
      <x:c r="B184" s="8" t="str">
        <x:v>Беларусь</x:v>
      </x:c>
      <x:c r="C184" s="8" t="str">
        <x:v>руководитель качества</x:v>
      </x:c>
      <x:c r="D184" s="8" t="str">
        <x:v>ищем методолога для базы знаний руководитель качества Беларусь</x:v>
      </x:c>
      <x:c r="E184" s="8" t="str">
        <x:v>Шаблон — не запускался</x:v>
      </x:c>
    </x:row>
    <x:row r="185" ht="33" customHeight="1">
      <x:c r="A185" s="8" t="str">
        <x:v>V7-Q0180</x:v>
      </x:c>
      <x:c r="B185" s="8" t="str">
        <x:v>Беларусь</x:v>
      </x:c>
      <x:c r="C185" s="8" t="str">
        <x:v>руководитель качества</x:v>
      </x:c>
      <x:c r="D185" s="8" t="str">
        <x:v>нужна программа развития кадрового резерва руководитель качества Беларусь</x:v>
      </x:c>
      <x:c r="E185" s="8" t="str">
        <x:v>Шаблон — не запускался</x:v>
      </x:c>
    </x:row>
    <x:row r="186" ht="33" customHeight="1">
      <x:c r="A186" s="8" t="str">
        <x:v>V7-Q0181</x:v>
      </x:c>
      <x:c r="B186" s="8" t="str">
        <x:v>Беларусь</x:v>
      </x:c>
      <x:c r="C186" s="8" t="str">
        <x:v>руководитель проектов</x:v>
      </x:c>
      <x:c r="D186" s="8" t="str">
        <x:v>посоветуйте тренера для команды руководитель проектов Беларусь</x:v>
      </x:c>
      <x:c r="E186" s="8" t="str">
        <x:v>Шаблон — не запускался</x:v>
      </x:c>
    </x:row>
    <x:row r="187" ht="33" customHeight="1">
      <x:c r="A187" s="8" t="str">
        <x:v>V7-Q0182</x:v>
      </x:c>
      <x:c r="B187" s="8" t="str">
        <x:v>Беларусь</x:v>
      </x:c>
      <x:c r="C187" s="8" t="str">
        <x:v>руководитель проектов</x:v>
      </x:c>
      <x:c r="D187" s="8" t="str">
        <x:v>кто поможет поставить работу руководителей руководитель проектов Беларусь</x:v>
      </x:c>
      <x:c r="E187" s="8" t="str">
        <x:v>Шаблон — не запускался</x:v>
      </x:c>
    </x:row>
    <x:row r="188" ht="33" customHeight="1">
      <x:c r="A188" s="8" t="str">
        <x:v>V7-Q0183</x:v>
      </x:c>
      <x:c r="B188" s="8" t="str">
        <x:v>Беларусь</x:v>
      </x:c>
      <x:c r="C188" s="8" t="str">
        <x:v>руководитель проектов</x:v>
      </x:c>
      <x:c r="D188" s="8" t="str">
        <x:v>ищем разработчика электронного курса руководитель проектов Беларусь</x:v>
      </x:c>
      <x:c r="E188" s="8" t="str">
        <x:v>Шаблон — не запускался</x:v>
      </x:c>
    </x:row>
    <x:row r="189" ht="33" customHeight="1">
      <x:c r="A189" s="8" t="str">
        <x:v>V7-Q0184</x:v>
      </x:c>
      <x:c r="B189" s="8" t="str">
        <x:v>Беларусь</x:v>
      </x:c>
      <x:c r="C189" s="8" t="str">
        <x:v>руководитель проектов</x:v>
      </x:c>
      <x:c r="D189" s="8" t="str">
        <x:v>нужен внешний эксперт для внутренней программы руководитель проектов Беларусь</x:v>
      </x:c>
      <x:c r="E189" s="8" t="str">
        <x:v>Шаблон — не запускался</x:v>
      </x:c>
    </x:row>
    <x:row r="190" ht="33" customHeight="1">
      <x:c r="A190" s="8" t="str">
        <x:v>V7-Q0185</x:v>
      </x:c>
      <x:c r="B190" s="8" t="str">
        <x:v>Беларусь</x:v>
      </x:c>
      <x:c r="C190" s="8" t="str">
        <x:v>руководитель проектов</x:v>
      </x:c>
      <x:c r="D190" s="8" t="str">
        <x:v>приглашаем образовательных провайдеров руководитель проектов Беларусь</x:v>
      </x:c>
      <x:c r="E190" s="8" t="str">
        <x:v>Шаблон — не запускался</x:v>
      </x:c>
    </x:row>
    <x:row r="191" ht="33" customHeight="1">
      <x:c r="A191" s="8" t="str">
        <x:v>V7-Q0186</x:v>
      </x:c>
      <x:c r="B191" s="8" t="str">
        <x:v>Беларусь</x:v>
      </x:c>
      <x:c r="C191" s="8" t="str">
        <x:v>руководитель проектов</x:v>
      </x:c>
      <x:c r="D191" s="8" t="str">
        <x:v>собираем предложения по обучению на следующий год руководитель проектов Беларусь</x:v>
      </x:c>
      <x:c r="E191" s="8" t="str">
        <x:v>Шаблон — не запускался</x:v>
      </x:c>
    </x:row>
    <x:row r="192" ht="33" customHeight="1">
      <x:c r="A192" s="8" t="str">
        <x:v>V7-Q0187</x:v>
      </x:c>
      <x:c r="B192" s="8" t="str">
        <x:v>Беларусь</x:v>
      </x:c>
      <x:c r="C192" s="8" t="str">
        <x:v>руководитель проектов</x:v>
      </x:c>
      <x:c r="D192" s="8" t="str">
        <x:v>кого пригласить на стратегическую сессию руководитель проектов Беларусь</x:v>
      </x:c>
      <x:c r="E192" s="8" t="str">
        <x:v>Шаблон — не запускался</x:v>
      </x:c>
    </x:row>
    <x:row r="193" ht="33" customHeight="1">
      <x:c r="A193" s="8" t="str">
        <x:v>V7-Q0188</x:v>
      </x:c>
      <x:c r="B193" s="8" t="str">
        <x:v>Беларусь</x:v>
      </x:c>
      <x:c r="C193" s="8" t="str">
        <x:v>руководитель проектов</x:v>
      </x:c>
      <x:c r="D193" s="8" t="str">
        <x:v>срочно заменить преподавателя руководитель проектов Беларусь</x:v>
      </x:c>
      <x:c r="E193" s="8" t="str">
        <x:v>Шаблон — не запускался</x:v>
      </x:c>
    </x:row>
    <x:row r="194" ht="33" customHeight="1">
      <x:c r="A194" s="8" t="str">
        <x:v>V7-Q0189</x:v>
      </x:c>
      <x:c r="B194" s="8" t="str">
        <x:v>Беларусь</x:v>
      </x:c>
      <x:c r="C194" s="8" t="str">
        <x:v>руководитель проектов</x:v>
      </x:c>
      <x:c r="D194" s="8" t="str">
        <x:v>запускаем филиал нужна адаптация сотрудников руководитель проектов Беларусь</x:v>
      </x:c>
      <x:c r="E194" s="8" t="str">
        <x:v>Шаблон — не запускался</x:v>
      </x:c>
    </x:row>
    <x:row r="195" ht="33" customHeight="1">
      <x:c r="A195" s="8" t="str">
        <x:v>V7-Q0190</x:v>
      </x:c>
      <x:c r="B195" s="8" t="str">
        <x:v>Беларусь</x:v>
      </x:c>
      <x:c r="C195" s="8" t="str">
        <x:v>руководитель проектов</x:v>
      </x:c>
      <x:c r="D195" s="8" t="str">
        <x:v>как обучить менеджеров работе с конфликтными клиентами руководитель проектов Беларусь</x:v>
      </x:c>
      <x:c r="E195" s="8" t="str">
        <x:v>Шаблон — не запускался</x:v>
      </x:c>
    </x:row>
    <x:row r="196" ht="33" customHeight="1">
      <x:c r="A196" s="8" t="str">
        <x:v>V7-Q0191</x:v>
      </x:c>
      <x:c r="B196" s="8" t="str">
        <x:v>Беларусь</x:v>
      </x:c>
      <x:c r="C196" s="8" t="str">
        <x:v>руководитель проектов</x:v>
      </x:c>
      <x:c r="D196" s="8" t="str">
        <x:v>ищем методолога для базы знаний руководитель проектов Беларусь</x:v>
      </x:c>
      <x:c r="E196" s="8" t="str">
        <x:v>Шаблон — не запускался</x:v>
      </x:c>
    </x:row>
    <x:row r="197" ht="33" customHeight="1">
      <x:c r="A197" s="8" t="str">
        <x:v>V7-Q0192</x:v>
      </x:c>
      <x:c r="B197" s="8" t="str">
        <x:v>Беларусь</x:v>
      </x:c>
      <x:c r="C197" s="8" t="str">
        <x:v>руководитель проектов</x:v>
      </x:c>
      <x:c r="D197" s="8" t="str">
        <x:v>нужна программа развития кадрового резерва руководитель проектов Беларусь</x:v>
      </x:c>
      <x:c r="E197" s="8" t="str">
        <x:v>Шаблон — не запускался</x:v>
      </x:c>
    </x:row>
    <x:row r="198" ht="33" customHeight="1">
      <x:c r="A198" s="8" t="str">
        <x:v>V7-Q0193</x:v>
      </x:c>
      <x:c r="B198" s="8" t="str">
        <x:v>Беларусь</x:v>
      </x:c>
      <x:c r="C198" s="8" t="str">
        <x:v>корпоративный университет</x:v>
      </x:c>
      <x:c r="D198" s="8" t="str">
        <x:v>посоветуйте тренера для команды корпоративный университет Беларусь</x:v>
      </x:c>
      <x:c r="E198" s="8" t="str">
        <x:v>Шаблон — не запускался</x:v>
      </x:c>
    </x:row>
    <x:row r="199" ht="33" customHeight="1">
      <x:c r="A199" s="8" t="str">
        <x:v>V7-Q0194</x:v>
      </x:c>
      <x:c r="B199" s="8" t="str">
        <x:v>Беларусь</x:v>
      </x:c>
      <x:c r="C199" s="8" t="str">
        <x:v>корпоративный университет</x:v>
      </x:c>
      <x:c r="D199" s="8" t="str">
        <x:v>кто поможет поставить работу руководителей корпоративный университет Беларусь</x:v>
      </x:c>
      <x:c r="E199" s="8" t="str">
        <x:v>Шаблон — не запускался</x:v>
      </x:c>
    </x:row>
    <x:row r="200" ht="33" customHeight="1">
      <x:c r="A200" s="8" t="str">
        <x:v>V7-Q0195</x:v>
      </x:c>
      <x:c r="B200" s="8" t="str">
        <x:v>Беларусь</x:v>
      </x:c>
      <x:c r="C200" s="8" t="str">
        <x:v>корпоративный университет</x:v>
      </x:c>
      <x:c r="D200" s="8" t="str">
        <x:v>ищем разработчика электронного курса корпоративный университет Беларусь</x:v>
      </x:c>
      <x:c r="E200" s="8" t="str">
        <x:v>Шаблон — не запускался</x:v>
      </x:c>
    </x:row>
    <x:row r="201" ht="33" customHeight="1">
      <x:c r="A201" s="8" t="str">
        <x:v>V7-Q0196</x:v>
      </x:c>
      <x:c r="B201" s="8" t="str">
        <x:v>Беларусь</x:v>
      </x:c>
      <x:c r="C201" s="8" t="str">
        <x:v>корпоративный университет</x:v>
      </x:c>
      <x:c r="D201" s="8" t="str">
        <x:v>нужен внешний эксперт для внутренней программы корпоративный университет Беларусь</x:v>
      </x:c>
      <x:c r="E201" s="8" t="str">
        <x:v>Шаблон — не запускался</x:v>
      </x:c>
    </x:row>
    <x:row r="202" ht="33" customHeight="1">
      <x:c r="A202" s="8" t="str">
        <x:v>V7-Q0197</x:v>
      </x:c>
      <x:c r="B202" s="8" t="str">
        <x:v>Беларусь</x:v>
      </x:c>
      <x:c r="C202" s="8" t="str">
        <x:v>корпоративный университет</x:v>
      </x:c>
      <x:c r="D202" s="8" t="str">
        <x:v>приглашаем образовательных провайдеров корпоративный университет Беларусь</x:v>
      </x:c>
      <x:c r="E202" s="8" t="str">
        <x:v>Шаблон — не запускался</x:v>
      </x:c>
    </x:row>
    <x:row r="203" ht="33" customHeight="1">
      <x:c r="A203" s="8" t="str">
        <x:v>V7-Q0198</x:v>
      </x:c>
      <x:c r="B203" s="8" t="str">
        <x:v>Беларусь</x:v>
      </x:c>
      <x:c r="C203" s="8" t="str">
        <x:v>корпоративный университет</x:v>
      </x:c>
      <x:c r="D203" s="8" t="str">
        <x:v>собираем предложения по обучению на следующий год корпоративный университет Беларусь</x:v>
      </x:c>
      <x:c r="E203" s="8" t="str">
        <x:v>Шаблон — не запускался</x:v>
      </x:c>
    </x:row>
    <x:row r="204" ht="33" customHeight="1">
      <x:c r="A204" s="8" t="str">
        <x:v>V7-Q0199</x:v>
      </x:c>
      <x:c r="B204" s="8" t="str">
        <x:v>Беларусь</x:v>
      </x:c>
      <x:c r="C204" s="8" t="str">
        <x:v>корпоративный университет</x:v>
      </x:c>
      <x:c r="D204" s="8" t="str">
        <x:v>кого пригласить на стратегическую сессию корпоративный университет Беларусь</x:v>
      </x:c>
      <x:c r="E204" s="8" t="str">
        <x:v>Шаблон — не запускался</x:v>
      </x:c>
    </x:row>
    <x:row r="205" ht="33" customHeight="1">
      <x:c r="A205" s="8" t="str">
        <x:v>V7-Q0200</x:v>
      </x:c>
      <x:c r="B205" s="8" t="str">
        <x:v>Беларусь</x:v>
      </x:c>
      <x:c r="C205" s="8" t="str">
        <x:v>корпоративный университет</x:v>
      </x:c>
      <x:c r="D205" s="8" t="str">
        <x:v>срочно заменить преподавателя корпоративный университет Беларусь</x:v>
      </x:c>
      <x:c r="E205" s="8" t="str">
        <x:v>Шаблон — не запускался</x:v>
      </x:c>
    </x:row>
    <x:row r="206" ht="33" customHeight="1">
      <x:c r="A206" s="8" t="str">
        <x:v>V7-Q0201</x:v>
      </x:c>
      <x:c r="B206" s="8" t="str">
        <x:v>Беларусь</x:v>
      </x:c>
      <x:c r="C206" s="8" t="str">
        <x:v>корпоративный университет</x:v>
      </x:c>
      <x:c r="D206" s="8" t="str">
        <x:v>запускаем филиал нужна адаптация сотрудников корпоративный университет Беларусь</x:v>
      </x:c>
      <x:c r="E206" s="8" t="str">
        <x:v>Шаблон — не запускался</x:v>
      </x:c>
    </x:row>
    <x:row r="207" ht="33" customHeight="1">
      <x:c r="A207" s="8" t="str">
        <x:v>V7-Q0202</x:v>
      </x:c>
      <x:c r="B207" s="8" t="str">
        <x:v>Беларусь</x:v>
      </x:c>
      <x:c r="C207" s="8" t="str">
        <x:v>корпоративный университет</x:v>
      </x:c>
      <x:c r="D207" s="8" t="str">
        <x:v>как обучить менеджеров работе с конфликтными клиентами корпоративный университет Беларусь</x:v>
      </x:c>
      <x:c r="E207" s="8" t="str">
        <x:v>Шаблон — не запускался</x:v>
      </x:c>
    </x:row>
    <x:row r="208" ht="33" customHeight="1">
      <x:c r="A208" s="8" t="str">
        <x:v>V7-Q0203</x:v>
      </x:c>
      <x:c r="B208" s="8" t="str">
        <x:v>Беларусь</x:v>
      </x:c>
      <x:c r="C208" s="8" t="str">
        <x:v>корпоративный университет</x:v>
      </x:c>
      <x:c r="D208" s="8" t="str">
        <x:v>ищем методолога для базы знаний корпоративный университет Беларусь</x:v>
      </x:c>
      <x:c r="E208" s="8" t="str">
        <x:v>Шаблон — не запускался</x:v>
      </x:c>
    </x:row>
    <x:row r="209" ht="33" customHeight="1">
      <x:c r="A209" s="8" t="str">
        <x:v>V7-Q0204</x:v>
      </x:c>
      <x:c r="B209" s="8" t="str">
        <x:v>Беларусь</x:v>
      </x:c>
      <x:c r="C209" s="8" t="str">
        <x:v>корпоративный университет</x:v>
      </x:c>
      <x:c r="D209" s="8" t="str">
        <x:v>нужна программа развития кадрового резерва корпоративный университет Беларусь</x:v>
      </x:c>
      <x:c r="E209" s="8" t="str">
        <x:v>Шаблон — не запускался</x:v>
      </x:c>
    </x:row>
    <x:row r="210" ht="33" customHeight="1">
      <x:c r="A210" s="8" t="str">
        <x:v>V7-Q0205</x:v>
      </x:c>
      <x:c r="B210" s="8" t="str">
        <x:v>Беларусь</x:v>
      </x:c>
      <x:c r="C210" s="8" t="str">
        <x:v>бизнес-клуб</x:v>
      </x:c>
      <x:c r="D210" s="8" t="str">
        <x:v>посоветуйте тренера для команды бизнес-клуб Беларусь</x:v>
      </x:c>
      <x:c r="E210" s="8" t="str">
        <x:v>Шаблон — не запускался</x:v>
      </x:c>
    </x:row>
    <x:row r="211" ht="33" customHeight="1">
      <x:c r="A211" s="8" t="str">
        <x:v>V7-Q0206</x:v>
      </x:c>
      <x:c r="B211" s="8" t="str">
        <x:v>Беларусь</x:v>
      </x:c>
      <x:c r="C211" s="8" t="str">
        <x:v>бизнес-клуб</x:v>
      </x:c>
      <x:c r="D211" s="8" t="str">
        <x:v>кто поможет поставить работу руководителей бизнес-клуб Беларусь</x:v>
      </x:c>
      <x:c r="E211" s="8" t="str">
        <x:v>Шаблон — не запускался</x:v>
      </x:c>
    </x:row>
    <x:row r="212" ht="33" customHeight="1">
      <x:c r="A212" s="8" t="str">
        <x:v>V7-Q0207</x:v>
      </x:c>
      <x:c r="B212" s="8" t="str">
        <x:v>Беларусь</x:v>
      </x:c>
      <x:c r="C212" s="8" t="str">
        <x:v>бизнес-клуб</x:v>
      </x:c>
      <x:c r="D212" s="8" t="str">
        <x:v>ищем разработчика электронного курса бизнес-клуб Беларусь</x:v>
      </x:c>
      <x:c r="E212" s="8" t="str">
        <x:v>Шаблон — не запускался</x:v>
      </x:c>
    </x:row>
    <x:row r="213" ht="33" customHeight="1">
      <x:c r="A213" s="8" t="str">
        <x:v>V7-Q0208</x:v>
      </x:c>
      <x:c r="B213" s="8" t="str">
        <x:v>Беларусь</x:v>
      </x:c>
      <x:c r="C213" s="8" t="str">
        <x:v>бизнес-клуб</x:v>
      </x:c>
      <x:c r="D213" s="8" t="str">
        <x:v>нужен внешний эксперт для внутренней программы бизнес-клуб Беларусь</x:v>
      </x:c>
      <x:c r="E213" s="8" t="str">
        <x:v>Шаблон — не запускался</x:v>
      </x:c>
    </x:row>
    <x:row r="214" ht="33" customHeight="1">
      <x:c r="A214" s="8" t="str">
        <x:v>V7-Q0209</x:v>
      </x:c>
      <x:c r="B214" s="8" t="str">
        <x:v>Беларусь</x:v>
      </x:c>
      <x:c r="C214" s="8" t="str">
        <x:v>бизнес-клуб</x:v>
      </x:c>
      <x:c r="D214" s="8" t="str">
        <x:v>приглашаем образовательных провайдеров бизнес-клуб Беларусь</x:v>
      </x:c>
      <x:c r="E214" s="8" t="str">
        <x:v>Шаблон — не запускался</x:v>
      </x:c>
    </x:row>
    <x:row r="215" ht="33" customHeight="1">
      <x:c r="A215" s="8" t="str">
        <x:v>V7-Q0210</x:v>
      </x:c>
      <x:c r="B215" s="8" t="str">
        <x:v>Беларусь</x:v>
      </x:c>
      <x:c r="C215" s="8" t="str">
        <x:v>бизнес-клуб</x:v>
      </x:c>
      <x:c r="D215" s="8" t="str">
        <x:v>собираем предложения по обучению на следующий год бизнес-клуб Беларусь</x:v>
      </x:c>
      <x:c r="E215" s="8" t="str">
        <x:v>Шаблон — не запускался</x:v>
      </x:c>
    </x:row>
    <x:row r="216" ht="33" customHeight="1">
      <x:c r="A216" s="8" t="str">
        <x:v>V7-Q0211</x:v>
      </x:c>
      <x:c r="B216" s="8" t="str">
        <x:v>Беларусь</x:v>
      </x:c>
      <x:c r="C216" s="8" t="str">
        <x:v>бизнес-клуб</x:v>
      </x:c>
      <x:c r="D216" s="8" t="str">
        <x:v>кого пригласить на стратегическую сессию бизнес-клуб Беларусь</x:v>
      </x:c>
      <x:c r="E216" s="8" t="str">
        <x:v>Шаблон — не запускался</x:v>
      </x:c>
    </x:row>
    <x:row r="217" ht="33" customHeight="1">
      <x:c r="A217" s="8" t="str">
        <x:v>V7-Q0212</x:v>
      </x:c>
      <x:c r="B217" s="8" t="str">
        <x:v>Беларусь</x:v>
      </x:c>
      <x:c r="C217" s="8" t="str">
        <x:v>бизнес-клуб</x:v>
      </x:c>
      <x:c r="D217" s="8" t="str">
        <x:v>срочно заменить преподавателя бизнес-клуб Беларусь</x:v>
      </x:c>
      <x:c r="E217" s="8" t="str">
        <x:v>Шаблон — не запускался</x:v>
      </x:c>
    </x:row>
    <x:row r="218" ht="33" customHeight="1">
      <x:c r="A218" s="8" t="str">
        <x:v>V7-Q0213</x:v>
      </x:c>
      <x:c r="B218" s="8" t="str">
        <x:v>Беларусь</x:v>
      </x:c>
      <x:c r="C218" s="8" t="str">
        <x:v>бизнес-клуб</x:v>
      </x:c>
      <x:c r="D218" s="8" t="str">
        <x:v>запускаем филиал нужна адаптация сотрудников бизнес-клуб Беларусь</x:v>
      </x:c>
      <x:c r="E218" s="8" t="str">
        <x:v>Шаблон — не запускался</x:v>
      </x:c>
    </x:row>
    <x:row r="219" ht="33" customHeight="1">
      <x:c r="A219" s="8" t="str">
        <x:v>V7-Q0214</x:v>
      </x:c>
      <x:c r="B219" s="8" t="str">
        <x:v>Беларусь</x:v>
      </x:c>
      <x:c r="C219" s="8" t="str">
        <x:v>бизнес-клуб</x:v>
      </x:c>
      <x:c r="D219" s="8" t="str">
        <x:v>как обучить менеджеров работе с конфликтными клиентами бизнес-клуб Беларусь</x:v>
      </x:c>
      <x:c r="E219" s="8" t="str">
        <x:v>Шаблон — не запускался</x:v>
      </x:c>
    </x:row>
    <x:row r="220" ht="33" customHeight="1">
      <x:c r="A220" s="8" t="str">
        <x:v>V7-Q0215</x:v>
      </x:c>
      <x:c r="B220" s="8" t="str">
        <x:v>Беларусь</x:v>
      </x:c>
      <x:c r="C220" s="8" t="str">
        <x:v>бизнес-клуб</x:v>
      </x:c>
      <x:c r="D220" s="8" t="str">
        <x:v>ищем методолога для базы знаний бизнес-клуб Беларусь</x:v>
      </x:c>
      <x:c r="E220" s="8" t="str">
        <x:v>Шаблон — не запускался</x:v>
      </x:c>
    </x:row>
    <x:row r="221" ht="33" customHeight="1">
      <x:c r="A221" s="8" t="str">
        <x:v>V7-Q0216</x:v>
      </x:c>
      <x:c r="B221" s="8" t="str">
        <x:v>Беларусь</x:v>
      </x:c>
      <x:c r="C221" s="8" t="str">
        <x:v>бизнес-клуб</x:v>
      </x:c>
      <x:c r="D221" s="8" t="str">
        <x:v>нужна программа развития кадрового резерва бизнес-клуб Беларусь</x:v>
      </x:c>
      <x:c r="E221" s="8" t="str">
        <x:v>Шаблон — не запускался</x:v>
      </x:c>
    </x:row>
    <x:row r="222" ht="33" customHeight="1">
      <x:c r="A222" s="8" t="str">
        <x:v>V7-Q0217</x:v>
      </x:c>
      <x:c r="B222" s="8" t="str">
        <x:v>Беларусь</x:v>
      </x:c>
      <x:c r="C222" s="8" t="str">
        <x:v>ассоциация</x:v>
      </x:c>
      <x:c r="D222" s="8" t="str">
        <x:v>посоветуйте тренера для команды ассоциация Беларусь</x:v>
      </x:c>
      <x:c r="E222" s="8" t="str">
        <x:v>Шаблон — не запускался</x:v>
      </x:c>
    </x:row>
    <x:row r="223" ht="33" customHeight="1">
      <x:c r="A223" s="8" t="str">
        <x:v>V7-Q0218</x:v>
      </x:c>
      <x:c r="B223" s="8" t="str">
        <x:v>Беларусь</x:v>
      </x:c>
      <x:c r="C223" s="8" t="str">
        <x:v>ассоциация</x:v>
      </x:c>
      <x:c r="D223" s="8" t="str">
        <x:v>кто поможет поставить работу руководителей ассоциация Беларусь</x:v>
      </x:c>
      <x:c r="E223" s="8" t="str">
        <x:v>Шаблон — не запускался</x:v>
      </x:c>
    </x:row>
    <x:row r="224" ht="33" customHeight="1">
      <x:c r="A224" s="8" t="str">
        <x:v>V7-Q0219</x:v>
      </x:c>
      <x:c r="B224" s="8" t="str">
        <x:v>Беларусь</x:v>
      </x:c>
      <x:c r="C224" s="8" t="str">
        <x:v>ассоциация</x:v>
      </x:c>
      <x:c r="D224" s="8" t="str">
        <x:v>ищем разработчика электронного курса ассоциация Беларусь</x:v>
      </x:c>
      <x:c r="E224" s="8" t="str">
        <x:v>Шаблон — не запускался</x:v>
      </x:c>
    </x:row>
    <x:row r="225" ht="33" customHeight="1">
      <x:c r="A225" s="8" t="str">
        <x:v>V7-Q0220</x:v>
      </x:c>
      <x:c r="B225" s="8" t="str">
        <x:v>Беларусь</x:v>
      </x:c>
      <x:c r="C225" s="8" t="str">
        <x:v>ассоциация</x:v>
      </x:c>
      <x:c r="D225" s="8" t="str">
        <x:v>нужен внешний эксперт для внутренней программы ассоциация Беларусь</x:v>
      </x:c>
      <x:c r="E225" s="8" t="str">
        <x:v>Шаблон — не запускался</x:v>
      </x:c>
    </x:row>
    <x:row r="226" ht="33" customHeight="1">
      <x:c r="A226" s="8" t="str">
        <x:v>V7-Q0221</x:v>
      </x:c>
      <x:c r="B226" s="8" t="str">
        <x:v>Беларусь</x:v>
      </x:c>
      <x:c r="C226" s="8" t="str">
        <x:v>ассоциация</x:v>
      </x:c>
      <x:c r="D226" s="8" t="str">
        <x:v>приглашаем образовательных провайдеров ассоциация Беларусь</x:v>
      </x:c>
      <x:c r="E226" s="8" t="str">
        <x:v>Шаблон — не запускался</x:v>
      </x:c>
    </x:row>
    <x:row r="227" ht="33" customHeight="1">
      <x:c r="A227" s="8" t="str">
        <x:v>V7-Q0222</x:v>
      </x:c>
      <x:c r="B227" s="8" t="str">
        <x:v>Беларусь</x:v>
      </x:c>
      <x:c r="C227" s="8" t="str">
        <x:v>ассоциация</x:v>
      </x:c>
      <x:c r="D227" s="8" t="str">
        <x:v>собираем предложения по обучению на следующий год ассоциация Беларусь</x:v>
      </x:c>
      <x:c r="E227" s="8" t="str">
        <x:v>Шаблон — не запускался</x:v>
      </x:c>
    </x:row>
    <x:row r="228" ht="33" customHeight="1">
      <x:c r="A228" s="8" t="str">
        <x:v>V7-Q0223</x:v>
      </x:c>
      <x:c r="B228" s="8" t="str">
        <x:v>Беларусь</x:v>
      </x:c>
      <x:c r="C228" s="8" t="str">
        <x:v>ассоциация</x:v>
      </x:c>
      <x:c r="D228" s="8" t="str">
        <x:v>кого пригласить на стратегическую сессию ассоциация Беларусь</x:v>
      </x:c>
      <x:c r="E228" s="8" t="str">
        <x:v>Шаблон — не запускался</x:v>
      </x:c>
    </x:row>
    <x:row r="229" ht="33" customHeight="1">
      <x:c r="A229" s="8" t="str">
        <x:v>V7-Q0224</x:v>
      </x:c>
      <x:c r="B229" s="8" t="str">
        <x:v>Беларусь</x:v>
      </x:c>
      <x:c r="C229" s="8" t="str">
        <x:v>ассоциация</x:v>
      </x:c>
      <x:c r="D229" s="8" t="str">
        <x:v>срочно заменить преподавателя ассоциация Беларусь</x:v>
      </x:c>
      <x:c r="E229" s="8" t="str">
        <x:v>Шаблон — не запускался</x:v>
      </x:c>
    </x:row>
    <x:row r="230" ht="33" customHeight="1">
      <x:c r="A230" s="8" t="str">
        <x:v>V7-Q0225</x:v>
      </x:c>
      <x:c r="B230" s="8" t="str">
        <x:v>Беларусь</x:v>
      </x:c>
      <x:c r="C230" s="8" t="str">
        <x:v>ассоциация</x:v>
      </x:c>
      <x:c r="D230" s="8" t="str">
        <x:v>запускаем филиал нужна адаптация сотрудников ассоциация Беларусь</x:v>
      </x:c>
      <x:c r="E230" s="8" t="str">
        <x:v>Шаблон — не запускался</x:v>
      </x:c>
    </x:row>
    <x:row r="231" ht="33" customHeight="1">
      <x:c r="A231" s="8" t="str">
        <x:v>V7-Q0226</x:v>
      </x:c>
      <x:c r="B231" s="8" t="str">
        <x:v>Беларусь</x:v>
      </x:c>
      <x:c r="C231" s="8" t="str">
        <x:v>ассоциация</x:v>
      </x:c>
      <x:c r="D231" s="8" t="str">
        <x:v>как обучить менеджеров работе с конфликтными клиентами ассоциация Беларусь</x:v>
      </x:c>
      <x:c r="E231" s="8" t="str">
        <x:v>Шаблон — не запускался</x:v>
      </x:c>
    </x:row>
    <x:row r="232" ht="33" customHeight="1">
      <x:c r="A232" s="8" t="str">
        <x:v>V7-Q0227</x:v>
      </x:c>
      <x:c r="B232" s="8" t="str">
        <x:v>Беларусь</x:v>
      </x:c>
      <x:c r="C232" s="8" t="str">
        <x:v>ассоциация</x:v>
      </x:c>
      <x:c r="D232" s="8" t="str">
        <x:v>ищем методолога для базы знаний ассоциация Беларусь</x:v>
      </x:c>
      <x:c r="E232" s="8" t="str">
        <x:v>Шаблон — не запускался</x:v>
      </x:c>
    </x:row>
    <x:row r="233" ht="33" customHeight="1">
      <x:c r="A233" s="8" t="str">
        <x:v>V7-Q0228</x:v>
      </x:c>
      <x:c r="B233" s="8" t="str">
        <x:v>Беларусь</x:v>
      </x:c>
      <x:c r="C233" s="8" t="str">
        <x:v>ассоциация</x:v>
      </x:c>
      <x:c r="D233" s="8" t="str">
        <x:v>нужна программа развития кадрового резерва ассоциация Беларусь</x:v>
      </x:c>
      <x:c r="E233" s="8" t="str">
        <x:v>Шаблон — не запускался</x:v>
      </x:c>
    </x:row>
    <x:row r="234" ht="33" customHeight="1">
      <x:c r="A234" s="8" t="str">
        <x:v>V7-Q0229</x:v>
      </x:c>
      <x:c r="B234" s="8" t="str">
        <x:v>Беларусь</x:v>
      </x:c>
      <x:c r="C234" s="8" t="str">
        <x:v>LMS интегратор</x:v>
      </x:c>
      <x:c r="D234" s="8" t="str">
        <x:v>посоветуйте тренера для команды LMS интегратор Беларусь</x:v>
      </x:c>
      <x:c r="E234" s="8" t="str">
        <x:v>Шаблон — не запускался</x:v>
      </x:c>
    </x:row>
    <x:row r="235" ht="33" customHeight="1">
      <x:c r="A235" s="8" t="str">
        <x:v>V7-Q0230</x:v>
      </x:c>
      <x:c r="B235" s="8" t="str">
        <x:v>Беларусь</x:v>
      </x:c>
      <x:c r="C235" s="8" t="str">
        <x:v>LMS интегратор</x:v>
      </x:c>
      <x:c r="D235" s="8" t="str">
        <x:v>кто поможет поставить работу руководителей LMS интегратор Беларусь</x:v>
      </x:c>
      <x:c r="E235" s="8" t="str">
        <x:v>Шаблон — не запускался</x:v>
      </x:c>
    </x:row>
    <x:row r="236" ht="33" customHeight="1">
      <x:c r="A236" s="8" t="str">
        <x:v>V7-Q0231</x:v>
      </x:c>
      <x:c r="B236" s="8" t="str">
        <x:v>Беларусь</x:v>
      </x:c>
      <x:c r="C236" s="8" t="str">
        <x:v>LMS интегратор</x:v>
      </x:c>
      <x:c r="D236" s="8" t="str">
        <x:v>ищем разработчика электронного курса LMS интегратор Беларусь</x:v>
      </x:c>
      <x:c r="E236" s="8" t="str">
        <x:v>Шаблон — не запускался</x:v>
      </x:c>
    </x:row>
    <x:row r="237" ht="33" customHeight="1">
      <x:c r="A237" s="8" t="str">
        <x:v>V7-Q0232</x:v>
      </x:c>
      <x:c r="B237" s="8" t="str">
        <x:v>Беларусь</x:v>
      </x:c>
      <x:c r="C237" s="8" t="str">
        <x:v>LMS интегратор</x:v>
      </x:c>
      <x:c r="D237" s="8" t="str">
        <x:v>нужен внешний эксперт для внутренней программы LMS интегратор Беларусь</x:v>
      </x:c>
      <x:c r="E237" s="8" t="str">
        <x:v>Шаблон — не запускался</x:v>
      </x:c>
    </x:row>
    <x:row r="238" ht="33" customHeight="1">
      <x:c r="A238" s="8" t="str">
        <x:v>V7-Q0233</x:v>
      </x:c>
      <x:c r="B238" s="8" t="str">
        <x:v>Беларусь</x:v>
      </x:c>
      <x:c r="C238" s="8" t="str">
        <x:v>LMS интегратор</x:v>
      </x:c>
      <x:c r="D238" s="8" t="str">
        <x:v>приглашаем образовательных провайдеров LMS интегратор Беларусь</x:v>
      </x:c>
      <x:c r="E238" s="8" t="str">
        <x:v>Шаблон — не запускался</x:v>
      </x:c>
    </x:row>
    <x:row r="239" ht="33" customHeight="1">
      <x:c r="A239" s="8" t="str">
        <x:v>V7-Q0234</x:v>
      </x:c>
      <x:c r="B239" s="8" t="str">
        <x:v>Беларусь</x:v>
      </x:c>
      <x:c r="C239" s="8" t="str">
        <x:v>LMS интегратор</x:v>
      </x:c>
      <x:c r="D239" s="8" t="str">
        <x:v>собираем предложения по обучению на следующий год LMS интегратор Беларусь</x:v>
      </x:c>
      <x:c r="E239" s="8" t="str">
        <x:v>Шаблон — не запускался</x:v>
      </x:c>
    </x:row>
    <x:row r="240" ht="33" customHeight="1">
      <x:c r="A240" s="8" t="str">
        <x:v>V7-Q0235</x:v>
      </x:c>
      <x:c r="B240" s="8" t="str">
        <x:v>Беларусь</x:v>
      </x:c>
      <x:c r="C240" s="8" t="str">
        <x:v>LMS интегратор</x:v>
      </x:c>
      <x:c r="D240" s="8" t="str">
        <x:v>кого пригласить на стратегическую сессию LMS интегратор Беларусь</x:v>
      </x:c>
      <x:c r="E240" s="8" t="str">
        <x:v>Шаблон — не запускался</x:v>
      </x:c>
    </x:row>
    <x:row r="241" ht="33" customHeight="1">
      <x:c r="A241" s="8" t="str">
        <x:v>V7-Q0236</x:v>
      </x:c>
      <x:c r="B241" s="8" t="str">
        <x:v>Беларусь</x:v>
      </x:c>
      <x:c r="C241" s="8" t="str">
        <x:v>LMS интегратор</x:v>
      </x:c>
      <x:c r="D241" s="8" t="str">
        <x:v>срочно заменить преподавателя LMS интегратор Беларусь</x:v>
      </x:c>
      <x:c r="E241" s="8" t="str">
        <x:v>Шаблон — не запускался</x:v>
      </x:c>
    </x:row>
    <x:row r="242" ht="33" customHeight="1">
      <x:c r="A242" s="8" t="str">
        <x:v>V7-Q0237</x:v>
      </x:c>
      <x:c r="B242" s="8" t="str">
        <x:v>Беларусь</x:v>
      </x:c>
      <x:c r="C242" s="8" t="str">
        <x:v>LMS интегратор</x:v>
      </x:c>
      <x:c r="D242" s="8" t="str">
        <x:v>запускаем филиал нужна адаптация сотрудников LMS интегратор Беларусь</x:v>
      </x:c>
      <x:c r="E242" s="8" t="str">
        <x:v>Шаблон — не запускался</x:v>
      </x:c>
    </x:row>
    <x:row r="243" ht="33" customHeight="1">
      <x:c r="A243" s="8" t="str">
        <x:v>V7-Q0238</x:v>
      </x:c>
      <x:c r="B243" s="8" t="str">
        <x:v>Беларусь</x:v>
      </x:c>
      <x:c r="C243" s="8" t="str">
        <x:v>LMS интегратор</x:v>
      </x:c>
      <x:c r="D243" s="8" t="str">
        <x:v>как обучить менеджеров работе с конфликтными клиентами LMS интегратор Беларусь</x:v>
      </x:c>
      <x:c r="E243" s="8" t="str">
        <x:v>Шаблон — не запускался</x:v>
      </x:c>
    </x:row>
    <x:row r="244" ht="33" customHeight="1">
      <x:c r="A244" s="8" t="str">
        <x:v>V7-Q0239</x:v>
      </x:c>
      <x:c r="B244" s="8" t="str">
        <x:v>Беларусь</x:v>
      </x:c>
      <x:c r="C244" s="8" t="str">
        <x:v>LMS интегратор</x:v>
      </x:c>
      <x:c r="D244" s="8" t="str">
        <x:v>ищем методолога для базы знаний LMS интегратор Беларусь</x:v>
      </x:c>
      <x:c r="E244" s="8" t="str">
        <x:v>Шаблон — не запускался</x:v>
      </x:c>
    </x:row>
    <x:row r="245" ht="33" customHeight="1">
      <x:c r="A245" s="8" t="str">
        <x:v>V7-Q0240</x:v>
      </x:c>
      <x:c r="B245" s="8" t="str">
        <x:v>Беларусь</x:v>
      </x:c>
      <x:c r="C245" s="8" t="str">
        <x:v>LMS интегратор</x:v>
      </x:c>
      <x:c r="D245" s="8" t="str">
        <x:v>нужна программа развития кадрового резерва LMS интегратор Беларусь</x:v>
      </x:c>
      <x:c r="E245" s="8" t="str">
        <x:v>Шаблон — не запускался</x:v>
      </x:c>
    </x:row>
    <x:row r="246" ht="33" customHeight="1">
      <x:c r="A246" s="8" t="str">
        <x:v>V7-Q0241</x:v>
      </x:c>
      <x:c r="B246" s="8" t="str">
        <x:v>Казахстан</x:v>
      </x:c>
      <x:c r="C246" s="8" t="str">
        <x:v>HR L&amp;D</x:v>
      </x:c>
      <x:c r="D246" s="8" t="str">
        <x:v>посоветуйте тренера для команды HR L&amp;D Казахстан</x:v>
      </x:c>
      <x:c r="E246" s="8" t="str">
        <x:v>Шаблон — не запускался</x:v>
      </x:c>
    </x:row>
    <x:row r="247" ht="33" customHeight="1">
      <x:c r="A247" s="8" t="str">
        <x:v>V7-Q0242</x:v>
      </x:c>
      <x:c r="B247" s="8" t="str">
        <x:v>Казахстан</x:v>
      </x:c>
      <x:c r="C247" s="8" t="str">
        <x:v>HR L&amp;D</x:v>
      </x:c>
      <x:c r="D247" s="8" t="str">
        <x:v>кто поможет поставить работу руководителей HR L&amp;D Казахстан</x:v>
      </x:c>
      <x:c r="E247" s="8" t="str">
        <x:v>Шаблон — не запускался</x:v>
      </x:c>
    </x:row>
    <x:row r="248" ht="33" customHeight="1">
      <x:c r="A248" s="8" t="str">
        <x:v>V7-Q0243</x:v>
      </x:c>
      <x:c r="B248" s="8" t="str">
        <x:v>Казахстан</x:v>
      </x:c>
      <x:c r="C248" s="8" t="str">
        <x:v>HR L&amp;D</x:v>
      </x:c>
      <x:c r="D248" s="8" t="str">
        <x:v>ищем разработчика электронного курса HR L&amp;D Казахстан</x:v>
      </x:c>
      <x:c r="E248" s="8" t="str">
        <x:v>Шаблон — не запускался</x:v>
      </x:c>
    </x:row>
    <x:row r="249" ht="33" customHeight="1">
      <x:c r="A249" s="8" t="str">
        <x:v>V7-Q0244</x:v>
      </x:c>
      <x:c r="B249" s="8" t="str">
        <x:v>Казахстан</x:v>
      </x:c>
      <x:c r="C249" s="8" t="str">
        <x:v>HR L&amp;D</x:v>
      </x:c>
      <x:c r="D249" s="8" t="str">
        <x:v>нужен внешний эксперт для внутренней программы HR L&amp;D Казахстан</x:v>
      </x:c>
      <x:c r="E249" s="8" t="str">
        <x:v>Шаблон — не запускался</x:v>
      </x:c>
    </x:row>
    <x:row r="250" ht="33" customHeight="1">
      <x:c r="A250" s="8" t="str">
        <x:v>V7-Q0245</x:v>
      </x:c>
      <x:c r="B250" s="8" t="str">
        <x:v>Казахстан</x:v>
      </x:c>
      <x:c r="C250" s="8" t="str">
        <x:v>HR L&amp;D</x:v>
      </x:c>
      <x:c r="D250" s="8" t="str">
        <x:v>приглашаем образовательных провайдеров HR L&amp;D Казахстан</x:v>
      </x:c>
      <x:c r="E250" s="8" t="str">
        <x:v>Шаблон — не запускался</x:v>
      </x:c>
    </x:row>
    <x:row r="251" ht="33" customHeight="1">
      <x:c r="A251" s="8" t="str">
        <x:v>V7-Q0246</x:v>
      </x:c>
      <x:c r="B251" s="8" t="str">
        <x:v>Казахстан</x:v>
      </x:c>
      <x:c r="C251" s="8" t="str">
        <x:v>HR L&amp;D</x:v>
      </x:c>
      <x:c r="D251" s="8" t="str">
        <x:v>собираем предложения по обучению на следующий год HR L&amp;D Казахстан</x:v>
      </x:c>
      <x:c r="E251" s="8" t="str">
        <x:v>Шаблон — не запускался</x:v>
      </x:c>
    </x:row>
    <x:row r="252" ht="33" customHeight="1">
      <x:c r="A252" s="8" t="str">
        <x:v>V7-Q0247</x:v>
      </x:c>
      <x:c r="B252" s="8" t="str">
        <x:v>Казахстан</x:v>
      </x:c>
      <x:c r="C252" s="8" t="str">
        <x:v>HR L&amp;D</x:v>
      </x:c>
      <x:c r="D252" s="8" t="str">
        <x:v>кого пригласить на стратегическую сессию HR L&amp;D Казахстан</x:v>
      </x:c>
      <x:c r="E252" s="8" t="str">
        <x:v>Шаблон — не запускался</x:v>
      </x:c>
    </x:row>
    <x:row r="253" ht="33" customHeight="1">
      <x:c r="A253" s="8" t="str">
        <x:v>V7-Q0248</x:v>
      </x:c>
      <x:c r="B253" s="8" t="str">
        <x:v>Казахстан</x:v>
      </x:c>
      <x:c r="C253" s="8" t="str">
        <x:v>HR L&amp;D</x:v>
      </x:c>
      <x:c r="D253" s="8" t="str">
        <x:v>срочно заменить преподавателя HR L&amp;D Казахстан</x:v>
      </x:c>
      <x:c r="E253" s="8" t="str">
        <x:v>Шаблон — не запускался</x:v>
      </x:c>
    </x:row>
    <x:row r="254" ht="33" customHeight="1">
      <x:c r="A254" s="8" t="str">
        <x:v>V7-Q0249</x:v>
      </x:c>
      <x:c r="B254" s="8" t="str">
        <x:v>Казахстан</x:v>
      </x:c>
      <x:c r="C254" s="8" t="str">
        <x:v>HR L&amp;D</x:v>
      </x:c>
      <x:c r="D254" s="8" t="str">
        <x:v>запускаем филиал нужна адаптация сотрудников HR L&amp;D Казахстан</x:v>
      </x:c>
      <x:c r="E254" s="8" t="str">
        <x:v>Шаблон — не запускался</x:v>
      </x:c>
    </x:row>
    <x:row r="255" ht="33" customHeight="1">
      <x:c r="A255" s="8" t="str">
        <x:v>V7-Q0250</x:v>
      </x:c>
      <x:c r="B255" s="8" t="str">
        <x:v>Казахстан</x:v>
      </x:c>
      <x:c r="C255" s="8" t="str">
        <x:v>HR L&amp;D</x:v>
      </x:c>
      <x:c r="D255" s="8" t="str">
        <x:v>как обучить менеджеров работе с конфликтными клиентами HR L&amp;D Казахстан</x:v>
      </x:c>
      <x:c r="E255" s="8" t="str">
        <x:v>Шаблон — не запускался</x:v>
      </x:c>
    </x:row>
    <x:row r="256" ht="33" customHeight="1">
      <x:c r="A256" s="8" t="str">
        <x:v>V7-Q0251</x:v>
      </x:c>
      <x:c r="B256" s="8" t="str">
        <x:v>Казахстан</x:v>
      </x:c>
      <x:c r="C256" s="8" t="str">
        <x:v>HR L&amp;D</x:v>
      </x:c>
      <x:c r="D256" s="8" t="str">
        <x:v>ищем методолога для базы знаний HR L&amp;D Казахстан</x:v>
      </x:c>
      <x:c r="E256" s="8" t="str">
        <x:v>Шаблон — не запускался</x:v>
      </x:c>
    </x:row>
    <x:row r="257" ht="33" customHeight="1">
      <x:c r="A257" s="8" t="str">
        <x:v>V7-Q0252</x:v>
      </x:c>
      <x:c r="B257" s="8" t="str">
        <x:v>Казахстан</x:v>
      </x:c>
      <x:c r="C257" s="8" t="str">
        <x:v>HR L&amp;D</x:v>
      </x:c>
      <x:c r="D257" s="8" t="str">
        <x:v>нужна программа развития кадрового резерва HR L&amp;D Казахстан</x:v>
      </x:c>
      <x:c r="E257" s="8" t="str">
        <x:v>Шаблон — не запускался</x:v>
      </x:c>
    </x:row>
    <x:row r="258" ht="33" customHeight="1">
      <x:c r="A258" s="8" t="str">
        <x:v>V7-Q0253</x:v>
      </x:c>
      <x:c r="B258" s="8" t="str">
        <x:v>Казахстан</x:v>
      </x:c>
      <x:c r="C258" s="8" t="str">
        <x:v>закупки</x:v>
      </x:c>
      <x:c r="D258" s="8" t="str">
        <x:v>посоветуйте тренера для команды закупки Казахстан</x:v>
      </x:c>
      <x:c r="E258" s="8" t="str">
        <x:v>Шаблон — не запускался</x:v>
      </x:c>
    </x:row>
    <x:row r="259" ht="33" customHeight="1">
      <x:c r="A259" s="8" t="str">
        <x:v>V7-Q0254</x:v>
      </x:c>
      <x:c r="B259" s="8" t="str">
        <x:v>Казахстан</x:v>
      </x:c>
      <x:c r="C259" s="8" t="str">
        <x:v>закупки</x:v>
      </x:c>
      <x:c r="D259" s="8" t="str">
        <x:v>кто поможет поставить работу руководителей закупки Казахстан</x:v>
      </x:c>
      <x:c r="E259" s="8" t="str">
        <x:v>Шаблон — не запускался</x:v>
      </x:c>
    </x:row>
    <x:row r="260" ht="33" customHeight="1">
      <x:c r="A260" s="8" t="str">
        <x:v>V7-Q0255</x:v>
      </x:c>
      <x:c r="B260" s="8" t="str">
        <x:v>Казахстан</x:v>
      </x:c>
      <x:c r="C260" s="8" t="str">
        <x:v>закупки</x:v>
      </x:c>
      <x:c r="D260" s="8" t="str">
        <x:v>ищем разработчика электронного курса закупки Казахстан</x:v>
      </x:c>
      <x:c r="E260" s="8" t="str">
        <x:v>Шаблон — не запускался</x:v>
      </x:c>
    </x:row>
    <x:row r="261" ht="33" customHeight="1">
      <x:c r="A261" s="8" t="str">
        <x:v>V7-Q0256</x:v>
      </x:c>
      <x:c r="B261" s="8" t="str">
        <x:v>Казахстан</x:v>
      </x:c>
      <x:c r="C261" s="8" t="str">
        <x:v>закупки</x:v>
      </x:c>
      <x:c r="D261" s="8" t="str">
        <x:v>нужен внешний эксперт для внутренней программы закупки Казахстан</x:v>
      </x:c>
      <x:c r="E261" s="8" t="str">
        <x:v>Шаблон — не запускался</x:v>
      </x:c>
    </x:row>
    <x:row r="262" ht="33" customHeight="1">
      <x:c r="A262" s="8" t="str">
        <x:v>V7-Q0257</x:v>
      </x:c>
      <x:c r="B262" s="8" t="str">
        <x:v>Казахстан</x:v>
      </x:c>
      <x:c r="C262" s="8" t="str">
        <x:v>закупки</x:v>
      </x:c>
      <x:c r="D262" s="8" t="str">
        <x:v>приглашаем образовательных провайдеров закупки Казахстан</x:v>
      </x:c>
      <x:c r="E262" s="8" t="str">
        <x:v>Шаблон — не запускался</x:v>
      </x:c>
    </x:row>
    <x:row r="263" ht="33" customHeight="1">
      <x:c r="A263" s="8" t="str">
        <x:v>V7-Q0258</x:v>
      </x:c>
      <x:c r="B263" s="8" t="str">
        <x:v>Казахстан</x:v>
      </x:c>
      <x:c r="C263" s="8" t="str">
        <x:v>закупки</x:v>
      </x:c>
      <x:c r="D263" s="8" t="str">
        <x:v>собираем предложения по обучению на следующий год закупки Казахстан</x:v>
      </x:c>
      <x:c r="E263" s="8" t="str">
        <x:v>Шаблон — не запускался</x:v>
      </x:c>
    </x:row>
    <x:row r="264" ht="33" customHeight="1">
      <x:c r="A264" s="8" t="str">
        <x:v>V7-Q0259</x:v>
      </x:c>
      <x:c r="B264" s="8" t="str">
        <x:v>Казахстан</x:v>
      </x:c>
      <x:c r="C264" s="8" t="str">
        <x:v>закупки</x:v>
      </x:c>
      <x:c r="D264" s="8" t="str">
        <x:v>кого пригласить на стратегическую сессию закупки Казахстан</x:v>
      </x:c>
      <x:c r="E264" s="8" t="str">
        <x:v>Шаблон — не запускался</x:v>
      </x:c>
    </x:row>
    <x:row r="265" ht="33" customHeight="1">
      <x:c r="A265" s="8" t="str">
        <x:v>V7-Q0260</x:v>
      </x:c>
      <x:c r="B265" s="8" t="str">
        <x:v>Казахстан</x:v>
      </x:c>
      <x:c r="C265" s="8" t="str">
        <x:v>закупки</x:v>
      </x:c>
      <x:c r="D265" s="8" t="str">
        <x:v>срочно заменить преподавателя закупки Казахстан</x:v>
      </x:c>
      <x:c r="E265" s="8" t="str">
        <x:v>Шаблон — не запускался</x:v>
      </x:c>
    </x:row>
    <x:row r="266" ht="33" customHeight="1">
      <x:c r="A266" s="8" t="str">
        <x:v>V7-Q0261</x:v>
      </x:c>
      <x:c r="B266" s="8" t="str">
        <x:v>Казахстан</x:v>
      </x:c>
      <x:c r="C266" s="8" t="str">
        <x:v>закупки</x:v>
      </x:c>
      <x:c r="D266" s="8" t="str">
        <x:v>запускаем филиал нужна адаптация сотрудников закупки Казахстан</x:v>
      </x:c>
      <x:c r="E266" s="8" t="str">
        <x:v>Шаблон — не запускался</x:v>
      </x:c>
    </x:row>
    <x:row r="267" ht="33" customHeight="1">
      <x:c r="A267" s="8" t="str">
        <x:v>V7-Q0262</x:v>
      </x:c>
      <x:c r="B267" s="8" t="str">
        <x:v>Казахстан</x:v>
      </x:c>
      <x:c r="C267" s="8" t="str">
        <x:v>закупки</x:v>
      </x:c>
      <x:c r="D267" s="8" t="str">
        <x:v>как обучить менеджеров работе с конфликтными клиентами закупки Казахстан</x:v>
      </x:c>
      <x:c r="E267" s="8" t="str">
        <x:v>Шаблон — не запускался</x:v>
      </x:c>
    </x:row>
    <x:row r="268" ht="33" customHeight="1">
      <x:c r="A268" s="8" t="str">
        <x:v>V7-Q0263</x:v>
      </x:c>
      <x:c r="B268" s="8" t="str">
        <x:v>Казахстан</x:v>
      </x:c>
      <x:c r="C268" s="8" t="str">
        <x:v>закупки</x:v>
      </x:c>
      <x:c r="D268" s="8" t="str">
        <x:v>ищем методолога для базы знаний закупки Казахстан</x:v>
      </x:c>
      <x:c r="E268" s="8" t="str">
        <x:v>Шаблон — не запускался</x:v>
      </x:c>
    </x:row>
    <x:row r="269" ht="33" customHeight="1">
      <x:c r="A269" s="8" t="str">
        <x:v>V7-Q0264</x:v>
      </x:c>
      <x:c r="B269" s="8" t="str">
        <x:v>Казахстан</x:v>
      </x:c>
      <x:c r="C269" s="8" t="str">
        <x:v>закупки</x:v>
      </x:c>
      <x:c r="D269" s="8" t="str">
        <x:v>нужна программа развития кадрового резерва закупки Казахстан</x:v>
      </x:c>
      <x:c r="E269" s="8" t="str">
        <x:v>Шаблон — не запускался</x:v>
      </x:c>
    </x:row>
    <x:row r="270" ht="33" customHeight="1">
      <x:c r="A270" s="8" t="str">
        <x:v>V7-Q0265</x:v>
      </x:c>
      <x:c r="B270" s="8" t="str">
        <x:v>Казахстан</x:v>
      </x:c>
      <x:c r="C270" s="8" t="str">
        <x:v>финансовый директор</x:v>
      </x:c>
      <x:c r="D270" s="8" t="str">
        <x:v>посоветуйте тренера для команды финансовый директор Казахстан</x:v>
      </x:c>
      <x:c r="E270" s="8" t="str">
        <x:v>Шаблон — не запускался</x:v>
      </x:c>
    </x:row>
    <x:row r="271" ht="33" customHeight="1">
      <x:c r="A271" s="8" t="str">
        <x:v>V7-Q0266</x:v>
      </x:c>
      <x:c r="B271" s="8" t="str">
        <x:v>Казахстан</x:v>
      </x:c>
      <x:c r="C271" s="8" t="str">
        <x:v>финансовый директор</x:v>
      </x:c>
      <x:c r="D271" s="8" t="str">
        <x:v>кто поможет поставить работу руководителей финансовый директор Казахстан</x:v>
      </x:c>
      <x:c r="E271" s="8" t="str">
        <x:v>Шаблон — не запускался</x:v>
      </x:c>
    </x:row>
    <x:row r="272" ht="33" customHeight="1">
      <x:c r="A272" s="8" t="str">
        <x:v>V7-Q0267</x:v>
      </x:c>
      <x:c r="B272" s="8" t="str">
        <x:v>Казахстан</x:v>
      </x:c>
      <x:c r="C272" s="8" t="str">
        <x:v>финансовый директор</x:v>
      </x:c>
      <x:c r="D272" s="8" t="str">
        <x:v>ищем разработчика электронного курса финансовый директор Казахстан</x:v>
      </x:c>
      <x:c r="E272" s="8" t="str">
        <x:v>Шаблон — не запускался</x:v>
      </x:c>
    </x:row>
    <x:row r="273" ht="33" customHeight="1">
      <x:c r="A273" s="8" t="str">
        <x:v>V7-Q0268</x:v>
      </x:c>
      <x:c r="B273" s="8" t="str">
        <x:v>Казахстан</x:v>
      </x:c>
      <x:c r="C273" s="8" t="str">
        <x:v>финансовый директор</x:v>
      </x:c>
      <x:c r="D273" s="8" t="str">
        <x:v>нужен внешний эксперт для внутренней программы финансовый директор Казахстан</x:v>
      </x:c>
      <x:c r="E273" s="8" t="str">
        <x:v>Шаблон — не запускался</x:v>
      </x:c>
    </x:row>
    <x:row r="274" ht="33" customHeight="1">
      <x:c r="A274" s="8" t="str">
        <x:v>V7-Q0269</x:v>
      </x:c>
      <x:c r="B274" s="8" t="str">
        <x:v>Казахстан</x:v>
      </x:c>
      <x:c r="C274" s="8" t="str">
        <x:v>финансовый директор</x:v>
      </x:c>
      <x:c r="D274" s="8" t="str">
        <x:v>приглашаем образовательных провайдеров финансовый директор Казахстан</x:v>
      </x:c>
      <x:c r="E274" s="8" t="str">
        <x:v>Шаблон — не запускался</x:v>
      </x:c>
    </x:row>
    <x:row r="275" ht="33" customHeight="1">
      <x:c r="A275" s="8" t="str">
        <x:v>V7-Q0270</x:v>
      </x:c>
      <x:c r="B275" s="8" t="str">
        <x:v>Казахстан</x:v>
      </x:c>
      <x:c r="C275" s="8" t="str">
        <x:v>финансовый директор</x:v>
      </x:c>
      <x:c r="D275" s="8" t="str">
        <x:v>собираем предложения по обучению на следующий год финансовый директор Казахстан</x:v>
      </x:c>
      <x:c r="E275" s="8" t="str">
        <x:v>Шаблон — не запускался</x:v>
      </x:c>
    </x:row>
    <x:row r="276" ht="33" customHeight="1">
      <x:c r="A276" s="8" t="str">
        <x:v>V7-Q0271</x:v>
      </x:c>
      <x:c r="B276" s="8" t="str">
        <x:v>Казахстан</x:v>
      </x:c>
      <x:c r="C276" s="8" t="str">
        <x:v>финансовый директор</x:v>
      </x:c>
      <x:c r="D276" s="8" t="str">
        <x:v>кого пригласить на стратегическую сессию финансовый директор Казахстан</x:v>
      </x:c>
      <x:c r="E276" s="8" t="str">
        <x:v>Шаблон — не запускался</x:v>
      </x:c>
    </x:row>
    <x:row r="277" ht="33" customHeight="1">
      <x:c r="A277" s="8" t="str">
        <x:v>V7-Q0272</x:v>
      </x:c>
      <x:c r="B277" s="8" t="str">
        <x:v>Казахстан</x:v>
      </x:c>
      <x:c r="C277" s="8" t="str">
        <x:v>финансовый директор</x:v>
      </x:c>
      <x:c r="D277" s="8" t="str">
        <x:v>срочно заменить преподавателя финансовый директор Казахстан</x:v>
      </x:c>
      <x:c r="E277" s="8" t="str">
        <x:v>Шаблон — не запускался</x:v>
      </x:c>
    </x:row>
    <x:row r="278" ht="33" customHeight="1">
      <x:c r="A278" s="8" t="str">
        <x:v>V7-Q0273</x:v>
      </x:c>
      <x:c r="B278" s="8" t="str">
        <x:v>Казахстан</x:v>
      </x:c>
      <x:c r="C278" s="8" t="str">
        <x:v>финансовый директор</x:v>
      </x:c>
      <x:c r="D278" s="8" t="str">
        <x:v>запускаем филиал нужна адаптация сотрудников финансовый директор Казахстан</x:v>
      </x:c>
      <x:c r="E278" s="8" t="str">
        <x:v>Шаблон — не запускался</x:v>
      </x:c>
    </x:row>
    <x:row r="279" ht="33" customHeight="1">
      <x:c r="A279" s="8" t="str">
        <x:v>V7-Q0274</x:v>
      </x:c>
      <x:c r="B279" s="8" t="str">
        <x:v>Казахстан</x:v>
      </x:c>
      <x:c r="C279" s="8" t="str">
        <x:v>финансовый директор</x:v>
      </x:c>
      <x:c r="D279" s="8" t="str">
        <x:v>как обучить менеджеров работе с конфликтными клиентами финансовый директор Казахстан</x:v>
      </x:c>
      <x:c r="E279" s="8" t="str">
        <x:v>Шаблон — не запускался</x:v>
      </x:c>
    </x:row>
    <x:row r="280" ht="33" customHeight="1">
      <x:c r="A280" s="8" t="str">
        <x:v>V7-Q0275</x:v>
      </x:c>
      <x:c r="B280" s="8" t="str">
        <x:v>Казахстан</x:v>
      </x:c>
      <x:c r="C280" s="8" t="str">
        <x:v>финансовый директор</x:v>
      </x:c>
      <x:c r="D280" s="8" t="str">
        <x:v>ищем методолога для базы знаний финансовый директор Казахстан</x:v>
      </x:c>
      <x:c r="E280" s="8" t="str">
        <x:v>Шаблон — не запускался</x:v>
      </x:c>
    </x:row>
    <x:row r="281" ht="33" customHeight="1">
      <x:c r="A281" s="8" t="str">
        <x:v>V7-Q0276</x:v>
      </x:c>
      <x:c r="B281" s="8" t="str">
        <x:v>Казахстан</x:v>
      </x:c>
      <x:c r="C281" s="8" t="str">
        <x:v>финансовый директор</x:v>
      </x:c>
      <x:c r="D281" s="8" t="str">
        <x:v>нужна программа развития кадрового резерва финансовый директор Казахстан</x:v>
      </x:c>
      <x:c r="E281" s="8" t="str">
        <x:v>Шаблон — не запускался</x:v>
      </x:c>
    </x:row>
    <x:row r="282" ht="33" customHeight="1">
      <x:c r="A282" s="8" t="str">
        <x:v>V7-Q0277</x:v>
      </x:c>
      <x:c r="B282" s="8" t="str">
        <x:v>Казахстан</x:v>
      </x:c>
      <x:c r="C282" s="8" t="str">
        <x:v>директор по продажам</x:v>
      </x:c>
      <x:c r="D282" s="8" t="str">
        <x:v>посоветуйте тренера для команды директор по продажам Казахстан</x:v>
      </x:c>
      <x:c r="E282" s="8" t="str">
        <x:v>Шаблон — не запускался</x:v>
      </x:c>
    </x:row>
    <x:row r="283" ht="33" customHeight="1">
      <x:c r="A283" s="8" t="str">
        <x:v>V7-Q0278</x:v>
      </x:c>
      <x:c r="B283" s="8" t="str">
        <x:v>Казахстан</x:v>
      </x:c>
      <x:c r="C283" s="8" t="str">
        <x:v>директор по продажам</x:v>
      </x:c>
      <x:c r="D283" s="8" t="str">
        <x:v>кто поможет поставить работу руководителей директор по продажам Казахстан</x:v>
      </x:c>
      <x:c r="E283" s="8" t="str">
        <x:v>Шаблон — не запускался</x:v>
      </x:c>
    </x:row>
    <x:row r="284" ht="33" customHeight="1">
      <x:c r="A284" s="8" t="str">
        <x:v>V7-Q0279</x:v>
      </x:c>
      <x:c r="B284" s="8" t="str">
        <x:v>Казахстан</x:v>
      </x:c>
      <x:c r="C284" s="8" t="str">
        <x:v>директор по продажам</x:v>
      </x:c>
      <x:c r="D284" s="8" t="str">
        <x:v>ищем разработчика электронного курса директор по продажам Казахстан</x:v>
      </x:c>
      <x:c r="E284" s="8" t="str">
        <x:v>Шаблон — не запускался</x:v>
      </x:c>
    </x:row>
    <x:row r="285" ht="33" customHeight="1">
      <x:c r="A285" s="8" t="str">
        <x:v>V7-Q0280</x:v>
      </x:c>
      <x:c r="B285" s="8" t="str">
        <x:v>Казахстан</x:v>
      </x:c>
      <x:c r="C285" s="8" t="str">
        <x:v>директор по продажам</x:v>
      </x:c>
      <x:c r="D285" s="8" t="str">
        <x:v>нужен внешний эксперт для внутренней программы директор по продажам Казахстан</x:v>
      </x:c>
      <x:c r="E285" s="8" t="str">
        <x:v>Шаблон — не запускался</x:v>
      </x:c>
    </x:row>
    <x:row r="286" ht="33" customHeight="1">
      <x:c r="A286" s="8" t="str">
        <x:v>V7-Q0281</x:v>
      </x:c>
      <x:c r="B286" s="8" t="str">
        <x:v>Казахстан</x:v>
      </x:c>
      <x:c r="C286" s="8" t="str">
        <x:v>директор по продажам</x:v>
      </x:c>
      <x:c r="D286" s="8" t="str">
        <x:v>приглашаем образовательных провайдеров директор по продажам Казахстан</x:v>
      </x:c>
      <x:c r="E286" s="8" t="str">
        <x:v>Шаблон — не запускался</x:v>
      </x:c>
    </x:row>
    <x:row r="287" ht="33" customHeight="1">
      <x:c r="A287" s="8" t="str">
        <x:v>V7-Q0282</x:v>
      </x:c>
      <x:c r="B287" s="8" t="str">
        <x:v>Казахстан</x:v>
      </x:c>
      <x:c r="C287" s="8" t="str">
        <x:v>директор по продажам</x:v>
      </x:c>
      <x:c r="D287" s="8" t="str">
        <x:v>собираем предложения по обучению на следующий год директор по продажам Казахстан</x:v>
      </x:c>
      <x:c r="E287" s="8" t="str">
        <x:v>Шаблон — не запускался</x:v>
      </x:c>
    </x:row>
    <x:row r="288" ht="33" customHeight="1">
      <x:c r="A288" s="8" t="str">
        <x:v>V7-Q0283</x:v>
      </x:c>
      <x:c r="B288" s="8" t="str">
        <x:v>Казахстан</x:v>
      </x:c>
      <x:c r="C288" s="8" t="str">
        <x:v>директор по продажам</x:v>
      </x:c>
      <x:c r="D288" s="8" t="str">
        <x:v>кого пригласить на стратегическую сессию директор по продажам Казахстан</x:v>
      </x:c>
      <x:c r="E288" s="8" t="str">
        <x:v>Шаблон — не запускался</x:v>
      </x:c>
    </x:row>
    <x:row r="289" ht="33" customHeight="1">
      <x:c r="A289" s="8" t="str">
        <x:v>V7-Q0284</x:v>
      </x:c>
      <x:c r="B289" s="8" t="str">
        <x:v>Казахстан</x:v>
      </x:c>
      <x:c r="C289" s="8" t="str">
        <x:v>директор по продажам</x:v>
      </x:c>
      <x:c r="D289" s="8" t="str">
        <x:v>срочно заменить преподавателя директор по продажам Казахстан</x:v>
      </x:c>
      <x:c r="E289" s="8" t="str">
        <x:v>Шаблон — не запускался</x:v>
      </x:c>
    </x:row>
    <x:row r="290" ht="33" customHeight="1">
      <x:c r="A290" s="8" t="str">
        <x:v>V7-Q0285</x:v>
      </x:c>
      <x:c r="B290" s="8" t="str">
        <x:v>Казахстан</x:v>
      </x:c>
      <x:c r="C290" s="8" t="str">
        <x:v>директор по продажам</x:v>
      </x:c>
      <x:c r="D290" s="8" t="str">
        <x:v>запускаем филиал нужна адаптация сотрудников директор по продажам Казахстан</x:v>
      </x:c>
      <x:c r="E290" s="8" t="str">
        <x:v>Шаблон — не запускался</x:v>
      </x:c>
    </x:row>
    <x:row r="291" ht="33" customHeight="1">
      <x:c r="A291" s="8" t="str">
        <x:v>V7-Q0286</x:v>
      </x:c>
      <x:c r="B291" s="8" t="str">
        <x:v>Казахстан</x:v>
      </x:c>
      <x:c r="C291" s="8" t="str">
        <x:v>директор по продажам</x:v>
      </x:c>
      <x:c r="D291" s="8" t="str">
        <x:v>как обучить менеджеров работе с конфликтными клиентами директор по продажам Казахстан</x:v>
      </x:c>
      <x:c r="E291" s="8" t="str">
        <x:v>Шаблон — не запускался</x:v>
      </x:c>
    </x:row>
    <x:row r="292" ht="33" customHeight="1">
      <x:c r="A292" s="8" t="str">
        <x:v>V7-Q0287</x:v>
      </x:c>
      <x:c r="B292" s="8" t="str">
        <x:v>Казахстан</x:v>
      </x:c>
      <x:c r="C292" s="8" t="str">
        <x:v>директор по продажам</x:v>
      </x:c>
      <x:c r="D292" s="8" t="str">
        <x:v>ищем методолога для базы знаний директор по продажам Казахстан</x:v>
      </x:c>
      <x:c r="E292" s="8" t="str">
        <x:v>Шаблон — не запускался</x:v>
      </x:c>
    </x:row>
    <x:row r="293" ht="33" customHeight="1">
      <x:c r="A293" s="8" t="str">
        <x:v>V7-Q0288</x:v>
      </x:c>
      <x:c r="B293" s="8" t="str">
        <x:v>Казахстан</x:v>
      </x:c>
      <x:c r="C293" s="8" t="str">
        <x:v>директор по продажам</x:v>
      </x:c>
      <x:c r="D293" s="8" t="str">
        <x:v>нужна программа развития кадрового резерва директор по продажам Казахстан</x:v>
      </x:c>
      <x:c r="E293" s="8" t="str">
        <x:v>Шаблон — не запускался</x:v>
      </x:c>
    </x:row>
    <x:row r="294" ht="33" customHeight="1">
      <x:c r="A294" s="8" t="str">
        <x:v>V7-Q0289</x:v>
      </x:c>
      <x:c r="B294" s="8" t="str">
        <x:v>Казахстан</x:v>
      </x:c>
      <x:c r="C294" s="8" t="str">
        <x:v>руководитель качества</x:v>
      </x:c>
      <x:c r="D294" s="8" t="str">
        <x:v>посоветуйте тренера для команды руководитель качества Казахстан</x:v>
      </x:c>
      <x:c r="E294" s="8" t="str">
        <x:v>Шаблон — не запускался</x:v>
      </x:c>
    </x:row>
    <x:row r="295" ht="33" customHeight="1">
      <x:c r="A295" s="8" t="str">
        <x:v>V7-Q0290</x:v>
      </x:c>
      <x:c r="B295" s="8" t="str">
        <x:v>Казахстан</x:v>
      </x:c>
      <x:c r="C295" s="8" t="str">
        <x:v>руководитель качества</x:v>
      </x:c>
      <x:c r="D295" s="8" t="str">
        <x:v>кто поможет поставить работу руководителей руководитель качества Казахстан</x:v>
      </x:c>
      <x:c r="E295" s="8" t="str">
        <x:v>Шаблон — не запускался</x:v>
      </x:c>
    </x:row>
    <x:row r="296" ht="33" customHeight="1">
      <x:c r="A296" s="8" t="str">
        <x:v>V7-Q0291</x:v>
      </x:c>
      <x:c r="B296" s="8" t="str">
        <x:v>Казахстан</x:v>
      </x:c>
      <x:c r="C296" s="8" t="str">
        <x:v>руководитель качества</x:v>
      </x:c>
      <x:c r="D296" s="8" t="str">
        <x:v>ищем разработчика электронного курса руководитель качества Казахстан</x:v>
      </x:c>
      <x:c r="E296" s="8" t="str">
        <x:v>Шаблон — не запускался</x:v>
      </x:c>
    </x:row>
    <x:row r="297" ht="33" customHeight="1">
      <x:c r="A297" s="8" t="str">
        <x:v>V7-Q0292</x:v>
      </x:c>
      <x:c r="B297" s="8" t="str">
        <x:v>Казахстан</x:v>
      </x:c>
      <x:c r="C297" s="8" t="str">
        <x:v>руководитель качества</x:v>
      </x:c>
      <x:c r="D297" s="8" t="str">
        <x:v>нужен внешний эксперт для внутренней программы руководитель качества Казахстан</x:v>
      </x:c>
      <x:c r="E297" s="8" t="str">
        <x:v>Шаблон — не запускался</x:v>
      </x:c>
    </x:row>
    <x:row r="298" ht="33" customHeight="1">
      <x:c r="A298" s="8" t="str">
        <x:v>V7-Q0293</x:v>
      </x:c>
      <x:c r="B298" s="8" t="str">
        <x:v>Казахстан</x:v>
      </x:c>
      <x:c r="C298" s="8" t="str">
        <x:v>руководитель качества</x:v>
      </x:c>
      <x:c r="D298" s="8" t="str">
        <x:v>приглашаем образовательных провайдеров руководитель качества Казахстан</x:v>
      </x:c>
      <x:c r="E298" s="8" t="str">
        <x:v>Шаблон — не запускался</x:v>
      </x:c>
    </x:row>
    <x:row r="299" ht="33" customHeight="1">
      <x:c r="A299" s="8" t="str">
        <x:v>V7-Q0294</x:v>
      </x:c>
      <x:c r="B299" s="8" t="str">
        <x:v>Казахстан</x:v>
      </x:c>
      <x:c r="C299" s="8" t="str">
        <x:v>руководитель качества</x:v>
      </x:c>
      <x:c r="D299" s="8" t="str">
        <x:v>собираем предложения по обучению на следующий год руководитель качества Казахстан</x:v>
      </x:c>
      <x:c r="E299" s="8" t="str">
        <x:v>Шаблон — не запускался</x:v>
      </x:c>
    </x:row>
    <x:row r="300" ht="33" customHeight="1">
      <x:c r="A300" s="8" t="str">
        <x:v>V7-Q0295</x:v>
      </x:c>
      <x:c r="B300" s="8" t="str">
        <x:v>Казахстан</x:v>
      </x:c>
      <x:c r="C300" s="8" t="str">
        <x:v>руководитель качества</x:v>
      </x:c>
      <x:c r="D300" s="8" t="str">
        <x:v>кого пригласить на стратегическую сессию руководитель качества Казахстан</x:v>
      </x:c>
      <x:c r="E300" s="8" t="str">
        <x:v>Шаблон — не запускался</x:v>
      </x:c>
    </x:row>
    <x:row r="301" ht="33" customHeight="1">
      <x:c r="A301" s="8" t="str">
        <x:v>V7-Q0296</x:v>
      </x:c>
      <x:c r="B301" s="8" t="str">
        <x:v>Казахстан</x:v>
      </x:c>
      <x:c r="C301" s="8" t="str">
        <x:v>руководитель качества</x:v>
      </x:c>
      <x:c r="D301" s="8" t="str">
        <x:v>срочно заменить преподавателя руководитель качества Казахстан</x:v>
      </x:c>
      <x:c r="E301" s="8" t="str">
        <x:v>Шаблон — не запускался</x:v>
      </x:c>
    </x:row>
    <x:row r="302" ht="33" customHeight="1">
      <x:c r="A302" s="8" t="str">
        <x:v>V7-Q0297</x:v>
      </x:c>
      <x:c r="B302" s="8" t="str">
        <x:v>Казахстан</x:v>
      </x:c>
      <x:c r="C302" s="8" t="str">
        <x:v>руководитель качества</x:v>
      </x:c>
      <x:c r="D302" s="8" t="str">
        <x:v>запускаем филиал нужна адаптация сотрудников руководитель качества Казахстан</x:v>
      </x:c>
      <x:c r="E302" s="8" t="str">
        <x:v>Шаблон — не запускался</x:v>
      </x:c>
    </x:row>
    <x:row r="303" ht="33" customHeight="1">
      <x:c r="A303" s="8" t="str">
        <x:v>V7-Q0298</x:v>
      </x:c>
      <x:c r="B303" s="8" t="str">
        <x:v>Казахстан</x:v>
      </x:c>
      <x:c r="C303" s="8" t="str">
        <x:v>руководитель качества</x:v>
      </x:c>
      <x:c r="D303" s="8" t="str">
        <x:v>как обучить менеджеров работе с конфликтными клиентами руководитель качества Казахстан</x:v>
      </x:c>
      <x:c r="E303" s="8" t="str">
        <x:v>Шаблон — не запускался</x:v>
      </x:c>
    </x:row>
    <x:row r="304" ht="33" customHeight="1">
      <x:c r="A304" s="8" t="str">
        <x:v>V7-Q0299</x:v>
      </x:c>
      <x:c r="B304" s="8" t="str">
        <x:v>Казахстан</x:v>
      </x:c>
      <x:c r="C304" s="8" t="str">
        <x:v>руководитель качества</x:v>
      </x:c>
      <x:c r="D304" s="8" t="str">
        <x:v>ищем методолога для базы знаний руководитель качества Казахстан</x:v>
      </x:c>
      <x:c r="E304" s="8" t="str">
        <x:v>Шаблон — не запускался</x:v>
      </x:c>
    </x:row>
    <x:row r="305" ht="33" customHeight="1">
      <x:c r="A305" s="8" t="str">
        <x:v>V7-Q0300</x:v>
      </x:c>
      <x:c r="B305" s="8" t="str">
        <x:v>Казахстан</x:v>
      </x:c>
      <x:c r="C305" s="8" t="str">
        <x:v>руководитель качества</x:v>
      </x:c>
      <x:c r="D305" s="8" t="str">
        <x:v>нужна программа развития кадрового резерва руководитель качества Казахстан</x:v>
      </x:c>
      <x:c r="E305" s="8" t="str">
        <x:v>Шаблон — не запускался</x:v>
      </x:c>
    </x:row>
    <x:row r="306" ht="33" customHeight="1">
      <x:c r="A306" s="8" t="str">
        <x:v>V7-Q0301</x:v>
      </x:c>
      <x:c r="B306" s="8" t="str">
        <x:v>Казахстан</x:v>
      </x:c>
      <x:c r="C306" s="8" t="str">
        <x:v>руководитель проектов</x:v>
      </x:c>
      <x:c r="D306" s="8" t="str">
        <x:v>посоветуйте тренера для команды руководитель проектов Казахстан</x:v>
      </x:c>
      <x:c r="E306" s="8" t="str">
        <x:v>Шаблон — не запускался</x:v>
      </x:c>
    </x:row>
    <x:row r="307" ht="33" customHeight="1">
      <x:c r="A307" s="8" t="str">
        <x:v>V7-Q0302</x:v>
      </x:c>
      <x:c r="B307" s="8" t="str">
        <x:v>Казахстан</x:v>
      </x:c>
      <x:c r="C307" s="8" t="str">
        <x:v>руководитель проектов</x:v>
      </x:c>
      <x:c r="D307" s="8" t="str">
        <x:v>кто поможет поставить работу руководителей руководитель проектов Казахстан</x:v>
      </x:c>
      <x:c r="E307" s="8" t="str">
        <x:v>Шаблон — не запускался</x:v>
      </x:c>
    </x:row>
    <x:row r="308" ht="33" customHeight="1">
      <x:c r="A308" s="8" t="str">
        <x:v>V7-Q0303</x:v>
      </x:c>
      <x:c r="B308" s="8" t="str">
        <x:v>Казахстан</x:v>
      </x:c>
      <x:c r="C308" s="8" t="str">
        <x:v>руководитель проектов</x:v>
      </x:c>
      <x:c r="D308" s="8" t="str">
        <x:v>ищем разработчика электронного курса руководитель проектов Казахстан</x:v>
      </x:c>
      <x:c r="E308" s="8" t="str">
        <x:v>Шаблон — не запускался</x:v>
      </x:c>
    </x:row>
    <x:row r="309" ht="33" customHeight="1">
      <x:c r="A309" s="8" t="str">
        <x:v>V7-Q0304</x:v>
      </x:c>
      <x:c r="B309" s="8" t="str">
        <x:v>Казахстан</x:v>
      </x:c>
      <x:c r="C309" s="8" t="str">
        <x:v>руководитель проектов</x:v>
      </x:c>
      <x:c r="D309" s="8" t="str">
        <x:v>нужен внешний эксперт для внутренней программы руководитель проектов Казахстан</x:v>
      </x:c>
      <x:c r="E309" s="8" t="str">
        <x:v>Шаблон — не запускался</x:v>
      </x:c>
    </x:row>
    <x:row r="310" ht="33" customHeight="1">
      <x:c r="A310" s="8" t="str">
        <x:v>V7-Q0305</x:v>
      </x:c>
      <x:c r="B310" s="8" t="str">
        <x:v>Казахстан</x:v>
      </x:c>
      <x:c r="C310" s="8" t="str">
        <x:v>руководитель проектов</x:v>
      </x:c>
      <x:c r="D310" s="8" t="str">
        <x:v>приглашаем образовательных провайдеров руководитель проектов Казахстан</x:v>
      </x:c>
      <x:c r="E310" s="8" t="str">
        <x:v>Шаблон — не запускался</x:v>
      </x:c>
    </x:row>
    <x:row r="311" ht="33" customHeight="1">
      <x:c r="A311" s="8" t="str">
        <x:v>V7-Q0306</x:v>
      </x:c>
      <x:c r="B311" s="8" t="str">
        <x:v>Казахстан</x:v>
      </x:c>
      <x:c r="C311" s="8" t="str">
        <x:v>руководитель проектов</x:v>
      </x:c>
      <x:c r="D311" s="8" t="str">
        <x:v>собираем предложения по обучению на следующий год руководитель проектов Казахстан</x:v>
      </x:c>
      <x:c r="E311" s="8" t="str">
        <x:v>Шаблон — не запускался</x:v>
      </x:c>
    </x:row>
    <x:row r="312" ht="33" customHeight="1">
      <x:c r="A312" s="8" t="str">
        <x:v>V7-Q0307</x:v>
      </x:c>
      <x:c r="B312" s="8" t="str">
        <x:v>Казахстан</x:v>
      </x:c>
      <x:c r="C312" s="8" t="str">
        <x:v>руководитель проектов</x:v>
      </x:c>
      <x:c r="D312" s="8" t="str">
        <x:v>кого пригласить на стратегическую сессию руководитель проектов Казахстан</x:v>
      </x:c>
      <x:c r="E312" s="8" t="str">
        <x:v>Шаблон — не запускался</x:v>
      </x:c>
    </x:row>
    <x:row r="313" ht="33" customHeight="1">
      <x:c r="A313" s="8" t="str">
        <x:v>V7-Q0308</x:v>
      </x:c>
      <x:c r="B313" s="8" t="str">
        <x:v>Казахстан</x:v>
      </x:c>
      <x:c r="C313" s="8" t="str">
        <x:v>руководитель проектов</x:v>
      </x:c>
      <x:c r="D313" s="8" t="str">
        <x:v>срочно заменить преподавателя руководитель проектов Казахстан</x:v>
      </x:c>
      <x:c r="E313" s="8" t="str">
        <x:v>Шаблон — не запускался</x:v>
      </x:c>
    </x:row>
    <x:row r="314" ht="33" customHeight="1">
      <x:c r="A314" s="8" t="str">
        <x:v>V7-Q0309</x:v>
      </x:c>
      <x:c r="B314" s="8" t="str">
        <x:v>Казахстан</x:v>
      </x:c>
      <x:c r="C314" s="8" t="str">
        <x:v>руководитель проектов</x:v>
      </x:c>
      <x:c r="D314" s="8" t="str">
        <x:v>запускаем филиал нужна адаптация сотрудников руководитель проектов Казахстан</x:v>
      </x:c>
      <x:c r="E314" s="8" t="str">
        <x:v>Шаблон — не запускался</x:v>
      </x:c>
    </x:row>
    <x:row r="315" ht="33" customHeight="1">
      <x:c r="A315" s="8" t="str">
        <x:v>V7-Q0310</x:v>
      </x:c>
      <x:c r="B315" s="8" t="str">
        <x:v>Казахстан</x:v>
      </x:c>
      <x:c r="C315" s="8" t="str">
        <x:v>руководитель проектов</x:v>
      </x:c>
      <x:c r="D315" s="8" t="str">
        <x:v>как обучить менеджеров работе с конфликтными клиентами руководитель проектов Казахстан</x:v>
      </x:c>
      <x:c r="E315" s="8" t="str">
        <x:v>Шаблон — не запускался</x:v>
      </x:c>
    </x:row>
    <x:row r="316" ht="33" customHeight="1">
      <x:c r="A316" s="8" t="str">
        <x:v>V7-Q0311</x:v>
      </x:c>
      <x:c r="B316" s="8" t="str">
        <x:v>Казахстан</x:v>
      </x:c>
      <x:c r="C316" s="8" t="str">
        <x:v>руководитель проектов</x:v>
      </x:c>
      <x:c r="D316" s="8" t="str">
        <x:v>ищем методолога для базы знаний руководитель проектов Казахстан</x:v>
      </x:c>
      <x:c r="E316" s="8" t="str">
        <x:v>Шаблон — не запускался</x:v>
      </x:c>
    </x:row>
    <x:row r="317" ht="33" customHeight="1">
      <x:c r="A317" s="8" t="str">
        <x:v>V7-Q0312</x:v>
      </x:c>
      <x:c r="B317" s="8" t="str">
        <x:v>Казахстан</x:v>
      </x:c>
      <x:c r="C317" s="8" t="str">
        <x:v>руководитель проектов</x:v>
      </x:c>
      <x:c r="D317" s="8" t="str">
        <x:v>нужна программа развития кадрового резерва руководитель проектов Казахстан</x:v>
      </x:c>
      <x:c r="E317" s="8" t="str">
        <x:v>Шаблон — не запускался</x:v>
      </x:c>
    </x:row>
    <x:row r="318" ht="33" customHeight="1">
      <x:c r="A318" s="8" t="str">
        <x:v>V7-Q0313</x:v>
      </x:c>
      <x:c r="B318" s="8" t="str">
        <x:v>Казахстан</x:v>
      </x:c>
      <x:c r="C318" s="8" t="str">
        <x:v>корпоративный университет</x:v>
      </x:c>
      <x:c r="D318" s="8" t="str">
        <x:v>посоветуйте тренера для команды корпоративный университет Казахстан</x:v>
      </x:c>
      <x:c r="E318" s="8" t="str">
        <x:v>Шаблон — не запускался</x:v>
      </x:c>
    </x:row>
    <x:row r="319" ht="33" customHeight="1">
      <x:c r="A319" s="8" t="str">
        <x:v>V7-Q0314</x:v>
      </x:c>
      <x:c r="B319" s="8" t="str">
        <x:v>Казахстан</x:v>
      </x:c>
      <x:c r="C319" s="8" t="str">
        <x:v>корпоративный университет</x:v>
      </x:c>
      <x:c r="D319" s="8" t="str">
        <x:v>кто поможет поставить работу руководителей корпоративный университет Казахстан</x:v>
      </x:c>
      <x:c r="E319" s="8" t="str">
        <x:v>Шаблон — не запускался</x:v>
      </x:c>
    </x:row>
    <x:row r="320" ht="33" customHeight="1">
      <x:c r="A320" s="8" t="str">
        <x:v>V7-Q0315</x:v>
      </x:c>
      <x:c r="B320" s="8" t="str">
        <x:v>Казахстан</x:v>
      </x:c>
      <x:c r="C320" s="8" t="str">
        <x:v>корпоративный университет</x:v>
      </x:c>
      <x:c r="D320" s="8" t="str">
        <x:v>ищем разработчика электронного курса корпоративный университет Казахстан</x:v>
      </x:c>
      <x:c r="E320" s="8" t="str">
        <x:v>Шаблон — не запускался</x:v>
      </x:c>
    </x:row>
    <x:row r="321" ht="33" customHeight="1">
      <x:c r="A321" s="8" t="str">
        <x:v>V7-Q0316</x:v>
      </x:c>
      <x:c r="B321" s="8" t="str">
        <x:v>Казахстан</x:v>
      </x:c>
      <x:c r="C321" s="8" t="str">
        <x:v>корпоративный университет</x:v>
      </x:c>
      <x:c r="D321" s="8" t="str">
        <x:v>нужен внешний эксперт для внутренней программы корпоративный университет Казахстан</x:v>
      </x:c>
      <x:c r="E321" s="8" t="str">
        <x:v>Шаблон — не запускался</x:v>
      </x:c>
    </x:row>
    <x:row r="322" ht="33" customHeight="1">
      <x:c r="A322" s="8" t="str">
        <x:v>V7-Q0317</x:v>
      </x:c>
      <x:c r="B322" s="8" t="str">
        <x:v>Казахстан</x:v>
      </x:c>
      <x:c r="C322" s="8" t="str">
        <x:v>корпоративный университет</x:v>
      </x:c>
      <x:c r="D322" s="8" t="str">
        <x:v>приглашаем образовательных провайдеров корпоративный университет Казахстан</x:v>
      </x:c>
      <x:c r="E322" s="8" t="str">
        <x:v>Шаблон — не запускался</x:v>
      </x:c>
    </x:row>
    <x:row r="323" ht="33" customHeight="1">
      <x:c r="A323" s="8" t="str">
        <x:v>V7-Q0318</x:v>
      </x:c>
      <x:c r="B323" s="8" t="str">
        <x:v>Казахстан</x:v>
      </x:c>
      <x:c r="C323" s="8" t="str">
        <x:v>корпоративный университет</x:v>
      </x:c>
      <x:c r="D323" s="8" t="str">
        <x:v>собираем предложения по обучению на следующий год корпоративный университет Казахстан</x:v>
      </x:c>
      <x:c r="E323" s="8" t="str">
        <x:v>Шаблон — не запускался</x:v>
      </x:c>
    </x:row>
    <x:row r="324" ht="33" customHeight="1">
      <x:c r="A324" s="8" t="str">
        <x:v>V7-Q0319</x:v>
      </x:c>
      <x:c r="B324" s="8" t="str">
        <x:v>Казахстан</x:v>
      </x:c>
      <x:c r="C324" s="8" t="str">
        <x:v>корпоративный университет</x:v>
      </x:c>
      <x:c r="D324" s="8" t="str">
        <x:v>кого пригласить на стратегическую сессию корпоративный университет Казахстан</x:v>
      </x:c>
      <x:c r="E324" s="8" t="str">
        <x:v>Шаблон — не запускался</x:v>
      </x:c>
    </x:row>
    <x:row r="325" ht="33" customHeight="1">
      <x:c r="A325" s="8" t="str">
        <x:v>V7-Q0320</x:v>
      </x:c>
      <x:c r="B325" s="8" t="str">
        <x:v>Казахстан</x:v>
      </x:c>
      <x:c r="C325" s="8" t="str">
        <x:v>корпоративный университет</x:v>
      </x:c>
      <x:c r="D325" s="8" t="str">
        <x:v>срочно заменить преподавателя корпоративный университет Казахстан</x:v>
      </x:c>
      <x:c r="E325" s="8" t="str">
        <x:v>Шаблон — не запускался</x:v>
      </x:c>
    </x:row>
    <x:row r="326" ht="33" customHeight="1">
      <x:c r="A326" s="8" t="str">
        <x:v>V7-Q0321</x:v>
      </x:c>
      <x:c r="B326" s="8" t="str">
        <x:v>Казахстан</x:v>
      </x:c>
      <x:c r="C326" s="8" t="str">
        <x:v>корпоративный университет</x:v>
      </x:c>
      <x:c r="D326" s="8" t="str">
        <x:v>запускаем филиал нужна адаптация сотрудников корпоративный университет Казахстан</x:v>
      </x:c>
      <x:c r="E326" s="8" t="str">
        <x:v>Шаблон — не запускался</x:v>
      </x:c>
    </x:row>
    <x:row r="327" ht="33" customHeight="1">
      <x:c r="A327" s="8" t="str">
        <x:v>V7-Q0322</x:v>
      </x:c>
      <x:c r="B327" s="8" t="str">
        <x:v>Казахстан</x:v>
      </x:c>
      <x:c r="C327" s="8" t="str">
        <x:v>корпоративный университет</x:v>
      </x:c>
      <x:c r="D327" s="8" t="str">
        <x:v>как обучить менеджеров работе с конфликтными клиентами корпоративный университет Казахстан</x:v>
      </x:c>
      <x:c r="E327" s="8" t="str">
        <x:v>Шаблон — не запускался</x:v>
      </x:c>
    </x:row>
    <x:row r="328" ht="33" customHeight="1">
      <x:c r="A328" s="8" t="str">
        <x:v>V7-Q0323</x:v>
      </x:c>
      <x:c r="B328" s="8" t="str">
        <x:v>Казахстан</x:v>
      </x:c>
      <x:c r="C328" s="8" t="str">
        <x:v>корпоративный университет</x:v>
      </x:c>
      <x:c r="D328" s="8" t="str">
        <x:v>ищем методолога для базы знаний корпоративный университет Казахстан</x:v>
      </x:c>
      <x:c r="E328" s="8" t="str">
        <x:v>Шаблон — не запускался</x:v>
      </x:c>
    </x:row>
    <x:row r="329" ht="33" customHeight="1">
      <x:c r="A329" s="8" t="str">
        <x:v>V7-Q0324</x:v>
      </x:c>
      <x:c r="B329" s="8" t="str">
        <x:v>Казахстан</x:v>
      </x:c>
      <x:c r="C329" s="8" t="str">
        <x:v>корпоративный университет</x:v>
      </x:c>
      <x:c r="D329" s="8" t="str">
        <x:v>нужна программа развития кадрового резерва корпоративный университет Казахстан</x:v>
      </x:c>
      <x:c r="E329" s="8" t="str">
        <x:v>Шаблон — не запускался</x:v>
      </x:c>
    </x:row>
    <x:row r="330" ht="33" customHeight="1">
      <x:c r="A330" s="8" t="str">
        <x:v>V7-Q0325</x:v>
      </x:c>
      <x:c r="B330" s="8" t="str">
        <x:v>Казахстан</x:v>
      </x:c>
      <x:c r="C330" s="8" t="str">
        <x:v>бизнес-клуб</x:v>
      </x:c>
      <x:c r="D330" s="8" t="str">
        <x:v>посоветуйте тренера для команды бизнес-клуб Казахстан</x:v>
      </x:c>
      <x:c r="E330" s="8" t="str">
        <x:v>Шаблон — не запускался</x:v>
      </x:c>
    </x:row>
    <x:row r="331" ht="33" customHeight="1">
      <x:c r="A331" s="8" t="str">
        <x:v>V7-Q0326</x:v>
      </x:c>
      <x:c r="B331" s="8" t="str">
        <x:v>Казахстан</x:v>
      </x:c>
      <x:c r="C331" s="8" t="str">
        <x:v>бизнес-клуб</x:v>
      </x:c>
      <x:c r="D331" s="8" t="str">
        <x:v>кто поможет поставить работу руководителей бизнес-клуб Казахстан</x:v>
      </x:c>
      <x:c r="E331" s="8" t="str">
        <x:v>Шаблон — не запускался</x:v>
      </x:c>
    </x:row>
    <x:row r="332" ht="33" customHeight="1">
      <x:c r="A332" s="8" t="str">
        <x:v>V7-Q0327</x:v>
      </x:c>
      <x:c r="B332" s="8" t="str">
        <x:v>Казахстан</x:v>
      </x:c>
      <x:c r="C332" s="8" t="str">
        <x:v>бизнес-клуб</x:v>
      </x:c>
      <x:c r="D332" s="8" t="str">
        <x:v>ищем разработчика электронного курса бизнес-клуб Казахстан</x:v>
      </x:c>
      <x:c r="E332" s="8" t="str">
        <x:v>Шаблон — не запускался</x:v>
      </x:c>
    </x:row>
    <x:row r="333" ht="33" customHeight="1">
      <x:c r="A333" s="8" t="str">
        <x:v>V7-Q0328</x:v>
      </x:c>
      <x:c r="B333" s="8" t="str">
        <x:v>Казахстан</x:v>
      </x:c>
      <x:c r="C333" s="8" t="str">
        <x:v>бизнес-клуб</x:v>
      </x:c>
      <x:c r="D333" s="8" t="str">
        <x:v>нужен внешний эксперт для внутренней программы бизнес-клуб Казахстан</x:v>
      </x:c>
      <x:c r="E333" s="8" t="str">
        <x:v>Шаблон — не запускался</x:v>
      </x:c>
    </x:row>
    <x:row r="334" ht="33" customHeight="1">
      <x:c r="A334" s="8" t="str">
        <x:v>V7-Q0329</x:v>
      </x:c>
      <x:c r="B334" s="8" t="str">
        <x:v>Казахстан</x:v>
      </x:c>
      <x:c r="C334" s="8" t="str">
        <x:v>бизнес-клуб</x:v>
      </x:c>
      <x:c r="D334" s="8" t="str">
        <x:v>приглашаем образовательных провайдеров бизнес-клуб Казахстан</x:v>
      </x:c>
      <x:c r="E334" s="8" t="str">
        <x:v>Шаблон — не запускался</x:v>
      </x:c>
    </x:row>
    <x:row r="335" ht="33" customHeight="1">
      <x:c r="A335" s="8" t="str">
        <x:v>V7-Q0330</x:v>
      </x:c>
      <x:c r="B335" s="8" t="str">
        <x:v>Казахстан</x:v>
      </x:c>
      <x:c r="C335" s="8" t="str">
        <x:v>бизнес-клуб</x:v>
      </x:c>
      <x:c r="D335" s="8" t="str">
        <x:v>собираем предложения по обучению на следующий год бизнес-клуб Казахстан</x:v>
      </x:c>
      <x:c r="E335" s="8" t="str">
        <x:v>Шаблон — не запускался</x:v>
      </x:c>
    </x:row>
    <x:row r="336" ht="33" customHeight="1">
      <x:c r="A336" s="8" t="str">
        <x:v>V7-Q0331</x:v>
      </x:c>
      <x:c r="B336" s="8" t="str">
        <x:v>Казахстан</x:v>
      </x:c>
      <x:c r="C336" s="8" t="str">
        <x:v>бизнес-клуб</x:v>
      </x:c>
      <x:c r="D336" s="8" t="str">
        <x:v>кого пригласить на стратегическую сессию бизнес-клуб Казахстан</x:v>
      </x:c>
      <x:c r="E336" s="8" t="str">
        <x:v>Шаблон — не запускался</x:v>
      </x:c>
    </x:row>
    <x:row r="337" ht="33" customHeight="1">
      <x:c r="A337" s="8" t="str">
        <x:v>V7-Q0332</x:v>
      </x:c>
      <x:c r="B337" s="8" t="str">
        <x:v>Казахстан</x:v>
      </x:c>
      <x:c r="C337" s="8" t="str">
        <x:v>бизнес-клуб</x:v>
      </x:c>
      <x:c r="D337" s="8" t="str">
        <x:v>срочно заменить преподавателя бизнес-клуб Казахстан</x:v>
      </x:c>
      <x:c r="E337" s="8" t="str">
        <x:v>Шаблон — не запускался</x:v>
      </x:c>
    </x:row>
    <x:row r="338" ht="33" customHeight="1">
      <x:c r="A338" s="8" t="str">
        <x:v>V7-Q0333</x:v>
      </x:c>
      <x:c r="B338" s="8" t="str">
        <x:v>Казахстан</x:v>
      </x:c>
      <x:c r="C338" s="8" t="str">
        <x:v>бизнес-клуб</x:v>
      </x:c>
      <x:c r="D338" s="8" t="str">
        <x:v>запускаем филиал нужна адаптация сотрудников бизнес-клуб Казахстан</x:v>
      </x:c>
      <x:c r="E338" s="8" t="str">
        <x:v>Шаблон — не запускался</x:v>
      </x:c>
    </x:row>
    <x:row r="339" ht="33" customHeight="1">
      <x:c r="A339" s="8" t="str">
        <x:v>V7-Q0334</x:v>
      </x:c>
      <x:c r="B339" s="8" t="str">
        <x:v>Казахстан</x:v>
      </x:c>
      <x:c r="C339" s="8" t="str">
        <x:v>бизнес-клуб</x:v>
      </x:c>
      <x:c r="D339" s="8" t="str">
        <x:v>как обучить менеджеров работе с конфликтными клиентами бизнес-клуб Казахстан</x:v>
      </x:c>
      <x:c r="E339" s="8" t="str">
        <x:v>Шаблон — не запускался</x:v>
      </x:c>
    </x:row>
    <x:row r="340" ht="33" customHeight="1">
      <x:c r="A340" s="8" t="str">
        <x:v>V7-Q0335</x:v>
      </x:c>
      <x:c r="B340" s="8" t="str">
        <x:v>Казахстан</x:v>
      </x:c>
      <x:c r="C340" s="8" t="str">
        <x:v>бизнес-клуб</x:v>
      </x:c>
      <x:c r="D340" s="8" t="str">
        <x:v>ищем методолога для базы знаний бизнес-клуб Казахстан</x:v>
      </x:c>
      <x:c r="E340" s="8" t="str">
        <x:v>Шаблон — не запускался</x:v>
      </x:c>
    </x:row>
    <x:row r="341" ht="33" customHeight="1">
      <x:c r="A341" s="8" t="str">
        <x:v>V7-Q0336</x:v>
      </x:c>
      <x:c r="B341" s="8" t="str">
        <x:v>Казахстан</x:v>
      </x:c>
      <x:c r="C341" s="8" t="str">
        <x:v>бизнес-клуб</x:v>
      </x:c>
      <x:c r="D341" s="8" t="str">
        <x:v>нужна программа развития кадрового резерва бизнес-клуб Казахстан</x:v>
      </x:c>
      <x:c r="E341" s="8" t="str">
        <x:v>Шаблон — не запускался</x:v>
      </x:c>
    </x:row>
    <x:row r="342" ht="33" customHeight="1">
      <x:c r="A342" s="8" t="str">
        <x:v>V7-Q0337</x:v>
      </x:c>
      <x:c r="B342" s="8" t="str">
        <x:v>Казахстан</x:v>
      </x:c>
      <x:c r="C342" s="8" t="str">
        <x:v>ассоциация</x:v>
      </x:c>
      <x:c r="D342" s="8" t="str">
        <x:v>посоветуйте тренера для команды ассоциация Казахстан</x:v>
      </x:c>
      <x:c r="E342" s="8" t="str">
        <x:v>Шаблон — не запускался</x:v>
      </x:c>
    </x:row>
    <x:row r="343" ht="33" customHeight="1">
      <x:c r="A343" s="8" t="str">
        <x:v>V7-Q0338</x:v>
      </x:c>
      <x:c r="B343" s="8" t="str">
        <x:v>Казахстан</x:v>
      </x:c>
      <x:c r="C343" s="8" t="str">
        <x:v>ассоциация</x:v>
      </x:c>
      <x:c r="D343" s="8" t="str">
        <x:v>кто поможет поставить работу руководителей ассоциация Казахстан</x:v>
      </x:c>
      <x:c r="E343" s="8" t="str">
        <x:v>Шаблон — не запускался</x:v>
      </x:c>
    </x:row>
    <x:row r="344" ht="33" customHeight="1">
      <x:c r="A344" s="8" t="str">
        <x:v>V7-Q0339</x:v>
      </x:c>
      <x:c r="B344" s="8" t="str">
        <x:v>Казахстан</x:v>
      </x:c>
      <x:c r="C344" s="8" t="str">
        <x:v>ассоциация</x:v>
      </x:c>
      <x:c r="D344" s="8" t="str">
        <x:v>ищем разработчика электронного курса ассоциация Казахстан</x:v>
      </x:c>
      <x:c r="E344" s="8" t="str">
        <x:v>Шаблон — не запускался</x:v>
      </x:c>
    </x:row>
    <x:row r="345" ht="33" customHeight="1">
      <x:c r="A345" s="8" t="str">
        <x:v>V7-Q0340</x:v>
      </x:c>
      <x:c r="B345" s="8" t="str">
        <x:v>Казахстан</x:v>
      </x:c>
      <x:c r="C345" s="8" t="str">
        <x:v>ассоциация</x:v>
      </x:c>
      <x:c r="D345" s="8" t="str">
        <x:v>нужен внешний эксперт для внутренней программы ассоциация Казахстан</x:v>
      </x:c>
      <x:c r="E345" s="8" t="str">
        <x:v>Шаблон — не запускался</x:v>
      </x:c>
    </x:row>
    <x:row r="346" ht="33" customHeight="1">
      <x:c r="A346" s="8" t="str">
        <x:v>V7-Q0341</x:v>
      </x:c>
      <x:c r="B346" s="8" t="str">
        <x:v>Казахстан</x:v>
      </x:c>
      <x:c r="C346" s="8" t="str">
        <x:v>ассоциация</x:v>
      </x:c>
      <x:c r="D346" s="8" t="str">
        <x:v>приглашаем образовательных провайдеров ассоциация Казахстан</x:v>
      </x:c>
      <x:c r="E346" s="8" t="str">
        <x:v>Шаблон — не запускался</x:v>
      </x:c>
    </x:row>
    <x:row r="347" ht="33" customHeight="1">
      <x:c r="A347" s="8" t="str">
        <x:v>V7-Q0342</x:v>
      </x:c>
      <x:c r="B347" s="8" t="str">
        <x:v>Казахстан</x:v>
      </x:c>
      <x:c r="C347" s="8" t="str">
        <x:v>ассоциация</x:v>
      </x:c>
      <x:c r="D347" s="8" t="str">
        <x:v>собираем предложения по обучению на следующий год ассоциация Казахстан</x:v>
      </x:c>
      <x:c r="E347" s="8" t="str">
        <x:v>Шаблон — не запускался</x:v>
      </x:c>
    </x:row>
    <x:row r="348" ht="33" customHeight="1">
      <x:c r="A348" s="8" t="str">
        <x:v>V7-Q0343</x:v>
      </x:c>
      <x:c r="B348" s="8" t="str">
        <x:v>Казахстан</x:v>
      </x:c>
      <x:c r="C348" s="8" t="str">
        <x:v>ассоциация</x:v>
      </x:c>
      <x:c r="D348" s="8" t="str">
        <x:v>кого пригласить на стратегическую сессию ассоциация Казахстан</x:v>
      </x:c>
      <x:c r="E348" s="8" t="str">
        <x:v>Шаблон — не запускался</x:v>
      </x:c>
    </x:row>
    <x:row r="349" ht="33" customHeight="1">
      <x:c r="A349" s="8" t="str">
        <x:v>V7-Q0344</x:v>
      </x:c>
      <x:c r="B349" s="8" t="str">
        <x:v>Казахстан</x:v>
      </x:c>
      <x:c r="C349" s="8" t="str">
        <x:v>ассоциация</x:v>
      </x:c>
      <x:c r="D349" s="8" t="str">
        <x:v>срочно заменить преподавателя ассоциация Казахстан</x:v>
      </x:c>
      <x:c r="E349" s="8" t="str">
        <x:v>Шаблон — не запускался</x:v>
      </x:c>
    </x:row>
    <x:row r="350" ht="33" customHeight="1">
      <x:c r="A350" s="8" t="str">
        <x:v>V7-Q0345</x:v>
      </x:c>
      <x:c r="B350" s="8" t="str">
        <x:v>Казахстан</x:v>
      </x:c>
      <x:c r="C350" s="8" t="str">
        <x:v>ассоциация</x:v>
      </x:c>
      <x:c r="D350" s="8" t="str">
        <x:v>запускаем филиал нужна адаптация сотрудников ассоциация Казахстан</x:v>
      </x:c>
      <x:c r="E350" s="8" t="str">
        <x:v>Шаблон — не запускался</x:v>
      </x:c>
    </x:row>
    <x:row r="351" ht="33" customHeight="1">
      <x:c r="A351" s="8" t="str">
        <x:v>V7-Q0346</x:v>
      </x:c>
      <x:c r="B351" s="8" t="str">
        <x:v>Казахстан</x:v>
      </x:c>
      <x:c r="C351" s="8" t="str">
        <x:v>ассоциация</x:v>
      </x:c>
      <x:c r="D351" s="8" t="str">
        <x:v>как обучить менеджеров работе с конфликтными клиентами ассоциация Казахстан</x:v>
      </x:c>
      <x:c r="E351" s="8" t="str">
        <x:v>Шаблон — не запускался</x:v>
      </x:c>
    </x:row>
    <x:row r="352" ht="33" customHeight="1">
      <x:c r="A352" s="8" t="str">
        <x:v>V7-Q0347</x:v>
      </x:c>
      <x:c r="B352" s="8" t="str">
        <x:v>Казахстан</x:v>
      </x:c>
      <x:c r="C352" s="8" t="str">
        <x:v>ассоциация</x:v>
      </x:c>
      <x:c r="D352" s="8" t="str">
        <x:v>ищем методолога для базы знаний ассоциация Казахстан</x:v>
      </x:c>
      <x:c r="E352" s="8" t="str">
        <x:v>Шаблон — не запускался</x:v>
      </x:c>
    </x:row>
    <x:row r="353" ht="33" customHeight="1">
      <x:c r="A353" s="8" t="str">
        <x:v>V7-Q0348</x:v>
      </x:c>
      <x:c r="B353" s="8" t="str">
        <x:v>Казахстан</x:v>
      </x:c>
      <x:c r="C353" s="8" t="str">
        <x:v>ассоциация</x:v>
      </x:c>
      <x:c r="D353" s="8" t="str">
        <x:v>нужна программа развития кадрового резерва ассоциация Казахстан</x:v>
      </x:c>
      <x:c r="E353" s="8" t="str">
        <x:v>Шаблон — не запускался</x:v>
      </x:c>
    </x:row>
    <x:row r="354" ht="33" customHeight="1">
      <x:c r="A354" s="8" t="str">
        <x:v>V7-Q0349</x:v>
      </x:c>
      <x:c r="B354" s="8" t="str">
        <x:v>Казахстан</x:v>
      </x:c>
      <x:c r="C354" s="8" t="str">
        <x:v>LMS интегратор</x:v>
      </x:c>
      <x:c r="D354" s="8" t="str">
        <x:v>посоветуйте тренера для команды LMS интегратор Казахстан</x:v>
      </x:c>
      <x:c r="E354" s="8" t="str">
        <x:v>Шаблон — не запускался</x:v>
      </x:c>
    </x:row>
    <x:row r="355" ht="33" customHeight="1">
      <x:c r="A355" s="8" t="str">
        <x:v>V7-Q0350</x:v>
      </x:c>
      <x:c r="B355" s="8" t="str">
        <x:v>Казахстан</x:v>
      </x:c>
      <x:c r="C355" s="8" t="str">
        <x:v>LMS интегратор</x:v>
      </x:c>
      <x:c r="D355" s="8" t="str">
        <x:v>кто поможет поставить работу руководителей LMS интегратор Казахстан</x:v>
      </x:c>
      <x:c r="E355" s="8" t="str">
        <x:v>Шаблон — не запускался</x:v>
      </x:c>
    </x:row>
    <x:row r="356" ht="33" customHeight="1">
      <x:c r="A356" s="8" t="str">
        <x:v>V7-Q0351</x:v>
      </x:c>
      <x:c r="B356" s="8" t="str">
        <x:v>Казахстан</x:v>
      </x:c>
      <x:c r="C356" s="8" t="str">
        <x:v>LMS интегратор</x:v>
      </x:c>
      <x:c r="D356" s="8" t="str">
        <x:v>ищем разработчика электронного курса LMS интегратор Казахстан</x:v>
      </x:c>
      <x:c r="E356" s="8" t="str">
        <x:v>Шаблон — не запускался</x:v>
      </x:c>
    </x:row>
    <x:row r="357" ht="33" customHeight="1">
      <x:c r="A357" s="8" t="str">
        <x:v>V7-Q0352</x:v>
      </x:c>
      <x:c r="B357" s="8" t="str">
        <x:v>Казахстан</x:v>
      </x:c>
      <x:c r="C357" s="8" t="str">
        <x:v>LMS интегратор</x:v>
      </x:c>
      <x:c r="D357" s="8" t="str">
        <x:v>нужен внешний эксперт для внутренней программы LMS интегратор Казахстан</x:v>
      </x:c>
      <x:c r="E357" s="8" t="str">
        <x:v>Шаблон — не запускался</x:v>
      </x:c>
    </x:row>
    <x:row r="358" ht="33" customHeight="1">
      <x:c r="A358" s="8" t="str">
        <x:v>V7-Q0353</x:v>
      </x:c>
      <x:c r="B358" s="8" t="str">
        <x:v>Казахстан</x:v>
      </x:c>
      <x:c r="C358" s="8" t="str">
        <x:v>LMS интегратор</x:v>
      </x:c>
      <x:c r="D358" s="8" t="str">
        <x:v>приглашаем образовательных провайдеров LMS интегратор Казахстан</x:v>
      </x:c>
      <x:c r="E358" s="8" t="str">
        <x:v>Шаблон — не запускался</x:v>
      </x:c>
    </x:row>
    <x:row r="359" ht="33" customHeight="1">
      <x:c r="A359" s="8" t="str">
        <x:v>V7-Q0354</x:v>
      </x:c>
      <x:c r="B359" s="8" t="str">
        <x:v>Казахстан</x:v>
      </x:c>
      <x:c r="C359" s="8" t="str">
        <x:v>LMS интегратор</x:v>
      </x:c>
      <x:c r="D359" s="8" t="str">
        <x:v>собираем предложения по обучению на следующий год LMS интегратор Казахстан</x:v>
      </x:c>
      <x:c r="E359" s="8" t="str">
        <x:v>Шаблон — не запускался</x:v>
      </x:c>
    </x:row>
    <x:row r="360" ht="33" customHeight="1">
      <x:c r="A360" s="8" t="str">
        <x:v>V7-Q0355</x:v>
      </x:c>
      <x:c r="B360" s="8" t="str">
        <x:v>Казахстан</x:v>
      </x:c>
      <x:c r="C360" s="8" t="str">
        <x:v>LMS интегратор</x:v>
      </x:c>
      <x:c r="D360" s="8" t="str">
        <x:v>кого пригласить на стратегическую сессию LMS интегратор Казахстан</x:v>
      </x:c>
      <x:c r="E360" s="8" t="str">
        <x:v>Шаблон — не запускался</x:v>
      </x:c>
    </x:row>
    <x:row r="361" ht="33" customHeight="1">
      <x:c r="A361" s="8" t="str">
        <x:v>V7-Q0356</x:v>
      </x:c>
      <x:c r="B361" s="8" t="str">
        <x:v>Казахстан</x:v>
      </x:c>
      <x:c r="C361" s="8" t="str">
        <x:v>LMS интегратор</x:v>
      </x:c>
      <x:c r="D361" s="8" t="str">
        <x:v>срочно заменить преподавателя LMS интегратор Казахстан</x:v>
      </x:c>
      <x:c r="E361" s="8" t="str">
        <x:v>Шаблон — не запускался</x:v>
      </x:c>
    </x:row>
    <x:row r="362" ht="33" customHeight="1">
      <x:c r="A362" s="8" t="str">
        <x:v>V7-Q0357</x:v>
      </x:c>
      <x:c r="B362" s="8" t="str">
        <x:v>Казахстан</x:v>
      </x:c>
      <x:c r="C362" s="8" t="str">
        <x:v>LMS интегратор</x:v>
      </x:c>
      <x:c r="D362" s="8" t="str">
        <x:v>запускаем филиал нужна адаптация сотрудников LMS интегратор Казахстан</x:v>
      </x:c>
      <x:c r="E362" s="8" t="str">
        <x:v>Шаблон — не запускался</x:v>
      </x:c>
    </x:row>
    <x:row r="363" ht="33" customHeight="1">
      <x:c r="A363" s="8" t="str">
        <x:v>V7-Q0358</x:v>
      </x:c>
      <x:c r="B363" s="8" t="str">
        <x:v>Казахстан</x:v>
      </x:c>
      <x:c r="C363" s="8" t="str">
        <x:v>LMS интегратор</x:v>
      </x:c>
      <x:c r="D363" s="8" t="str">
        <x:v>как обучить менеджеров работе с конфликтными клиентами LMS интегратор Казахстан</x:v>
      </x:c>
      <x:c r="E363" s="8" t="str">
        <x:v>Шаблон — не запускался</x:v>
      </x:c>
    </x:row>
    <x:row r="364" ht="33" customHeight="1">
      <x:c r="A364" s="8" t="str">
        <x:v>V7-Q0359</x:v>
      </x:c>
      <x:c r="B364" s="8" t="str">
        <x:v>Казахстан</x:v>
      </x:c>
      <x:c r="C364" s="8" t="str">
        <x:v>LMS интегратор</x:v>
      </x:c>
      <x:c r="D364" s="8" t="str">
        <x:v>ищем методолога для базы знаний LMS интегратор Казахстан</x:v>
      </x:c>
      <x:c r="E364" s="8" t="str">
        <x:v>Шаблон — не запускался</x:v>
      </x:c>
    </x:row>
    <x:row r="365" ht="33" customHeight="1">
      <x:c r="A365" s="8" t="str">
        <x:v>V7-Q0360</x:v>
      </x:c>
      <x:c r="B365" s="8" t="str">
        <x:v>Казахстан</x:v>
      </x:c>
      <x:c r="C365" s="8" t="str">
        <x:v>LMS интегратор</x:v>
      </x:c>
      <x:c r="D365" s="8" t="str">
        <x:v>нужна программа развития кадрового резерва LMS интегратор Казахстан</x:v>
      </x:c>
      <x:c r="E365" s="8" t="str">
        <x:v>Шаблон — не запускался</x:v>
      </x:c>
    </x:row>
  </x:sheetData>
  <x:pageMargins left="0.7" right="0.7" top="0.75" bottom="0.75" header="0.3" footer="0.3"/>
  <x:tableParts count="1">
    <x:tablePart xmlns:r="http://schemas.openxmlformats.org/officeDocument/2006/relationships" r:id="Rf3e4d7da11484f9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36.66999816894531" hidden="0" customWidth="1"/>
    <x:col min="3" max="3" width="23.889999389648438" hidden="0" customWidth="1"/>
    <x:col min="4" max="4" width="24.440000534057617" hidden="0" customWidth="1"/>
    <x:col min="5" max="5" width="16.670000076293945" hidden="0" customWidth="1"/>
    <x:col min="6" max="6" width="58.88999938964844" hidden="0" customWidth="1"/>
    <x:col min="7" max="7" width="35.560001373291016" hidden="0" customWidth="1"/>
    <x:col min="8" max="8" width="61.110000610351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6.25" customHeight="1">
      <x:c r="A2" s="3" t="str">
        <x:v>135 попыток • ссылки и хеши свидетельств</x:v>
      </x:c>
      <x:c r="B2" s="2"/>
      <x:c r="C2" s="2"/>
      <x:c r="D2" s="2"/>
      <x:c r="E2" s="2"/>
      <x:c r="F2" s="2"/>
      <x:c r="G2" s="2"/>
      <x:c r="H2" s="2"/>
    </x:row>
    <x:row r="3" ht="22.5" customHeight="1">
      <x:c r="A3" s="4" t="str">
        <x:v>Чтение публичных страниц; ошибки и повторы сохранены. Полные тексты сторонних страниц в пакет не включены.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Попытка ID</x:v>
      </x:c>
      <x:c r="B5" s="7" t="str">
        <x:v>Источник</x:v>
      </x:c>
      <x:c r="C5" s="7" t="str">
        <x:v>Цель чтения</x:v>
      </x:c>
      <x:c r="D5" s="7" t="str">
        <x:v>Результат</x:v>
      </x:c>
      <x:c r="E5" s="7" t="str">
        <x:v>Дата проверки</x:v>
      </x:c>
      <x:c r="F5" s="7" t="str">
        <x:v>URL</x:v>
      </x:c>
      <x:c r="G5" s="7" t="str">
        <x:v>Web-ref</x:v>
      </x:c>
      <x:c r="H5" s="7" t="str">
        <x:v>SHA-256 ответа</x:v>
      </x:c>
    </x:row>
    <x:row r="6" ht="33" customHeight="1">
      <x:c r="A6" s="8" t="str">
        <x:v>check-1</x:v>
      </x:c>
      <x:c r="B6" s="8" t="str">
        <x:v>ВРЕМЯ:HR</x:v>
      </x:c>
      <x:c r="C6" s="8" t="str">
        <x:v>primary_check</x:v>
      </x:c>
      <x:c r="D6" s="8" t="str">
        <x:v>Прочитана часть</x:v>
      </x:c>
      <x:c r="E6" s="8" t="str">
        <x:v>2026-10-02</x:v>
      </x:c>
      <x:c r="F6" s="8" t="str">
        <x:v>https://hrtime-nn.ru/</x:v>
      </x:c>
      <x:c r="G6" s="8" t="str">
        <x:v>turn1123view0</x:v>
      </x:c>
      <x:c r="H6" s="8" t="str">
        <x:v>756de6b79d02e5ea1334e355d8128142ce87661e49110d1542e35fe4ae42afc4</x:v>
      </x:c>
    </x:row>
    <x:row r="7" ht="35.25" customHeight="1">
      <x:c r="A7" s="8" t="str">
        <x:v>check-10</x:v>
      </x:c>
      <x:c r="B7" s="8" t="str">
        <x:v>HR сообщество | Изменения рынка труда Беларуси</x:v>
      </x:c>
      <x:c r="C7" s="8" t="str">
        <x:v>primary_check</x:v>
      </x:c>
      <x:c r="D7" s="8" t="str">
        <x:v>Прочитана часть</x:v>
      </x:c>
      <x:c r="E7" s="8" t="str">
        <x:v>2026-10-02</x:v>
      </x:c>
      <x:c r="F7" s="8" t="str">
        <x:v>https://ares.by/blog/intervyu_s_sozdatelyami_hr_breakfast/</x:v>
      </x:c>
      <x:c r="G7" s="8" t="str">
        <x:v>turn1126view0</x:v>
      </x:c>
      <x:c r="H7" s="8" t="str">
        <x:v>640f6c8e688eb93d295465d2781382b27a6ecdb5e31840c995e96733436a59ef</x:v>
      </x:c>
    </x:row>
    <x:row r="8" ht="33" customHeight="1">
      <x:c r="A8" s="8" t="str">
        <x:v>check-100</x:v>
      </x:c>
      <x:c r="B8" s="8" t="str">
        <x:v>Ассоциация Бизнес-тренеров</x:v>
      </x:c>
      <x:c r="C8" s="8" t="str">
        <x:v>primary_check</x:v>
      </x:c>
      <x:c r="D8" s="8" t="str">
        <x:v>Прочитана часть</x:v>
      </x:c>
      <x:c r="E8" s="8" t="str">
        <x:v>2026-10-02</x:v>
      </x:c>
      <x:c r="F8" s="8" t="str">
        <x:v>https://qazcoach.com/</x:v>
      </x:c>
      <x:c r="G8" s="8" t="str">
        <x:v>turn1234view0</x:v>
      </x:c>
      <x:c r="H8" s="8" t="str">
        <x:v>497e606b37e96de0bdaf49ff90a47c8bfffa5ac2998c0fa404987f7db3d084ec</x:v>
      </x:c>
    </x:row>
    <x:row r="9" ht="35.25" customHeight="1">
      <x:c r="A9" s="8" t="str">
        <x:v>check-11</x:v>
      </x:c>
      <x:c r="B9" s="8" t="str">
        <x:v>Союз Проектных Менеджеров Республики Казахстан - Партнеры СПМ РК</x:v>
      </x:c>
      <x:c r="C9" s="8" t="str">
        <x:v>primary_check</x:v>
      </x:c>
      <x:c r="D9" s="8" t="str">
        <x:v>Прочитана часть</x:v>
      </x:c>
      <x:c r="E9" s="8" t="str">
        <x:v>2026-10-02</x:v>
      </x:c>
      <x:c r="F9" s="8" t="str">
        <x:v>https://spmrk.kz/ru/news/item/682-konkurs-po-naboru-biznes-trenerov</x:v>
      </x:c>
      <x:c r="G9" s="8" t="str">
        <x:v>turn1116view0</x:v>
      </x:c>
      <x:c r="H9" s="8" t="str">
        <x:v>5e4894e0f870024c31db3cdb71cf9d2cb5194a4cc0898b4543d4bfc930ec1860</x:v>
      </x:c>
    </x:row>
    <x:row r="10" ht="33" customHeight="1">
      <x:c r="A10" s="8" t="str">
        <x:v>check-12</x:v>
      </x:c>
      <x:c r="B10" s="8" t="str">
        <x:v>Вступить в Клуб финансовых директоров</x:v>
      </x:c>
      <x:c r="C10" s="8" t="str">
        <x:v>primary_check</x:v>
      </x:c>
      <x:c r="D10" s="8" t="str">
        <x:v>Прочитана часть</x:v>
      </x:c>
      <x:c r="E10" s="8" t="str">
        <x:v>2026-10-02</x:v>
      </x:c>
      <x:c r="F10" s="8" t="str">
        <x:v>https://club.fd.ru/</x:v>
      </x:c>
      <x:c r="G10" s="8" t="str">
        <x:v>turn1118view0</x:v>
      </x:c>
      <x:c r="H10" s="8" t="str">
        <x:v>37b0b18451fa2dea94ad77cc440b0903e1ed727169b34f415cef9ef30416287c</x:v>
      </x:c>
    </x:row>
    <x:row r="11" ht="33" customHeight="1">
      <x:c r="A11" s="8" t="str">
        <x:v>check-13</x:v>
      </x:c>
      <x:c r="B11" s="8" t="str">
        <x:v>Описание проекта | Клуб топ-менеджеров 4CIO</x:v>
      </x:c>
      <x:c r="C11" s="8" t="str">
        <x:v>primary_check</x:v>
      </x:c>
      <x:c r="D11" s="8" t="str">
        <x:v>Прочитана часть</x:v>
      </x:c>
      <x:c r="E11" s="8" t="str">
        <x:v>2026-10-02</x:v>
      </x:c>
      <x:c r="F11" s="8" t="str">
        <x:v>https://4cio.ru/pages/677</x:v>
      </x:c>
      <x:c r="G11" s="8" t="str">
        <x:v>turn1124view0</x:v>
      </x:c>
      <x:c r="H11" s="8" t="str">
        <x:v>1b7efac0521ea422d305b5224c71828151ca920dc935004112d9ff66229c40db</x:v>
      </x:c>
    </x:row>
    <x:row r="12" ht="35.25" customHeight="1">
      <x:c r="A12" s="8" t="str">
        <x:v>check-14</x:v>
      </x:c>
      <x:c r="B12" s="8" t="str">
        <x:v>Санкт-Петербургский клуб ИТ-директоров «SPb CIO Club</x:v>
      </x:c>
      <x:c r="C12" s="8" t="str">
        <x:v>primary_check</x:v>
      </x:c>
      <x:c r="D12" s="8" t="str">
        <x:v>Прочитана часть</x:v>
      </x:c>
      <x:c r="E12" s="8" t="str">
        <x:v>2026-10-02</x:v>
      </x:c>
      <x:c r="F12" s="8" t="str">
        <x:v>https://www.spbcioclub.ru/about/</x:v>
      </x:c>
      <x:c r="G12" s="8" t="str">
        <x:v>turn1122view0</x:v>
      </x:c>
      <x:c r="H12" s="8" t="str">
        <x:v>50696f677e3745d088d24848d14f5878672e99f8c97dd4bd907e9faac7b2a53b</x:v>
      </x:c>
    </x:row>
    <x:row r="13" ht="35.25" customHeight="1">
      <x:c r="A13" s="8" t="str">
        <x:v>check-15</x:v>
      </x:c>
      <x:c r="B13" s="8" t="str">
        <x:v>CMO Club Russia - Ассоциация Директоров по маркетингу ...</x:v>
      </x:c>
      <x:c r="C13" s="8" t="str">
        <x:v>primary_check</x:v>
      </x:c>
      <x:c r="D13" s="8" t="str">
        <x:v>Прочитана часть</x:v>
      </x:c>
      <x:c r="E13" s="8" t="str">
        <x:v>2026-10-02</x:v>
      </x:c>
      <x:c r="F13" s="8" t="str">
        <x:v>https://cmoclubrussia.ru/</x:v>
      </x:c>
      <x:c r="G13" s="8" t="str">
        <x:v>turn1127view0</x:v>
      </x:c>
      <x:c r="H13" s="8" t="str">
        <x:v>58b9b9c2b182e555f1527d7d615f7bbee8ecf21d08833e22d0b67bb7681ebc29</x:v>
      </x:c>
    </x:row>
    <x:row r="14" ht="33" customHeight="1">
      <x:c r="A14" s="8" t="str">
        <x:v>check-16</x:v>
      </x:c>
      <x:c r="B14" s="8" t="str">
        <x:v>Клуб финансовых директоров: Главная</x:v>
      </x:c>
      <x:c r="C14" s="8" t="str">
        <x:v>primary_check</x:v>
      </x:c>
      <x:c r="D14" s="8" t="str">
        <x:v>Прочитана часть</x:v>
      </x:c>
      <x:c r="E14" s="8" t="str">
        <x:v>2026-10-02</x:v>
      </x:c>
      <x:c r="F14" s="8" t="str">
        <x:v>https://financial-directors-club.ru/</x:v>
      </x:c>
      <x:c r="G14" s="8" t="str">
        <x:v>turn1114view0</x:v>
      </x:c>
      <x:c r="H14" s="8" t="str">
        <x:v>15e90e641603ef103162833898e070acf3229b871ffde181a70c1473e4755716</x:v>
      </x:c>
    </x:row>
    <x:row r="15" ht="35.25" customHeight="1">
      <x:c r="A15" s="8" t="str">
        <x:v>check-17</x:v>
      </x:c>
      <x:c r="B15" s="8" t="str">
        <x:v>СТМЛК - сообщество топ-менеджеров логистических компаний</x:v>
      </x:c>
      <x:c r="C15" s="8" t="str">
        <x:v>primary_check</x:v>
      </x:c>
      <x:c r="D15" s="8" t="str">
        <x:v>Прочитана часть</x:v>
      </x:c>
      <x:c r="E15" s="8" t="str">
        <x:v>2026-10-02</x:v>
      </x:c>
      <x:c r="F15" s="8" t="str">
        <x:v>https://tmlc.ru/about</x:v>
      </x:c>
      <x:c r="G15" s="8" t="str">
        <x:v>turn1113view0</x:v>
      </x:c>
      <x:c r="H15" s="8" t="str">
        <x:v>88a8ea006b19adbf015005ab06967498c60c2ed7430190371463f8c024da070b</x:v>
      </x:c>
    </x:row>
    <x:row r="16" ht="33" customHeight="1">
      <x:c r="A16" s="8" t="str">
        <x:v>check-18</x:v>
      </x:c>
      <x:c r="B16" s="8" t="str">
        <x:v>О компании</x:v>
      </x:c>
      <x:c r="C16" s="8" t="str">
        <x:v>primary_check</x:v>
      </x:c>
      <x:c r="D16" s="8" t="str">
        <x:v>Прочитана часть</x:v>
      </x:c>
      <x:c r="E16" s="8" t="str">
        <x:v>2026-10-02</x:v>
      </x:c>
      <x:c r="F16" s="8" t="str">
        <x:v>https://www.kpma.kz/aboutus/o-kompanii.html</x:v>
      </x:c>
      <x:c r="G16" s="8" t="str">
        <x:v>turn1131view0</x:v>
      </x:c>
      <x:c r="H16" s="8" t="str">
        <x:v>c276df4b64b015dd2fe85bedf12cacf919609925496ef0d877a607f768e30100</x:v>
      </x:c>
    </x:row>
    <x:row r="17" ht="35.25" customHeight="1">
      <x:c r="A17" s="8" t="str">
        <x:v>check-19</x:v>
      </x:c>
      <x:c r="B17" s="8" t="str">
        <x:v>ACPA - Ассоциация сертифицированных профессиональных бухгалтеров</x:v>
      </x:c>
      <x:c r="C17" s="8" t="str">
        <x:v>primary_check</x:v>
      </x:c>
      <x:c r="D17" s="8" t="str">
        <x:v>Прочитана часть</x:v>
      </x:c>
      <x:c r="E17" s="8" t="str">
        <x:v>2026-10-02</x:v>
      </x:c>
      <x:c r="F17" s="8" t="str">
        <x:v>https://acpa.kz/</x:v>
      </x:c>
      <x:c r="G17" s="8" t="str">
        <x:v>turn1128view0</x:v>
      </x:c>
      <x:c r="H17" s="8" t="str">
        <x:v>ae8a3d85779134756ca894253b2bb2f479fb38e3a9d7313c9bffc4ea10a4079a</x:v>
      </x:c>
    </x:row>
    <x:row r="18" ht="33" customHeight="1">
      <x:c r="A18" s="8" t="str">
        <x:v>check-2</x:v>
      </x:c>
      <x:c r="B18" s="8" t="str">
        <x:v>HR Breakfast Live – Telegram</x:v>
      </x:c>
      <x:c r="C18" s="8" t="str">
        <x:v>primary_check</x:v>
      </x:c>
      <x:c r="D18" s="8" t="str">
        <x:v>Прочитана часть</x:v>
      </x:c>
      <x:c r="E18" s="8" t="str">
        <x:v>2026-10-02</x:v>
      </x:c>
      <x:c r="F18" s="8" t="str">
        <x:v>https://t.me/s/HRBreakfast_Live?before=146</x:v>
      </x:c>
      <x:c r="G18" s="8" t="str">
        <x:v>turn1119view0</x:v>
      </x:c>
      <x:c r="H18" s="8" t="str">
        <x:v>ca79462e0ee973a7088f3b38117bc96bbe37bdd6768ef5d055e73698433720c9</x:v>
      </x:c>
    </x:row>
    <x:row r="19" ht="35.25" customHeight="1">
      <x:c r="A19" s="8" t="str">
        <x:v>check-20</x:v>
      </x:c>
      <x:c r="B19" s="8" t="str">
        <x:v>GlobalCIO | DigitalExperts - сообщество ИТ-руководителей и ...</x:v>
      </x:c>
      <x:c r="C19" s="8" t="str">
        <x:v>primary_check</x:v>
      </x:c>
      <x:c r="D19" s="8" t="str">
        <x:v>Прочитана часть</x:v>
      </x:c>
      <x:c r="E19" s="8" t="str">
        <x:v>2026-10-02</x:v>
      </x:c>
      <x:c r="F19" s="8" t="str">
        <x:v>https://globalcio.ru/</x:v>
      </x:c>
      <x:c r="G19" s="8" t="str">
        <x:v>turn1130view0</x:v>
      </x:c>
      <x:c r="H19" s="8" t="str">
        <x:v>8ac71c4e15e7773b92546df62f518d38a56033cbe7aae8639edf19c2c6bc4540</x:v>
      </x:c>
    </x:row>
    <x:row r="20" ht="33" customHeight="1">
      <x:c r="A20" s="8" t="str">
        <x:v>check-21</x:v>
      </x:c>
      <x:c r="B20" s="8" t="str">
        <x:v>Ассоциация загородных отелей России</x:v>
      </x:c>
      <x:c r="C20" s="8" t="str">
        <x:v>primary_check</x:v>
      </x:c>
      <x:c r="D20" s="8" t="str">
        <x:v>Прочитана часть</x:v>
      </x:c>
      <x:c r="E20" s="8" t="str">
        <x:v>2026-10-02</x:v>
      </x:c>
      <x:c r="F20" s="8" t="str">
        <x:v>https://azo-hotels.com/</x:v>
      </x:c>
      <x:c r="G20" s="8" t="str">
        <x:v>turn1137view0</x:v>
      </x:c>
      <x:c r="H20" s="8" t="str">
        <x:v>d54e7ff8eba4d0bbddd142ff2006aaf1930f431a22cff5dabdb20924ad1497b3</x:v>
      </x:c>
    </x:row>
    <x:row r="21" ht="47.25" customHeight="1">
      <x:c r="A21" s="8" t="str">
        <x:v>check-22</x:v>
      </x:c>
      <x:c r="B21" s="8" t="str">
        <x:v>Ассоциация экспертов, спикеров, модераторов и продюсеров | Членство и деловой сезон 2026–2027</x:v>
      </x:c>
      <x:c r="C21" s="8" t="str">
        <x:v>primary_check</x:v>
      </x:c>
      <x:c r="D21" s="8" t="str">
        <x:v>Прочитана часть</x:v>
      </x:c>
      <x:c r="E21" s="8" t="str">
        <x:v>2026-10-02</x:v>
      </x:c>
      <x:c r="F21" s="8" t="str">
        <x:v>https://aesmp.ru/</x:v>
      </x:c>
      <x:c r="G21" s="8" t="str">
        <x:v>turn1134view0</x:v>
      </x:c>
      <x:c r="H21" s="8" t="str">
        <x:v>48fbd9336db4b93a50ae2e3a0f411cbb3fe9f82779fe5b63dff84df45a13819e</x:v>
      </x:c>
    </x:row>
    <x:row r="22" ht="33" customHeight="1">
      <x:c r="A22" s="8" t="str">
        <x:v>check-23</x:v>
      </x:c>
      <x:c r="B22" s="8" t="str">
        <x:v>Что дает членство в ААУ</x:v>
      </x:c>
      <x:c r="C22" s="8" t="str">
        <x:v>primary_check</x:v>
      </x:c>
      <x:c r="D22" s="8" t="str">
        <x:v>Прочитана часть</x:v>
      </x:c>
      <x:c r="E22" s="8" t="str">
        <x:v>2026-10-02</x:v>
      </x:c>
      <x:c r="F22" s="8" t="str">
        <x:v>https://www.sojuzpharma.ru/about/aau/</x:v>
      </x:c>
      <x:c r="G22" s="8" t="str">
        <x:v>turn1147view0</x:v>
      </x:c>
      <x:c r="H22" s="8" t="str">
        <x:v>66913083878483e2695a0cca93bf1b878a609fbc4a9b4dde650991ea9f3fc4bf</x:v>
      </x:c>
    </x:row>
    <x:row r="23" ht="33" customHeight="1">
      <x:c r="A23" s="8" t="str">
        <x:v>check-24</x:v>
      </x:c>
      <x:c r="B23" s="8" t="str">
        <x:v>Главная</x:v>
      </x:c>
      <x:c r="C23" s="8" t="str">
        <x:v>primary_check</x:v>
      </x:c>
      <x:c r="D23" s="8" t="str">
        <x:v>Ошибка доступа</x:v>
      </x:c>
      <x:c r="E23" s="8" t="str">
        <x:v>2026-10-02</x:v>
      </x:c>
      <x:c r="F23" s="8" t="str">
        <x:v>https://belinfocom.by/</x:v>
      </x:c>
      <x:c r="G23" s="8" t="str">
        <x:v>turn1143view0</x:v>
      </x:c>
      <x:c r="H23" s="8" t="str">
        <x:v>89418325013e2386e774323233e1c9acc8ea08fc285b59753b6abfdfb4594a84</x:v>
      </x:c>
    </x:row>
    <x:row r="24" ht="33" customHeight="1">
      <x:c r="A24" s="8" t="str">
        <x:v>check-25</x:v>
      </x:c>
      <x:c r="B24" s="8" t="str">
        <x:v>Преимущества членства - Ассоциация Kazdidac</x:v>
      </x:c>
      <x:c r="C24" s="8" t="str">
        <x:v>primary_check</x:v>
      </x:c>
      <x:c r="D24" s="8" t="str">
        <x:v>Прочитана часть</x:v>
      </x:c>
      <x:c r="E24" s="8" t="str">
        <x:v>2026-10-02</x:v>
      </x:c>
      <x:c r="F24" s="8" t="str">
        <x:v>https://kazdidac.kz/how-to-join/why-join</x:v>
      </x:c>
      <x:c r="G24" s="8" t="str">
        <x:v>turn1133view0</x:v>
      </x:c>
      <x:c r="H24" s="8" t="str">
        <x:v>2042191a997f5191ffc7c0f2684364020c1d9064b183cdd318749cfed377ccb1</x:v>
      </x:c>
    </x:row>
    <x:row r="25" ht="35.25" customHeight="1">
      <x:c r="A25" s="8" t="str">
        <x:v>check-26</x:v>
      </x:c>
      <x:c r="B25" s="8" t="str">
        <x:v>Ассоциация предприятий легкой промышленности Казахстана — Страница 2</x:v>
      </x:c>
      <x:c r="C25" s="8" t="str">
        <x:v>primary_check</x:v>
      </x:c>
      <x:c r="D25" s="8" t="str">
        <x:v>Прочитана часть</x:v>
      </x:c>
      <x:c r="E25" s="8" t="str">
        <x:v>2026-10-02</x:v>
      </x:c>
      <x:c r="F25" s="8" t="str">
        <x:v>https://aplp.kz/page/2/</x:v>
      </x:c>
      <x:c r="G25" s="8" t="str">
        <x:v>turn1145view0</x:v>
      </x:c>
      <x:c r="H25" s="8" t="str">
        <x:v>6c4998fb9f0442859c6f8b620ee969afe9387dbbe543836468763382bc9f5d55</x:v>
      </x:c>
    </x:row>
    <x:row r="26" ht="35.25" customHeight="1">
      <x:c r="A26" s="8" t="str">
        <x:v>check-27</x:v>
      </x:c>
      <x:c r="B26" s="8" t="str">
        <x:v>Мероприятия для членов СРО | Ассоциация «СРО «АЛЬЯНС СТРОИТЕЛЕЙ»</x:v>
      </x:c>
      <x:c r="C26" s="8" t="str">
        <x:v>primary_check</x:v>
      </x:c>
      <x:c r="D26" s="8" t="str">
        <x:v>Прочитана часть</x:v>
      </x:c>
      <x:c r="E26" s="8" t="str">
        <x:v>2026-10-02</x:v>
      </x:c>
      <x:c r="F26" s="8" t="str">
        <x:v>https://www.as-sro.ru/seminars</x:v>
      </x:c>
      <x:c r="G26" s="8" t="str">
        <x:v>turn1136view0</x:v>
      </x:c>
      <x:c r="H26" s="8" t="str">
        <x:v>c3c5434ef30a89b4b31b6751d9d163779b810cbed64d173a08c9d9f818b55057</x:v>
      </x:c>
    </x:row>
    <x:row r="27" ht="35.25" customHeight="1">
      <x:c r="A27" s="8" t="str">
        <x:v>check-28</x:v>
      </x:c>
      <x:c r="B27" s="8" t="str">
        <x:v>Мероприятия для членов СРО | Ассоциация «СРО «БЕЗОПАСНОСТЬ И КАЧЕСТВО»</x:v>
      </x:c>
      <x:c r="C27" s="8" t="str">
        <x:v>primary_check</x:v>
      </x:c>
      <x:c r="D27" s="8" t="str">
        <x:v>Прочитана часть</x:v>
      </x:c>
      <x:c r="E27" s="8" t="str">
        <x:v>2026-10-02</x:v>
      </x:c>
      <x:c r="F27" s="8" t="str">
        <x:v>https://www.bik-sro.ru/seminars</x:v>
      </x:c>
      <x:c r="G27" s="8" t="str">
        <x:v>turn1142view0</x:v>
      </x:c>
      <x:c r="H27" s="8" t="str">
        <x:v>b376b415422555eeb94f931cf2b8f7035696e3e96d954bddb655c6afd350c782</x:v>
      </x:c>
    </x:row>
    <x:row r="28" ht="59.25" customHeight="1">
      <x:c r="A28" s="8" t="str">
        <x:v>check-29</x:v>
      </x:c>
      <x:c r="B28" s="8" t="str">
        <x:v>Союз машиностроителей приглашает на курс повышения квалификации «Организация эффективной работы отдела технического контроля: практика передовых предприятий» - Россоюзхолодпром</x:v>
      </x:c>
      <x:c r="C28" s="8" t="str">
        <x:v>primary_check</x:v>
      </x:c>
      <x:c r="D28" s="8" t="str">
        <x:v>Ошибка доступа</x:v>
      </x:c>
      <x:c r="E28" s="8" t="str">
        <x:v>2026-10-02</x:v>
      </x:c>
      <x:c r="F28" s="8" t="str">
        <x:v>https://holodunion.ru/news/obuchenie-seminary-konferentsii/soyuz-mashinostroiteley-priglashaet-na-kurs-povysheniya-kvalifikatsii-organizatsiya-effektivnoy-rabo/</x:v>
      </x:c>
      <x:c r="G28" s="8" t="str">
        <x:v>turn1146view0</x:v>
      </x:c>
      <x:c r="H28" s="8" t="str">
        <x:v>75067277e3bcbef97daaecea9a5476046d53a33ec6a3a5e0de08b8d6ef4150f4</x:v>
      </x:c>
    </x:row>
    <x:row r="29" ht="33" customHeight="1">
      <x:c r="A29" s="8" t="str">
        <x:v>check-3</x:v>
      </x:c>
      <x:c r="B29" s="8" t="str">
        <x:v>Telegram: View @hr_only</x:v>
      </x:c>
      <x:c r="C29" s="8" t="str">
        <x:v>primary_check</x:v>
      </x:c>
      <x:c r="D29" s="8" t="str">
        <x:v>Только карточка</x:v>
      </x:c>
      <x:c r="E29" s="8" t="str">
        <x:v>2026-10-02</x:v>
      </x:c>
      <x:c r="F29" s="8" t="str">
        <x:v>https://t.me/hr_only</x:v>
      </x:c>
      <x:c r="G29" s="8" t="str">
        <x:v>turn1115view0</x:v>
      </x:c>
      <x:c r="H29" s="8" t="str">
        <x:v>f734855018b4430336712efafb6296d37477aebb4fe387217a126810d771531b</x:v>
      </x:c>
    </x:row>
    <x:row r="30" ht="33" customHeight="1">
      <x:c r="A30" s="8" t="str">
        <x:v>check-30</x:v>
      </x:c>
      <x:c r="B30" s="8" t="str">
        <x:v>Семинары и конференции</x:v>
      </x:c>
      <x:c r="C30" s="8" t="str">
        <x:v>primary_check</x:v>
      </x:c>
      <x:c r="D30" s="8" t="str">
        <x:v>Прочитана часть</x:v>
      </x:c>
      <x:c r="E30" s="8" t="str">
        <x:v>2026-10-02</x:v>
      </x:c>
      <x:c r="F30" s="8" t="str">
        <x:v>https://asstr.ru/seminars</x:v>
      </x:c>
      <x:c r="G30" s="8" t="str">
        <x:v>turn1144view0</x:v>
      </x:c>
      <x:c r="H30" s="8" t="str">
        <x:v>f507a36af0e6d582fb8911802fb93316744b3b879832924e80729691ac4e8e1b</x:v>
      </x:c>
    </x:row>
    <x:row r="31" ht="35.25" customHeight="1">
      <x:c r="A31" s="8" t="str">
        <x:v>check-31</x:v>
      </x:c>
      <x:c r="B31" s="8" t="str">
        <x:v>Партнерская программа для тренинговых компаний и преподавателей</x:v>
      </x:c>
      <x:c r="C31" s="8" t="str">
        <x:v>primary_check</x:v>
      </x:c>
      <x:c r="D31" s="8" t="str">
        <x:v>Прочитана часть</x:v>
      </x:c>
      <x:c r="E31" s="8" t="str">
        <x:v>2026-10-02</x:v>
      </x:c>
      <x:c r="F31" s="8" t="str">
        <x:v>https://simformer.com/ru/for-partners/</x:v>
      </x:c>
      <x:c r="G31" s="8" t="str">
        <x:v>turn1141view0</x:v>
      </x:c>
      <x:c r="H31" s="8" t="str">
        <x:v>710aac775b1ea8084a9774b4d119897c1255790d3247fd3efb8d50007ae7b8b4</x:v>
      </x:c>
    </x:row>
    <x:row r="32" ht="33" customHeight="1">
      <x:c r="A32" s="8" t="str">
        <x:v>check-32</x:v>
      </x:c>
      <x:c r="B32" s="8" t="str">
        <x:v>Спикерам: как создавать курсы</x:v>
      </x:c>
      <x:c r="C32" s="8" t="str">
        <x:v>primary_check</x:v>
      </x:c>
      <x:c r="D32" s="8" t="str">
        <x:v>Прочитана часть</x:v>
      </x:c>
      <x:c r="E32" s="8" t="str">
        <x:v>2026-10-02</x:v>
      </x:c>
      <x:c r="F32" s="8" t="str">
        <x:v>https://slurm.io/for-speakers</x:v>
      </x:c>
      <x:c r="G32" s="8" t="str">
        <x:v>turn1132view0</x:v>
      </x:c>
      <x:c r="H32" s="8" t="str">
        <x:v>4c87c45592664bbe3da7ed1e24bfee8691b422dbb6a0d660fa3059092d32beb5</x:v>
      </x:c>
    </x:row>
    <x:row r="33" ht="35.25" customHeight="1">
      <x:c r="A33" s="8" t="str">
        <x:v>check-33</x:v>
      </x:c>
      <x:c r="B33" s="8" t="str">
        <x:v>Вакансии / Об академии / БИЗНЕС АКАДЕМИЯ DKS - официальный сайт учебного центра</x:v>
      </x:c>
      <x:c r="C33" s="8" t="str">
        <x:v>primary_check</x:v>
      </x:c>
      <x:c r="D33" s="8" t="str">
        <x:v>Прочитана часть</x:v>
      </x:c>
      <x:c r="E33" s="8" t="str">
        <x:v>2026-10-02</x:v>
      </x:c>
      <x:c r="F33" s="8" t="str">
        <x:v>https://btacademy.ru/about/vakansii/</x:v>
      </x:c>
      <x:c r="G33" s="8" t="str">
        <x:v>turn1138view0</x:v>
      </x:c>
      <x:c r="H33" s="8" t="str">
        <x:v>c0c2493047834b5791ecef6149a735efa3158cff54716fb73743609bf3dd8cdb</x:v>
      </x:c>
    </x:row>
    <x:row r="34" ht="35.25" customHeight="1">
      <x:c r="A34" s="8" t="str">
        <x:v>check-34</x:v>
      </x:c>
      <x:c r="B34" s="8" t="str">
        <x:v>Приглашаем в Клуб бизнес-тренеров - БИЗНЕС-ТРЕНЕРЫ</x:v>
      </x:c>
      <x:c r="C34" s="8" t="str">
        <x:v>primary_check</x:v>
      </x:c>
      <x:c r="D34" s="8" t="str">
        <x:v>Прочитана часть</x:v>
      </x:c>
      <x:c r="E34" s="8" t="str">
        <x:v>2026-10-02</x:v>
      </x:c>
      <x:c r="F34" s="8" t="str">
        <x:v>https://business-trainers.ru/priglashaem-v-klub-biznes-trenerov/</x:v>
      </x:c>
      <x:c r="G34" s="8" t="str">
        <x:v>turn1140view0</x:v>
      </x:c>
      <x:c r="H34" s="8" t="str">
        <x:v>e0c00fc53a6ecfa7bf775b779fdd092b5e97e19e1b8a0f76afbc4c9f9b35c151</x:v>
      </x:c>
    </x:row>
    <x:row r="35" ht="35.25" customHeight="1">
      <x:c r="A35" s="8" t="str">
        <x:v>check-35</x:v>
      </x:c>
      <x:c r="B35" s="8" t="str">
        <x:v>Международная Академия Информатизации - Конкурс по набору бизнес-тренеров</x:v>
      </x:c>
      <x:c r="C35" s="8" t="str">
        <x:v>primary_check</x:v>
      </x:c>
      <x:c r="D35" s="8" t="str">
        <x:v>Прочитана часть</x:v>
      </x:c>
      <x:c r="E35" s="8" t="str">
        <x:v>2026-10-02</x:v>
      </x:c>
      <x:c r="F35" s="8" t="str">
        <x:v>https://academy.kz/kk/news/nashi-novosti/item/6638-konkurs-po-naboru-biznes-trenerov</x:v>
      </x:c>
      <x:c r="G35" s="8" t="str">
        <x:v>turn1135view0</x:v>
      </x:c>
      <x:c r="H35" s="8" t="str">
        <x:v>778241dc322e43d8244cb8b76c8955d68186f26a021ed0fdb11ecedaf9505231</x:v>
      </x:c>
    </x:row>
    <x:row r="36" ht="35.25" customHeight="1">
      <x:c r="A36" s="8" t="str">
        <x:v>check-36</x:v>
      </x:c>
      <x:c r="B36" s="8" t="str">
        <x:v>Inter Partner - Организатор международных бизнес-мероприятий</x:v>
      </x:c>
      <x:c r="C36" s="8" t="str">
        <x:v>primary_check</x:v>
      </x:c>
      <x:c r="D36" s="8" t="str">
        <x:v>Прочитана часть</x:v>
      </x:c>
      <x:c r="E36" s="8" t="str">
        <x:v>2026-10-02</x:v>
      </x:c>
      <x:c r="F36" s="8" t="str">
        <x:v>https://www.interpartner.kz/</x:v>
      </x:c>
      <x:c r="G36" s="8" t="str">
        <x:v>turn1139view0</x:v>
      </x:c>
      <x:c r="H36" s="8" t="str">
        <x:v>59c0cc6d5b4afaa3a9944e3c93cc7b07297064fd62f1f8d1072fc0f42f8bf361</x:v>
      </x:c>
    </x:row>
    <x:row r="37" ht="35.25" customHeight="1">
      <x:c r="A37" s="8" t="str">
        <x:v>check-37</x:v>
      </x:c>
      <x:c r="B37" s="8" t="str">
        <x:v>Abadan &amp; Co. — Корпоративное обучение и бизнес-тренинги в Казахстане</x:v>
      </x:c>
      <x:c r="C37" s="8" t="str">
        <x:v>primary_check</x:v>
      </x:c>
      <x:c r="D37" s="8" t="str">
        <x:v>Прочитана часть</x:v>
      </x:c>
      <x:c r="E37" s="8" t="str">
        <x:v>2026-10-02</x:v>
      </x:c>
      <x:c r="F37" s="8" t="str">
        <x:v>https://www.abadan.kz/</x:v>
      </x:c>
      <x:c r="G37" s="8" t="str">
        <x:v>turn1150view0</x:v>
      </x:c>
      <x:c r="H37" s="8" t="str">
        <x:v>38784b4ad050527e5791365f853f0b18da6a3128b6789c60b04cb5e9577cb33d</x:v>
      </x:c>
    </x:row>
    <x:row r="38" ht="35.25" customHeight="1">
      <x:c r="A38" s="8" t="str">
        <x:v>check-38</x:v>
      </x:c>
      <x:c r="B38" s="8" t="str">
        <x:v>Сотрудничество с организациями и предприятиями</x:v>
      </x:c>
      <x:c r="C38" s="8" t="str">
        <x:v>primary_check</x:v>
      </x:c>
      <x:c r="D38" s="8" t="str">
        <x:v>Прочитана часть</x:v>
      </x:c>
      <x:c r="E38" s="8" t="str">
        <x:v>2026-10-02</x:v>
      </x:c>
      <x:c r="F38" s="8" t="str">
        <x:v>https://www.novoezavtra.by/sotrudnichestvo</x:v>
      </x:c>
      <x:c r="G38" s="8" t="str">
        <x:v>turn1149view0</x:v>
      </x:c>
      <x:c r="H38" s="8" t="str">
        <x:v>523c30836b40042d6839159842e0ea8ba2d47a3acd3f3cf5b48bcaeb8b32d828</x:v>
      </x:c>
    </x:row>
    <x:row r="39" ht="47.25" customHeight="1">
      <x:c r="A39" s="8" t="str">
        <x:v>check-39</x:v>
      </x:c>
      <x:c r="B39" s="8" t="str">
        <x:v>Профпереподготовка и повышение квалификации | Дистанционное обучение в Оренбургской бизнес-школе - О бизнес-школе</x:v>
      </x:c>
      <x:c r="C39" s="8" t="str">
        <x:v>primary_check</x:v>
      </x:c>
      <x:c r="D39" s="8" t="str">
        <x:v>Прочитана часть</x:v>
      </x:c>
      <x:c r="E39" s="8" t="str">
        <x:v>2026-10-02</x:v>
      </x:c>
      <x:c r="F39" s="8" t="str">
        <x:v>https://orenbs.info/school</x:v>
      </x:c>
      <x:c r="G39" s="8" t="str">
        <x:v>turn1148view0</x:v>
      </x:c>
      <x:c r="H39" s="8" t="str">
        <x:v>7a1503b3e553b97ecf9d9fbb07f8af3339dca9bbe53150693fb179c36273f6a7</x:v>
      </x:c>
    </x:row>
    <x:row r="40" ht="33" customHeight="1">
      <x:c r="A40" s="8" t="str">
        <x:v>check-4</x:v>
      </x:c>
      <x:c r="B40" s="8" t="str">
        <x:v>Telegram: View @hr_lounge</x:v>
      </x:c>
      <x:c r="C40" s="8" t="str">
        <x:v>primary_check</x:v>
      </x:c>
      <x:c r="D40" s="8" t="str">
        <x:v>Только карточка</x:v>
      </x:c>
      <x:c r="E40" s="8" t="str">
        <x:v>2026-10-02</x:v>
      </x:c>
      <x:c r="F40" s="8" t="str">
        <x:v>https://t.me/HR_lounge</x:v>
      </x:c>
      <x:c r="G40" s="8" t="str">
        <x:v>turn1120view0</x:v>
      </x:c>
      <x:c r="H40" s="8" t="str">
        <x:v>535fd894de8169295f70a0ab62d596e5a5fa039c0fcc2660b00d7c51d77b6e29</x:v>
      </x:c>
    </x:row>
    <x:row r="41" ht="35.25" customHeight="1">
      <x:c r="A41" s="8" t="str">
        <x:v>check-40</x:v>
      </x:c>
      <x:c r="B41" s="8" t="str">
        <x:v>Партнерам</x:v>
      </x:c>
      <x:c r="C41" s="8" t="str">
        <x:v>primary_check</x:v>
      </x:c>
      <x:c r="D41" s="8" t="str">
        <x:v>Прочитана часть</x:v>
      </x:c>
      <x:c r="E41" s="8" t="str">
        <x:v>2026-10-02</x:v>
      </x:c>
      <x:c r="F41" s="8" t="str">
        <x:v>https://1ltc.ru/%D1%81%D0%BE%D1%82%D1%80%D1%83%D0%B4%D0%BD%D0%B8%D1%87%D0%B5%D1%81%D1%82%D0%B2%D0%BE/</x:v>
      </x:c>
      <x:c r="G41" s="8" t="str">
        <x:v>turn1151view0</x:v>
      </x:c>
      <x:c r="H41" s="8" t="str">
        <x:v>324854d5bb276527fb73972c62d957b6c3452ceb2eee5486bbe38423966bc12d</x:v>
      </x:c>
    </x:row>
    <x:row r="42" ht="59.25" customHeight="1">
      <x:c r="A42" s="8" t="str">
        <x:v>check-41</x:v>
      </x:c>
      <x:c r="B42" s="8" t="str">
        <x:v>“Открытые Технологии”: Приглашаем к сотрудничеству разработчиков и системных интеграторов Moodle и e-learning! | ООО "Открытые Технологии"</x:v>
      </x:c>
      <x:c r="C42" s="8" t="str">
        <x:v>primary_check</x:v>
      </x:c>
      <x:c r="D42" s="8" t="str">
        <x:v>Прочитана часть</x:v>
      </x:c>
      <x:c r="E42" s="8" t="str">
        <x:v>2026-10-02</x:v>
      </x:c>
      <x:c r="F42" s="8" t="str">
        <x:v>https://opentechnology.ru/cooperation</x:v>
      </x:c>
      <x:c r="G42" s="8" t="str">
        <x:v>turn1162view0</x:v>
      </x:c>
      <x:c r="H42" s="8" t="str">
        <x:v>ab38cba20c1d061b3300e3d2553d90f9c0e75b498daaf5e16880645af9db92fc</x:v>
      </x:c>
    </x:row>
    <x:row r="43" ht="35.25" customHeight="1">
      <x:c r="A43" s="8" t="str">
        <x:v>check-42</x:v>
      </x:c>
      <x:c r="B43" s="8" t="str">
        <x:v>eDISCUS: Разработка электронных курсов для LMS</x:v>
      </x:c>
      <x:c r="C43" s="8" t="str">
        <x:v>primary_check</x:v>
      </x:c>
      <x:c r="D43" s="8" t="str">
        <x:v>Прочитана часть</x:v>
      </x:c>
      <x:c r="E43" s="8" t="str">
        <x:v>2026-10-02</x:v>
      </x:c>
      <x:c r="F43" s="8" t="str">
        <x:v>https://ediscus.kz/</x:v>
      </x:c>
      <x:c r="G43" s="8" t="str">
        <x:v>turn1165view0</x:v>
      </x:c>
      <x:c r="H43" s="8" t="str">
        <x:v>c0f0391ba047fbf18d4f48780393f8f3f1f6ebd7bdbb0cd2dce5ad49834e91bd</x:v>
      </x:c>
    </x:row>
    <x:row r="44" ht="47.25" customHeight="1">
      <x:c r="A44" s="8" t="str">
        <x:v>check-43</x:v>
      </x:c>
      <x:c r="B44" s="8" t="str">
        <x:v>Разработка электронных курсов. Проектирование образовательного курса - Лабмедиа в Казахстане</x:v>
      </x:c>
      <x:c r="C44" s="8" t="str">
        <x:v>primary_check</x:v>
      </x:c>
      <x:c r="D44" s="8" t="str">
        <x:v>Прочитана часть</x:v>
      </x:c>
      <x:c r="E44" s="8" t="str">
        <x:v>2026-10-02</x:v>
      </x:c>
      <x:c r="F44" s="8" t="str">
        <x:v>https://www.labmedia.kz/ru/e-learning</x:v>
      </x:c>
      <x:c r="G44" s="8" t="str">
        <x:v>turn1166view0</x:v>
      </x:c>
      <x:c r="H44" s="8" t="str">
        <x:v>39e404d1958f81c59b33057e90606a09f60001a445114e01edec11d9abaaeb5d</x:v>
      </x:c>
    </x:row>
    <x:row r="45" ht="33" customHeight="1">
      <x:c r="A45" s="8" t="str">
        <x:v>check-44</x:v>
      </x:c>
      <x:c r="B45" s="8" t="str">
        <x:v>Разработка электронных курсов от WellDone</x:v>
      </x:c>
      <x:c r="C45" s="8" t="str">
        <x:v>primary_check</x:v>
      </x:c>
      <x:c r="D45" s="8" t="str">
        <x:v>Прочитана часть</x:v>
      </x:c>
      <x:c r="E45" s="8" t="str">
        <x:v>2026-10-02</x:v>
      </x:c>
      <x:c r="F45" s="8" t="str">
        <x:v>https://well-done.kz/</x:v>
      </x:c>
      <x:c r="G45" s="8" t="str">
        <x:v>turn1174view0</x:v>
      </x:c>
      <x:c r="H45" s="8" t="str">
        <x:v>f7efe21ab8407e3a0e44e502758d85fd19f7216bfb1ea05556286879d6805df8</x:v>
      </x:c>
    </x:row>
    <x:row r="46" ht="35.25" customHeight="1">
      <x:c r="A46" s="8" t="str">
        <x:v>check-45</x:v>
      </x:c>
      <x:c r="B46" s="8" t="str">
        <x:v>LMS.KZ - Системы дистанционного обучения под ключ на базе программного обеспечения Moodle</x:v>
      </x:c>
      <x:c r="C46" s="8" t="str">
        <x:v>primary_check</x:v>
      </x:c>
      <x:c r="D46" s="8" t="str">
        <x:v>Прочитана часть</x:v>
      </x:c>
      <x:c r="E46" s="8" t="str">
        <x:v>2026-10-02</x:v>
      </x:c>
      <x:c r="F46" s="8" t="str">
        <x:v>https://lms.kz/</x:v>
      </x:c>
      <x:c r="G46" s="8" t="str">
        <x:v>turn1169view0</x:v>
      </x:c>
      <x:c r="H46" s="8" t="str">
        <x:v>b904154cdbf858e5d457f6111ff3057dd2c150656f351d725933fe4555fa87ab</x:v>
      </x:c>
    </x:row>
    <x:row r="47" ht="35.25" customHeight="1">
      <x:c r="A47" s="8" t="str">
        <x:v>check-46</x:v>
      </x:c>
      <x:c r="B47" s="8" t="str">
        <x:v>КОРП.ЕДУ — AI-тренажеры и онлайн-курсы | Алматы</x:v>
      </x:c>
      <x:c r="C47" s="8" t="str">
        <x:v>primary_check</x:v>
      </x:c>
      <x:c r="D47" s="8" t="str">
        <x:v>Прочитана часть</x:v>
      </x:c>
      <x:c r="E47" s="8" t="str">
        <x:v>2026-10-02</x:v>
      </x:c>
      <x:c r="F47" s="8" t="str">
        <x:v>https://corp-edu.kz/</x:v>
      </x:c>
      <x:c r="G47" s="8" t="str">
        <x:v>turn1163view0</x:v>
      </x:c>
      <x:c r="H47" s="8" t="str">
        <x:v>770392c0d7aeb7fea112988b0b884fd3c20c651f7994aa9f6c7aa635221b5e77</x:v>
      </x:c>
    </x:row>
    <x:row r="48" ht="35.25" customHeight="1">
      <x:c r="A48" s="8" t="str">
        <x:v>check-47</x:v>
      </x:c>
      <x:c r="B48" s="8" t="str">
        <x:v>Разработка и создание электронных курсов дистанционного обучения на заказ | BeOnTime</x:v>
      </x:c>
      <x:c r="C48" s="8" t="str">
        <x:v>primary_check</x:v>
      </x:c>
      <x:c r="D48" s="8" t="str">
        <x:v>Прочитана часть</x:v>
      </x:c>
      <x:c r="E48" s="8" t="str">
        <x:v>2026-10-02</x:v>
      </x:c>
      <x:c r="F48" s="8" t="str">
        <x:v>https://beontime.ru/courses</x:v>
      </x:c>
      <x:c r="G48" s="8" t="str">
        <x:v>turn1170view0</x:v>
      </x:c>
      <x:c r="H48" s="8" t="str">
        <x:v>bac216d09fcda2eca1a0ac78f266abb9b8cb86735888f94fd6b836c634670b91</x:v>
      </x:c>
    </x:row>
    <x:row r="49" ht="35.25" customHeight="1">
      <x:c r="A49" s="8" t="str">
        <x:v>check-48</x:v>
      </x:c>
      <x:c r="B49" s="8" t="str">
        <x:v>5 способов монетизации для e-learning-студии</x:v>
      </x:c>
      <x:c r="C49" s="8" t="str">
        <x:v>primary_check</x:v>
      </x:c>
      <x:c r="D49" s="8" t="str">
        <x:v>Прочитана часть</x:v>
      </x:c>
      <x:c r="E49" s="8" t="str">
        <x:v>2026-10-02</x:v>
      </x:c>
      <x:c r="F49" s="8" t="str">
        <x:v>https://brusnika-lms.com/ru/blog/posts/5-ways-to-monetize-elearning-studio</x:v>
      </x:c>
      <x:c r="G49" s="8" t="str">
        <x:v>turn1160view0</x:v>
      </x:c>
      <x:c r="H49" s="8" t="str">
        <x:v>b63ac79c7c579982f24aec3198f7a7b529408314250380cf6be1e2308e3b6636</x:v>
      </x:c>
    </x:row>
    <x:row r="50" ht="33" customHeight="1">
      <x:c r="A50" s="8" t="str">
        <x:v>check-49</x:v>
      </x:c>
      <x:c r="B50" s="8" t="str">
        <x:v>Образовательные услуги академии SENSYS</x:v>
      </x:c>
      <x:c r="C50" s="8" t="str">
        <x:v>primary_check</x:v>
      </x:c>
      <x:c r="D50" s="8" t="str">
        <x:v>Прочитана часть</x:v>
      </x:c>
      <x:c r="E50" s="8" t="str">
        <x:v>2026-10-02</x:v>
      </x:c>
      <x:c r="F50" s="8" t="str">
        <x:v>https://by.pro-sensys.com/services/</x:v>
      </x:c>
      <x:c r="G50" s="8" t="str">
        <x:v>turn1173view0</x:v>
      </x:c>
      <x:c r="H50" s="8" t="str">
        <x:v>76276d28a42d404890ee0a1ac0c18b4d045fc5d7bd58e802df50a4b3781b9542</x:v>
      </x:c>
    </x:row>
    <x:row r="51" ht="35.25" customHeight="1">
      <x:c r="A51" s="8" t="str">
        <x:v>check-5</x:v>
      </x:c>
      <x:c r="B51" s="8" t="str">
        <x:v>HR-сообщество - Пермская Торгово-Промышленная Палата</x:v>
      </x:c>
      <x:c r="C51" s="8" t="str">
        <x:v>primary_check</x:v>
      </x:c>
      <x:c r="D51" s="8" t="str">
        <x:v>Прочитана часть</x:v>
      </x:c>
      <x:c r="E51" s="8" t="str">
        <x:v>2026-10-02</x:v>
      </x:c>
      <x:c r="F51" s="8" t="str">
        <x:v>https://www.permtpp.ru/tags/hr-soobshchestvo/?SHOWALL_2=1</x:v>
      </x:c>
      <x:c r="G51" s="8" t="str">
        <x:v>turn1112view0</x:v>
      </x:c>
      <x:c r="H51" s="8" t="str">
        <x:v>227f668cef9ef3363be3afbccaa85d6e5352d38366179d79ce8ea04b8c650bd7</x:v>
      </x:c>
    </x:row>
    <x:row r="52" ht="35.25" customHeight="1">
      <x:c r="A52" s="8" t="str">
        <x:v>check-50</x:v>
      </x:c>
      <x:c r="B52" s="8" t="str">
        <x:v>Разработка электронных курсов и бизнес-симуляций | LEVEL</x:v>
      </x:c>
      <x:c r="C52" s="8" t="str">
        <x:v>primary_check</x:v>
      </x:c>
      <x:c r="D52" s="8" t="str">
        <x:v>Прочитана часть</x:v>
      </x:c>
      <x:c r="E52" s="8" t="str">
        <x:v>2026-10-02</x:v>
      </x:c>
      <x:c r="F52" s="8" t="str">
        <x:v>https://www.levellab.ru/</x:v>
      </x:c>
      <x:c r="G52" s="8" t="str">
        <x:v>turn1164view0</x:v>
      </x:c>
      <x:c r="H52" s="8" t="str">
        <x:v>1eae0798a3e32d0ed3fb663a2a6887fc8532dd24d1cc1111f765cf168abacb47</x:v>
      </x:c>
    </x:row>
    <x:row r="53" ht="35.25" customHeight="1">
      <x:c r="A53" s="8" t="str">
        <x:v>check-51</x:v>
      </x:c>
      <x:c r="B53" s="8" t="str">
        <x:v>Корпоративные преподаватели Технического университета УГМК</x:v>
      </x:c>
      <x:c r="C53" s="8" t="str">
        <x:v>primary_check</x:v>
      </x:c>
      <x:c r="D53" s="8" t="str">
        <x:v>Прочитана часть</x:v>
      </x:c>
      <x:c r="E53" s="8" t="str">
        <x:v>2026-10-02</x:v>
      </x:c>
      <x:c r="F53" s="8" t="str">
        <x:v>https://korp.eduugmk.com/</x:v>
      </x:c>
      <x:c r="G53" s="8" t="str">
        <x:v>turn1161view0</x:v>
      </x:c>
      <x:c r="H53" s="8" t="str">
        <x:v>d58a527b450659467fc34a2aee8378a44cb623afc054e64ab7aedf397f97607a</x:v>
      </x:c>
    </x:row>
    <x:row r="54" ht="35.25" customHeight="1">
      <x:c r="A54" s="8" t="str">
        <x:v>check-52</x:v>
      </x:c>
      <x:c r="B54" s="8" t="str">
        <x:v>Корпоративный университет BAXI (БАКСИ) – обучение, партнерство, ценности БДР Термия Рус</x:v>
      </x:c>
      <x:c r="C54" s="8" t="str">
        <x:v>primary_check</x:v>
      </x:c>
      <x:c r="D54" s="8" t="str">
        <x:v>Прочитана часть</x:v>
      </x:c>
      <x:c r="E54" s="8" t="str">
        <x:v>2026-10-02</x:v>
      </x:c>
      <x:c r="F54" s="8" t="str">
        <x:v>https://baxi.ru/partners/university/</x:v>
      </x:c>
      <x:c r="G54" s="8" t="str">
        <x:v>turn1172view0</x:v>
      </x:c>
      <x:c r="H54" s="8" t="str">
        <x:v>ffc854dbd1280bd0f0fcb10a6c3add9fbb80c361dcde859cd35358cd43f6ab22</x:v>
      </x:c>
    </x:row>
    <x:row r="55" ht="33" customHeight="1">
      <x:c r="A55" s="8" t="str">
        <x:v>check-53</x:v>
      </x:c>
      <x:c r="B55" s="8" t="str">
        <x:v>Сведения об образовательной организации</x:v>
      </x:c>
      <x:c r="C55" s="8" t="str">
        <x:v>primary_check</x:v>
      </x:c>
      <x:c r="D55" s="8" t="str">
        <x:v>Прочитана часть</x:v>
      </x:c>
      <x:c r="E55" s="8" t="str">
        <x:v>2026-10-02</x:v>
      </x:c>
      <x:c r="F55" s="8" t="str">
        <x:v>https://curmk.ru/about_oo</x:v>
      </x:c>
      <x:c r="G55" s="8" t="str">
        <x:v>turn1167view0</x:v>
      </x:c>
      <x:c r="H55" s="8" t="str">
        <x:v>ef4e69cfb9e5d5534b38764f337bcdbf68646f7054b333815262fd41cddb04cf</x:v>
      </x:c>
    </x:row>
    <x:row r="56" ht="35.25" customHeight="1">
      <x:c r="A56" s="8" t="str">
        <x:v>check-54</x:v>
      </x:c>
      <x:c r="B56" s="8" t="str">
        <x:v>Корпоративная Академия "эВ-групп" — обучение персонала</x:v>
      </x:c>
      <x:c r="C56" s="8" t="str">
        <x:v>primary_check</x:v>
      </x:c>
      <x:c r="D56" s="8" t="str">
        <x:v>Прочитана часть</x:v>
      </x:c>
      <x:c r="E56" s="8" t="str">
        <x:v>2026-10-02</x:v>
      </x:c>
      <x:c r="F56" s="8" t="str">
        <x:v>https://www.ev.group/academy/</x:v>
      </x:c>
      <x:c r="G56" s="8" t="str">
        <x:v>turn1168view0</x:v>
      </x:c>
      <x:c r="H56" s="8" t="str">
        <x:v>cab8ec06206d127764e135d8f806453d4c8aaef77da9677c77ecc5e94db565ef</x:v>
      </x:c>
    </x:row>
    <x:row r="57" ht="47.25" customHeight="1">
      <x:c r="A57" s="8" t="str">
        <x:v>check-55</x:v>
      </x:c>
      <x:c r="B57" s="8" t="str">
        <x:v>Развиваем экосистему: итоги сотрудничества Корпоративного университета с партнерами Группы НЛМК</x:v>
      </x:c>
      <x:c r="C57" s="8" t="str">
        <x:v>primary_check</x:v>
      </x:c>
      <x:c r="D57" s="8" t="str">
        <x:v>Прочитана часть</x:v>
      </x:c>
      <x:c r="E57" s="8" t="str">
        <x:v>2026-10-02</x:v>
      </x:c>
      <x:c r="F57" s="8" t="str">
        <x:v>https://university.nlmk.com/news/razvivaem-ekosistemu-itogi-sotrudnichestva-korporativnogo-universiteta-s-partnerami-gruppy-nlmk/</x:v>
      </x:c>
      <x:c r="G57" s="8" t="str">
        <x:v>turn1179view0</x:v>
      </x:c>
      <x:c r="H57" s="8" t="str">
        <x:v>952a1fec38632fbc6a8e4f4d236d42ff7bd4815537b00c8b7063ae12dff16293</x:v>
      </x:c>
    </x:row>
    <x:row r="58" ht="33" customHeight="1">
      <x:c r="A58" s="8" t="str">
        <x:v>check-56</x:v>
      </x:c>
      <x:c r="B58" s="8" t="str">
        <x:v>UNIVERSITY — корпоративный университет</x:v>
      </x:c>
      <x:c r="C58" s="8" t="str">
        <x:v>primary_check</x:v>
      </x:c>
      <x:c r="D58" s="8" t="str">
        <x:v>Прочитана часть</x:v>
      </x:c>
      <x:c r="E58" s="8" t="str">
        <x:v>2026-10-02</x:v>
      </x:c>
      <x:c r="F58" s="8" t="str">
        <x:v>https://university.qaztehna.kz/</x:v>
      </x:c>
      <x:c r="G58" s="8" t="str">
        <x:v>turn1171view0</x:v>
      </x:c>
      <x:c r="H58" s="8" t="str">
        <x:v>99f42d0c2492b4bdea93ba89d5844787e5786431ba3f547a0e3cc31545c32491</x:v>
      </x:c>
    </x:row>
    <x:row r="59" ht="83.25" customHeight="1">
      <x:c r="A59" s="8" t="str">
        <x:v>check-57</x:v>
      </x:c>
      <x:c r="B59" s="8" t="str">
        <x:v>КОРПОРАТИВНАЯ АКАДЕМИЯ РОСАТОМА  |  2023</x:v>
      </x:c>
      <x:c r="C59" s="8" t="str">
        <x:v>primary_check</x:v>
      </x:c>
      <x:c r="D59" s="8" t="str">
        <x:v>Прочитана часть</x:v>
      </x:c>
      <x:c r="E59" s="8" t="str">
        <x:v>2026-10-02</x:v>
      </x:c>
      <x:c r="F59" s="8" t="str">
        <x:v>https://www.rosatom-academy.ru/upload/iblock/601/7ayxe2o56p4f2ieejj3mzljg0xasj19r/%D0%9A%D0%B0%D1%82%D0%B0%D0%BB%D0%BE%D0%B3%20%D0%BF%D1%80%D0%BE%D0%B3%D1%80%D0%B0%D0%BC%D0%BC%20%D0%B8%20%D0%BF%D1%80%D0%BE%D0%B5%D0%BA%D1%82%D0%BE%D0%B2%20%D0%9A%D0%BE%D1%80%D0%BF%D0%BE%D1%80%D0%B0%D1%82%D0%B8%D0%B2%D0%BD%D0%BE%D0%B9%20%D0%90%D0%BA%D0%B0%D0%B4%D0%B5%D0%BC%D0%B8%D0%B8%20%D0%A0%D0%BE%D1%81%D0%B0%D1%82%D0%BE%D0%BC_2023.pdf</x:v>
      </x:c>
      <x:c r="G59" s="8" t="str">
        <x:v>turn1178view0</x:v>
      </x:c>
      <x:c r="H59" s="8" t="str">
        <x:v>2ab6cbca71af61244c12f621764d9bf73a27d29b7bb401ee28e1dcef15688e52</x:v>
      </x:c>
    </x:row>
    <x:row r="60" ht="35.25" customHeight="1">
      <x:c r="A60" s="8" t="str">
        <x:v>check-58</x:v>
      </x:c>
      <x:c r="B60" s="8" t="str">
        <x:v>Университет прокуратуры | АНО «Корпоративная Академия Роскосмоса»</x:v>
      </x:c>
      <x:c r="C60" s="8" t="str">
        <x:v>primary_check</x:v>
      </x:c>
      <x:c r="D60" s="8" t="str">
        <x:v>Прочитана часть</x:v>
      </x:c>
      <x:c r="E60" s="8" t="str">
        <x:v>2026-10-02</x:v>
      </x:c>
      <x:c r="F60" s="8" t="str">
        <x:v>https://rcacademy.ru/project/1683/</x:v>
      </x:c>
      <x:c r="G60" s="8" t="str">
        <x:v>turn1176view0</x:v>
      </x:c>
      <x:c r="H60" s="8" t="str">
        <x:v>ffba390ba023430cd6de67d9907b7e0a305e7c5653c42f1788daa1be1942e48d</x:v>
      </x:c>
    </x:row>
    <x:row r="61" ht="35.25" customHeight="1">
      <x:c r="A61" s="8" t="str">
        <x:v>check-59</x:v>
      </x:c>
      <x:c r="B61" s="8" t="str">
        <x:v>Корпоративная Академия Росатома – Telegram</x:v>
      </x:c>
      <x:c r="C61" s="8" t="str">
        <x:v>primary_check</x:v>
      </x:c>
      <x:c r="D61" s="8" t="str">
        <x:v>Прочитана часть</x:v>
      </x:c>
      <x:c r="E61" s="8" t="str">
        <x:v>2026-10-02</x:v>
      </x:c>
      <x:c r="F61" s="8" t="str">
        <x:v>https://t.me/s/academyrosatom?before=1691&amp;q=%23%D0%90%D0%BA%D0%B0%D0%B4%D0%B5%D0%BC%D0%B8%D1%8F%D0%9E%D0%B1%D1%83%D1%87%D0%B0%D0%B5%D1%82</x:v>
      </x:c>
      <x:c r="G61" s="8" t="str">
        <x:v>turn1175view0</x:v>
      </x:c>
      <x:c r="H61" s="8" t="str">
        <x:v>df2f6ff15d4b8845dbf35c33cad01fcb1f0f4867a98a3e77c2541cf95f763e51</x:v>
      </x:c>
    </x:row>
    <x:row r="62" ht="35.25" customHeight="1">
      <x:c r="A62" s="8" t="str">
        <x:v>check-6</x:v>
      </x:c>
      <x:c r="B62" s="8" t="str">
        <x:v>HR конференция 15 апреля 2026 в Беларуси | HR Day</x:v>
      </x:c>
      <x:c r="C62" s="8" t="str">
        <x:v>primary_check</x:v>
      </x:c>
      <x:c r="D62" s="8" t="str">
        <x:v>Прочитана часть</x:v>
      </x:c>
      <x:c r="E62" s="8" t="str">
        <x:v>2026-10-02</x:v>
      </x:c>
      <x:c r="F62" s="8" t="str">
        <x:v>https://www.hrday.by/</x:v>
      </x:c>
      <x:c r="G62" s="8" t="str">
        <x:v>turn1117view0</x:v>
      </x:c>
      <x:c r="H62" s="8" t="str">
        <x:v>a8a90e965e480466d53042d976e89f3abe6b0a8936b13d28bb5ff1097ac31953</x:v>
      </x:c>
    </x:row>
    <x:row r="63" ht="35.25" customHeight="1">
      <x:c r="A63" s="8" t="str">
        <x:v>check-60</x:v>
      </x:c>
      <x:c r="B63" s="8" t="str">
        <x:v>Как стать партнёрской образовательной организацией</x:v>
      </x:c>
      <x:c r="C63" s="8" t="str">
        <x:v>primary_check</x:v>
      </x:c>
      <x:c r="D63" s="8" t="str">
        <x:v>Ошибка доступа</x:v>
      </x:c>
      <x:c r="E63" s="8" t="str">
        <x:v>2026-10-02</x:v>
      </x:c>
      <x:c r="F63" s="8" t="str">
        <x:v>https://www.fa.ru/for-applicants/priyemka/schools/partner/</x:v>
      </x:c>
      <x:c r="G63" s="8" t="str">
        <x:v>turn1177view0</x:v>
      </x:c>
      <x:c r="H63" s="8" t="str">
        <x:v>7719ce4eb8518b66ec688048d24359e21b2f4503f49c30c76509ec5cc24c2ac0</x:v>
      </x:c>
    </x:row>
    <x:row r="64" ht="33" customHeight="1">
      <x:c r="A64" s="8" t="str">
        <x:v>check-61</x:v>
      </x:c>
      <x:c r="B64" s="8" t="str">
        <x:v>Как стать спикером конференции HR API?</x:v>
      </x:c>
      <x:c r="C64" s="8" t="str">
        <x:v>primary_check</x:v>
      </x:c>
      <x:c r="D64" s="8" t="str">
        <x:v>Пустое извлечение</x:v>
      </x:c>
      <x:c r="E64" s="8" t="str">
        <x:v>2026-10-02</x:v>
      </x:c>
      <x:c r="F64" s="8" t="str">
        <x:v>https://hrapiconf.com/cfp</x:v>
      </x:c>
      <x:c r="G64" s="8" t="str">
        <x:v>turn1192view0</x:v>
      </x:c>
      <x:c r="H64" s="8" t="str">
        <x:v>55411ead7d1a1faab13e0d5200f69becace1e871f1f56ffbd50972c2696749cb</x:v>
      </x:c>
    </x:row>
    <x:row r="65" ht="35.25" customHeight="1">
      <x:c r="A65" s="8" t="str">
        <x:v>check-62</x:v>
      </x:c>
      <x:c r="B65" s="8" t="str">
        <x:v>Как стать спикером - Суровый Питерский Форум про маркетинг, SMM и бизнес</x:v>
      </x:c>
      <x:c r="C65" s="8" t="str">
        <x:v>primary_check</x:v>
      </x:c>
      <x:c r="D65" s="8" t="str">
        <x:v>Прочитана часть</x:v>
      </x:c>
      <x:c r="E65" s="8" t="str">
        <x:v>2026-10-02</x:v>
      </x:c>
      <x:c r="F65" s="8" t="str">
        <x:v>https://smmconfa.ru/become_speaker/</x:v>
      </x:c>
      <x:c r="G65" s="8" t="str">
        <x:v>turn1188view0</x:v>
      </x:c>
      <x:c r="H65" s="8" t="str">
        <x:v>7e20e39c18ae8b1382f1a42f5285b5f7f3a134019b5b7f310deb1c5633da66e0</x:v>
      </x:c>
    </x:row>
    <x:row r="66" ht="35.25" customHeight="1">
      <x:c r="A66" s="8" t="str">
        <x:v>check-63</x:v>
      </x:c>
      <x:c r="B66" s="8" t="str">
        <x:v>Стать спикером SOC Forum: подайте заявку до 11 сентября 2026</x:v>
      </x:c>
      <x:c r="C66" s="8" t="str">
        <x:v>primary_check</x:v>
      </x:c>
      <x:c r="D66" s="8" t="str">
        <x:v>Прочитана часть</x:v>
      </x:c>
      <x:c r="E66" s="8" t="str">
        <x:v>2026-10-02</x:v>
      </x:c>
      <x:c r="F66" s="8" t="str">
        <x:v>https://forumsoc.ru/become-a-speaker/</x:v>
      </x:c>
      <x:c r="G66" s="8" t="str">
        <x:v>turn1195view0</x:v>
      </x:c>
      <x:c r="H66" s="8" t="str">
        <x:v>4ee9840733290c8a8318c4f6213a4c406b608395154dae05c85065f91505746b</x:v>
      </x:c>
    </x:row>
    <x:row r="67" ht="33" customHeight="1">
      <x:c r="A67" s="8" t="str">
        <x:v>check-64</x:v>
      </x:c>
      <x:c r="B67" s="8" t="str">
        <x:v>HR-club</x:v>
      </x:c>
      <x:c r="C67" s="8" t="str">
        <x:v>primary_check</x:v>
      </x:c>
      <x:c r="D67" s="8" t="str">
        <x:v>Прочитана часть</x:v>
      </x:c>
      <x:c r="E67" s="8" t="str">
        <x:v>2026-10-02</x:v>
      </x:c>
      <x:c r="F67" s="8" t="str">
        <x:v>https://hrclub-conf.ru/</x:v>
      </x:c>
      <x:c r="G67" s="8" t="str">
        <x:v>turn1194view0</x:v>
      </x:c>
      <x:c r="H67" s="8" t="str">
        <x:v>abb1debe23da7c906e2e33d86051ada9a9d3a76b2ce491dd5d1930b1c84ce606</x:v>
      </x:c>
    </x:row>
    <x:row r="68" ht="33" customHeight="1">
      <x:c r="A68" s="8" t="str">
        <x:v>check-65</x:v>
      </x:c>
      <x:c r="B68" s="8" t="str">
        <x:v>Конференция ПОТОК: Большой HR-день</x:v>
      </x:c>
      <x:c r="C68" s="8" t="str">
        <x:v>primary_check</x:v>
      </x:c>
      <x:c r="D68" s="8" t="str">
        <x:v>Прочитана часть</x:v>
      </x:c>
      <x:c r="E68" s="8" t="str">
        <x:v>2026-10-02</x:v>
      </x:c>
      <x:c r="F68" s="8" t="str">
        <x:v>https://potokconf.ru/hr</x:v>
      </x:c>
      <x:c r="G68" s="8" t="str">
        <x:v>turn1196view0</x:v>
      </x:c>
      <x:c r="H68" s="8" t="str">
        <x:v>99aaa9aa909d79c8b80412753a728fb6f6071939ba34a27a3055037ecfe841d6</x:v>
      </x:c>
    </x:row>
    <x:row r="69" ht="59.25" customHeight="1">
      <x:c r="A69" s="8" t="str">
        <x:v>check-66</x:v>
      </x:c>
      <x:c r="B69" s="8" t="str">
        <x:v>Приглашение</x:v>
      </x:c>
      <x:c r="C69" s="8" t="str">
        <x:v>primary_check</x:v>
      </x:c>
      <x:c r="D69" s="8" t="str">
        <x:v>Прочитана часть</x:v>
      </x:c>
      <x:c r="E69" s="8" t="str">
        <x:v>2026-10-02</x:v>
      </x:c>
      <x:c r="F69" s="8" t="str">
        <x:v>https://kazsut.com/wp-content/uploads/%D0%9F%D1%80%D0%B8%D0%B3%D0%BB%D0%B0%D1%88%D0%B5%D0%BD%D0%B8%D0%B5-%D0%BD%D0%B0-%D0%A4%D0%BE%D1%80%D1%83%D0%BC-Asia-AGRO-%D0%9F%D0%B5%D1%80%D0%B5%D1%80%D0%B0%D0%B1%D0%BE%D1%82%D0%BA%D0%B0-4.0-2024.pdf?t=</x:v>
      </x:c>
      <x:c r="G69" s="8" t="str">
        <x:v>turn1203view0</x:v>
      </x:c>
      <x:c r="H69" s="8" t="str">
        <x:v>aea98b29e8cba8604f405412afb1dee3cc285c75aed16dc339ac70f00f3fbd72</x:v>
      </x:c>
    </x:row>
    <x:row r="70" ht="35.25" customHeight="1">
      <x:c r="A70" s="8" t="str">
        <x:v>check-67</x:v>
      </x:c>
      <x:c r="B70" s="8" t="str">
        <x:v>МЕЖДУНАРОДНЫЙ HR-ФОРУМ 2026 В АЛМАТЫ 25-26 НОЯБРЯ</x:v>
      </x:c>
      <x:c r="C70" s="8" t="str">
        <x:v>primary_check</x:v>
      </x:c>
      <x:c r="D70" s="8" t="str">
        <x:v>Прочитана часть</x:v>
      </x:c>
      <x:c r="E70" s="8" t="str">
        <x:v>2026-10-02</x:v>
      </x:c>
      <x:c r="F70" s="8" t="str">
        <x:v>https://www.hrforumasia.com/almaty</x:v>
      </x:c>
      <x:c r="G70" s="8" t="str">
        <x:v>turn1189view0</x:v>
      </x:c>
      <x:c r="H70" s="8" t="str">
        <x:v>73831e62a37ccb19239db08dc35971da3b50c930bdc0bc58e19e739ea95047d9</x:v>
      </x:c>
    </x:row>
    <x:row r="71" ht="35.25" customHeight="1">
      <x:c r="A71" s="8" t="str">
        <x:v>check-68</x:v>
      </x:c>
      <x:c r="B71" s="8" t="str">
        <x:v>Kazakhstan HR-Forum объединяет HRD Центральной Азии</x:v>
      </x:c>
      <x:c r="C71" s="8" t="str">
        <x:v>primary_check</x:v>
      </x:c>
      <x:c r="D71" s="8" t="str">
        <x:v>Пустое извлечение</x:v>
      </x:c>
      <x:c r="E71" s="8" t="str">
        <x:v>2026-10-02</x:v>
      </x:c>
      <x:c r="F71" s="8" t="str">
        <x:v>https://hrf.kgforum.kz/hr-club</x:v>
      </x:c>
      <x:c r="G71" s="8" t="str">
        <x:v>turn1190view0</x:v>
      </x:c>
      <x:c r="H71" s="8" t="str">
        <x:v>a95394dc6a91eb52d144abdc76c191d9653b7f4a3c906fdb08f69beeaf6506c9</x:v>
      </x:c>
    </x:row>
    <x:row r="72" ht="33" customHeight="1">
      <x:c r="A72" s="8" t="str">
        <x:v>check-69</x:v>
      </x:c>
      <x:c r="B72" s="8" t="str">
        <x:v>HoReCa</x:v>
      </x:c>
      <x:c r="C72" s="8" t="str">
        <x:v>primary_check</x:v>
      </x:c>
      <x:c r="D72" s="8" t="str">
        <x:v>Прочитана часть</x:v>
      </x:c>
      <x:c r="E72" s="8" t="str">
        <x:v>2026-10-02</x:v>
      </x:c>
      <x:c r="F72" s="8" t="str">
        <x:v>https://horecaexpo.by/</x:v>
      </x:c>
      <x:c r="G72" s="8" t="str">
        <x:v>turn1193view0</x:v>
      </x:c>
      <x:c r="H72" s="8" t="str">
        <x:v>13d08f03282ddd7c18fef85694b42ef147ffc4dfa7eafb87a9d027385ab0f6d4</x:v>
      </x:c>
    </x:row>
    <x:row r="73" ht="35.25" customHeight="1">
      <x:c r="A73" s="8" t="str">
        <x:v>check-7</x:v>
      </x:c>
      <x:c r="B73" s="8" t="str">
        <x:v>#hrclubrt — Сообщество HR сотрудников компаний по г. Казани и ближайщих городов.</x:v>
      </x:c>
      <x:c r="C73" s="8" t="str">
        <x:v>primary_check</x:v>
      </x:c>
      <x:c r="D73" s="8" t="str">
        <x:v>Ошибка доступа</x:v>
      </x:c>
      <x:c r="E73" s="8" t="str">
        <x:v>2026-10-02</x:v>
      </x:c>
      <x:c r="F73" s="8" t="str">
        <x:v>https://hrclubrt.ru/</x:v>
      </x:c>
      <x:c r="G73" s="8" t="str">
        <x:v>turn1129view0</x:v>
      </x:c>
      <x:c r="H73" s="8" t="str">
        <x:v>7bf2c526fe23fa63ef6de105eec04b789ce597c32aa9ed5d33da96faf9dc2e96</x:v>
      </x:c>
    </x:row>
    <x:row r="74" ht="33" customHeight="1">
      <x:c r="A74" s="8" t="str">
        <x:v>check-70</x:v>
      </x:c>
      <x:c r="B74" s="8" t="str">
        <x:v>ProductConf 2026</x:v>
      </x:c>
      <x:c r="C74" s="8" t="str">
        <x:v>primary_check</x:v>
      </x:c>
      <x:c r="D74" s="8" t="str">
        <x:v>Прочитана часть</x:v>
      </x:c>
      <x:c r="E74" s="8" t="str">
        <x:v>2026-10-02</x:v>
      </x:c>
      <x:c r="F74" s="8" t="str">
        <x:v>https://productconf.ru/apply-as-speaker/</x:v>
      </x:c>
      <x:c r="G74" s="8" t="str">
        <x:v>turn1197view0</x:v>
      </x:c>
      <x:c r="H74" s="8" t="str">
        <x:v>83128bed8d37f2cb76ef0374f753b57afb14485678fa949ce91ed9616f5321c4</x:v>
      </x:c>
    </x:row>
    <x:row r="75" ht="47.25" customHeight="1">
      <x:c r="A75" s="8" t="str">
        <x:v>check-71</x:v>
      </x:c>
      <x:c r="B75" s="8" t="str">
        <x:v>Центр «Мой Бизнес» — Центр «Мой бизнес» приглашает к сотрудничеству спикеров и лекторов - Центр мой бизнес Орёл</x:v>
      </x:c>
      <x:c r="C75" s="8" t="str">
        <x:v>primary_check</x:v>
      </x:c>
      <x:c r="D75" s="8" t="str">
        <x:v>Прочитана часть</x:v>
      </x:c>
      <x:c r="E75" s="8" t="str">
        <x:v>2026-10-02</x:v>
      </x:c>
      <x:c r="F75" s="8" t="str">
        <x:v>https://msb-orel.ru/events/czentr-moj-biznes-priglashaet-k-sotrudnichestvu-spikerov-i-lektorov</x:v>
      </x:c>
      <x:c r="G75" s="8" t="str">
        <x:v>turn1198view0</x:v>
      </x:c>
      <x:c r="H75" s="8" t="str">
        <x:v>4a879de2ff699a52bed2b22d1258c1aa709f3884f92c0582132f41259fe8d86f</x:v>
      </x:c>
    </x:row>
    <x:row r="76" ht="35.25" customHeight="1">
      <x:c r="A76" s="8" t="str">
        <x:v>check-72</x:v>
      </x:c>
      <x:c r="B76" s="8" t="str">
        <x:v>Как стать спикером центра «Мой бизнес» | АНО «Мой бизнес»</x:v>
      </x:c>
      <x:c r="C76" s="8" t="str">
        <x:v>primary_check</x:v>
      </x:c>
      <x:c r="D76" s="8" t="str">
        <x:v>Прочитана часть</x:v>
      </x:c>
      <x:c r="E76" s="8" t="str">
        <x:v>2026-10-02</x:v>
      </x:c>
      <x:c r="F76" s="8" t="str">
        <x:v>https://mb35.ru/novosti/kak-stat-spikerom-tsentra-moy-biznes/</x:v>
      </x:c>
      <x:c r="G76" s="8" t="str">
        <x:v>turn1201view0</x:v>
      </x:c>
      <x:c r="H76" s="8" t="str">
        <x:v>5324e9c8fde743a8c00c80cc30619a124ac828ad5aa73c77af369b24275d89cd</x:v>
      </x:c>
    </x:row>
    <x:row r="77" ht="35.25" customHeight="1">
      <x:c r="A77" s="8" t="str">
        <x:v>check-73</x:v>
      </x:c>
      <x:c r="B77" s="8" t="str">
        <x:v>Хотите стать экспертом Центра «Мой бизнес» и заявить о себе?</x:v>
      </x:c>
      <x:c r="C77" s="8" t="str">
        <x:v>primary_check</x:v>
      </x:c>
      <x:c r="D77" s="8" t="str">
        <x:v>Прочитана часть</x:v>
      </x:c>
      <x:c r="E77" s="8" t="str">
        <x:v>2026-10-02</x:v>
      </x:c>
      <x:c r="F77" s="8" t="str">
        <x:v>https://xn---72-9cdulgg0aog6b.xn--p1ai/information/news/khotite-stat-ekspertom-tsentra-moy-biznes-i-zayavit-o-sebe/</x:v>
      </x:c>
      <x:c r="G77" s="8" t="str">
        <x:v>turn1191view0</x:v>
      </x:c>
      <x:c r="H77" s="8" t="str">
        <x:v>00dd57aae12a59763df01179975fff8b2577a0bfe2e47b99de875ea9eed310df</x:v>
      </x:c>
    </x:row>
    <x:row r="78" ht="35.25" customHeight="1">
      <x:c r="A78" s="8" t="str">
        <x:v>check-74</x:v>
      </x:c>
      <x:c r="B78" s="8" t="str">
        <x:v>Союз "Торгово-промышленная палата города Дубны"</x:v>
      </x:c>
      <x:c r="C78" s="8" t="str">
        <x:v>primary_check</x:v>
      </x:c>
      <x:c r="D78" s="8" t="str">
        <x:v>Прочитана часть</x:v>
      </x:c>
      <x:c r="E78" s="8" t="str">
        <x:v>2026-10-02</x:v>
      </x:c>
      <x:c r="F78" s="8" t="str">
        <x:v>https://dubna.tpprf.ru/ru/</x:v>
      </x:c>
      <x:c r="G78" s="8" t="str">
        <x:v>turn1200view0</x:v>
      </x:c>
      <x:c r="H78" s="8" t="str">
        <x:v>eb4dff3c863881dd40c35e9ddcaef9d3747298c3c209ab804e519a1eb3743a2f</x:v>
      </x:c>
    </x:row>
    <x:row r="79" ht="33" customHeight="1">
      <x:c r="A79" s="8" t="str">
        <x:v>check-75</x:v>
      </x:c>
      <x:c r="B79" s="8" t="str">
        <x:v>Союз "ТПП Краснодарского края"</x:v>
      </x:c>
      <x:c r="C79" s="8" t="str">
        <x:v>primary_check</x:v>
      </x:c>
      <x:c r="D79" s="8" t="str">
        <x:v>Прочитана часть</x:v>
      </x:c>
      <x:c r="E79" s="8" t="str">
        <x:v>2026-10-02</x:v>
      </x:c>
      <x:c r="F79" s="8" t="str">
        <x:v>https://kuban.tpprf.ru/ru/announcements/601051/</x:v>
      </x:c>
      <x:c r="G79" s="8" t="str">
        <x:v>turn1199view0</x:v>
      </x:c>
      <x:c r="H79" s="8" t="str">
        <x:v>5e9ff3b86639675bddb3a1c08e6fdf9c0c90a5a65df3d823c58de8b1e9da7a2b</x:v>
      </x:c>
    </x:row>
    <x:row r="80" ht="35.25" customHeight="1">
      <x:c r="A80" s="8" t="str">
        <x:v>check-76</x:v>
      </x:c>
      <x:c r="B80" s="8" t="str">
        <x:v>Союз "Торгово-промышленная палата Республики Татарстан"</x:v>
      </x:c>
      <x:c r="C80" s="8" t="str">
        <x:v>primary_check</x:v>
      </x:c>
      <x:c r="D80" s="8" t="str">
        <x:v>Прочитана часть</x:v>
      </x:c>
      <x:c r="E80" s="8" t="str">
        <x:v>2026-10-02</x:v>
      </x:c>
      <x:c r="F80" s="8" t="str">
        <x:v>https://tatarstan.tpprf.ru/ru/</x:v>
      </x:c>
      <x:c r="G80" s="8" t="str">
        <x:v>turn1206view0</x:v>
      </x:c>
      <x:c r="H80" s="8" t="str">
        <x:v>cea984a8c4bb5a82c6024a95c582698f39f424c2f7a06ddf2feb2680265457f2</x:v>
      </x:c>
    </x:row>
    <x:row r="81" ht="33" customHeight="1">
      <x:c r="A81" s="8" t="str">
        <x:v>check-77</x:v>
      </x:c>
      <x:c r="B81" s="8" t="str">
        <x:v>ЦПЭ - Центр поддержки экспорта | Тула</x:v>
      </x:c>
      <x:c r="C81" s="8" t="str">
        <x:v>primary_check</x:v>
      </x:c>
      <x:c r="D81" s="8" t="str">
        <x:v>Прочитана часть</x:v>
      </x:c>
      <x:c r="E81" s="8" t="str">
        <x:v>2026-10-02</x:v>
      </x:c>
      <x:c r="F81" s="8" t="str">
        <x:v>https://export71.ru/</x:v>
      </x:c>
      <x:c r="G81" s="8" t="str">
        <x:v>turn1207view0</x:v>
      </x:c>
      <x:c r="H81" s="8" t="str">
        <x:v>e5b821e1174e94d5fb27fd010bdf947668de0fc928e4dda83265685c1141d2cd</x:v>
      </x:c>
    </x:row>
    <x:row r="82" ht="35.25" customHeight="1">
      <x:c r="A82" s="8" t="str">
        <x:v>check-78</x:v>
      </x:c>
      <x:c r="B82" s="8" t="str">
        <x:v>О Центре поддержки предпринимательства «Стартап технологии» - Startup Weekend Belarus</x:v>
      </x:c>
      <x:c r="C82" s="8" t="str">
        <x:v>primary_check</x:v>
      </x:c>
      <x:c r="D82" s="8" t="str">
        <x:v>Прочитана часть</x:v>
      </x:c>
      <x:c r="E82" s="8" t="str">
        <x:v>2026-10-02</x:v>
      </x:c>
      <x:c r="F82" s="8" t="str">
        <x:v>https://startupweekend.by/st/</x:v>
      </x:c>
      <x:c r="G82" s="8" t="str">
        <x:v>turn1202view0</x:v>
      </x:c>
      <x:c r="H82" s="8" t="str">
        <x:v>4398f4ee1774dfe06016db3f12b520358aec3c6b0f373713170190bf731f9bf1</x:v>
      </x:c>
    </x:row>
    <x:row r="83" ht="35.25" customHeight="1">
      <x:c r="A83" s="8" t="str">
        <x:v>check-79</x:v>
      </x:c>
      <x:c r="B83" s="8" t="str">
        <x:v>Центр поддержки предпринимательства. Финансовая поддержка малого бизнеса ─ konsalt.by</x:v>
      </x:c>
      <x:c r="C83" s="8" t="str">
        <x:v>primary_check</x:v>
      </x:c>
      <x:c r="D83" s="8" t="str">
        <x:v>Прочитана часть</x:v>
      </x:c>
      <x:c r="E83" s="8" t="str">
        <x:v>2026-10-02</x:v>
      </x:c>
      <x:c r="F83" s="8" t="str">
        <x:v>https://www.konsalt.by/uslugi/centr-podderzhki-predprinimatelya.html</x:v>
      </x:c>
      <x:c r="G83" s="8" t="str">
        <x:v>turn1204view0</x:v>
      </x:c>
      <x:c r="H83" s="8" t="str">
        <x:v>d5573ed5ef31a3c0b0af0fe588a9f6919c2a89b4acf36f106569c8f4a4d20b9c</x:v>
      </x:c>
    </x:row>
    <x:row r="84" ht="33" customHeight="1">
      <x:c r="A84" s="8" t="str">
        <x:v>check-8</x:v>
      </x:c>
      <x:c r="B84" s="8" t="str">
        <x:v>Ассоциация HR-менеджеров</x:v>
      </x:c>
      <x:c r="C84" s="8" t="str">
        <x:v>primary_check</x:v>
      </x:c>
      <x:c r="D84" s="8" t="str">
        <x:v>Прочитана часть</x:v>
      </x:c>
      <x:c r="E84" s="8" t="str">
        <x:v>2026-10-02</x:v>
      </x:c>
      <x:c r="F84" s="8" t="str">
        <x:v>https://hrbp.kz/</x:v>
      </x:c>
      <x:c r="G84" s="8" t="str">
        <x:v>turn1121view0</x:v>
      </x:c>
      <x:c r="H84" s="8" t="str">
        <x:v>ae286db2526e8732a675a32265ff4c704f0522fca1546674e4ed9af11e4f855b</x:v>
      </x:c>
    </x:row>
    <x:row r="85" ht="33" customHeight="1">
      <x:c r="A85" s="8" t="str">
        <x:v>check-80</x:v>
      </x:c>
      <x:c r="B85" s="8" t="str">
        <x:v>Центр поддержки предпринимательства</x:v>
      </x:c>
      <x:c r="C85" s="8" t="str">
        <x:v>primary_check</x:v>
      </x:c>
      <x:c r="D85" s="8" t="str">
        <x:v>Прочитана часть</x:v>
      </x:c>
      <x:c r="E85" s="8" t="str">
        <x:v>2026-10-02</x:v>
      </x:c>
      <x:c r="F85" s="8" t="str">
        <x:v>https://asbconsult.by/press-centr_nekz/</x:v>
      </x:c>
      <x:c r="G85" s="8" t="str">
        <x:v>turn1205view0</x:v>
      </x:c>
      <x:c r="H85" s="8" t="str">
        <x:v>c1aa0b43fcd19e2c730f400790a701ba6fbe8469b04d6c91a9e2b54475b02be8</x:v>
      </x:c>
    </x:row>
    <x:row r="86" ht="35.25" customHeight="1">
      <x:c r="A86" s="8" t="str">
        <x:v>check-81</x:v>
      </x:c>
      <x:c r="B86" s="8" t="str">
        <x:v>Бизнес-клуб NOVA — закрытый клуб собственников бизнеса, Москва</x:v>
      </x:c>
      <x:c r="C86" s="8" t="str">
        <x:v>primary_check</x:v>
      </x:c>
      <x:c r="D86" s="8" t="str">
        <x:v>Прочитана часть</x:v>
      </x:c>
      <x:c r="E86" s="8" t="str">
        <x:v>2026-10-02</x:v>
      </x:c>
      <x:c r="F86" s="8" t="str">
        <x:v>https://club-nova.ru/</x:v>
      </x:c>
      <x:c r="G86" s="8" t="str">
        <x:v>turn1220view0</x:v>
      </x:c>
      <x:c r="H86" s="8" t="str">
        <x:v>a45f785fca48b8094c8fcd4c6bf7142e691930adb8c05b7f9f3e1b2c541d1541</x:v>
      </x:c>
    </x:row>
    <x:row r="87" ht="33" customHeight="1">
      <x:c r="A87" s="8" t="str">
        <x:v>check-82</x:v>
      </x:c>
      <x:c r="B87" s="8" t="str">
        <x:v>Бизнес-клуб Раменки</x:v>
      </x:c>
      <x:c r="C87" s="8" t="str">
        <x:v>primary_check</x:v>
      </x:c>
      <x:c r="D87" s="8" t="str">
        <x:v>Прочитана часть</x:v>
      </x:c>
      <x:c r="E87" s="8" t="str">
        <x:v>2026-10-02</x:v>
      </x:c>
      <x:c r="F87" s="8" t="str">
        <x:v>https://localbusinessclub.ru/</x:v>
      </x:c>
      <x:c r="G87" s="8" t="str">
        <x:v>turn1223view0</x:v>
      </x:c>
      <x:c r="H87" s="8" t="str">
        <x:v>9130f012f610dc2f8184eab52b9eddff5adad4b1ad9ffdc8c6ead04728c6c5e6</x:v>
      </x:c>
    </x:row>
    <x:row r="88" ht="35.25" customHeight="1">
      <x:c r="A88" s="8" t="str">
        <x:v>check-83</x:v>
      </x:c>
      <x:c r="B88" s="8" t="str">
        <x:v>Спикеры для бизнеса и лекции для предпринимателей – приглашенные эксперты</x:v>
      </x:c>
      <x:c r="C88" s="8" t="str">
        <x:v>primary_check</x:v>
      </x:c>
      <x:c r="D88" s="8" t="str">
        <x:v>Прочитана часть</x:v>
      </x:c>
      <x:c r="E88" s="8" t="str">
        <x:v>2026-10-02</x:v>
      </x:c>
      <x:c r="F88" s="8" t="str">
        <x:v>https://probusinessclub.ru/speakers</x:v>
      </x:c>
      <x:c r="G88" s="8" t="str">
        <x:v>turn1221view0</x:v>
      </x:c>
      <x:c r="H88" s="8" t="str">
        <x:v>56c248876c7c96ec2fde020dc5ca69a49848b69fbc73d67f289f63d6ada84aef</x:v>
      </x:c>
    </x:row>
    <x:row r="89" ht="35.25" customHeight="1">
      <x:c r="A89" s="8" t="str">
        <x:v>check-84</x:v>
      </x:c>
      <x:c r="B89" s="8" t="str">
        <x:v>Бизнес-клуб BizPride в Алматы — открытое сообщество для МСБ</x:v>
      </x:c>
      <x:c r="C89" s="8" t="str">
        <x:v>primary_check</x:v>
      </x:c>
      <x:c r="D89" s="8" t="str">
        <x:v>Прочитана часть</x:v>
      </x:c>
      <x:c r="E89" s="8" t="str">
        <x:v>2026-10-02</x:v>
      </x:c>
      <x:c r="F89" s="8" t="str">
        <x:v>https://bizpride.kz/business-club/</x:v>
      </x:c>
      <x:c r="G89" s="8" t="str">
        <x:v>turn1218view0</x:v>
      </x:c>
      <x:c r="H89" s="8" t="str">
        <x:v>b89eb86ec9528fc561668eaaec84d0a2ac5de800dae6abe7e9deb01f0ae6a076</x:v>
      </x:c>
    </x:row>
    <x:row r="90" ht="35.25" customHeight="1">
      <x:c r="A90" s="8" t="str">
        <x:v>check-85</x:v>
      </x:c>
      <x:c r="B90" s="8" t="str">
        <x:v>Бизнес-сообщество предпринимателей - «Эквиум» Казахстан</x:v>
      </x:c>
      <x:c r="C90" s="8" t="str">
        <x:v>primary_check</x:v>
      </x:c>
      <x:c r="D90" s="8" t="str">
        <x:v>Ошибка доступа</x:v>
      </x:c>
      <x:c r="E90" s="8" t="str">
        <x:v>2026-10-02</x:v>
      </x:c>
      <x:c r="F90" s="8" t="str">
        <x:v>https://equium.kz/</x:v>
      </x:c>
      <x:c r="G90" s="8" t="str">
        <x:v>turn1229view0</x:v>
      </x:c>
      <x:c r="H90" s="8" t="str">
        <x:v>277e73692fc506241fb142febfd25a999bd047b49b18f30d4236f8a469f8353e</x:v>
      </x:c>
    </x:row>
    <x:row r="91" ht="33" customHeight="1">
      <x:c r="A91" s="8" t="str">
        <x:v>check-86</x:v>
      </x:c>
      <x:c r="B91" s="8" t="str">
        <x:v>№1 Бизнес сообщество в Казахстане</x:v>
      </x:c>
      <x:c r="C91" s="8" t="str">
        <x:v>primary_check</x:v>
      </x:c>
      <x:c r="D91" s="8" t="str">
        <x:v>Ошибка доступа</x:v>
      </x:c>
      <x:c r="E91" s="8" t="str">
        <x:v>2026-10-02</x:v>
      </x:c>
      <x:c r="F91" s="8" t="str">
        <x:v>https://friendscommunity.kz/</x:v>
      </x:c>
      <x:c r="G91" s="8" t="str">
        <x:v>turn1225view0</x:v>
      </x:c>
      <x:c r="H91" s="8" t="str">
        <x:v>2d484992323d3874666171eceda2ea33987d8521dc609f19834e4ed0b67844f1</x:v>
      </x:c>
    </x:row>
    <x:row r="92" ht="35.25" customHeight="1">
      <x:c r="A92" s="8" t="str">
        <x:v>check-87</x:v>
      </x:c>
      <x:c r="B92" s="8" t="str">
        <x:v>26 Business Club — Сообщество high-impact предпринимателей</x:v>
      </x:c>
      <x:c r="C92" s="8" t="str">
        <x:v>primary_check</x:v>
      </x:c>
      <x:c r="D92" s="8" t="str">
        <x:v>Пустое извлечение</x:v>
      </x:c>
      <x:c r="E92" s="8" t="str">
        <x:v>2026-10-02</x:v>
      </x:c>
      <x:c r="F92" s="8" t="str">
        <x:v>https://www.26businessclub.kz/</x:v>
      </x:c>
      <x:c r="G92" s="8" t="str">
        <x:v>turn1231view0</x:v>
      </x:c>
      <x:c r="H92" s="8" t="str">
        <x:v>23a0e9fe86c7c216cc043a97d6a2be85228c2209d658230016bd082b78a892dd</x:v>
      </x:c>
    </x:row>
    <x:row r="93" ht="35.25" customHeight="1">
      <x:c r="A93" s="8" t="str">
        <x:v>check-88</x:v>
      </x:c>
      <x:c r="B93" s="8" t="str">
        <x:v>Практикум 2.0 для предпринимателей - Бизнес клуб "Аномалия"</x:v>
      </x:c>
      <x:c r="C93" s="8" t="str">
        <x:v>primary_check</x:v>
      </x:c>
      <x:c r="D93" s="8" t="str">
        <x:v>access_challenge</x:v>
      </x:c>
      <x:c r="E93" s="8" t="str">
        <x:v>2026-10-02</x:v>
      </x:c>
      <x:c r="F93" s="8" t="str">
        <x:v>https://anomalia-club.by/praktikum-2-0-dlya-predprinimatelei/</x:v>
      </x:c>
      <x:c r="G93" s="8" t="str">
        <x:v>turn1222view0</x:v>
      </x:c>
      <x:c r="H93" s="8" t="str">
        <x:v>593c99f0db3d34d671638bb963c55a417063b9c32eafde0274a2138cca623a9d</x:v>
      </x:c>
    </x:row>
    <x:row r="94" ht="33" customHeight="1">
      <x:c r="A94" s="8" t="str">
        <x:v>check-89</x:v>
      </x:c>
      <x:c r="B94" s="8" t="str">
        <x:v>club.startupbelarus.by</x:v>
      </x:c>
      <x:c r="C94" s="8" t="str">
        <x:v>primary_check</x:v>
      </x:c>
      <x:c r="D94" s="8" t="str">
        <x:v>Прочитана часть</x:v>
      </x:c>
      <x:c r="E94" s="8" t="str">
        <x:v>2026-10-02</x:v>
      </x:c>
      <x:c r="F94" s="8" t="str">
        <x:v>https://club.startupbelarus.by/</x:v>
      </x:c>
      <x:c r="G94" s="8" t="str">
        <x:v>turn1228view0</x:v>
      </x:c>
      <x:c r="H94" s="8" t="str">
        <x:v>f48f28e77082edddd70b0fbdc2a8154f8b965bff36a1cfbf9ff130f3f086c449</x:v>
      </x:c>
    </x:row>
    <x:row r="95" ht="33" customHeight="1">
      <x:c r="A95" s="8" t="str">
        <x:v>check-9</x:v>
      </x:c>
      <x:c r="B95" s="8" t="str">
        <x:v>HR4People ASTANA</x:v>
      </x:c>
      <x:c r="C95" s="8" t="str">
        <x:v>primary_check</x:v>
      </x:c>
      <x:c r="D95" s="8" t="str">
        <x:v>Прочитана часть</x:v>
      </x:c>
      <x:c r="E95" s="8" t="str">
        <x:v>2026-10-02</x:v>
      </x:c>
      <x:c r="F95" s="8" t="str">
        <x:v>https://hr4people.kz/hr4peopleastana2026</x:v>
      </x:c>
      <x:c r="G95" s="8" t="str">
        <x:v>turn1125view0</x:v>
      </x:c>
      <x:c r="H95" s="8" t="str">
        <x:v>6e548a4880901f9af5a1b615eee7fe7df976e64b5a5831ba378c77280bb7ce6a</x:v>
      </x:c>
    </x:row>
    <x:row r="96" ht="47.25" customHeight="1">
      <x:c r="A96" s="8" t="str">
        <x:v>check-90</x:v>
      </x:c>
      <x:c r="B96" s="8" t="str">
        <x:v>Пост-релиз xxii ассамблеи деловых кругов республики беларусь | официальный сайт СЮЛ "Республиканская конфедерация предпринимательства"</x:v>
      </x:c>
      <x:c r="C96" s="8" t="str">
        <x:v>primary_check</x:v>
      </x:c>
      <x:c r="D96" s="8" t="str">
        <x:v>Ошибка доступа</x:v>
      </x:c>
      <x:c r="E96" s="8" t="str">
        <x:v>2026-10-02</x:v>
      </x:c>
      <x:c r="F96" s="8" t="str">
        <x:v>https://www.rce.by/post-reliz2025.php</x:v>
      </x:c>
      <x:c r="G96" s="8" t="str">
        <x:v>turn1216view0</x:v>
      </x:c>
      <x:c r="H96" s="8" t="str">
        <x:v>e0ef486fb0c4adc027441043a35e673445cf883e9d1d77a6cb63d97c233a527b</x:v>
      </x:c>
    </x:row>
    <x:row r="97" ht="35.25" customHeight="1">
      <x:c r="A97" s="8" t="str">
        <x:v>check-91</x:v>
      </x:c>
      <x:c r="B97" s="8" t="str">
        <x:v>Мероприятия сообщества Business Lead Биржа бизнес-заказов | Business Lead</x:v>
      </x:c>
      <x:c r="C97" s="8" t="str">
        <x:v>primary_check</x:v>
      </x:c>
      <x:c r="D97" s="8" t="str">
        <x:v>Прочитана часть</x:v>
      </x:c>
      <x:c r="E97" s="8" t="str">
        <x:v>2026-10-02</x:v>
      </x:c>
      <x:c r="F97" s="8" t="str">
        <x:v>https://2lead.ru/blog/other/meropriyatiya-soobshchestva-business-lead</x:v>
      </x:c>
      <x:c r="G97" s="8" t="str">
        <x:v>turn1217view0</x:v>
      </x:c>
      <x:c r="H97" s="8" t="str">
        <x:v>9f366977ba1d49ea258306d73502762e04e09124d9c13dd33e7c2e6595d15ccd</x:v>
      </x:c>
    </x:row>
    <x:row r="98" ht="47.25" customHeight="1">
      <x:c r="A98" s="8" t="str">
        <x:v>check-92</x:v>
      </x:c>
      <x:c r="B98" s="8" t="str">
        <x:v>Ищем методолога образовательных курсов Нужен человек, который умеет… — SMMLANCER - работа в соц.сетях! — TG.ME</x:v>
      </x:c>
      <x:c r="C98" s="8" t="str">
        <x:v>primary_check</x:v>
      </x:c>
      <x:c r="D98" s="8" t="str">
        <x:v>Прочитана часть</x:v>
      </x:c>
      <x:c r="E98" s="8" t="str">
        <x:v>2026-10-02</x:v>
      </x:c>
      <x:c r="F98" s="8" t="str">
        <x:v>https://tg.me/smmlancer/8652</x:v>
      </x:c>
      <x:c r="G98" s="8" t="str">
        <x:v>turn1226view0</x:v>
      </x:c>
      <x:c r="H98" s="8" t="str">
        <x:v>4735b20f395cba53c7edd7d55255d7ef365c46546ee1e3b44b77eedaae975103</x:v>
      </x:c>
    </x:row>
    <x:row r="99" ht="35.25" customHeight="1">
      <x:c r="A99" s="8" t="str">
        <x:v>check-93</x:v>
      </x:c>
      <x:c r="B99" s="8" t="str">
        <x:v>Вся творческая работа. Event hunter. Петербург – Telegram</x:v>
      </x:c>
      <x:c r="C99" s="8" t="str">
        <x:v>primary_check</x:v>
      </x:c>
      <x:c r="D99" s="8" t="str">
        <x:v>Прочитана часть</x:v>
      </x:c>
      <x:c r="E99" s="8" t="str">
        <x:v>2026-10-02</x:v>
      </x:c>
      <x:c r="F99" s="8" t="str">
        <x:v>https://t.me/s/spbeventjob?before=106617&amp;q=%23%D0%A1%D0%BF%D0%B8%D0%BA%D0%B5%D1%80</x:v>
      </x:c>
      <x:c r="G99" s="8" t="str">
        <x:v>turn1227view0</x:v>
      </x:c>
      <x:c r="H99" s="8" t="str">
        <x:v>5174acc9300870d4dc7526038d329c03d85747443d998638d4d70e71c2ad2a6c</x:v>
      </x:c>
    </x:row>
    <x:row r="100" ht="35.25" customHeight="1">
      <x:c r="A100" s="8" t="str">
        <x:v>check-94</x:v>
      </x:c>
      <x:c r="B100" s="8" t="str">
        <x:v>Фриланс Таверна Official | Вакансии Удаленная работа – Telegram</x:v>
      </x:c>
      <x:c r="C100" s="8" t="str">
        <x:v>primary_check</x:v>
      </x:c>
      <x:c r="D100" s="8" t="str">
        <x:v>Прочитана часть</x:v>
      </x:c>
      <x:c r="E100" s="8" t="str">
        <x:v>2026-10-02</x:v>
      </x:c>
      <x:c r="F100" s="8" t="str">
        <x:v>https://t.me/s/freelancetaverna/2881?q=%23%D0%BC%D0%B5%D1%82%D0%BE%D0%B4%D0%B8%D1%81%D1%82</x:v>
      </x:c>
      <x:c r="G100" s="8" t="str">
        <x:v>turn1219view0</x:v>
      </x:c>
      <x:c r="H100" s="8" t="str">
        <x:v>740cc7a616aa5034f907ef2f6a4c9dd07e6f52a018ee3bf24f048b66ef5e283d</x:v>
      </x:c>
    </x:row>
    <x:row r="101" ht="33" customHeight="1">
      <x:c r="A101" s="8" t="str">
        <x:v>check-95</x:v>
      </x:c>
      <x:c r="B101" s="8" t="str">
        <x:v>HR[хаб]вакансии – Telegram</x:v>
      </x:c>
      <x:c r="C101" s="8" t="str">
        <x:v>primary_check</x:v>
      </x:c>
      <x:c r="D101" s="8" t="str">
        <x:v>Прочитана часть</x:v>
      </x:c>
      <x:c r="E101" s="8" t="str">
        <x:v>2026-10-02</x:v>
      </x:c>
      <x:c r="F101" s="8" t="str">
        <x:v>https://t.me/s/hrhubvacancy?before=3485</x:v>
      </x:c>
      <x:c r="G101" s="8" t="str">
        <x:v>turn1230view0</x:v>
      </x:c>
      <x:c r="H101" s="8" t="str">
        <x:v>297c4870e2dd9646aa569fd045aaee0d5d3376b84a2c3a3931c56854305dd5e7</x:v>
      </x:c>
    </x:row>
    <x:row r="102" ht="35.25" customHeight="1">
      <x:c r="A102" s="8" t="str">
        <x:v>check-96</x:v>
      </x:c>
      <x:c r="B102" s="8" t="str">
        <x:v>Тренер тренеру (поиск экспертов) – Telegram</x:v>
      </x:c>
      <x:c r="C102" s="8" t="str">
        <x:v>primary_check</x:v>
      </x:c>
      <x:c r="D102" s="8" t="str">
        <x:v>Прочитана часть</x:v>
      </x:c>
      <x:c r="E102" s="8" t="str">
        <x:v>2026-10-02</x:v>
      </x:c>
      <x:c r="F102" s="8" t="str">
        <x:v>https://t.me/s/edu_feed?before=41&amp;q=%23%D1%82%D1%80%D0%B5%D0%BD%D0%B5%D1%80</x:v>
      </x:c>
      <x:c r="G102" s="8" t="str">
        <x:v>turn1224view0</x:v>
      </x:c>
      <x:c r="H102" s="8" t="str">
        <x:v>258abeb37be98ac84bca824360f323050dbeca1bc2e10ca949d915b80a8ac11e</x:v>
      </x:c>
    </x:row>
    <x:row r="103" ht="35.25" customHeight="1">
      <x:c r="A103" s="8" t="str">
        <x:v>check-97</x:v>
      </x:c>
      <x:c r="B103" s="8" t="str">
        <x:v>Методист (проектная работа) в NDA | Эйч — сервис развития карьеры</x:v>
      </x:c>
      <x:c r="C103" s="8" t="str">
        <x:v>primary_check</x:v>
      </x:c>
      <x:c r="D103" s="8" t="str">
        <x:v>Прочитана часть</x:v>
      </x:c>
      <x:c r="E103" s="8" t="str">
        <x:v>2026-10-02</x:v>
      </x:c>
      <x:c r="F103" s="8" t="str">
        <x:v>https://h.careers/job/06eb6afe-2dc9-45cb-a22f-62ff8dcb7742</x:v>
      </x:c>
      <x:c r="G103" s="8" t="str">
        <x:v>turn1233view0</x:v>
      </x:c>
      <x:c r="H103" s="8" t="str">
        <x:v>48702280bddc2207ac7beb81408bac2999aa21ebc9c3ce78774e1fa52fadec1d</x:v>
      </x:c>
    </x:row>
    <x:row r="104" ht="33" customHeight="1">
      <x:c r="A104" s="8" t="str">
        <x:v>check-98</x:v>
      </x:c>
      <x:c r="B104" s="8" t="str">
        <x:v>Методолог (EdTech) в Sergey Sergeev | Hirify</x:v>
      </x:c>
      <x:c r="C104" s="8" t="str">
        <x:v>primary_check</x:v>
      </x:c>
      <x:c r="D104" s="8" t="str">
        <x:v>Прочитана часть</x:v>
      </x:c>
      <x:c r="E104" s="8" t="str">
        <x:v>2026-10-02</x:v>
      </x:c>
      <x:c r="F104" s="8" t="str">
        <x:v>https://hirify.me/jobs/487898-metodolog-edtech</x:v>
      </x:c>
      <x:c r="G104" s="8" t="str">
        <x:v>turn1235view0</x:v>
      </x:c>
      <x:c r="H104" s="8" t="str">
        <x:v>ee0a704c8dd54516845b18efb7d5dcf0be0b81c8d7104ab42f6decf03a610f22</x:v>
      </x:c>
    </x:row>
    <x:row r="105" ht="35.25" customHeight="1">
      <x:c r="A105" s="8" t="str">
        <x:v>check-99</x:v>
      </x:c>
      <x:c r="B105" s="8" t="str">
        <x:v>Бизнес-тренер — ПРОГРЕСС&amp;CO — Актау · Гибрид · Частичная — Finder.work</x:v>
      </x:c>
      <x:c r="C105" s="8" t="str">
        <x:v>primary_check</x:v>
      </x:c>
      <x:c r="D105" s="8" t="str">
        <x:v>Прочитана часть</x:v>
      </x:c>
      <x:c r="E105" s="8" t="str">
        <x:v>2026-10-02</x:v>
      </x:c>
      <x:c r="F105" s="8" t="str">
        <x:v>https://kz.finder.work/vacancy/28065058</x:v>
      </x:c>
      <x:c r="G105" s="8" t="str">
        <x:v>turn1232view0</x:v>
      </x:c>
      <x:c r="H105" s="8" t="str">
        <x:v>137e7bc18d622948a5322d3dee78582cf4ba8574dbca286e8998c96fa521446b</x:v>
      </x:c>
    </x:row>
    <x:row r="106" ht="35.25" customHeight="1">
      <x:c r="A106" s="8" t="str">
        <x:v>additional-0</x:v>
      </x:c>
      <x:c r="B106" s="8" t="str">
        <x:v>#hrclubrt — Сообщество HR сотрудников компаний по г. Казани и ближайщих городов.</x:v>
      </x:c>
      <x:c r="C106" s="8" t="str">
        <x:v>retry</x:v>
      </x:c>
      <x:c r="D106" s="8" t="str">
        <x:v>Ошибка доступа</x:v>
      </x:c>
      <x:c r="E106" s="8" t="str">
        <x:v>2026-10-02</x:v>
      </x:c>
      <x:c r="F106" s="8" t="str">
        <x:v>https://hrclubrt.ru/</x:v>
      </x:c>
      <x:c r="G106" s="8" t="str">
        <x:v>turn1279view0</x:v>
      </x:c>
      <x:c r="H106" s="8" t="str">
        <x:v>201e9b7bb000d8564dff4bd30b23cc31bc2b43ecdbb74dfcc2ddd3fc5c398da9</x:v>
      </x:c>
    </x:row>
    <x:row r="107" ht="33" customHeight="1">
      <x:c r="A107" s="8" t="str">
        <x:v>additional-1</x:v>
      </x:c>
      <x:c r="B107" s="8" t="str">
        <x:v>Главная</x:v>
      </x:c>
      <x:c r="C107" s="8" t="str">
        <x:v>retry</x:v>
      </x:c>
      <x:c r="D107" s="8" t="str">
        <x:v>Прочитана часть</x:v>
      </x:c>
      <x:c r="E107" s="8" t="str">
        <x:v>2026-10-02</x:v>
      </x:c>
      <x:c r="F107" s="8" t="str">
        <x:v>https://belinfocom.by/</x:v>
      </x:c>
      <x:c r="G107" s="8" t="str">
        <x:v>turn1281view0</x:v>
      </x:c>
      <x:c r="H107" s="8" t="str">
        <x:v>f485f77ccdf1e6c423bfad8c21a2831b9f67f6bdf8f79cc348143a6c6054afdf</x:v>
      </x:c>
    </x:row>
    <x:row r="108" ht="35.25" customHeight="1">
      <x:c r="A108" s="8" t="str">
        <x:v>additional-10</x:v>
      </x:c>
      <x:c r="B108" s="8" t="str">
        <x:v>Вся творческая работа. Event hunter. Петербург – Telegram</x:v>
      </x:c>
      <x:c r="C108" s="8" t="str">
        <x:v>current_feed</x:v>
      </x:c>
      <x:c r="D108" s="8" t="str">
        <x:v>Прочитана часть</x:v>
      </x:c>
      <x:c r="E108" s="8" t="str">
        <x:v>2026-10-02</x:v>
      </x:c>
      <x:c r="F108" s="8" t="str">
        <x:v>https://t.me/s/spbeventjob</x:v>
      </x:c>
      <x:c r="G108" s="8" t="str">
        <x:v>turn1278view0</x:v>
      </x:c>
      <x:c r="H108" s="8" t="str">
        <x:v>1cf010e81f10fe9524dca2932ca080ceedf05caadb262b7efd4990b775df083e</x:v>
      </x:c>
    </x:row>
    <x:row r="109" ht="35.25" customHeight="1">
      <x:c r="A109" s="8" t="str">
        <x:v>additional-11</x:v>
      </x:c>
      <x:c r="B109" s="8" t="str">
        <x:v>Фриланс Таверна Official | Вакансии Удаленная работа – Telegram</x:v>
      </x:c>
      <x:c r="C109" s="8" t="str">
        <x:v>current_feed</x:v>
      </x:c>
      <x:c r="D109" s="8" t="str">
        <x:v>Прочитана часть</x:v>
      </x:c>
      <x:c r="E109" s="8" t="str">
        <x:v>2026-10-02</x:v>
      </x:c>
      <x:c r="F109" s="8" t="str">
        <x:v>https://t.me/s/freelancetaverna</x:v>
      </x:c>
      <x:c r="G109" s="8" t="str">
        <x:v>turn1268view0</x:v>
      </x:c>
      <x:c r="H109" s="8" t="str">
        <x:v>7e43a3e1e887b61c8c574280a1c4d1bd7a99c18098f53fb3aead01e03393884e</x:v>
      </x:c>
    </x:row>
    <x:row r="110" ht="33" customHeight="1">
      <x:c r="A110" s="8" t="str">
        <x:v>additional-12</x:v>
      </x:c>
      <x:c r="B110" s="8" t="str">
        <x:v>HR[хаб]вакансии – Telegram</x:v>
      </x:c>
      <x:c r="C110" s="8" t="str">
        <x:v>current_feed</x:v>
      </x:c>
      <x:c r="D110" s="8" t="str">
        <x:v>Прочитана часть</x:v>
      </x:c>
      <x:c r="E110" s="8" t="str">
        <x:v>2026-10-02</x:v>
      </x:c>
      <x:c r="F110" s="8" t="str">
        <x:v>https://t.me/s/hrhubvacancy</x:v>
      </x:c>
      <x:c r="G110" s="8" t="str">
        <x:v>turn1282view0</x:v>
      </x:c>
      <x:c r="H110" s="8" t="str">
        <x:v>99b6f942521c5591f326922406f335e598736c300be746b3cb926b3769db44ee</x:v>
      </x:c>
    </x:row>
    <x:row r="111" ht="33" customHeight="1">
      <x:c r="A111" s="8" t="str">
        <x:v>additional-13</x:v>
      </x:c>
      <x:c r="B111" s="8" t="str">
        <x:v>Тренер тренеру (поиск экспертов) – Telegram</x:v>
      </x:c>
      <x:c r="C111" s="8" t="str">
        <x:v>current_feed</x:v>
      </x:c>
      <x:c r="D111" s="8" t="str">
        <x:v>Ошибка доступа</x:v>
      </x:c>
      <x:c r="E111" s="8" t="str">
        <x:v>2026-10-02</x:v>
      </x:c>
      <x:c r="F111" s="8" t="str">
        <x:v>https://t.me/s/edu_feed</x:v>
      </x:c>
      <x:c r="G111" s="8" t="str">
        <x:v>turn1272view0</x:v>
      </x:c>
      <x:c r="H111" s="8" t="str">
        <x:v>b6c4119e77e702e0a8848bccb844c8347b0ac516996201dd16e35292a9450a11</x:v>
      </x:c>
    </x:row>
    <x:row r="112" ht="47.25" customHeight="1">
      <x:c r="A112" s="8" t="str">
        <x:v>additional-14</x:v>
      </x:c>
      <x:c r="B112" s="8" t="str">
        <x:v>Ищем методолога образовательных курсов Нужен человек, который умеет… — SMMLANCER - работа в соц.сетях! — TG.ME</x:v>
      </x:c>
      <x:c r="C112" s="8" t="str">
        <x:v>current_feed</x:v>
      </x:c>
      <x:c r="D112" s="8" t="str">
        <x:v>Прочитана часть</x:v>
      </x:c>
      <x:c r="E112" s="8" t="str">
        <x:v>2026-10-02</x:v>
      </x:c>
      <x:c r="F112" s="8" t="str">
        <x:v>https://t.me/s/smmlancer</x:v>
      </x:c>
      <x:c r="G112" s="8" t="str">
        <x:v>turn1274view0</x:v>
      </x:c>
      <x:c r="H112" s="8" t="str">
        <x:v>9ce5ca97a69f335ae35034b052b7e75a68bd5f7b38ff83e7b6ccf2e4b50e5499</x:v>
      </x:c>
    </x:row>
    <x:row r="113" ht="59.25" customHeight="1">
      <x:c r="A113" s="8" t="str">
        <x:v>additional-2</x:v>
      </x:c>
      <x:c r="B113" s="8" t="str">
        <x:v>Союз машиностроителей приглашает на курс повышения квалификации «Организация эффективной работы отдела технического контроля: практика передовых предприятий» - Россоюзхолодпром</x:v>
      </x:c>
      <x:c r="C113" s="8" t="str">
        <x:v>retry</x:v>
      </x:c>
      <x:c r="D113" s="8" t="str">
        <x:v>Ошибка доступа</x:v>
      </x:c>
      <x:c r="E113" s="8" t="str">
        <x:v>2026-10-02</x:v>
      </x:c>
      <x:c r="F113" s="8" t="str">
        <x:v>https://holodunion.ru/news/obuchenie-seminary-konferentsii/soyuz-mashinostroiteley-priglashaet-na-kurs-povysheniya-kvalifikatsii-organizatsiya-effektivnoy-rabo/</x:v>
      </x:c>
      <x:c r="G113" s="8" t="str">
        <x:v>turn1275view0</x:v>
      </x:c>
      <x:c r="H113" s="8" t="str">
        <x:v>efe768f8eca2430cc723758cfed82fea859d197931759ba75c1d12c33b9fc2b8</x:v>
      </x:c>
    </x:row>
    <x:row r="114" ht="35.25" customHeight="1">
      <x:c r="A114" s="8" t="str">
        <x:v>additional-3</x:v>
      </x:c>
      <x:c r="B114" s="8" t="str">
        <x:v>Бизнес-сообщество предпринимателей - «Эквиум» Казахстан</x:v>
      </x:c>
      <x:c r="C114" s="8" t="str">
        <x:v>retry</x:v>
      </x:c>
      <x:c r="D114" s="8" t="str">
        <x:v>Ошибка доступа</x:v>
      </x:c>
      <x:c r="E114" s="8" t="str">
        <x:v>2026-10-02</x:v>
      </x:c>
      <x:c r="F114" s="8" t="str">
        <x:v>https://equium.kz/</x:v>
      </x:c>
      <x:c r="G114" s="8" t="str">
        <x:v>turn1277view0</x:v>
      </x:c>
      <x:c r="H114" s="8" t="str">
        <x:v>f617eabc1ebf339dbd65222a380f2f170ef53d79cad7018ca53228bb4c1e6932</x:v>
      </x:c>
    </x:row>
    <x:row r="115" ht="33" customHeight="1">
      <x:c r="A115" s="8" t="str">
        <x:v>additional-4</x:v>
      </x:c>
      <x:c r="B115" s="8" t="str">
        <x:v>№1 Бизнес сообщество в Казахстане</x:v>
      </x:c>
      <x:c r="C115" s="8" t="str">
        <x:v>retry</x:v>
      </x:c>
      <x:c r="D115" s="8" t="str">
        <x:v>Ошибка доступа</x:v>
      </x:c>
      <x:c r="E115" s="8" t="str">
        <x:v>2026-10-02</x:v>
      </x:c>
      <x:c r="F115" s="8" t="str">
        <x:v>https://friendscommunity.kz/</x:v>
      </x:c>
      <x:c r="G115" s="8" t="str">
        <x:v>turn1276view0</x:v>
      </x:c>
      <x:c r="H115" s="8" t="str">
        <x:v>b96672f5d2432572b35126ad24bc1315e9bd7bdbb0b5da430b163a6de5a2a7a8</x:v>
      </x:c>
    </x:row>
    <x:row r="116" ht="35.25" customHeight="1">
      <x:c r="A116" s="8" t="str">
        <x:v>additional-5</x:v>
      </x:c>
      <x:c r="B116" s="8" t="str">
        <x:v>26 Business Club — Сообщество high-impact предпринимателей</x:v>
      </x:c>
      <x:c r="C116" s="8" t="str">
        <x:v>retry</x:v>
      </x:c>
      <x:c r="D116" s="8" t="str">
        <x:v>Пустое извлечение</x:v>
      </x:c>
      <x:c r="E116" s="8" t="str">
        <x:v>2026-10-02</x:v>
      </x:c>
      <x:c r="F116" s="8" t="str">
        <x:v>https://www.26businessclub.kz/</x:v>
      </x:c>
      <x:c r="G116" s="8" t="str">
        <x:v>turn1269view0</x:v>
      </x:c>
      <x:c r="H116" s="8" t="str">
        <x:v>33524242c3ea45eeb37297aab633eb3933162aa3d718b581bdb3a98c9834567c</x:v>
      </x:c>
    </x:row>
    <x:row r="117" ht="35.25" customHeight="1">
      <x:c r="A117" s="8" t="str">
        <x:v>additional-6</x:v>
      </x:c>
      <x:c r="B117" s="8" t="str">
        <x:v>Практикум 2.0 для предпринимателей - Бизнес клуб "Аномалия"</x:v>
      </x:c>
      <x:c r="C117" s="8" t="str">
        <x:v>retry</x:v>
      </x:c>
      <x:c r="D117" s="8" t="str">
        <x:v>Прочитана часть</x:v>
      </x:c>
      <x:c r="E117" s="8" t="str">
        <x:v>2026-10-02</x:v>
      </x:c>
      <x:c r="F117" s="8" t="str">
        <x:v>https://anomalia-club.by/praktikum-2-0-dlya-predprinimatelei/</x:v>
      </x:c>
      <x:c r="G117" s="8" t="str">
        <x:v>turn1280view0</x:v>
      </x:c>
      <x:c r="H117" s="8" t="str">
        <x:v>bb42a4dd267cbb09e0f137d990532e0de12620aa586373aa616a7d2c6ecd1edd</x:v>
      </x:c>
    </x:row>
    <x:row r="118" ht="47.25" customHeight="1">
      <x:c r="A118" s="8" t="str">
        <x:v>additional-7</x:v>
      </x:c>
      <x:c r="B118" s="8" t="str">
        <x:v>Пост-релиз xxii ассамблеи деловых кругов республики беларусь | официальный сайт СЮЛ "Республиканская конфедерация предпринимательства"</x:v>
      </x:c>
      <x:c r="C118" s="8" t="str">
        <x:v>retry</x:v>
      </x:c>
      <x:c r="D118" s="8" t="str">
        <x:v>Ошибка доступа</x:v>
      </x:c>
      <x:c r="E118" s="8" t="str">
        <x:v>2026-10-02</x:v>
      </x:c>
      <x:c r="F118" s="8" t="str">
        <x:v>https://www.rce.by/post-reliz2025.php</x:v>
      </x:c>
      <x:c r="G118" s="8" t="str">
        <x:v>turn1270view0</x:v>
      </x:c>
      <x:c r="H118" s="8" t="str">
        <x:v>df004f5412aee15db61a97002256aecd50282012272fe7b3a37a9eedf1228f43</x:v>
      </x:c>
    </x:row>
    <x:row r="119" ht="33" customHeight="1">
      <x:c r="A119" s="8" t="str">
        <x:v>additional-8</x:v>
      </x:c>
      <x:c r="B119" s="8" t="str">
        <x:v>HR Breakfast Live – Telegram</x:v>
      </x:c>
      <x:c r="C119" s="8" t="str">
        <x:v>current_feed</x:v>
      </x:c>
      <x:c r="D119" s="8" t="str">
        <x:v>Ошибка доступа</x:v>
      </x:c>
      <x:c r="E119" s="8" t="str">
        <x:v>2026-10-02</x:v>
      </x:c>
      <x:c r="F119" s="8" t="str">
        <x:v>https://t.me/s/HRBreakfast_Live</x:v>
      </x:c>
      <x:c r="G119" s="8" t="str">
        <x:v>turn1273view0</x:v>
      </x:c>
      <x:c r="H119" s="8" t="str">
        <x:v>7dc89617ac6fbc9168c5f2e547a4f12ea2303da99f8f058269e964ae8c4c7246</x:v>
      </x:c>
    </x:row>
    <x:row r="120" ht="33" customHeight="1">
      <x:c r="A120" s="8" t="str">
        <x:v>additional-9</x:v>
      </x:c>
      <x:c r="B120" s="8" t="str">
        <x:v>Корпоративная Академия Росатома – Telegram</x:v>
      </x:c>
      <x:c r="C120" s="8" t="str">
        <x:v>current_feed</x:v>
      </x:c>
      <x:c r="D120" s="8" t="str">
        <x:v>Ошибка доступа</x:v>
      </x:c>
      <x:c r="E120" s="8" t="str">
        <x:v>2026-10-02</x:v>
      </x:c>
      <x:c r="F120" s="8" t="str">
        <x:v>https://t.me/s/academyrosatom</x:v>
      </x:c>
      <x:c r="G120" s="8" t="str">
        <x:v>turn1271view0</x:v>
      </x:c>
      <x:c r="H120" s="8" t="str">
        <x:v>4950a9feb3f6fda5eebaccee5ef6605e29aa03fd7a8c48f4d3cd6ef4eb5cc736</x:v>
      </x:c>
    </x:row>
    <x:row r="121" ht="33" customHeight="1">
      <x:c r="A121" s="8" t="str">
        <x:v>follow-0</x:v>
      </x:c>
      <x:c r="B121" s="8" t="str">
        <x:v>ВРЕМЯ:HR</x:v>
      </x:c>
      <x:c r="C121" s="8" t="str">
        <x:v>follow_link</x:v>
      </x:c>
      <x:c r="D121" s="8" t="str">
        <x:v>Только карточка</x:v>
      </x:c>
      <x:c r="E121" s="8" t="str">
        <x:v>2026-10-02</x:v>
      </x:c>
      <x:c r="F121" s="8" t="str">
        <x:v>https://t.me/%2Bf5FlS1n29JE3Nzgy</x:v>
      </x:c>
      <x:c r="G121" s="8" t="str">
        <x:v>turn1240view0</x:v>
      </x:c>
      <x:c r="H121" s="8" t="str">
        <x:v>4a7dacf6d44c8b2e29886b4be87fb04e07f2b74990b2ebe78b6579fcd5e60b3e</x:v>
      </x:c>
    </x:row>
    <x:row r="122" ht="33" customHeight="1">
      <x:c r="A122" s="8" t="str">
        <x:v>follow-1</x:v>
      </x:c>
      <x:c r="B122" s="8" t="str">
        <x:v>ВРЕМЯ:HR</x:v>
      </x:c>
      <x:c r="C122" s="8" t="str">
        <x:v>follow_link</x:v>
      </x:c>
      <x:c r="D122" s="8" t="str">
        <x:v>Только карточка</x:v>
      </x:c>
      <x:c r="E122" s="8" t="str">
        <x:v>2026-10-02</x:v>
      </x:c>
      <x:c r="F122" s="8" t="str">
        <x:v>https://t.me/%2BpTJmqIST1GhkYjdi</x:v>
      </x:c>
      <x:c r="G122" s="8" t="str">
        <x:v>turn1236view0</x:v>
      </x:c>
      <x:c r="H122" s="8" t="str">
        <x:v>5188d1042ffcc0cdc19ab03d08be1441998f47776ef78c70b11c3de639de168c</x:v>
      </x:c>
    </x:row>
    <x:row r="123" ht="35.25" customHeight="1">
      <x:c r="A123" s="8" t="str">
        <x:v>follow-10</x:v>
      </x:c>
      <x:c r="B123" s="8" t="str">
        <x:v>Спикеры для бизнеса и лекции для предпринимателей – приглашенные эксперты</x:v>
      </x:c>
      <x:c r="C123" s="8" t="str">
        <x:v>follow_link</x:v>
      </x:c>
      <x:c r="D123" s="8" t="str">
        <x:v>Прочитана часть</x:v>
      </x:c>
      <x:c r="E123" s="8" t="str">
        <x:v>2026-10-02</x:v>
      </x:c>
      <x:c r="F123" s="8" t="str">
        <x:v>https://probusinessclub.ru/speakers</x:v>
      </x:c>
      <x:c r="G123" s="8" t="str">
        <x:v>turn1261view0</x:v>
      </x:c>
      <x:c r="H123" s="8" t="str">
        <x:v>bfa42c1a1dd518122a19cebac8e22229c21717fa3b98d984819c2425a294c571</x:v>
      </x:c>
    </x:row>
    <x:row r="124" ht="35.25" customHeight="1">
      <x:c r="A124" s="8" t="str">
        <x:v>follow-11</x:v>
      </x:c>
      <x:c r="B124" s="8" t="str">
        <x:v>МЕЖДУНАРОДНЫЙ HR-ФОРУМ 2026 В АЛМАТЫ 25-26 НОЯБРЯ</x:v>
      </x:c>
      <x:c r="C124" s="8" t="str">
        <x:v>follow_link</x:v>
      </x:c>
      <x:c r="D124" s="8" t="str">
        <x:v>Только карточка</x:v>
      </x:c>
      <x:c r="E124" s="8" t="str">
        <x:v>2026-10-02</x:v>
      </x:c>
      <x:c r="F124" s="8" t="str">
        <x:v>https://t.me/hr_alenachernenko</x:v>
      </x:c>
      <x:c r="G124" s="8" t="str">
        <x:v>turn1253view0</x:v>
      </x:c>
      <x:c r="H124" s="8" t="str">
        <x:v>9502e76ffa1191606b5871b68c1d57cad9232b8870d649c994ea0050adf1f078</x:v>
      </x:c>
    </x:row>
    <x:row r="125" ht="35.25" customHeight="1">
      <x:c r="A125" s="8" t="str">
        <x:v>follow-12</x:v>
      </x:c>
      <x:c r="B125" s="8" t="str">
        <x:v>Союз Проектных Менеджеров Республики Казахстан - Партнеры СПМ РК</x:v>
      </x:c>
      <x:c r="C125" s="8" t="str">
        <x:v>follow_link</x:v>
      </x:c>
      <x:c r="D125" s="8" t="str">
        <x:v>Только карточка</x:v>
      </x:c>
      <x:c r="E125" s="8" t="str">
        <x:v>2026-10-02</x:v>
      </x:c>
      <x:c r="F125" s="8" t="str">
        <x:v>https://t.me/spm_rk</x:v>
      </x:c>
      <x:c r="G125" s="8" t="str">
        <x:v>turn1256view0</x:v>
      </x:c>
      <x:c r="H125" s="8" t="str">
        <x:v>12cb3e30fcaa35e65104664b08b94cc9b7b580860ee00b5a210cb48735d6a4c8</x:v>
      </x:c>
    </x:row>
    <x:row r="126" ht="35.25" customHeight="1">
      <x:c r="A126" s="8" t="str">
        <x:v>follow-13</x:v>
      </x:c>
      <x:c r="B126" s="8" t="str">
        <x:v>GlobalCIO | DigitalExperts - сообщество ИТ-руководителей и ...</x:v>
      </x:c>
      <x:c r="C126" s="8" t="str">
        <x:v>follow_link</x:v>
      </x:c>
      <x:c r="D126" s="8" t="str">
        <x:v>Прочитана часть</x:v>
      </x:c>
      <x:c r="E126" s="8" t="str">
        <x:v>2026-10-02</x:v>
      </x:c>
      <x:c r="F126" s="8" t="str">
        <x:v>https://globalcio.ru/discussion/56828/</x:v>
      </x:c>
      <x:c r="G126" s="8" t="str">
        <x:v>turn1259view0</x:v>
      </x:c>
      <x:c r="H126" s="8" t="str">
        <x:v>4b31809eef250fac1ae6b7ca259dac5f0e2c9e278d305dfaced629783ce2dc41</x:v>
      </x:c>
    </x:row>
    <x:row r="127" ht="33" customHeight="1">
      <x:c r="A127" s="8" t="str">
        <x:v>follow-14</x:v>
      </x:c>
      <x:c r="B127" s="8" t="str">
        <x:v>Ассоциация Бизнес-тренеров</x:v>
      </x:c>
      <x:c r="C127" s="8" t="str">
        <x:v>follow_link</x:v>
      </x:c>
      <x:c r="D127" s="8" t="str">
        <x:v>Прочитана часть</x:v>
      </x:c>
      <x:c r="E127" s="8" t="str">
        <x:v>2026-10-02</x:v>
      </x:c>
      <x:c r="F127" s="8" t="str">
        <x:v>https://qazcoach.com/partners</x:v>
      </x:c>
      <x:c r="G127" s="8" t="str">
        <x:v>turn1254view0</x:v>
      </x:c>
      <x:c r="H127" s="8" t="str">
        <x:v>2abc7a1c6f80363ef45caadb9b4d5f148af1dcaa296d1c19abcc9d8974477365</x:v>
      </x:c>
    </x:row>
    <x:row r="128" ht="35.25" customHeight="1">
      <x:c r="A128" s="8" t="str">
        <x:v>follow-15</x:v>
      </x:c>
      <x:c r="B128" s="8" t="str">
        <x:v>Вся творческая работа. Event hunter. Петербург – Telegram</x:v>
      </x:c>
      <x:c r="C128" s="8" t="str">
        <x:v>follow_link</x:v>
      </x:c>
      <x:c r="D128" s="8" t="str">
        <x:v>Только карточка</x:v>
      </x:c>
      <x:c r="E128" s="8" t="str">
        <x:v>2026-10-02</x:v>
      </x:c>
      <x:c r="F128" s="8" t="str">
        <x:v>https://t.me/spbeventjobtalk</x:v>
      </x:c>
      <x:c r="G128" s="8" t="str">
        <x:v>turn1257view0</x:v>
      </x:c>
      <x:c r="H128" s="8" t="str">
        <x:v>0cec3dbf152528d59248ed1000da40392cb4ce38c402039932c77f1f284e7a10</x:v>
      </x:c>
    </x:row>
    <x:row r="129" ht="35.25" customHeight="1">
      <x:c r="A129" s="8" t="str">
        <x:v>follow-16</x:v>
      </x:c>
      <x:c r="B129" s="8" t="str">
        <x:v>Вся творческая работа. Event hunter. Петербург – Telegram</x:v>
      </x:c>
      <x:c r="C129" s="8" t="str">
        <x:v>follow_link</x:v>
      </x:c>
      <x:c r="D129" s="8" t="str">
        <x:v>Только карточка</x:v>
      </x:c>
      <x:c r="E129" s="8" t="str">
        <x:v>2026-10-02</x:v>
      </x:c>
      <x:c r="F129" s="8" t="str">
        <x:v>https://t.me/mskeventjob</x:v>
      </x:c>
      <x:c r="G129" s="8" t="str">
        <x:v>turn1260view0</x:v>
      </x:c>
      <x:c r="H129" s="8" t="str">
        <x:v>340b3232061f5abe39bd8187526daa1ebfbd6abf0384caecb19b265191dd9d31</x:v>
      </x:c>
    </x:row>
    <x:row r="130" ht="35.25" customHeight="1">
      <x:c r="A130" s="8" t="str">
        <x:v>follow-17</x:v>
      </x:c>
      <x:c r="B130" s="8" t="str">
        <x:v>Вся творческая работа. Event hunter. Петербург – Telegram</x:v>
      </x:c>
      <x:c r="C130" s="8" t="str">
        <x:v>follow_link</x:v>
      </x:c>
      <x:c r="D130" s="8" t="str">
        <x:v>Только карточка</x:v>
      </x:c>
      <x:c r="E130" s="8" t="str">
        <x:v>2026-10-02</x:v>
      </x:c>
      <x:c r="F130" s="8" t="str">
        <x:v>https://t.me/worldeventjob</x:v>
      </x:c>
      <x:c r="G130" s="8" t="str">
        <x:v>turn1258view0</x:v>
      </x:c>
      <x:c r="H130" s="8" t="str">
        <x:v>d8497eba6e38c6e746e4d53589cc14f6a949d740cd1954992169b64c79649969</x:v>
      </x:c>
    </x:row>
    <x:row r="131" ht="35.25" customHeight="1">
      <x:c r="A131" s="8" t="str">
        <x:v>follow-18</x:v>
      </x:c>
      <x:c r="B131" s="8" t="str">
        <x:v>Как стать спикером - Суровый Питерский Форум про маркетинг, SMM и бизнес</x:v>
      </x:c>
      <x:c r="C131" s="8" t="str">
        <x:v>follow_link</x:v>
      </x:c>
      <x:c r="D131" s="8" t="str">
        <x:v>Прочитана часть</x:v>
      </x:c>
      <x:c r="E131" s="8" t="str">
        <x:v>2026-10-02</x:v>
      </x:c>
      <x:c r="F131" s="8" t="str">
        <x:v>https://disk.yandex.ru/i/wj8Bq-yD2Zwbww</x:v>
      </x:c>
      <x:c r="G131" s="8" t="str">
        <x:v>turn1252view0</x:v>
      </x:c>
      <x:c r="H131" s="8" t="str">
        <x:v>9bf3bd3502fb00abefb28b3102efa89e6a3608fb82cf49d36b5e039ea72edd6a</x:v>
      </x:c>
    </x:row>
    <x:row r="132" ht="47.25" customHeight="1">
      <x:c r="A132" s="8" t="str">
        <x:v>follow-19</x:v>
      </x:c>
      <x:c r="B132" s="8" t="str">
        <x:v>HoReCa</x:v>
      </x:c>
      <x:c r="C132" s="8" t="str">
        <x:v>follow_link</x:v>
      </x:c>
      <x:c r="D132" s="8" t="str">
        <x:v>Прочитана часть</x:v>
      </x:c>
      <x:c r="E132" s="8" t="str">
        <x:v>2026-10-02</x:v>
      </x:c>
      <x:c r="F132" s="8" t="str">
        <x:v>https://horecaexpo.by/files/%D0%94%D0%95%D0%9B%D0%9E%D0%92%D0%90%D0%AF%20%D0%9F%D0%A0%D0%9E%D0%93%D0%A0%D0%90%D0%9C%D0%9C%D0%90_Expo%20HORECA%20Minsk-2026.pdf?v=1.1</x:v>
      </x:c>
      <x:c r="G132" s="8" t="str">
        <x:v>turn1255view0</x:v>
      </x:c>
      <x:c r="H132" s="8" t="str">
        <x:v>e773882f92b47513c25e7d0b15caef2a47727b1b05a9d0ab1e602b57a7b60eef</x:v>
      </x:c>
    </x:row>
    <x:row r="133" ht="33" customHeight="1">
      <x:c r="A133" s="8" t="str">
        <x:v>follow-2</x:v>
      </x:c>
      <x:c r="B133" s="8" t="str">
        <x:v>ВРЕМЯ:HR</x:v>
      </x:c>
      <x:c r="C133" s="8" t="str">
        <x:v>follow_link</x:v>
      </x:c>
      <x:c r="D133" s="8" t="str">
        <x:v>Ошибка доступа</x:v>
      </x:c>
      <x:c r="E133" s="8" t="str">
        <x:v>2026-10-02</x:v>
      </x:c>
      <x:c r="F133" s="8" t="str">
        <x:v>https://max.ru/join/Wk3yYghelr3E5ZGVdZ9p29juwaqhiODDtFEPsNvAz-0</x:v>
      </x:c>
      <x:c r="G133" s="8" t="str">
        <x:v>turn1243view0</x:v>
      </x:c>
      <x:c r="H133" s="8" t="str">
        <x:v>29d75159d5919bc50d4c4337bc733780c9713e1db56c82d1d850da150b7baa98</x:v>
      </x:c>
    </x:row>
    <x:row r="134" ht="33" customHeight="1">
      <x:c r="A134" s="8" t="str">
        <x:v>follow-3</x:v>
      </x:c>
      <x:c r="B134" s="8" t="str">
        <x:v>Описание проекта | Клуб топ-менеджеров 4CIO</x:v>
      </x:c>
      <x:c r="C134" s="8" t="str">
        <x:v>follow_link</x:v>
      </x:c>
      <x:c r="D134" s="8" t="str">
        <x:v>Прочитана часть</x:v>
      </x:c>
      <x:c r="E134" s="8" t="str">
        <x:v>2026-10-02</x:v>
      </x:c>
      <x:c r="F134" s="8" t="str">
        <x:v>https://4cio.ru/pages/603/</x:v>
      </x:c>
      <x:c r="G134" s="8" t="str">
        <x:v>turn1237view0</x:v>
      </x:c>
      <x:c r="H134" s="8" t="str">
        <x:v>b5e58164efe281b3e285e53e24d697846c39b46a6f8c5cd28f0a98ce85c0cccb</x:v>
      </x:c>
    </x:row>
    <x:row r="135" ht="35.25" customHeight="1">
      <x:c r="A135" s="8" t="str">
        <x:v>follow-4</x:v>
      </x:c>
      <x:c r="B135" s="8" t="str">
        <x:v>СТМЛК - сообщество топ-менеджеров логистических компаний</x:v>
      </x:c>
      <x:c r="C135" s="8" t="str">
        <x:v>follow_link</x:v>
      </x:c>
      <x:c r="D135" s="8" t="str">
        <x:v>Ошибка доступа</x:v>
      </x:c>
      <x:c r="E135" s="8" t="str">
        <x:v>2026-10-02</x:v>
      </x:c>
      <x:c r="F135" s="8" t="str">
        <x:v>https://vk.com/logistictops</x:v>
      </x:c>
      <x:c r="G135" s="8" t="str">
        <x:v>turn1241view0</x:v>
      </x:c>
      <x:c r="H135" s="8" t="str">
        <x:v>37c8260ba48841c9e529d27f33f666b2bb8d3c570e0ef69b4eccc25d6c3cd844</x:v>
      </x:c>
    </x:row>
    <x:row r="136" ht="35.25" customHeight="1">
      <x:c r="A136" s="8" t="str">
        <x:v>follow-5</x:v>
      </x:c>
      <x:c r="B136" s="8" t="str">
        <x:v>СТМЛК - сообщество топ-менеджеров логистических компаний</x:v>
      </x:c>
      <x:c r="C136" s="8" t="str">
        <x:v>follow_link</x:v>
      </x:c>
      <x:c r="D136" s="8" t="str">
        <x:v>Только карточка</x:v>
      </x:c>
      <x:c r="E136" s="8" t="str">
        <x:v>2026-10-02</x:v>
      </x:c>
      <x:c r="F136" s="8" t="str">
        <x:v>https://t.me/Logistictops</x:v>
      </x:c>
      <x:c r="G136" s="8" t="str">
        <x:v>turn1245view0</x:v>
      </x:c>
      <x:c r="H136" s="8" t="str">
        <x:v>f6f6dd626fdcb8d91153c9611af6bf594171137f3ebe46e4a0323abb4eadb257</x:v>
      </x:c>
    </x:row>
    <x:row r="137" ht="33" customHeight="1">
      <x:c r="A137" s="8" t="str">
        <x:v>follow-6</x:v>
      </x:c>
      <x:c r="B137" s="8" t="str">
        <x:v>Ассоциация загородных отелей России</x:v>
      </x:c>
      <x:c r="C137" s="8" t="str">
        <x:v>follow_link</x:v>
      </x:c>
      <x:c r="D137" s="8" t="str">
        <x:v>Прочитана часть</x:v>
      </x:c>
      <x:c r="E137" s="8" t="str">
        <x:v>2026-10-02</x:v>
      </x:c>
      <x:c r="F137" s="8" t="str">
        <x:v>https://azo-hotels.com/partner</x:v>
      </x:c>
      <x:c r="G137" s="8" t="str">
        <x:v>turn1238view0</x:v>
      </x:c>
      <x:c r="H137" s="8" t="str">
        <x:v>5b1e150b5791f0611c6cdc64b6fffb3638b889333eead7bf2c25750f063a40ae</x:v>
      </x:c>
    </x:row>
    <x:row r="138" ht="47.25" customHeight="1">
      <x:c r="A138" s="8" t="str">
        <x:v>follow-7</x:v>
      </x:c>
      <x:c r="B138" s="8" t="str">
        <x:v>Разработка электронных курсов. Проектирование образовательного курса - Лабмедиа в Казахстане</x:v>
      </x:c>
      <x:c r="C138" s="8" t="str">
        <x:v>follow_link</x:v>
      </x:c>
      <x:c r="D138" s="8" t="str">
        <x:v>Прочитана часть</x:v>
      </x:c>
      <x:c r="E138" s="8" t="str">
        <x:v>2026-10-02</x:v>
      </x:c>
      <x:c r="F138" s="8" t="str">
        <x:v>https://www.labmedia.kz/ru/partners</x:v>
      </x:c>
      <x:c r="G138" s="8" t="str">
        <x:v>turn1244view0</x:v>
      </x:c>
      <x:c r="H138" s="8" t="str">
        <x:v>8a9d6c60596dea415fc67c74cdd44a65c3f6f6110527c8fa78bacf158fccaee8</x:v>
      </x:c>
    </x:row>
    <x:row r="139" ht="33" customHeight="1">
      <x:c r="A139" s="8" t="str">
        <x:v>follow-8</x:v>
      </x:c>
      <x:c r="B139" s="8" t="str">
        <x:v>Разработка электронных курсов от WellDone</x:v>
      </x:c>
      <x:c r="C139" s="8" t="str">
        <x:v>follow_link</x:v>
      </x:c>
      <x:c r="D139" s="8" t="str">
        <x:v>Прочитана часть</x:v>
      </x:c>
      <x:c r="E139" s="8" t="str">
        <x:v>2026-10-02</x:v>
      </x:c>
      <x:c r="F139" s="8" t="str">
        <x:v>https://well-done.kz/partners</x:v>
      </x:c>
      <x:c r="G139" s="8" t="str">
        <x:v>turn1239view0</x:v>
      </x:c>
      <x:c r="H139" s="8" t="str">
        <x:v>408dcab96c38608070340ddb69677feb4456148b84829d083113297ec8a23f33</x:v>
      </x:c>
    </x:row>
    <x:row r="140" ht="47.25" customHeight="1">
      <x:c r="A140" s="8" t="str">
        <x:v>follow-9</x:v>
      </x:c>
      <x:c r="B140" s="8" t="str">
        <x:v>Профпереподготовка и повышение квалификации | Дистанционное обучение в Оренбургской бизнес-школе - О бизнес-школе</x:v>
      </x:c>
      <x:c r="C140" s="8" t="str">
        <x:v>follow_link</x:v>
      </x:c>
      <x:c r="D140" s="8" t="str">
        <x:v>Прочитана часть</x:v>
      </x:c>
      <x:c r="E140" s="8" t="str">
        <x:v>2026-10-02</x:v>
      </x:c>
      <x:c r="F140" s="8" t="str">
        <x:v>https://orenbs.info/sotrudnic-v-region</x:v>
      </x:c>
      <x:c r="G140" s="8" t="str">
        <x:v>turn1242view0</x:v>
      </x:c>
      <x:c r="H140" s="8" t="str">
        <x:v>800b619e97de8dbf2def008bbee8c480e45be81216b5a1e9c1753f72b36057af</x:v>
      </x:c>
    </x:row>
  </x:sheetData>
  <x:pageMargins left="0.7" right="0.7" top="0.75" bottom="0.75" header="0.3" footer="0.3"/>
  <x:tableParts count="1">
    <x:tablePart xmlns:r="http://schemas.openxmlformats.org/officeDocument/2006/relationships" r:id="Rfd1679c60d894a6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439998626708984" hidden="0" customWidth="1"/>
    <x:col min="2" max="2" width="20" hidden="0" customWidth="1"/>
    <x:col min="3" max="3" width="20" hidden="0" customWidth="1"/>
    <x:col min="4" max="4" width="38.88999938964844" hidden="0" customWidth="1"/>
  </x:cols>
  <x:sheetData>
    <x:row r="1">
      <x:c r="A1" s="13"/>
      <x:c r="B1" s="13"/>
      <x:c r="C1" s="13"/>
      <x:c r="D1" s="13"/>
    </x:row>
    <x:row r="2" ht="28.5" customHeight="1">
      <x:c r="A2" s="14" t="str">
        <x:v>Общий предел • 10 000 ₽ / месяц</x:v>
      </x:c>
      <x:c r="B2" s="13"/>
      <x:c r="C2" s="13"/>
      <x:c r="D2" s="13"/>
    </x:row>
    <x:row r="3">
      <x:c r="A3" s="13" t="str">
        <x:v>Плановые потолки, не проверенные тарифы. Платные вызовы не запускались.</x:v>
      </x:c>
      <x:c r="B3" s="13"/>
      <x:c r="C3" s="13"/>
      <x:c r="D3" s="13"/>
    </x:row>
    <x:row r="4">
      <x:c r="A4" s="13"/>
      <x:c r="B4" s="13"/>
      <x:c r="C4" s="13"/>
      <x:c r="D4" s="13"/>
    </x:row>
    <x:row r="5" ht="25.5" customHeight="1">
      <x:c r="A5" s="13" t="str">
        <x:v>Месячный предел, ₽</x:v>
      </x:c>
      <x:c r="B5" s="13" t="n">
        <x:v>10000</x:v>
      </x:c>
      <x:c r="C5" s="13"/>
      <x:c r="D5" s="13"/>
    </x:row>
    <x:row r="6" ht="25.5" customHeight="1">
      <x:c r="A6" s="13"/>
      <x:c r="B6" s="13"/>
      <x:c r="C6" s="13"/>
      <x:c r="D6" s="13"/>
    </x:row>
    <x:row r="7" ht="25.5" customHeight="1">
      <x:c r="A7" s="16" t="str">
        <x:v>Статья</x:v>
      </x:c>
      <x:c r="B7" s="16" t="str">
        <x:v>План, ₽</x:v>
      </x:c>
      <x:c r="C7" s="16" t="str">
        <x:v>Факт, ₽</x:v>
      </x:c>
      <x:c r="D7" s="16" t="str">
        <x:v>Факт известен</x:v>
      </x:c>
    </x:row>
    <x:row r="8" ht="25.5" customHeight="1">
      <x:c r="A8" s="13" t="str">
        <x:v>Хостинг и хранение</x:v>
      </x:c>
      <x:c r="B8" s="17" t="n">
        <x:v>1000</x:v>
      </x:c>
      <x:c r="C8" s="17"/>
      <x:c r="D8" s="13" t="str">
        <x:f>IF(ISNUMBER(C8),"Да","Неизвестен")</x:f>
        <x:v>Неизвестен</x:v>
      </x:c>
    </x:row>
    <x:row r="9" ht="25.5" customHeight="1">
      <x:c r="A9" s="13" t="str">
        <x:v>Поиск и данные</x:v>
      </x:c>
      <x:c r="B9" s="17" t="n">
        <x:v>2500</x:v>
      </x:c>
      <x:c r="C9" s="17"/>
      <x:c r="D9" s="13" t="str">
        <x:f>IF(ISNUMBER(C9),"Да","Неизвестен")</x:f>
        <x:v>Неизвестен</x:v>
      </x:c>
    </x:row>
    <x:row r="10" ht="25.5" customHeight="1">
      <x:c r="A10" s="13" t="str">
        <x:v>LLM</x:v>
      </x:c>
      <x:c r="B10" s="17" t="n">
        <x:v>3000</x:v>
      </x:c>
      <x:c r="C10" s="17"/>
      <x:c r="D10" s="13" t="str">
        <x:f>IF(ISNUMBER(C10),"Да","Неизвестен")</x:f>
        <x:v>Неизвестен</x:v>
      </x:c>
    </x:row>
    <x:row r="11" ht="25.5" customHeight="1">
      <x:c r="A11" s="13" t="str">
        <x:v>OCR / аудио</x:v>
      </x:c>
      <x:c r="B11" s="17" t="n">
        <x:v>500</x:v>
      </x:c>
      <x:c r="C11" s="17"/>
      <x:c r="D11" s="13" t="str">
        <x:f>IF(ISNUMBER(C11),"Да","Неизвестен")</x:f>
        <x:v>Неизвестен</x:v>
      </x:c>
    </x:row>
    <x:row r="12" ht="25.5" customHeight="1">
      <x:c r="A12" s="13" t="str">
        <x:v>Доступ / API</x:v>
      </x:c>
      <x:c r="B12" s="17" t="n">
        <x:v>1000</x:v>
      </x:c>
      <x:c r="C12" s="17"/>
      <x:c r="D12" s="13" t="str">
        <x:f>IF(ISNUMBER(C12),"Да","Неизвестен")</x:f>
        <x:v>Неизвестен</x:v>
      </x:c>
    </x:row>
    <x:row r="13" ht="25.5" customHeight="1">
      <x:c r="A13" s="13" t="str">
        <x:v>Резерв</x:v>
      </x:c>
      <x:c r="B13" s="17" t="n">
        <x:v>2000</x:v>
      </x:c>
      <x:c r="C13" s="17"/>
      <x:c r="D13" s="13" t="str">
        <x:f>IF(ISNUMBER(C13),"Да","Неизвестен")</x:f>
        <x:v>Неизвестен</x:v>
      </x:c>
    </x:row>
    <x:row r="14" ht="25.5" customHeight="1">
      <x:c r="A14" s="13"/>
      <x:c r="B14" s="13"/>
      <x:c r="C14" s="13"/>
      <x:c r="D14" s="13"/>
    </x:row>
    <x:row r="15" ht="25.5" customHeight="1">
      <x:c r="A15" s="13" t="str">
        <x:v>Распределено, ₽</x:v>
      </x:c>
      <x:c r="B15" s="13" t="n">
        <x:f>SUM(B8:B13)</x:f>
        <x:v>10000</x:v>
      </x:c>
      <x:c r="C15" s="13"/>
      <x:c r="D15" s="13"/>
    </x:row>
    <x:row r="16" ht="25.5" customHeight="1">
      <x:c r="A16" s="13" t="str">
        <x:v>Остаток плана, ₽</x:v>
      </x:c>
      <x:c r="B16" s="13" t="n">
        <x:f>B5-B15</x:f>
        <x:v>0</x:v>
      </x:c>
      <x:c r="C16" s="13"/>
      <x:c r="D16" s="13"/>
    </x:row>
    <x:row r="17" ht="25.5" customHeight="1">
      <x:c r="A17" s="13" t="str">
        <x:v>Полный факт, ₽</x:v>
      </x:c>
      <x:c r="B17" s="13" t="str">
        <x:f>IF(COUNT(C8:C13)=6,SUM(C8:C13),"Неизвестен")</x:f>
        <x:v>Неизвестен</x:v>
      </x:c>
      <x:c r="C17" s="13"/>
      <x:c r="D17" s="13"/>
    </x:row>
    <x:row r="18" ht="25.5" customHeight="1">
      <x:c r="A18" s="13" t="str">
        <x:v>Остаток после факта, ₽</x:v>
      </x:c>
      <x:c r="B18" s="13" t="str">
        <x:f>IF(ISNUMBER(B17),B5-B17,"Неизвестен")</x:f>
        <x:v>Неизвестен</x:v>
      </x:c>
      <x:c r="C18" s="13"/>
      <x:c r="D18" s="13"/>
    </x:row>
    <x:row r="19" ht="25.5" customHeight="1">
      <x:c r="A19" s="13" t="str">
        <x:v>Состояние лимита</x:v>
      </x:c>
      <x:c r="B19" s="13" t="str">
        <x:f>IF(ISNUMBER(B18),IF(B18&gt;=0,"В пределах лимита","Превышение"),"Внести факт")</x:f>
        <x:v>Внести факт</x:v>
      </x:c>
      <x:c r="C19" s="13"/>
      <x:c r="D19" s="13"/>
    </x:row>
    <x:row r="20" ht="25.5" customHeight="1">
      <x:c r="A20" s="13" t="str">
        <x:v>Разведка — доля мощности</x:v>
      </x:c>
      <x:c r="B20" s="18" t="n">
        <x:v>0.2</x:v>
      </x:c>
      <x:c r="C20" s="13"/>
      <x:c r="D20" s="13"/>
    </x:row>
    <x:row r="21" ht="25.5" customHeight="1">
      <x:c r="A21" s="13" t="str">
        <x:v>Труд — учитывать отдельно</x:v>
      </x:c>
      <x:c r="B21" s="13"/>
      <x:c r="C21" s="13"/>
      <x:c r="D21" s="13"/>
    </x:row>
    <x:row r="22" ht="25.5" customHeight="1">
      <x:c r="A22" s="13"/>
      <x:c r="B22" s="13"/>
      <x:c r="C22" s="13"/>
      <x:c r="D22" s="13"/>
    </x:row>
    <x:row r="23" ht="25.5" customHeight="1">
      <x:c r="A23" s="13" t="str">
        <x:v>Если 10 000 ₽ включает труд, сократить объем пилота в пределах общего бюджета.</x:v>
      </x:c>
      <x:c r="B23" s="13"/>
      <x:c r="C23" s="13"/>
      <x:c r="D23" s="1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3.33000183105469" hidden="0" customWidth="1"/>
    <x:col min="2" max="2" width="116.66999816894531" hidden="0" customWidth="1"/>
  </x:cols>
  <x:sheetData>
    <x:row r="1">
      <x:c r="A1" s="2"/>
      <x:c r="B1" s="2"/>
    </x:row>
    <x:row r="2" ht="26.25" customHeight="1">
      <x:c r="A2" s="3" t="str">
        <x:v>Инструкция передачи и границы результата</x:v>
      </x:c>
      <x:c r="B2" s="2"/>
    </x:row>
    <x:row r="3" ht="22.5" customHeight="1">
      <x:c r="A3" s="4" t="str">
        <x:v>Точные URL и машинные данные находятся в полном ZIP. Эта книга дополняет прежние рабочие книги.</x:v>
      </x:c>
      <x:c r="B3" s="2"/>
    </x:row>
    <x:row r="4">
      <x:c r="A4" s="2"/>
      <x:c r="B4" s="2"/>
    </x:row>
    <x:row r="5" ht="36" customHeight="1">
      <x:c r="A5" s="7" t="str">
        <x:v>Раздел</x:v>
      </x:c>
      <x:c r="B5" s="7" t="str">
        <x:v>Инструкция</x:v>
      </x:c>
    </x:row>
    <x:row r="6" ht="33" customHeight="1">
      <x:c r="A6" s="8" t="str">
        <x:v>Начать</x:v>
      </x:c>
      <x:c r="B6" s="8" t="str">
        <x:v>START_HERE_CLAUDE_V7.txt и SOURCE_OPERATING_GUIDE.txt в ZIP.</x:v>
      </x:c>
    </x:row>
    <x:row r="7" ht="33" customHeight="1">
      <x:c r="A7" s="8" t="str">
        <x:v>Все прошлые материалы</x:v>
      </x:c>
      <x:c r="B7" s="8" t="str">
        <x:v>v6/ сохранен полностью, включая v5, HR-сайты, Telegram, социальные сети и КУ.</x:v>
      </x:c>
    </x:row>
    <x:row r="8" ht="33" customHeight="1">
      <x:c r="A8" s="8" t="str">
        <x:v>417 кандидатов</x:v>
      </x:c>
      <x:c r="B8" s="8" t="str">
        <x:v>Новые ключи адресов; организация, покупательский поток и работоспособность сбора не всегда проверены.</x:v>
      </x:c>
    </x:row>
    <x:row r="9" ht="33" customHeight="1">
      <x:c r="A9" s="8" t="str">
        <x:v>100 проверок</x:v>
      </x:c>
      <x:c r="B9" s="8" t="str">
        <x:v>89 — прочитана часть; 2 — карточка; 6 — ошибки; 3 — пустое извлечение.</x:v>
      </x:c>
    </x:row>
    <x:row r="10" ht="33" customHeight="1">
      <x:c r="A10" s="8" t="str">
        <x:v>21 пример</x:v>
      </x:c>
      <x:c r="B10" s="8" t="str">
        <x:v>Приглашения и исторические запросы; не список 21 свежего заказа.</x:v>
      </x:c>
    </x:row>
    <x:row r="11" ht="33" customHeight="1">
      <x:c r="A11" s="8" t="str">
        <x:v>Шесть осей</x:v>
      </x:c>
      <x:c r="B11" s="8" t="str">
        <x:v>Покупатели, профиль МИСБ, свежесть, действие, новый охват, надежность сбора.</x:v>
      </x:c>
    </x:row>
    <x:row r="12" ht="33" customHeight="1">
      <x:c r="A12" s="8" t="str">
        <x:v>Без удаления</x:v>
      </x:c>
      <x:c r="B12" s="8" t="str">
        <x:v>Дубли связывать; слабые, заблокированные и архивные источники сохранять.</x:v>
      </x:c>
    </x:row>
    <x:row r="13" ht="33" customHeight="1">
      <x:c r="A13" s="8" t="str">
        <x:v>Выполненные поиски</x:v>
      </x:c>
      <x:c r="B13" s="8" t="str">
        <x:v>120 запросов — executed_searches.jsonl; 360 шаблонов — еще не выполнялись.</x:v>
      </x:c>
    </x:row>
    <x:row r="14" ht="33" customHeight="1">
      <x:c r="A14" s="8" t="str">
        <x:v>Проверить пакет</x:v>
      </x:c>
      <x:c r="B14" s="8" t="str">
        <x:v>python code/source_ops.py validate</x:v>
      </x:c>
    </x:row>
    <x:row r="15" ht="33" customHeight="1">
      <x:c r="A15" s="8" t="str">
        <x:v>Подготовить план</x:v>
      </x:c>
      <x:c r="B15" s="8" t="str">
        <x:v>python code/source_ops.py plan --limit 20 --out plan.jsonl</x:v>
      </x:c>
    </x:row>
    <x:row r="16" ht="33" customHeight="1">
      <x:c r="A16" s="8" t="str">
        <x:v>Запуск</x:v>
      </x:c>
      <x:c r="B16" s="8" t="str">
        <x:v>Команды — в руководстве. Реальный пилот, расписание, оплаты и рассылки не запускались.</x:v>
      </x:c>
    </x:row>
    <x:row r="17" ht="33" customHeight="1">
      <x:c r="A17" s="8" t="str">
        <x:v>Обратная связь</x:v>
      </x:c>
      <x:c r="B17" s="8" t="str">
        <x:v>Желтые поля книги — ввод; перенос в JSONL по source_id явный, автоматической синхронизации нет.</x:v>
      </x:c>
    </x:row>
    <x:row r="18" ht="33" customHeight="1">
      <x:c r="A18" s="8" t="str">
        <x:v>Результат 10x</x:v>
      </x:c>
      <x:c r="B18" s="8" t="str">
        <x:v>Цель, а не измеренный эффект. Нужны базовая линия и одинаковые условия сравнения.</x:v>
      </x:c>
    </x:row>
  </x:sheetData>
  <x:pageMargins left="0.7" right="0.7" top="0.75" bottom="0.75" header="0.3" footer="0.3"/>
  <x:tableParts count="1">
    <x:tablePart xmlns:r="http://schemas.openxmlformats.org/officeDocument/2006/relationships" r:id="R1492b737437e4ebb"/>
  </x:tableParts>
</x:worksheet>
</file>